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over" sheetId="1" state="visible" r:id="rId3"/>
    <sheet name="01_Settings" sheetId="2" state="visible" r:id="rId4"/>
    <sheet name="02_Lookups" sheetId="3" state="visible" r:id="rId5"/>
    <sheet name="03_Benchmarks" sheetId="4" state="visible" r:id="rId6"/>
    <sheet name="10_Social_Tracker" sheetId="5" state="visible" r:id="rId7"/>
    <sheet name="11_Confidence" sheetId="6" state="visible" r:id="rId8"/>
    <sheet name="20_Player_Rate_Card" sheetId="7" state="visible" r:id="rId9"/>
    <sheet name="30_Creator_Rate_Card" sheetId="8" state="visible" r:id="rId10"/>
    <sheet name="40_Adjustment_Matrix" sheetId="9" state="visible" r:id="rId11"/>
    <sheet name="41_Add_On_Rights" sheetId="10" state="visible" r:id="rId12"/>
    <sheet name="42_Preview" sheetId="11" state="visible" r:id="rId13"/>
    <sheet name="51_Quote_Preview" sheetId="12" state="visible" r:id="rId14"/>
    <sheet name="52_Quote_Log" sheetId="13" state="visible" r:id="rId15"/>
    <sheet name="53_Inquiry_Log" sheetId="14" state="visible" r:id="rId16"/>
    <sheet name="90_Methodology" sheetId="15" state="visible" r:id="rId17"/>
    <sheet name="91_Roadmap" sheetId="16" state="visible" r:id="rId18"/>
    <sheet name="95_Guide_EN" sheetId="17" state="visible" r:id="rId19"/>
    <sheet name="96_Guide_AR" sheetId="18" state="visible" r:id="rId20"/>
    <sheet name="97_Changelog" sheetId="19" state="visible" r:id="rId21"/>
    <sheet name="99_Script_Map" sheetId="20" state="visible" r:id="rId22"/>
  </sheets>
  <definedNames>
    <definedName function="false" hidden="true" localSheetId="4" name="_xlnm._FilterDatabase" vbProcedure="false">'10_Social_Tracker'!$B$4:$P$308</definedName>
    <definedName function="false" hidden="true" localSheetId="6" name="_xlnm._FilterDatabase" vbProcedure="false">'20_Player_Rate_Card'!$B$5:$BE$194</definedName>
    <definedName function="false" hidden="true" localSheetId="7" name="_xlnm._FilterDatabase" vbProcedure="false">'30_Creator_Rate_Card'!$B$5:$AL$22</definedName>
    <definedName function="false" hidden="true" localSheetId="12" name="_xlnm._FilterDatabase" vbProcedure="false">'52_Quote_Log'!$B$4:$S$200</definedName>
    <definedName function="false" hidden="true" localSheetId="13" name="_xlnm._FilterDatabase" vbProcedure="false">'53_Inquiry_Log'!$B$4:$T$300</definedName>
    <definedName function="false" hidden="false" name="Approval_Threshold" vbProcedure="false">'01_Settings'!$C$28</definedName>
    <definedName function="false" hidden="false" name="Default_Mgmt_Fee" vbProcedure="false">'01_Settings'!$C$19</definedName>
    <definedName function="false" hidden="false" name="Default_Opening" vbProcedure="false">'01_Settings'!$C$20</definedName>
    <definedName function="false" hidden="false" name="LKP_Audience" vbProcedure="false">'02_Lookups'!$B$24:$B$31</definedName>
    <definedName function="false" hidden="false" name="LKP_Authority" vbProcedure="false">'02_Lookups'!$B$41:$B$44</definedName>
    <definedName function="false" hidden="false" name="LKP_Bundle" vbProcedure="false">'02_Lookups'!$B$109:$B$112</definedName>
    <definedName function="false" hidden="false" name="LKP_Confidence" vbProcedure="false">'02_Lookups'!$B$71:$B$74</definedName>
    <definedName function="false" hidden="false" name="LKP_ContentType" vbProcedure="false">'02_Lookups'!$B$66:$B$67</definedName>
    <definedName function="false" hidden="false" name="LKP_Engagement" vbProcedure="false">'02_Lookups'!$B$15:$B$20</definedName>
    <definedName function="false" hidden="false" name="LKP_Floor" vbProcedure="false">'02_Lookups'!$B$78:$B$82</definedName>
    <definedName function="false" hidden="false" name="LKP_InqStage" vbProcedure="false">'02_Lookups'!$B$92:$B$98</definedName>
    <definedName function="false" hidden="false" name="LKP_InqStatus" vbProcedure="false">'02_Lookups'!$B$102:$B$105</definedName>
    <definedName function="false" hidden="false" name="LKP_Language" vbProcedure="false">'02_Lookups'!$B$48:$B$51</definedName>
    <definedName function="false" hidden="false" name="LKP_Objective" vbProcedure="false">'02_Lookups'!$B$35:$B$37</definedName>
    <definedName function="false" hidden="false" name="LKP_Season" vbProcedure="false">'02_Lookups'!$B$55:$B$62</definedName>
    <definedName function="false" hidden="false" name="LKP_TalentType" vbProcedure="false">'02_Lookups'!$B$86:$B$88</definedName>
    <definedName function="false" hidden="false" name="LKP_Tiers" vbProcedure="false">'02_Lookups'!$B$7:$B$11</definedName>
    <definedName function="false" hidden="false" name="USD_Rate" vbProcedure="false">'01_Settings'!$C$14</definedName>
    <definedName function="false" hidden="false" name="VAT_Rate" vbProcedure="false">'01_Settings'!$C$15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<sst xmlns="http://schemas.openxmlformats.org/spreadsheetml/2006/main" count="6856" uniqueCount="2589">
  <si>
    <t xml:space="preserve">TEAM FALCONS</t>
  </si>
  <si>
    <t xml:space="preserve">Unified Talent Pricing OS  ·  v1.3</t>
  </si>
  <si>
    <t xml:space="preserve">One operating system for Players, Creators &amp; Mixed campaigns.</t>
  </si>
  <si>
    <t xml:space="preserve">Updated: 18 April 2026    ·    Currency: SAR    ·    1 USD = 3.75 SAR    ·    Confidential — internal use only</t>
  </si>
  <si>
    <t xml:space="preserve">Updated: 18 April 2026    ·    Currency: SAR    ·    VAT: 15%    ·    Owner: Team Falcons Commercial</t>
  </si>
  <si>
    <t xml:space="preserve">Total Talent</t>
  </si>
  <si>
    <t xml:space="preserve">Players</t>
  </si>
  <si>
    <t xml:space="preserve">Creators</t>
  </si>
  <si>
    <t xml:space="preserve">T1 / T2 / T3 (Players)</t>
  </si>
  <si>
    <t xml:space="preserve">NAVIGATION</t>
  </si>
  <si>
    <t xml:space="preserve">GOVERNANCE</t>
  </si>
  <si>
    <t xml:space="preserve">01_Settings</t>
  </si>
  <si>
    <t xml:space="preserve">Global config · VAT · USD · approvers · bank · Shikenso</t>
  </si>
  <si>
    <t xml:space="preserve">02_Lookups</t>
  </si>
  <si>
    <t xml:space="preserve">Canonical dropdown values used across the workbook</t>
  </si>
  <si>
    <t xml:space="preserve">03_Benchmarks</t>
  </si>
  <si>
    <t xml:space="preserve">Market benchmarks — Tier 1 / MENA / platform CPMs</t>
  </si>
  <si>
    <t xml:space="preserve">DATA BACKBONE</t>
  </si>
  <si>
    <t xml:space="preserve">10_Social_Tracker</t>
  </si>
  <si>
    <t xml:space="preserve">Normalized handles + followers (source of truth for social data)</t>
  </si>
  <si>
    <t xml:space="preserve">11_Confidence</t>
  </si>
  <si>
    <t xml:space="preserve">Verification rules &amp; measurement confidence tiering</t>
  </si>
  <si>
    <t xml:space="preserve">PLAYER LANE</t>
  </si>
  <si>
    <t xml:space="preserve">20_Player_Rate_Card</t>
  </si>
  <si>
    <t xml:space="preserve">189 active entries · platform rates · floor · confidence</t>
  </si>
  <si>
    <t xml:space="preserve">CREATOR LANE</t>
  </si>
  <si>
    <t xml:space="preserve">30_Creator_Rate_Card</t>
  </si>
  <si>
    <t xml:space="preserve">17 creators · ceiling rates · opening factor</t>
  </si>
  <si>
    <t xml:space="preserve">PRICING ENGINE</t>
  </si>
  <si>
    <t xml:space="preserve">40_Adjustment_Matrix</t>
  </si>
  <si>
    <t xml:space="preserve">9-axis commercial decision system + live price calculator</t>
  </si>
  <si>
    <t xml:space="preserve">41_Add_On_Rights</t>
  </si>
  <si>
    <t xml:space="preserve">Rights packages &amp; add-ons (separate from organic)</t>
  </si>
  <si>
    <t xml:space="preserve">QUOTATION</t>
  </si>
  <si>
    <t xml:space="preserve">42_Preview</t>
  </si>
  <si>
    <t xml:space="preserve">Quick scenario preview calculator — live multipliers</t>
  </si>
  <si>
    <t xml:space="preserve">51_Quote_Preview</t>
  </si>
  <si>
    <t xml:space="preserve">Client-facing KFC-style quote — template for Apps Script output</t>
  </si>
  <si>
    <t xml:space="preserve">52_Quote_Log</t>
  </si>
  <si>
    <t xml:space="preserve">All generated quotes · audit trail</t>
  </si>
  <si>
    <t xml:space="preserve">53_Inquiry_Log</t>
  </si>
  <si>
    <t xml:space="preserve">Inbound pipeline · approval flags</t>
  </si>
  <si>
    <t xml:space="preserve">METHODOLOGY &amp; DOCS</t>
  </si>
  <si>
    <t xml:space="preserve">90_Methodology</t>
  </si>
  <si>
    <t xml:space="preserve">Rewritten commercial methodology</t>
  </si>
  <si>
    <t xml:space="preserve">91_Roadmap</t>
  </si>
  <si>
    <t xml:space="preserve">Phased evolution plan (V1 → Shikenso → rolling)</t>
  </si>
  <si>
    <t xml:space="preserve">95_Guide_EN</t>
  </si>
  <si>
    <t xml:space="preserve">English user guide</t>
  </si>
  <si>
    <t xml:space="preserve">96_Guide_AR</t>
  </si>
  <si>
    <t xml:space="preserve">دليل المستخدم بالعربي</t>
  </si>
  <si>
    <t xml:space="preserve">97_Changelog</t>
  </si>
  <si>
    <t xml:space="preserve">Version log</t>
  </si>
  <si>
    <t xml:space="preserve">99_Script_Map</t>
  </si>
  <si>
    <t xml:space="preserve">Named ranges &amp; addresses for future Apps Script</t>
  </si>
  <si>
    <t xml:space="preserve">LEGEND — CELL CONVENTIONS</t>
  </si>
  <si>
    <t xml:space="preserve">Blue text / yellow fill</t>
  </si>
  <si>
    <t xml:space="preserve">User input cell — safe to edit</t>
  </si>
  <si>
    <t xml:space="preserve">Black text</t>
  </si>
  <si>
    <t xml:space="preserve">Formula — do not overwrite</t>
  </si>
  <si>
    <t xml:space="preserve">Green text</t>
  </si>
  <si>
    <t xml:space="preserve">Cross-sheet link</t>
  </si>
  <si>
    <t xml:space="preserve">Red text</t>
  </si>
  <si>
    <t xml:space="preserve">External / placeholder</t>
  </si>
  <si>
    <t xml:space="preserve">  Team Falcons — Unified Talent Pricing OS v1.1  ·  Confidential</t>
  </si>
  <si>
    <t xml:space="preserve">Team Falcons — Unified Talent Pricing OS v1.3  ·  Confidential</t>
  </si>
  <si>
    <t xml:space="preserve">01 — SETTINGS &amp; GOVERNANCE</t>
  </si>
  <si>
    <t xml:space="preserve">Single source of truth for global parameters. Anything here is read by every other tab.</t>
  </si>
  <si>
    <t xml:space="preserve">WORKBOOK</t>
  </si>
  <si>
    <t xml:space="preserve">Key</t>
  </si>
  <si>
    <t xml:space="preserve">Value</t>
  </si>
  <si>
    <t xml:space="preserve">Notes</t>
  </si>
  <si>
    <t xml:space="preserve">Workbook Version</t>
  </si>
  <si>
    <t xml:space="preserve">v1.0</t>
  </si>
  <si>
    <t xml:space="preserve">Schema version — bump on breaking changes</t>
  </si>
  <si>
    <t xml:space="preserve">Last Updated</t>
  </si>
  <si>
    <t xml:space="preserve">18 April 2026</t>
  </si>
  <si>
    <t xml:space="preserve">Human-readable revision date</t>
  </si>
  <si>
    <t xml:space="preserve">Schema Stable Until</t>
  </si>
  <si>
    <t xml:space="preserve">v2.0</t>
  </si>
  <si>
    <t xml:space="preserve">Apps Script may bind to addresses until this version</t>
  </si>
  <si>
    <t xml:space="preserve">CURRENCY &amp; TAX</t>
  </si>
  <si>
    <t xml:space="preserve">Primary Currency</t>
  </si>
  <si>
    <t xml:space="preserve">SAR</t>
  </si>
  <si>
    <t xml:space="preserve">All rate cards and quotes in SAR</t>
  </si>
  <si>
    <t xml:space="preserve">USD Rate (SAR per USD)</t>
  </si>
  <si>
    <t xml:space="preserve">Used for USD preview columns</t>
  </si>
  <si>
    <t xml:space="preserve">VAT Rate</t>
  </si>
  <si>
    <t xml:space="preserve">Saudi VAT 15%</t>
  </si>
  <si>
    <t xml:space="preserve">COMMERCIAL DEFAULTS</t>
  </si>
  <si>
    <t xml:space="preserve">Default Management Fee</t>
  </si>
  <si>
    <t xml:space="preserve">Applied to quote subtotal unless overridden</t>
  </si>
  <si>
    <t xml:space="preserve">Default Opening Factor</t>
  </si>
  <si>
    <t xml:space="preserve">Creator opening offer = Ceiling × Opening Factor</t>
  </si>
  <si>
    <t xml:space="preserve">Default Rush Uplift</t>
  </si>
  <si>
    <t xml:space="preserve">Rush &lt;72h — aligned to industry standard</t>
  </si>
  <si>
    <t xml:space="preserve">Default Markup on Player Cost</t>
  </si>
  <si>
    <t xml:space="preserve">Legacy; override per talent on rate card</t>
  </si>
  <si>
    <t xml:space="preserve">APPROVAL &amp; COMPLIANCE</t>
  </si>
  <si>
    <t xml:space="preserve">Legal Approver Email</t>
  </si>
  <si>
    <t xml:space="preserve">legal@teamfalcons.gg</t>
  </si>
  <si>
    <t xml:space="preserve">Quotes &gt; trigger threshold require legal</t>
  </si>
  <si>
    <t xml:space="preserve">Finance Approver Email</t>
  </si>
  <si>
    <t xml:space="preserve">finance@teamfalcons.gg</t>
  </si>
  <si>
    <t xml:space="preserve">Finance co-sign on all invoiced quotes</t>
  </si>
  <si>
    <t xml:space="preserve">High-Value Approval Threshold (SAR)</t>
  </si>
  <si>
    <t xml:space="preserve">Quotes above this trigger legal approval</t>
  </si>
  <si>
    <t xml:space="preserve">Exclusivity Approval Required?</t>
  </si>
  <si>
    <t xml:space="preserve">Yes</t>
  </si>
  <si>
    <t xml:space="preserve">Any exclusivity add-on requires legal sign-off</t>
  </si>
  <si>
    <t xml:space="preserve">Approval Secret</t>
  </si>
  <si>
    <t xml:space="preserve">falcons2026</t>
  </si>
  <si>
    <t xml:space="preserve">Apps Script approval token (placeholder)</t>
  </si>
  <si>
    <t xml:space="preserve">FUTURE AUTOMATION PLACEHOLDERS</t>
  </si>
  <si>
    <t xml:space="preserve">output_folder_id</t>
  </si>
  <si>
    <t xml:space="preserve">Google Drive folder for generated PDFs</t>
  </si>
  <si>
    <t xml:space="preserve">Shikenso API Key</t>
  </si>
  <si>
    <t xml:space="preserve">Enterprise analytics — integrated in roadmap Phase 2</t>
  </si>
  <si>
    <t xml:space="preserve">Shikenso Base URL</t>
  </si>
  <si>
    <t xml:space="preserve">https://api.shikenso.com/v1</t>
  </si>
  <si>
    <t xml:space="preserve">Default endpoint</t>
  </si>
  <si>
    <t xml:space="preserve">client_email</t>
  </si>
  <si>
    <t xml:space="preserve">Optional default recipient</t>
  </si>
  <si>
    <t xml:space="preserve">BANKING (INVOICE)</t>
  </si>
  <si>
    <t xml:space="preserve">Bank Name</t>
  </si>
  <si>
    <t xml:space="preserve">Al Rajhi Bank</t>
  </si>
  <si>
    <t xml:space="preserve">Invoice banking details</t>
  </si>
  <si>
    <t xml:space="preserve">Account Name</t>
  </si>
  <si>
    <t xml:space="preserve">Team Falcons</t>
  </si>
  <si>
    <t xml:space="preserve">IBAN</t>
  </si>
  <si>
    <t xml:space="preserve">To fill — banking</t>
  </si>
  <si>
    <t xml:space="preserve">Swift / BIC</t>
  </si>
  <si>
    <t xml:space="preserve">Team Falcons  ·  Unified Talent Pricing OS v1.2  ·  Confidential</t>
  </si>
  <si>
    <t xml:space="preserve">02 — CANONICAL LOOKUPS</t>
  </si>
  <si>
    <t xml:space="preserve">Every dropdown value and multiplier in the workbook resolves here. Change a number here = change the whole engine.</t>
  </si>
  <si>
    <t xml:space="preserve">TIERS</t>
  </si>
  <si>
    <t xml:space="preserve">Label</t>
  </si>
  <si>
    <t xml:space="preserve">Tier</t>
  </si>
  <si>
    <t xml:space="preserve">Description / Notes</t>
  </si>
  <si>
    <t xml:space="preserve">Tier S — Superstar</t>
  </si>
  <si>
    <t xml:space="preserve">Global anchor · 1M+ on any platform</t>
  </si>
  <si>
    <t xml:space="preserve">Tier 1 — Star</t>
  </si>
  <si>
    <t xml:space="preserve">Core pro or creator · 250K–1M</t>
  </si>
  <si>
    <t xml:space="preserve">Tier 2 — Core</t>
  </si>
  <si>
    <t xml:space="preserve">Active pros / mid-tier creators · 50K–250K</t>
  </si>
  <si>
    <t xml:space="preserve">Tier 3 — Rising</t>
  </si>
  <si>
    <t xml:space="preserve">Emerging talent · 10K–50K</t>
  </si>
  <si>
    <t xml:space="preserve">Tier 4 — Entry/Staff</t>
  </si>
  <si>
    <t xml:space="preserve">Support roles · &lt;10K</t>
  </si>
  <si>
    <t xml:space="preserve">ENGAGEMENT</t>
  </si>
  <si>
    <t xml:space="preserve">Multiplier</t>
  </si>
  <si>
    <t xml:space="preserve">&lt; 2% — Below</t>
  </si>
  <si>
    <t xml:space="preserve">2–4% — Average</t>
  </si>
  <si>
    <t xml:space="preserve">4–6% — Baseline</t>
  </si>
  <si>
    <t xml:space="preserve">6–8% — Good</t>
  </si>
  <si>
    <t xml:space="preserve">8–10% — Excellent</t>
  </si>
  <si>
    <t xml:space="preserve">&gt; 10% — Premium</t>
  </si>
  <si>
    <t xml:space="preserve">AUDIENCE QUALITY / FIT</t>
  </si>
  <si>
    <t xml:space="preserve">Generic / Broad</t>
  </si>
  <si>
    <t xml:space="preserve">Gaming-adjacent</t>
  </si>
  <si>
    <t xml:space="preserve">Core Gaming</t>
  </si>
  <si>
    <t xml:space="preserve">Esports-focused</t>
  </si>
  <si>
    <t xml:space="preserve">MENA / Saudi focus</t>
  </si>
  <si>
    <t xml:space="preserve">Global Esports Elite</t>
  </si>
  <si>
    <t xml:space="preserve">Sports / Football / Active</t>
  </si>
  <si>
    <t xml:space="preserve">Youth Entertainment / Variety</t>
  </si>
  <si>
    <t xml:space="preserve">CAMPAIGN OBJECTIVE</t>
  </si>
  <si>
    <t xml:space="preserve">ObjWeight</t>
  </si>
  <si>
    <t xml:space="preserve">Awareness</t>
  </si>
  <si>
    <t xml:space="preserve">Conversion</t>
  </si>
  <si>
    <t xml:space="preserve">Trust (Pro Authority)</t>
  </si>
  <si>
    <t xml:space="preserve">AUTHORITY / STATUS</t>
  </si>
  <si>
    <t xml:space="preserve">AuthMult</t>
  </si>
  <si>
    <t xml:space="preserve">Normal</t>
  </si>
  <si>
    <t xml:space="preserve">Proven / Established</t>
  </si>
  <si>
    <t xml:space="preserve">Elite Contender</t>
  </si>
  <si>
    <t xml:space="preserve">Global Star / Major Winner</t>
  </si>
  <si>
    <t xml:space="preserve">LANGUAGE</t>
  </si>
  <si>
    <t xml:space="preserve">English</t>
  </si>
  <si>
    <t xml:space="preserve">Arabic</t>
  </si>
  <si>
    <t xml:space="preserve">Dialect Arabic</t>
  </si>
  <si>
    <t xml:space="preserve">Bilingual</t>
  </si>
  <si>
    <t xml:space="preserve">SEASONALITY / TIMING</t>
  </si>
  <si>
    <t xml:space="preserve">Off-season</t>
  </si>
  <si>
    <t xml:space="preserve">Regular season</t>
  </si>
  <si>
    <t xml:space="preserve">Regional Major</t>
  </si>
  <si>
    <t xml:space="preserve">Global Major / Worlds</t>
  </si>
  <si>
    <t xml:space="preserve">Game launch</t>
  </si>
  <si>
    <t xml:space="preserve">Holiday season (Q4)</t>
  </si>
  <si>
    <t xml:space="preserve">Ramadan (MENA)</t>
  </si>
  <si>
    <t xml:space="preserve">EWC / Mega Peak</t>
  </si>
  <si>
    <t xml:space="preserve">CONTENT TYPE</t>
  </si>
  <si>
    <t xml:space="preserve">Integrated (Player-led)</t>
  </si>
  <si>
    <t xml:space="preserve">Dedicated (Brand-led)</t>
  </si>
  <si>
    <t xml:space="preserve">MEASUREMENT CONFIDENCE</t>
  </si>
  <si>
    <t xml:space="preserve">Allowed Cap</t>
  </si>
  <si>
    <t xml:space="preserve">exact — verified API</t>
  </si>
  <si>
    <t xml:space="preserve">rounded — manual verified</t>
  </si>
  <si>
    <t xml:space="preserve">estimated — partial data</t>
  </si>
  <si>
    <t xml:space="preserve">pending — no data</t>
  </si>
  <si>
    <t xml:space="preserve">AUTHORITY FLOOR (FloorShare)</t>
  </si>
  <si>
    <t xml:space="preserve">Not used</t>
  </si>
  <si>
    <t xml:space="preserve">Partial floor</t>
  </si>
  <si>
    <t xml:space="preserve">Standard floor</t>
  </si>
  <si>
    <t xml:space="preserve">Strong floor</t>
  </si>
  <si>
    <t xml:space="preserve">Hard floor</t>
  </si>
  <si>
    <t xml:space="preserve">TALENT TYPE (Quote Builder)</t>
  </si>
  <si>
    <t xml:space="preserve">—</t>
  </si>
  <si>
    <t xml:space="preserve">Player</t>
  </si>
  <si>
    <t xml:space="preserve">Creator</t>
  </si>
  <si>
    <t xml:space="preserve">Mixed</t>
  </si>
  <si>
    <t xml:space="preserve">INQUIRY STAGE</t>
  </si>
  <si>
    <t xml:space="preserve">Lead</t>
  </si>
  <si>
    <t xml:space="preserve">Qualified</t>
  </si>
  <si>
    <t xml:space="preserve">Proposal Sent</t>
  </si>
  <si>
    <t xml:space="preserve">Negotiation</t>
  </si>
  <si>
    <t xml:space="preserve">Contract</t>
  </si>
  <si>
    <t xml:space="preserve">Delivered</t>
  </si>
  <si>
    <t xml:space="preserve">Closed</t>
  </si>
  <si>
    <t xml:space="preserve">INQUIRY STATUS</t>
  </si>
  <si>
    <t xml:space="preserve">In Progress</t>
  </si>
  <si>
    <t xml:space="preserve">Won</t>
  </si>
  <si>
    <t xml:space="preserve">Lost</t>
  </si>
  <si>
    <t xml:space="preserve">On Hold</t>
  </si>
  <si>
    <t xml:space="preserve">BUNDLE DISCOUNT</t>
  </si>
  <si>
    <t xml:space="preserve">Discount</t>
  </si>
  <si>
    <t xml:space="preserve">None</t>
  </si>
  <si>
    <t xml:space="preserve">2 lines</t>
  </si>
  <si>
    <t xml:space="preserve">3–4 lines</t>
  </si>
  <si>
    <t xml:space="preserve">5+ lines</t>
  </si>
  <si>
    <t xml:space="preserve">TALENT UNION (helper — do not edit)</t>
  </si>
  <si>
    <t xml:space="preserve">PLATFORM UNION (helper — do not edit)</t>
  </si>
  <si>
    <t xml:space="preserve">IG Reel</t>
  </si>
  <si>
    <t xml:space="preserve">IG Static</t>
  </si>
  <si>
    <t xml:space="preserve">IG Story</t>
  </si>
  <si>
    <t xml:space="preserve">IG Reels</t>
  </si>
  <si>
    <t xml:space="preserve">IG Post</t>
  </si>
  <si>
    <t xml:space="preserve">TikTok Video</t>
  </si>
  <si>
    <t xml:space="preserve">TikTok Our-side</t>
  </si>
  <si>
    <t xml:space="preserve">TikTok Client Vids</t>
  </si>
  <si>
    <t xml:space="preserve">YT Short</t>
  </si>
  <si>
    <t xml:space="preserve">YT Shorts</t>
  </si>
  <si>
    <t xml:space="preserve">YT Full Video</t>
  </si>
  <si>
    <t xml:space="preserve">YT 1–2min Pre-roll</t>
  </si>
  <si>
    <t xml:space="preserve">X Post</t>
  </si>
  <si>
    <t xml:space="preserve">X Post / Quote</t>
  </si>
  <si>
    <t xml:space="preserve">X Repost</t>
  </si>
  <si>
    <t xml:space="preserve">FB Post/Video</t>
  </si>
  <si>
    <t xml:space="preserve">Twitch Stream 2h</t>
  </si>
  <si>
    <t xml:space="preserve">Twitch Integ.</t>
  </si>
  <si>
    <t xml:space="preserve">Twitch / Kick Live</t>
  </si>
  <si>
    <t xml:space="preserve">Kick IRL</t>
  </si>
  <si>
    <t xml:space="preserve">Telegram</t>
  </si>
  <si>
    <t xml:space="preserve">Snapchat</t>
  </si>
  <si>
    <t xml:space="preserve">Event + Snap</t>
  </si>
  <si>
    <t xml:space="preserve">03 — MARKET BENCHMARKS &amp; COMPETITIVE INTELLIGENCE</t>
  </si>
  <si>
    <t xml:space="preserve">Industry rate benchmarks and competitive positioning for Team Falcons talent monetisation.</t>
  </si>
  <si>
    <t xml:space="preserve">SECTION 1 — GLOBAL TIER 1 ESPORTS ORG BENCHMARKS</t>
  </si>
  <si>
    <t xml:space="preserve">Organisation</t>
  </si>
  <si>
    <t xml:space="preserve">Region</t>
  </si>
  <si>
    <t xml:space="preserve">Avg Followers</t>
  </si>
  <si>
    <t xml:space="preserve">Avg Base Fee / Post (USD)</t>
  </si>
  <si>
    <t xml:space="preserve">Avg Stream Deal (USD)</t>
  </si>
  <si>
    <t xml:space="preserve">Avg Annual Sponsorship (USD)</t>
  </si>
  <si>
    <t xml:space="preserve">Exclusivity Premium</t>
  </si>
  <si>
    <t xml:space="preserve">Engagement Benchmark</t>
  </si>
  <si>
    <t xml:space="preserve">Source / Notes</t>
  </si>
  <si>
    <t xml:space="preserve">T1 Esports</t>
  </si>
  <si>
    <t xml:space="preserve">Global</t>
  </si>
  <si>
    <t xml:space="preserve">Tier 1</t>
  </si>
  <si>
    <t xml:space="preserve">2M–8M</t>
  </si>
  <si>
    <t xml:space="preserve">$8k–$25k</t>
  </si>
  <si>
    <t xml:space="preserve">$20k–$80k</t>
  </si>
  <si>
    <t xml:space="preserve">$500K–$2M</t>
  </si>
  <si>
    <t xml:space="preserve">+50-100%</t>
  </si>
  <si>
    <t xml:space="preserve">4-7% ER</t>
  </si>
  <si>
    <t xml:space="preserve">Newzoo 2025; public disclosures</t>
  </si>
  <si>
    <t xml:space="preserve">FaZe Clan</t>
  </si>
  <si>
    <t xml:space="preserve">3M–15M</t>
  </si>
  <si>
    <t xml:space="preserve">$10k–$40k</t>
  </si>
  <si>
    <t xml:space="preserve">$30k–$120k</t>
  </si>
  <si>
    <t xml:space="preserve">$1M–$5M</t>
  </si>
  <si>
    <t xml:space="preserve">+40-75%</t>
  </si>
  <si>
    <t xml:space="preserve">3-6% ER</t>
  </si>
  <si>
    <t xml:space="preserve">Newzoo 2025; SEC filings</t>
  </si>
  <si>
    <t xml:space="preserve">NaVi</t>
  </si>
  <si>
    <t xml:space="preserve">EMEA</t>
  </si>
  <si>
    <t xml:space="preserve">1M–5M</t>
  </si>
  <si>
    <t xml:space="preserve">$5k–$20k</t>
  </si>
  <si>
    <t xml:space="preserve">$15k–$60k</t>
  </si>
  <si>
    <t xml:space="preserve">$300K–$1.5M</t>
  </si>
  <si>
    <t xml:space="preserve">+35-60%</t>
  </si>
  <si>
    <t xml:space="preserve">4-8% ER</t>
  </si>
  <si>
    <t xml:space="preserve">Shikenso Esports Sponsorship 2025</t>
  </si>
  <si>
    <t xml:space="preserve">Fnatic</t>
  </si>
  <si>
    <t xml:space="preserve">500K–3M</t>
  </si>
  <si>
    <t xml:space="preserve">$4k–$15k</t>
  </si>
  <si>
    <t xml:space="preserve">$10k–$45k</t>
  </si>
  <si>
    <t xml:space="preserve">$200K–$800K</t>
  </si>
  <si>
    <t xml:space="preserve">+30-50%</t>
  </si>
  <si>
    <t xml:space="preserve">5-9% ER</t>
  </si>
  <si>
    <t xml:space="preserve">Influencity 2026</t>
  </si>
  <si>
    <t xml:space="preserve">Cloud9</t>
  </si>
  <si>
    <t xml:space="preserve">NA</t>
  </si>
  <si>
    <t xml:space="preserve">1M–6M</t>
  </si>
  <si>
    <t xml:space="preserve">$6k–$22k</t>
  </si>
  <si>
    <t xml:space="preserve">$18k–$70k</t>
  </si>
  <si>
    <t xml:space="preserve">$400K–$1.8M</t>
  </si>
  <si>
    <t xml:space="preserve">Nielsen Esports 2025</t>
  </si>
  <si>
    <t xml:space="preserve">100 Thieves</t>
  </si>
  <si>
    <t xml:space="preserve">500K–4M</t>
  </si>
  <si>
    <t xml:space="preserve">$5k–$18k</t>
  </si>
  <si>
    <t xml:space="preserve">$15k–$55k</t>
  </si>
  <si>
    <t xml:space="preserve">$350K–$1.2M</t>
  </si>
  <si>
    <t xml:space="preserve">+40-70%</t>
  </si>
  <si>
    <t xml:space="preserve">5-10% ER</t>
  </si>
  <si>
    <t xml:space="preserve">Porter Wills 2025</t>
  </si>
  <si>
    <t xml:space="preserve">SECTION 2 — MENA ESPORTS ORG BENCHMARKS</t>
  </si>
  <si>
    <t xml:space="preserve">Avg Base Fee / Post (SAR)</t>
  </si>
  <si>
    <t xml:space="preserve">Avg Stream Deal (SAR)</t>
  </si>
  <si>
    <t xml:space="preserve">Avg Annual Sponsorship (SAR)</t>
  </si>
  <si>
    <t xml:space="preserve">KSA/MENA</t>
  </si>
  <si>
    <t xml:space="preserve">200K–2M</t>
  </si>
  <si>
    <t xml:space="preserve">SAR 8k–60k</t>
  </si>
  <si>
    <t xml:space="preserve">SAR 20k–120k</t>
  </si>
  <si>
    <t xml:space="preserve">SAR 500K–2M</t>
  </si>
  <si>
    <t xml:space="preserve">5-12% ER</t>
  </si>
  <si>
    <t xml:space="preserve">Internal Falcons data 2025</t>
  </si>
  <si>
    <t xml:space="preserve">Nasr Esports</t>
  </si>
  <si>
    <t xml:space="preserve">100K–800K</t>
  </si>
  <si>
    <t xml:space="preserve">SAR 5k–30k</t>
  </si>
  <si>
    <t xml:space="preserve">SAR 12k–60k</t>
  </si>
  <si>
    <t xml:space="preserve">SAR 200K–800K</t>
  </si>
  <si>
    <t xml:space="preserve">4-9% ER</t>
  </si>
  <si>
    <t xml:space="preserve">Shikenso MENA 2025</t>
  </si>
  <si>
    <t xml:space="preserve">Twisted Minds</t>
  </si>
  <si>
    <t xml:space="preserve">KSA</t>
  </si>
  <si>
    <t xml:space="preserve">Tier 2</t>
  </si>
  <si>
    <t xml:space="preserve">80K–500K</t>
  </si>
  <si>
    <t xml:space="preserve">SAR 4k–20k</t>
  </si>
  <si>
    <t xml:space="preserve">SAR 10k–45k</t>
  </si>
  <si>
    <t xml:space="preserve">SAR 150K–500K</t>
  </si>
  <si>
    <t xml:space="preserve">+25-45%</t>
  </si>
  <si>
    <t xml:space="preserve">6-11% ER</t>
  </si>
  <si>
    <t xml:space="preserve">Internal market intel 2025</t>
  </si>
  <si>
    <t xml:space="preserve">Galaxy Racer</t>
  </si>
  <si>
    <t xml:space="preserve">UAE/MENA</t>
  </si>
  <si>
    <t xml:space="preserve">100K–1M</t>
  </si>
  <si>
    <t xml:space="preserve">SAR 4.5k–22k</t>
  </si>
  <si>
    <t xml:space="preserve">SAR 11k–50k</t>
  </si>
  <si>
    <t xml:space="preserve">SAR 180K–600K</t>
  </si>
  <si>
    <t xml:space="preserve">+25-40%</t>
  </si>
  <si>
    <t xml:space="preserve">Newzoo MENA 2025</t>
  </si>
  <si>
    <t xml:space="preserve">Team Vitality</t>
  </si>
  <si>
    <t xml:space="preserve">MENA</t>
  </si>
  <si>
    <t xml:space="preserve">200K–1.5M</t>
  </si>
  <si>
    <t xml:space="preserve">SAR 6k–35k</t>
  </si>
  <si>
    <t xml:space="preserve">SAR 15k–70k</t>
  </si>
  <si>
    <t xml:space="preserve">SAR 250K–900K</t>
  </si>
  <si>
    <t xml:space="preserve">Shikenso 2025</t>
  </si>
  <si>
    <t xml:space="preserve">SECTION 3 — PLATFORM RATE BENCHMARKS (Industry Standard CPM / CPE)</t>
  </si>
  <si>
    <t xml:space="preserve">Platform</t>
  </si>
  <si>
    <t xml:space="preserve">Content Type</t>
  </si>
  <si>
    <t xml:space="preserve">Nano 1-10K</t>
  </si>
  <si>
    <t xml:space="preserve">Micro 10-100K</t>
  </si>
  <si>
    <t xml:space="preserve">Mid 100K-1M</t>
  </si>
  <si>
    <t xml:space="preserve">Macro 1-5M</t>
  </si>
  <si>
    <t xml:space="preserve">Mega 5M+</t>
  </si>
  <si>
    <t xml:space="preserve">Min ER</t>
  </si>
  <si>
    <t xml:space="preserve">Avg CPM</t>
  </si>
  <si>
    <t xml:space="preserve">Instagram</t>
  </si>
  <si>
    <t xml:space="preserve">Reel (60s)</t>
  </si>
  <si>
    <t xml:space="preserve">$200–1k</t>
  </si>
  <si>
    <t xml:space="preserve">$1k–5k</t>
  </si>
  <si>
    <t xml:space="preserve">$5k–15k</t>
  </si>
  <si>
    <t xml:space="preserve">$15k–50k</t>
  </si>
  <si>
    <t xml:space="preserve">$50k+</t>
  </si>
  <si>
    <t xml:space="preserve">3%</t>
  </si>
  <si>
    <t xml:space="preserve">$8–15</t>
  </si>
  <si>
    <t xml:space="preserve">Reels outperform static 3:1 for brand recall</t>
  </si>
  <si>
    <t xml:space="preserve">Static</t>
  </si>
  <si>
    <t xml:space="preserve">$150–800</t>
  </si>
  <si>
    <t xml:space="preserve">$800–4k</t>
  </si>
  <si>
    <t xml:space="preserve">$4k–12k</t>
  </si>
  <si>
    <t xml:space="preserve">$12k–40k</t>
  </si>
  <si>
    <t xml:space="preserve">$40k+</t>
  </si>
  <si>
    <t xml:space="preserve">2%</t>
  </si>
  <si>
    <t xml:space="preserve">$5–10</t>
  </si>
  <si>
    <t xml:space="preserve">Declining vs Reels</t>
  </si>
  <si>
    <t xml:space="preserve">TikTok</t>
  </si>
  <si>
    <t xml:space="preserve">Branded video</t>
  </si>
  <si>
    <t xml:space="preserve">$300–1.5k</t>
  </si>
  <si>
    <t xml:space="preserve">$1.5k–6k</t>
  </si>
  <si>
    <t xml:space="preserve">$6k–20k</t>
  </si>
  <si>
    <t xml:space="preserve">$20k–60k</t>
  </si>
  <si>
    <t xml:space="preserve">$60k+</t>
  </si>
  <si>
    <t xml:space="preserve">5%</t>
  </si>
  <si>
    <t xml:space="preserve">$10–20</t>
  </si>
  <si>
    <t xml:space="preserve">MENA: 20–40% premium vs IG</t>
  </si>
  <si>
    <t xml:space="preserve">YouTube</t>
  </si>
  <si>
    <t xml:space="preserve">Integration (30s)</t>
  </si>
  <si>
    <t xml:space="preserve">$500–2k</t>
  </si>
  <si>
    <t xml:space="preserve">$2k–8k</t>
  </si>
  <si>
    <t xml:space="preserve">$8k–25k</t>
  </si>
  <si>
    <t xml:space="preserve">$25k–80k</t>
  </si>
  <si>
    <t xml:space="preserve">$80k+</t>
  </si>
  <si>
    <t xml:space="preserve">1%</t>
  </si>
  <si>
    <t xml:space="preserve">$15–30</t>
  </si>
  <si>
    <t xml:space="preserve">Highest brand recall 72%</t>
  </si>
  <si>
    <t xml:space="preserve">Short (&lt;60s)</t>
  </si>
  <si>
    <t xml:space="preserve">$1k–4k</t>
  </si>
  <si>
    <t xml:space="preserve">$12k–35k</t>
  </si>
  <si>
    <t xml:space="preserve">$35k+</t>
  </si>
  <si>
    <t xml:space="preserve">$8–18</t>
  </si>
  <si>
    <t xml:space="preserve">Growing rapidly in MENA</t>
  </si>
  <si>
    <t xml:space="preserve">Twitch</t>
  </si>
  <si>
    <t xml:space="preserve">Stream integration (2h)</t>
  </si>
  <si>
    <t xml:space="preserve">$4k–15k</t>
  </si>
  <si>
    <t xml:space="preserve">$15k–40k</t>
  </si>
  <si>
    <t xml:space="preserve">$40k–100k</t>
  </si>
  <si>
    <t xml:space="preserve">$100k+</t>
  </si>
  <si>
    <t xml:space="preserve">500 CCU</t>
  </si>
  <si>
    <t xml:space="preserve">$5–15</t>
  </si>
  <si>
    <t xml:space="preserve">CCU-based not followers</t>
  </si>
  <si>
    <t xml:space="preserve">X / Twitter</t>
  </si>
  <si>
    <t xml:space="preserve">Sponsored post</t>
  </si>
  <si>
    <t xml:space="preserve">$100–500</t>
  </si>
  <si>
    <t xml:space="preserve">$2k–6k</t>
  </si>
  <si>
    <t xml:space="preserve">$20k+</t>
  </si>
  <si>
    <t xml:space="preserve">$3–8</t>
  </si>
  <si>
    <t xml:space="preserve">Declining post-rebrand</t>
  </si>
  <si>
    <t xml:space="preserve">Sources: Newzoo 2025, Nielsen Esports 2025, Shikenso MENA 2025, Influencity 2026, Porter Wills Esports Marketing Guide 2025, StreamElements 2025, Internal Falcons data 2025.</t>
  </si>
  <si>
    <t xml:space="preserve">10 — SOCIAL TRACKER (source of truth for handles &amp; followers)</t>
  </si>
  <si>
    <t xml:space="preserve">One row per (talent × platform). Drives rate card follower columns via lookups. Leave Current Count blank if unverified — the engine will tag 'pending' automatically.</t>
  </si>
  <si>
    <t xml:space="preserve">Source Row</t>
  </si>
  <si>
    <t xml:space="preserve">Game</t>
  </si>
  <si>
    <t xml:space="preserve">Team</t>
  </si>
  <si>
    <t xml:space="preserve">Nickname</t>
  </si>
  <si>
    <t xml:space="preserve">Full Name</t>
  </si>
  <si>
    <t xml:space="preserve">Role</t>
  </si>
  <si>
    <t xml:space="preserve">Handle</t>
  </si>
  <si>
    <t xml:space="preserve">Normalized URL</t>
  </si>
  <si>
    <t xml:space="preserve">Metric</t>
  </si>
  <si>
    <t xml:space="preserve">Current Count</t>
  </si>
  <si>
    <t xml:space="preserve">Retrieved On</t>
  </si>
  <si>
    <t xml:space="preserve">Source Method</t>
  </si>
  <si>
    <t xml:space="preserve">Confidence</t>
  </si>
  <si>
    <t xml:space="preserve">Apex Legends</t>
  </si>
  <si>
    <t xml:space="preserve">Gild</t>
  </si>
  <si>
    <t xml:space="preserve">Zachary Dennis</t>
  </si>
  <si>
    <t xml:space="preserve">X</t>
  </si>
  <si>
    <t xml:space="preserve">Gildersons_</t>
  </si>
  <si>
    <t xml:space="preserve">https://x.com/Gildersons_</t>
  </si>
  <si>
    <t xml:space="preserve">Followers</t>
  </si>
  <si>
    <t xml:space="preserve">manual</t>
  </si>
  <si>
    <t xml:space="preserve">https://www.twitch.tv/Gild</t>
  </si>
  <si>
    <t xml:space="preserve">ImperialHal</t>
  </si>
  <si>
    <t xml:space="preserve">Phillip Dosen</t>
  </si>
  <si>
    <t xml:space="preserve">https://x.com/ImperialHal</t>
  </si>
  <si>
    <t xml:space="preserve">https://www.instagram.com/ImperialHal/</t>
  </si>
  <si>
    <t xml:space="preserve">Original entry was shorthand</t>
  </si>
  <si>
    <t xml:space="preserve">imperialhal__</t>
  </si>
  <si>
    <t xml:space="preserve">https://www.twitch.tv/imperialhal__</t>
  </si>
  <si>
    <t xml:space="preserve">https://www.youtube.com/@ImperialHal</t>
  </si>
  <si>
    <t xml:space="preserve">Subscribers</t>
  </si>
  <si>
    <t xml:space="preserve">Original entry was shorthand; Channel format may need validation</t>
  </si>
  <si>
    <t xml:space="preserve">Wxltzy</t>
  </si>
  <si>
    <t xml:space="preserve">Ben Walton</t>
  </si>
  <si>
    <t xml:space="preserve">https://x.com/Wxltzy</t>
  </si>
  <si>
    <t xml:space="preserve">https://www.instagram.com/Wxltzy/</t>
  </si>
  <si>
    <t xml:space="preserve">wxltzy</t>
  </si>
  <si>
    <t xml:space="preserve">https://www.twitch.tv/wxltzy</t>
  </si>
  <si>
    <t xml:space="preserve">Call of Duty Black Ops 7</t>
  </si>
  <si>
    <t xml:space="preserve">Riyadh Falcons</t>
  </si>
  <si>
    <t xml:space="preserve">Cellium</t>
  </si>
  <si>
    <t xml:space="preserve">McArthur Jovel</t>
  </si>
  <si>
    <t xml:space="preserve">https://twitter.com/Cellium</t>
  </si>
  <si>
    <t xml:space="preserve">cellium</t>
  </si>
  <si>
    <t xml:space="preserve">https://www.instagram.com/cellium/</t>
  </si>
  <si>
    <t xml:space="preserve">https://www.twitch.tv/Cellium</t>
  </si>
  <si>
    <t xml:space="preserve">Exnid</t>
  </si>
  <si>
    <t xml:space="preserve">Saud Alati</t>
  </si>
  <si>
    <t xml:space="preserve">Exnid_</t>
  </si>
  <si>
    <t xml:space="preserve">https://x.com/Exnid_</t>
  </si>
  <si>
    <t xml:space="preserve">exnid</t>
  </si>
  <si>
    <t xml:space="preserve">https://www.twitch.tv/exnid</t>
  </si>
  <si>
    <t xml:space="preserve">KiSMET</t>
  </si>
  <si>
    <t xml:space="preserve">Matthew Tinsley</t>
  </si>
  <si>
    <t xml:space="preserve">KiSMET6_</t>
  </si>
  <si>
    <t xml:space="preserve">https://twitter.com/KiSMET6_</t>
  </si>
  <si>
    <t xml:space="preserve">kismet6_</t>
  </si>
  <si>
    <t xml:space="preserve">https://www.instagram.com/kismet6_</t>
  </si>
  <si>
    <t xml:space="preserve">https://www.twitch.tv/kismet6_</t>
  </si>
  <si>
    <t xml:space="preserve">Pred</t>
  </si>
  <si>
    <t xml:space="preserve">Amer Zulbeari</t>
  </si>
  <si>
    <t xml:space="preserve">https://x.com/Pred</t>
  </si>
  <si>
    <t xml:space="preserve">amerzulbeariii</t>
  </si>
  <si>
    <t xml:space="preserve">https://www.instagram.com/amerzulbeariii</t>
  </si>
  <si>
    <t xml:space="preserve">pred</t>
  </si>
  <si>
    <t xml:space="preserve">https://www.twitch.tv/pred</t>
  </si>
  <si>
    <t xml:space="preserve">Falcons Academy White</t>
  </si>
  <si>
    <t xml:space="preserve">2ReaL</t>
  </si>
  <si>
    <t xml:space="preserve">Brendan Stockdale</t>
  </si>
  <si>
    <t xml:space="preserve">MG2ReaL</t>
  </si>
  <si>
    <t xml:space="preserve">https://x.com/MG2ReaL</t>
  </si>
  <si>
    <t xml:space="preserve">Manny</t>
  </si>
  <si>
    <t xml:space="preserve">Emmanuel Lemos</t>
  </si>
  <si>
    <t xml:space="preserve">Manny7F</t>
  </si>
  <si>
    <t xml:space="preserve">https://x.com/Manny7F</t>
  </si>
  <si>
    <t xml:space="preserve">Arcitys</t>
  </si>
  <si>
    <t xml:space="preserve">Alec Sanderson</t>
  </si>
  <si>
    <t xml:space="preserve">https://x.com/Arcitys</t>
  </si>
  <si>
    <t xml:space="preserve">arcitys9</t>
  </si>
  <si>
    <t xml:space="preserve">https://www.instagram.com/arcitys9</t>
  </si>
  <si>
    <t xml:space="preserve">arcitys</t>
  </si>
  <si>
    <t xml:space="preserve">https://www.twitch.tv/arcitys</t>
  </si>
  <si>
    <t xml:space="preserve">Paulehx</t>
  </si>
  <si>
    <t xml:space="preserve">Paul Avila</t>
  </si>
  <si>
    <t xml:space="preserve">Paulehx_</t>
  </si>
  <si>
    <t xml:space="preserve">https://x.com/Paulehx_</t>
  </si>
  <si>
    <t xml:space="preserve">paulehx</t>
  </si>
  <si>
    <t xml:space="preserve">https://www.twitch.tv/paulehx</t>
  </si>
  <si>
    <t xml:space="preserve">FaZe Falcons</t>
  </si>
  <si>
    <t xml:space="preserve">Gntl</t>
  </si>
  <si>
    <t xml:space="preserve">Abdullah Albaqami </t>
  </si>
  <si>
    <t xml:space="preserve">g1ntl</t>
  </si>
  <si>
    <t xml:space="preserve">https://x.com/g1ntl</t>
  </si>
  <si>
    <t xml:space="preserve">accounts</t>
  </si>
  <si>
    <t xml:space="preserve">https://www.instagram.com/accounts/login/?next=%2Fg1ntl&amp;source=omni_redirect</t>
  </si>
  <si>
    <t xml:space="preserve">GntL</t>
  </si>
  <si>
    <t xml:space="preserve">https://www.twitch.tv/GntL</t>
  </si>
  <si>
    <t xml:space="preserve">c/g1ntl</t>
  </si>
  <si>
    <t xml:space="preserve">https://www.youtube.com/c/g1ntl</t>
  </si>
  <si>
    <t xml:space="preserve">KnoX</t>
  </si>
  <si>
    <t xml:space="preserve">Hakem Al-Shaibani</t>
  </si>
  <si>
    <t xml:space="preserve">Knox__77</t>
  </si>
  <si>
    <t xml:space="preserve">https://x.com/Knox__77</t>
  </si>
  <si>
    <t xml:space="preserve">iimlk_11</t>
  </si>
  <si>
    <t xml:space="preserve">https://www.twitch.tv/iimlk_11</t>
  </si>
  <si>
    <t xml:space="preserve">Swooty</t>
  </si>
  <si>
    <t xml:space="preserve">Jared Najera</t>
  </si>
  <si>
    <t xml:space="preserve">SwootyWRLD</t>
  </si>
  <si>
    <t xml:space="preserve">https://x.com/SwootyWRLD</t>
  </si>
  <si>
    <t xml:space="preserve">swooty18</t>
  </si>
  <si>
    <t xml:space="preserve">https://www.twitch.tv/swooty18</t>
  </si>
  <si>
    <t xml:space="preserve">channel/UC4Zh2qa4jYyE2Rmy8KGINLQ</t>
  </si>
  <si>
    <t xml:space="preserve">https://www.youtube.com/channel/UC4Zh2qa4jYyE2Rmy8KGINLQ</t>
  </si>
  <si>
    <t xml:space="preserve">KingAbody</t>
  </si>
  <si>
    <t xml:space="preserve">Abdulelah Alrajhi</t>
  </si>
  <si>
    <t xml:space="preserve">KingAbody_</t>
  </si>
  <si>
    <t xml:space="preserve">https://x.com/KingAbody_</t>
  </si>
  <si>
    <t xml:space="preserve">Call of Duty Warzone</t>
  </si>
  <si>
    <t xml:space="preserve">Team Falcons MENA</t>
  </si>
  <si>
    <t xml:space="preserve">hmoodx</t>
  </si>
  <si>
    <t xml:space="preserve">Mohammed Altowairqi</t>
  </si>
  <si>
    <t xml:space="preserve">xihamoodx</t>
  </si>
  <si>
    <t xml:space="preserve">https://x.com/xihamoodx</t>
  </si>
  <si>
    <t xml:space="preserve">i_hmoodx</t>
  </si>
  <si>
    <t xml:space="preserve">https://www.twitch.tv/i_hmoodx</t>
  </si>
  <si>
    <t xml:space="preserve">xizx7</t>
  </si>
  <si>
    <t xml:space="preserve">Jawad Al-Thawab</t>
  </si>
  <si>
    <t xml:space="preserve">Jawxd7</t>
  </si>
  <si>
    <t xml:space="preserve">https://x.com/Jawxd7</t>
  </si>
  <si>
    <t xml:space="preserve">https://www.instagram.com/Jawxd7</t>
  </si>
  <si>
    <t xml:space="preserve">jawad</t>
  </si>
  <si>
    <t xml:space="preserve">https://www.twitch.tv/jawad</t>
  </si>
  <si>
    <t xml:space="preserve">channel/UCUWL8dR-JyA4FXZ08aSjjcg</t>
  </si>
  <si>
    <t xml:space="preserve">https://www.youtube.com/channel/UCUWL8dR-JyA4FXZ08aSjjcg/videos</t>
  </si>
  <si>
    <t xml:space="preserve">Newbz</t>
  </si>
  <si>
    <t xml:space="preserve">Edy Juan</t>
  </si>
  <si>
    <t xml:space="preserve">TBE_Newbzz</t>
  </si>
  <si>
    <t xml:space="preserve">https://x.com/TBE_Newbzz</t>
  </si>
  <si>
    <t xml:space="preserve">newbz</t>
  </si>
  <si>
    <t xml:space="preserve">https://www.twitch.tv/newbz</t>
  </si>
  <si>
    <t xml:space="preserve">Dongy</t>
  </si>
  <si>
    <t xml:space="preserve">Christopher Ledbetter</t>
  </si>
  <si>
    <t xml:space="preserve">zDongyy</t>
  </si>
  <si>
    <t xml:space="preserve">https://x.com/zDongyy</t>
  </si>
  <si>
    <t xml:space="preserve">https://www.twitch.tv/Dongy</t>
  </si>
  <si>
    <t xml:space="preserve">Soka</t>
  </si>
  <si>
    <t xml:space="preserve">Kasimili Tonga Tongamoa</t>
  </si>
  <si>
    <t xml:space="preserve">HisokaT42</t>
  </si>
  <si>
    <t xml:space="preserve">https://twitter.com/HisokaT42</t>
  </si>
  <si>
    <t xml:space="preserve">hisokat42</t>
  </si>
  <si>
    <t xml:space="preserve">https://www.instagram.com/hisokat42</t>
  </si>
  <si>
    <t xml:space="preserve">https://www.twitch.tv/HisokaT42</t>
  </si>
  <si>
    <t xml:space="preserve">channel/UCQDRE8aZRsrvF5OwMk_KmBg</t>
  </si>
  <si>
    <t xml:space="preserve">https://www.youtube.com/channel/UCQDRE8aZRsrvF5OwMk_KmBg</t>
  </si>
  <si>
    <t xml:space="preserve">@missionarysoka</t>
  </si>
  <si>
    <t xml:space="preserve">https://tiktok.com/@missionarysoka</t>
  </si>
  <si>
    <t xml:space="preserve">Chess</t>
  </si>
  <si>
    <t xml:space="preserve">Alireza Firouzja</t>
  </si>
  <si>
    <t xml:space="preserve">AlirezaFirouzja</t>
  </si>
  <si>
    <t xml:space="preserve">https://twitter.com/AlirezaFirouzja</t>
  </si>
  <si>
    <t xml:space="preserve">alirezafirouzja</t>
  </si>
  <si>
    <t xml:space="preserve">https://www.instagram.com/alirezafirouzja</t>
  </si>
  <si>
    <t xml:space="preserve">https://www.twitch.tv/alirezafirouzja</t>
  </si>
  <si>
    <t xml:space="preserve">@alirezafirouzja4080</t>
  </si>
  <si>
    <t xml:space="preserve">https://www.youtube.com/@alirezafirouzja4080</t>
  </si>
  <si>
    <t xml:space="preserve">Facebook</t>
  </si>
  <si>
    <t xml:space="preserve">login</t>
  </si>
  <si>
    <t xml:space="preserve">https://www.facebook.com/login/?next=https%3A%2F%2Fwww.facebook.com%2FAlireza.Firouzja.chess%2F</t>
  </si>
  <si>
    <t xml:space="preserve">Followers / Likes</t>
  </si>
  <si>
    <t xml:space="preserve">Hikaru Nakamura</t>
  </si>
  <si>
    <t xml:space="preserve">GMHikaru</t>
  </si>
  <si>
    <t xml:space="preserve">https://twitter.com/GMHikaru</t>
  </si>
  <si>
    <t xml:space="preserve">gmhikaru</t>
  </si>
  <si>
    <t xml:space="preserve">https://www.instagram.com/gmhikaru</t>
  </si>
  <si>
    <t xml:space="preserve">https://www.twitch.tv/gmhikaru</t>
  </si>
  <si>
    <t xml:space="preserve">Kick</t>
  </si>
  <si>
    <t xml:space="preserve">https://kick.com/gmhikaru</t>
  </si>
  <si>
    <t xml:space="preserve">@gmhikaru</t>
  </si>
  <si>
    <t xml:space="preserve">https://www.youtube.com/@gmhikaru</t>
  </si>
  <si>
    <t xml:space="preserve">https://www.facebook.com/login/?next=https%3A%2F%2Fwww.facebook.com%2FGMHikaru%2F</t>
  </si>
  <si>
    <t xml:space="preserve">Counterstrike2</t>
  </si>
  <si>
    <t xml:space="preserve">kyousuke</t>
  </si>
  <si>
    <t xml:space="preserve">Maxim Lukin</t>
  </si>
  <si>
    <t xml:space="preserve">FLCkyousuke</t>
  </si>
  <si>
    <t xml:space="preserve">https://twitter.com/FLCkyousuke</t>
  </si>
  <si>
    <t xml:space="preserve">flckyousuke</t>
  </si>
  <si>
    <t xml:space="preserve">https://www.instagram.com/flckyousuke</t>
  </si>
  <si>
    <t xml:space="preserve">kyousuke999</t>
  </si>
  <si>
    <t xml:space="preserve">https://www.twitch.tv/kyousuke999</t>
  </si>
  <si>
    <t xml:space="preserve">kyxsan</t>
  </si>
  <si>
    <t xml:space="preserve">Damjan Stoilkovski</t>
  </si>
  <si>
    <t xml:space="preserve">kyxsancs</t>
  </si>
  <si>
    <t xml:space="preserve">https://x.com/kyxsancs</t>
  </si>
  <si>
    <t xml:space="preserve">https://www.instagram.com/kyxsancs/</t>
  </si>
  <si>
    <t xml:space="preserve">m0NESY</t>
  </si>
  <si>
    <t xml:space="preserve">Ilya Osipov</t>
  </si>
  <si>
    <t xml:space="preserve">FLCm0NESY</t>
  </si>
  <si>
    <t xml:space="preserve">https://x.com/FLCm0NESY</t>
  </si>
  <si>
    <t xml:space="preserve">m0nesy13</t>
  </si>
  <si>
    <t xml:space="preserve">https://www.instagram.com/m0nesy13</t>
  </si>
  <si>
    <t xml:space="preserve">m0nesyof</t>
  </si>
  <si>
    <t xml:space="preserve">https://www.twitch.tv/m0nesyof</t>
  </si>
  <si>
    <t xml:space="preserve">channel/UCJxjKA1Cl--4tCN1l_cHHvQ</t>
  </si>
  <si>
    <t xml:space="preserve">https://www.youtube.com/channel/UCJxjKA1Cl--4tCN1l_cHHvQ</t>
  </si>
  <si>
    <t xml:space="preserve">NiKo</t>
  </si>
  <si>
    <t xml:space="preserve">Nikola Kovač</t>
  </si>
  <si>
    <t xml:space="preserve">NiKoCS_</t>
  </si>
  <si>
    <t xml:space="preserve">https://x.com/NiKoCS_</t>
  </si>
  <si>
    <t xml:space="preserve">csgoniko</t>
  </si>
  <si>
    <t xml:space="preserve">https://www.instagram.com/csgoniko/#</t>
  </si>
  <si>
    <t xml:space="preserve">https://www.twitch.tv/NiKo</t>
  </si>
  <si>
    <t xml:space="preserve">@NiKo_cs</t>
  </si>
  <si>
    <t xml:space="preserve">https://www.youtube.com/@NiKo_cs</t>
  </si>
  <si>
    <t xml:space="preserve">csgoNiKo</t>
  </si>
  <si>
    <t xml:space="preserve">https://www.facebook.com/csgoNiKo</t>
  </si>
  <si>
    <t xml:space="preserve">TeSeS</t>
  </si>
  <si>
    <t xml:space="preserve">René Madsen</t>
  </si>
  <si>
    <t xml:space="preserve">tesescs</t>
  </si>
  <si>
    <t xml:space="preserve">https://x.com/tesescs</t>
  </si>
  <si>
    <t xml:space="preserve">TeseS</t>
  </si>
  <si>
    <t xml:space="preserve">https://www.instagram.com/TeseS/</t>
  </si>
  <si>
    <t xml:space="preserve">tesesss</t>
  </si>
  <si>
    <t xml:space="preserve">https://www.twitch.tv/tesesss</t>
  </si>
  <si>
    <t xml:space="preserve">Falcons Force</t>
  </si>
  <si>
    <t xml:space="preserve">Tapewaare</t>
  </si>
  <si>
    <t xml:space="preserve">Sindre Ellefsen</t>
  </si>
  <si>
    <t xml:space="preserve">tapewaare</t>
  </si>
  <si>
    <t xml:space="preserve">https://x.com/tapewaare</t>
  </si>
  <si>
    <t xml:space="preserve">https://www.twitch.tv/Tapewaare</t>
  </si>
  <si>
    <t xml:space="preserve">clockzi</t>
  </si>
  <si>
    <t xml:space="preserve">Oskar Led Blæsbjerg</t>
  </si>
  <si>
    <t xml:space="preserve">flcclockzi</t>
  </si>
  <si>
    <t xml:space="preserve">https://x.com/flcclockzi</t>
  </si>
  <si>
    <t xml:space="preserve">grecu</t>
  </si>
  <si>
    <t xml:space="preserve">Andrei Grecu</t>
  </si>
  <si>
    <t xml:space="preserve">grecuflc</t>
  </si>
  <si>
    <t xml:space="preserve">https://x.com/grecuflc</t>
  </si>
  <si>
    <t xml:space="preserve">gbcgrecu</t>
  </si>
  <si>
    <t xml:space="preserve">https://www.twitch.tv/gbcgrecu</t>
  </si>
  <si>
    <t xml:space="preserve">VENO</t>
  </si>
  <si>
    <t xml:space="preserve">Vladimir Stanković</t>
  </si>
  <si>
    <t xml:space="preserve">venocs2</t>
  </si>
  <si>
    <t xml:space="preserve">https://x.com/venocs2</t>
  </si>
  <si>
    <t xml:space="preserve">https://www.twitch.tv/venocs2</t>
  </si>
  <si>
    <t xml:space="preserve">@venocs2</t>
  </si>
  <si>
    <t xml:space="preserve">https://www.youtube.com/@venocs2</t>
  </si>
  <si>
    <t xml:space="preserve">Nucleonz</t>
  </si>
  <si>
    <t xml:space="preserve">Matej Trajkoski</t>
  </si>
  <si>
    <t xml:space="preserve">NucleonZz</t>
  </si>
  <si>
    <t xml:space="preserve">https://x.com/NucleonZz</t>
  </si>
  <si>
    <t xml:space="preserve">Dota2</t>
  </si>
  <si>
    <t xml:space="preserve">Skiter</t>
  </si>
  <si>
    <t xml:space="preserve">Oliver Lepko </t>
  </si>
  <si>
    <t xml:space="preserve">skiter</t>
  </si>
  <si>
    <t xml:space="preserve">https://x.com/skiter</t>
  </si>
  <si>
    <t xml:space="preserve">https://www.instagram.com/Skiter/</t>
  </si>
  <si>
    <t xml:space="preserve">SkiterDota</t>
  </si>
  <si>
    <t xml:space="preserve">https://www.facebook.com/SkiterDota</t>
  </si>
  <si>
    <t xml:space="preserve">Malr1ne</t>
  </si>
  <si>
    <t xml:space="preserve">Stanislav Potorak</t>
  </si>
  <si>
    <t xml:space="preserve">Malr1ne_</t>
  </si>
  <si>
    <t xml:space="preserve">https://x.com/Malr1ne_</t>
  </si>
  <si>
    <t xml:space="preserve">https://www.instagram.com/Malr1ne/</t>
  </si>
  <si>
    <t xml:space="preserve">malr1ne_dota</t>
  </si>
  <si>
    <t xml:space="preserve">https://www.twitch.tv/malr1ne_dota</t>
  </si>
  <si>
    <t xml:space="preserve">ATF</t>
  </si>
  <si>
    <t xml:space="preserve">Ammar Al-Assaf</t>
  </si>
  <si>
    <t xml:space="preserve">AmmarAlassaf6</t>
  </si>
  <si>
    <t xml:space="preserve">https://x.com/AmmarAlassaf6</t>
  </si>
  <si>
    <t xml:space="preserve">Ammar</t>
  </si>
  <si>
    <t xml:space="preserve">https://www.instagram.com/Ammar/</t>
  </si>
  <si>
    <t xml:space="preserve">ammar_the_f</t>
  </si>
  <si>
    <t xml:space="preserve">https://www.twitch.tv/ammar_the_f</t>
  </si>
  <si>
    <t xml:space="preserve">Cr1t-</t>
  </si>
  <si>
    <t xml:space="preserve">Andreas Nielsen</t>
  </si>
  <si>
    <t xml:space="preserve">Cr1tdota</t>
  </si>
  <si>
    <t xml:space="preserve">https://x.com/Cr1tdota</t>
  </si>
  <si>
    <t xml:space="preserve">Cr1t</t>
  </si>
  <si>
    <t xml:space="preserve">https://www.instagram.com/Cr1t/</t>
  </si>
  <si>
    <t xml:space="preserve">cr1tdota</t>
  </si>
  <si>
    <t xml:space="preserve">https://www.twitch.tv/cr1tdota</t>
  </si>
  <si>
    <t xml:space="preserve">https://www.youtube.com/@Cr1t</t>
  </si>
  <si>
    <t xml:space="preserve">https://www.facebook.com/Cr1tdota</t>
  </si>
  <si>
    <t xml:space="preserve">Sneyking</t>
  </si>
  <si>
    <t xml:space="preserve">Jingjun Wu</t>
  </si>
  <si>
    <t xml:space="preserve">SneykingGaming</t>
  </si>
  <si>
    <t xml:space="preserve">https://x.com/SneykingGaming</t>
  </si>
  <si>
    <t xml:space="preserve">sneykingdota</t>
  </si>
  <si>
    <t xml:space="preserve">https://www.twitch.tv/sneykingdota</t>
  </si>
  <si>
    <t xml:space="preserve">EAFC25</t>
  </si>
  <si>
    <t xml:space="preserve">EA Sport FC</t>
  </si>
  <si>
    <t xml:space="preserve">GoatMoh</t>
  </si>
  <si>
    <t xml:space="preserve">Mohammed Alarfaj</t>
  </si>
  <si>
    <t xml:space="preserve">GoatMoh_</t>
  </si>
  <si>
    <t xml:space="preserve">https://x.com/GoatMoh_</t>
  </si>
  <si>
    <t xml:space="preserve">goatmoh</t>
  </si>
  <si>
    <t xml:space="preserve">https://www.twitch.tv/goatmoh</t>
  </si>
  <si>
    <t xml:space="preserve">Msdossary</t>
  </si>
  <si>
    <t xml:space="preserve">Mossad Aldossary</t>
  </si>
  <si>
    <t xml:space="preserve">msdossary7</t>
  </si>
  <si>
    <t xml:space="preserve">https://x.com/msdossary7</t>
  </si>
  <si>
    <t xml:space="preserve">https://www.instagram.com/Msdossary/</t>
  </si>
  <si>
    <t xml:space="preserve">Msdossary7</t>
  </si>
  <si>
    <t xml:space="preserve">https://www.youtube.com/@Msdossary7</t>
  </si>
  <si>
    <t xml:space="preserve">Vejrgang</t>
  </si>
  <si>
    <t xml:space="preserve">Anders Vejrgang</t>
  </si>
  <si>
    <t xml:space="preserve">FLC_Vejrgang</t>
  </si>
  <si>
    <t xml:space="preserve">https://twitter.com/FLC_Vejrgang</t>
  </si>
  <si>
    <t xml:space="preserve">rblz_vejrgang</t>
  </si>
  <si>
    <t xml:space="preserve">https://www.instagram.com/rblz_vejrgang</t>
  </si>
  <si>
    <t xml:space="preserve">anders_vejrgang</t>
  </si>
  <si>
    <t xml:space="preserve">https://www.twitch.tv/anders_vejrgang</t>
  </si>
  <si>
    <t xml:space="preserve">AndersVejrgangofficial</t>
  </si>
  <si>
    <t xml:space="preserve">https://www.youtube.com/AndersVejrgangofficial</t>
  </si>
  <si>
    <t xml:space="preserve">Kiimo7</t>
  </si>
  <si>
    <t xml:space="preserve">Abdulkareem Bamogaddam</t>
  </si>
  <si>
    <t xml:space="preserve">kiimo__1</t>
  </si>
  <si>
    <t xml:space="preserve">https://x.com/kiimo__1</t>
  </si>
  <si>
    <t xml:space="preserve">kreemvv</t>
  </si>
  <si>
    <t xml:space="preserve">https://www.instagram.com/kreemvv/</t>
  </si>
  <si>
    <t xml:space="preserve">1OS</t>
  </si>
  <si>
    <t xml:space="preserve">Osama Khamees</t>
  </si>
  <si>
    <t xml:space="preserve">The1OS_</t>
  </si>
  <si>
    <t xml:space="preserve">https://x.com/The1OS_</t>
  </si>
  <si>
    <t xml:space="preserve">the1os</t>
  </si>
  <si>
    <t xml:space="preserve">https://kick.com/the1os</t>
  </si>
  <si>
    <t xml:space="preserve">Fatal Fury</t>
  </si>
  <si>
    <t xml:space="preserve">Abu Omar</t>
  </si>
  <si>
    <t xml:space="preserve">Wesam Alghamdi</t>
  </si>
  <si>
    <t xml:space="preserve">wess21111</t>
  </si>
  <si>
    <t xml:space="preserve">https://x.com/wess21111?lang=en</t>
  </si>
  <si>
    <t xml:space="preserve">E.T.</t>
  </si>
  <si>
    <t xml:space="preserve">Lin Chia-hung</t>
  </si>
  <si>
    <t xml:space="preserve">et1120</t>
  </si>
  <si>
    <t xml:space="preserve">https://x.com/et1120</t>
  </si>
  <si>
    <t xml:space="preserve">dbj_et</t>
  </si>
  <si>
    <t xml:space="preserve">https://www.instagram.com/dbj_et/#</t>
  </si>
  <si>
    <t xml:space="preserve">Taiwan.1.ET</t>
  </si>
  <si>
    <t xml:space="preserve">https://www.facebook.com/Taiwan.1.ET</t>
  </si>
  <si>
    <t xml:space="preserve">Kindevu</t>
  </si>
  <si>
    <t xml:space="preserve">Yosuke Ito</t>
  </si>
  <si>
    <t xml:space="preserve">kindevu</t>
  </si>
  <si>
    <t xml:space="preserve">https://x.com/kindevu</t>
  </si>
  <si>
    <t xml:space="preserve">kindevu0827</t>
  </si>
  <si>
    <t xml:space="preserve">https://www.twitch.tv/kindevu0827</t>
  </si>
  <si>
    <t xml:space="preserve">channel/UCQevn7lvmrpl3ElLd58YsNQ</t>
  </si>
  <si>
    <t xml:space="preserve">https://www.youtube.com/channel/UCQevn7lvmrpl3ElLd58YsNQ</t>
  </si>
  <si>
    <t xml:space="preserve">mok</t>
  </si>
  <si>
    <t xml:space="preserve">Hiroaki Hashizume</t>
  </si>
  <si>
    <t xml:space="preserve">andytheworld320</t>
  </si>
  <si>
    <t xml:space="preserve">https://twitter.com/andytheworld320</t>
  </si>
  <si>
    <t xml:space="preserve">channel/UC-Ksra-atsz4eW5i9ZDAa8A</t>
  </si>
  <si>
    <t xml:space="preserve">https://www.youtube.com/channel/UC-Ksra-atsz4eW5i9ZDAa8A</t>
  </si>
  <si>
    <t xml:space="preserve">Sai</t>
  </si>
  <si>
    <t xml:space="preserve">Ali Abdullah Alduhaysh</t>
  </si>
  <si>
    <t xml:space="preserve">Zenga83</t>
  </si>
  <si>
    <t xml:space="preserve">https://x.com/Zenga83</t>
  </si>
  <si>
    <t xml:space="preserve">Shadow X</t>
  </si>
  <si>
    <t xml:space="preserve">Abraham Sanchez</t>
  </si>
  <si>
    <t xml:space="preserve">ShadowX_FGC</t>
  </si>
  <si>
    <t xml:space="preserve">https://x.com/ShadowX_FGC</t>
  </si>
  <si>
    <t xml:space="preserve">ChonFx</t>
  </si>
  <si>
    <t xml:space="preserve">https://www.twitch.tv/ChonFx</t>
  </si>
  <si>
    <t xml:space="preserve">Tamago</t>
  </si>
  <si>
    <t xml:space="preserve">Ángel Chong</t>
  </si>
  <si>
    <t xml:space="preserve">https://x.com/ChonFx</t>
  </si>
  <si>
    <t xml:space="preserve">Xyzzy</t>
  </si>
  <si>
    <t xml:space="preserve">Lee Hanbyul</t>
  </si>
  <si>
    <t xml:space="preserve">xyzzylshift</t>
  </si>
  <si>
    <t xml:space="preserve">https://x.com/xyzzylshift</t>
  </si>
  <si>
    <t xml:space="preserve">xyzzyshift</t>
  </si>
  <si>
    <t xml:space="preserve">https://www.twitch.tv/xyzzyshift</t>
  </si>
  <si>
    <t xml:space="preserve">Xiaohai</t>
  </si>
  <si>
    <t xml:space="preserve">Zeng Zhuojun</t>
  </si>
  <si>
    <t xml:space="preserve">Xiaohai_</t>
  </si>
  <si>
    <t xml:space="preserve">https://x.com/Xiaohai_</t>
  </si>
  <si>
    <t xml:space="preserve">Fortnite</t>
  </si>
  <si>
    <t xml:space="preserve">Peterbot</t>
  </si>
  <si>
    <t xml:space="preserve">Peter Kata</t>
  </si>
  <si>
    <t xml:space="preserve">PeterbotFN</t>
  </si>
  <si>
    <t xml:space="preserve">https://x.com/PeterbotFN</t>
  </si>
  <si>
    <t xml:space="preserve">peterbot</t>
  </si>
  <si>
    <t xml:space="preserve">https://www.twitch.tv/peterbot</t>
  </si>
  <si>
    <t xml:space="preserve">channel/UC_RGYvZpoesD8yX-o677-xw</t>
  </si>
  <si>
    <t xml:space="preserve">https://www.youtube.com/channel/UC_RGYvZpoesD8yX-o677-xw</t>
  </si>
  <si>
    <t xml:space="preserve">Pollo</t>
  </si>
  <si>
    <t xml:space="preserve">Miguel Moreno </t>
  </si>
  <si>
    <t xml:space="preserve">pollofn6</t>
  </si>
  <si>
    <t xml:space="preserve">https://x.com/pollofn6</t>
  </si>
  <si>
    <t xml:space="preserve">https://www.twitch.tv/pollofn6</t>
  </si>
  <si>
    <t xml:space="preserve">channel/UCZqBdOYsCpvvCfI5_R3-FCQ</t>
  </si>
  <si>
    <t xml:space="preserve">https://www.youtube.com/channel/UCZqBdOYsCpvvCfI5_R3-FCQ</t>
  </si>
  <si>
    <t xml:space="preserve">FHD</t>
  </si>
  <si>
    <t xml:space="preserve">Fahad Almutairi</t>
  </si>
  <si>
    <t xml:space="preserve">Fahadclipz</t>
  </si>
  <si>
    <t xml:space="preserve">https://x.com/Fahadclipz</t>
  </si>
  <si>
    <t xml:space="preserve">fahadclipz</t>
  </si>
  <si>
    <t xml:space="preserve">https://www.instagram.com/fahadclipz/?hl=en</t>
  </si>
  <si>
    <t xml:space="preserve">fahadfn</t>
  </si>
  <si>
    <t xml:space="preserve">https://www.twitch.tv/fahadfn</t>
  </si>
  <si>
    <t xml:space="preserve">NM7</t>
  </si>
  <si>
    <t xml:space="preserve">Nawaf Alharthi</t>
  </si>
  <si>
    <t xml:space="preserve">iNm7x</t>
  </si>
  <si>
    <t xml:space="preserve">https://x.com/iNm7x</t>
  </si>
  <si>
    <t xml:space="preserve">https://www.instagram.com/accounts/login/?next=%2Finm7x&amp;source=omni_redirect</t>
  </si>
  <si>
    <t xml:space="preserve">iiNm7x</t>
  </si>
  <si>
    <t xml:space="preserve">https://www.twitch.tv/iiNm7x</t>
  </si>
  <si>
    <t xml:space="preserve">c/iNm7x</t>
  </si>
  <si>
    <t xml:space="preserve">https://www.youtube.com/c/iNm7x</t>
  </si>
  <si>
    <t xml:space="preserve">Spy</t>
  </si>
  <si>
    <t xml:space="preserve">Osama Almasad</t>
  </si>
  <si>
    <t xml:space="preserve">spyerfrog</t>
  </si>
  <si>
    <t xml:space="preserve">https://x.com/spyerfrog</t>
  </si>
  <si>
    <t xml:space="preserve">https://www.instagram.com/accounts/login/?next=%2Fspyerfrog&amp;source=omni_redirect</t>
  </si>
  <si>
    <t xml:space="preserve">https://www.twitch.tv/spyerfrog</t>
  </si>
  <si>
    <t xml:space="preserve">channel/UCl9pp6XYMcjyVESzYD8myQg</t>
  </si>
  <si>
    <t xml:space="preserve">https://www.youtube.com/channel/UCl9pp6XYMcjyVESzYD8myQg</t>
  </si>
  <si>
    <t xml:space="preserve">Yonx</t>
  </si>
  <si>
    <t xml:space="preserve">Faisal Almusharraf</t>
  </si>
  <si>
    <t xml:space="preserve">YonxFN</t>
  </si>
  <si>
    <t xml:space="preserve">https://x.com/YonxFN</t>
  </si>
  <si>
    <t xml:space="preserve">https://www.twitch.tv/YonxFN</t>
  </si>
  <si>
    <t xml:space="preserve">channel/UCSKgsqUfo7vA4BuBvtf6vwg</t>
  </si>
  <si>
    <t xml:space="preserve">https://www.youtube.com/channel/UCSKgsqUfo7vA4BuBvtf6vwg</t>
  </si>
  <si>
    <t xml:space="preserve">Free Fire</t>
  </si>
  <si>
    <t xml:space="preserve">KERORO</t>
  </si>
  <si>
    <t xml:space="preserve">Natthaphong Phuangpriang</t>
  </si>
  <si>
    <t xml:space="preserve">keroro_god</t>
  </si>
  <si>
    <t xml:space="preserve">https://www.instagram.com/keroro_god</t>
  </si>
  <si>
    <t xml:space="preserve">profile.php</t>
  </si>
  <si>
    <t xml:space="preserve">https://facebook.com/profile.php?id=100014997245027</t>
  </si>
  <si>
    <t xml:space="preserve">LIMIT</t>
  </si>
  <si>
    <t xml:space="preserve">Rachata Wanaphurksasilp</t>
  </si>
  <si>
    <t xml:space="preserve">limit_juy</t>
  </si>
  <si>
    <t xml:space="preserve">https://www.instagram.com/limit_juy</t>
  </si>
  <si>
    <t xml:space="preserve">@limitxstep8</t>
  </si>
  <si>
    <t xml:space="preserve">https://tiktok.com/@limitxstep8</t>
  </si>
  <si>
    <t xml:space="preserve">https://facebook.com/profile.php?id=100015743748929</t>
  </si>
  <si>
    <t xml:space="preserve">ONEMORE	</t>
  </si>
  <si>
    <t xml:space="preserve">Rattapoom Sunthalunai</t>
  </si>
  <si>
    <t xml:space="preserve">poomgohome_</t>
  </si>
  <si>
    <t xml:space="preserve">https://www.instagram.com/poomgohome_</t>
  </si>
  <si>
    <t xml:space="preserve">@pm.rt</t>
  </si>
  <si>
    <t xml:space="preserve">https://tiktok.com/@pm.rt</t>
  </si>
  <si>
    <t xml:space="preserve">ratta.poom.790</t>
  </si>
  <si>
    <t xml:space="preserve">https://facebook.com/ratta.poom.790</t>
  </si>
  <si>
    <t xml:space="preserve">ONFIRE</t>
  </si>
  <si>
    <t xml:space="preserve">Phulipat Yosit</t>
  </si>
  <si>
    <t xml:space="preserve">onfirebaby__</t>
  </si>
  <si>
    <t xml:space="preserve">https://www.instagram.com/onfirebaby__</t>
  </si>
  <si>
    <t xml:space="preserve">@onfireeieii</t>
  </si>
  <si>
    <t xml:space="preserve">https://tiktok.com/@onfireeieii</t>
  </si>
  <si>
    <t xml:space="preserve">https://facebook.com/profile.php?id=100072006039523</t>
  </si>
  <si>
    <t xml:space="preserve">Penna</t>
  </si>
  <si>
    <t xml:space="preserve">Natthawut Srinaknil </t>
  </si>
  <si>
    <t xml:space="preserve">pee_2006._</t>
  </si>
  <si>
    <t xml:space="preserve">https://www.instagram.com/pee_2006._?igsh=enRyOTlwbnV2bjg5</t>
  </si>
  <si>
    <t xml:space="preserve">@peena._</t>
  </si>
  <si>
    <t xml:space="preserve">https://www.tiktok.com/@peena._?_r=1&amp;_t=ZS-93QJymJbPfx</t>
  </si>
  <si>
    <t xml:space="preserve">PROTETO</t>
  </si>
  <si>
    <t xml:space="preserve">Ratchata Soonklang </t>
  </si>
  <si>
    <t xml:space="preserve">protetae</t>
  </si>
  <si>
    <t xml:space="preserve">https://www.instagram.com/protetae</t>
  </si>
  <si>
    <t xml:space="preserve">pongsatorn.pongsatorn.754</t>
  </si>
  <si>
    <t xml:space="preserve">https://facebook.com/pongsatorn.pongsatorn.754</t>
  </si>
  <si>
    <t xml:space="preserve">Gran Turismo</t>
  </si>
  <si>
    <t xml:space="preserve">Jose Serrano</t>
  </si>
  <si>
    <t xml:space="preserve">JoseSerrano_16</t>
  </si>
  <si>
    <t xml:space="preserve">https://x.com/JoseSerrano_16</t>
  </si>
  <si>
    <t xml:space="preserve">joseserranoo_</t>
  </si>
  <si>
    <t xml:space="preserve">https://www.instagram.com/joseserranoo_/</t>
  </si>
  <si>
    <t xml:space="preserve">https://www.twitch.tv/JoseSerrano_16</t>
  </si>
  <si>
    <t xml:space="preserve">Naif Alfaleh</t>
  </si>
  <si>
    <t xml:space="preserve">Falcon_Naifx</t>
  </si>
  <si>
    <t xml:space="preserve">https://x.com/Falcon_Naifx</t>
  </si>
  <si>
    <t xml:space="preserve">falcon_naifx</t>
  </si>
  <si>
    <t xml:space="preserve">https://www.instagram.com/falcon_naifx/</t>
  </si>
  <si>
    <t xml:space="preserve">Pol Urra</t>
  </si>
  <si>
    <t xml:space="preserve">polurra</t>
  </si>
  <si>
    <t xml:space="preserve">https://x.com/polurra</t>
  </si>
  <si>
    <t xml:space="preserve">pol_urra</t>
  </si>
  <si>
    <t xml:space="preserve">https://www.instagram.com/pol_urra/</t>
  </si>
  <si>
    <t xml:space="preserve">Wesam Khalil</t>
  </si>
  <si>
    <t xml:space="preserve">Falcon_Wesam</t>
  </si>
  <si>
    <t xml:space="preserve">https://x.com/Falcon_Wesam</t>
  </si>
  <si>
    <t xml:space="preserve">falcon_wesam</t>
  </si>
  <si>
    <t xml:space="preserve">https://www.instagram.com/falcon_wesam/</t>
  </si>
  <si>
    <t xml:space="preserve">Mobile Legends Bang Bang</t>
  </si>
  <si>
    <t xml:space="preserve">Boyet</t>
  </si>
  <si>
    <t xml:space="preserve">Bien Salvador C Chumacera</t>
  </si>
  <si>
    <t xml:space="preserve">boyetdr_</t>
  </si>
  <si>
    <t xml:space="preserve">https://www.instagram.com/boyetdr_</t>
  </si>
  <si>
    <t xml:space="preserve">Cuffin</t>
  </si>
  <si>
    <t xml:space="preserve">Muath saad alquraini</t>
  </si>
  <si>
    <t xml:space="preserve">https://www.instagram.com/accounts/login/?next=%2Fcuffin_ml&amp;source=omni_redirect</t>
  </si>
  <si>
    <t xml:space="preserve">Sanji</t>
  </si>
  <si>
    <t xml:space="preserve">Ayman Othman Alqarni</t>
  </si>
  <si>
    <t xml:space="preserve">trolll_ml</t>
  </si>
  <si>
    <t xml:space="preserve">https://www.instagram.com/trolll_ml</t>
  </si>
  <si>
    <t xml:space="preserve">Team Falcons PH</t>
  </si>
  <si>
    <t xml:space="preserve">FlapTzy</t>
  </si>
  <si>
    <t xml:space="preserve">David Charles Canon</t>
  </si>
  <si>
    <t xml:space="preserve">flapteezyy</t>
  </si>
  <si>
    <t xml:space="preserve">https://twitter.com/flapteezyy</t>
  </si>
  <si>
    <t xml:space="preserve">flaptzyofficial</t>
  </si>
  <si>
    <t xml:space="preserve">https://www.instagram.com/flaptzyofficial</t>
  </si>
  <si>
    <t xml:space="preserve">flapgaming</t>
  </si>
  <si>
    <t xml:space="preserve">https://www.youtube.com/flapgaming</t>
  </si>
  <si>
    <t xml:space="preserve">@flapofficial</t>
  </si>
  <si>
    <t xml:space="preserve">https://tiktok.com/@flapofficial</t>
  </si>
  <si>
    <t xml:space="preserve">flapteezy</t>
  </si>
  <si>
    <t xml:space="preserve">https://facebook.com/flapteezy</t>
  </si>
  <si>
    <t xml:space="preserve">KyleTzy</t>
  </si>
  <si>
    <t xml:space="preserve">Michael Angelo Sayson</t>
  </si>
  <si>
    <t xml:space="preserve">kyletzyofficial</t>
  </si>
  <si>
    <t xml:space="preserve">https://www.instagram.com/kyletzyofficial</t>
  </si>
  <si>
    <t xml:space="preserve">@kyletzyofficial3</t>
  </si>
  <si>
    <t xml:space="preserve">https://tiktok.com/@kyletzyofficial3</t>
  </si>
  <si>
    <t xml:space="preserve">KyleTzyOfficial</t>
  </si>
  <si>
    <t xml:space="preserve">https://facebook.com/KyleTzyOfficial</t>
  </si>
  <si>
    <t xml:space="preserve">Owgwen</t>
  </si>
  <si>
    <t xml:space="preserve">Rowgien Stimpson Unigo</t>
  </si>
  <si>
    <t xml:space="preserve">Ogiiiieeen</t>
  </si>
  <si>
    <t xml:space="preserve">https://twitter.com/Ogiiiieeen</t>
  </si>
  <si>
    <t xml:space="preserve">flcn.owgwen</t>
  </si>
  <si>
    <t xml:space="preserve">https://www.instagram.com/flcn.owgwen</t>
  </si>
  <si>
    <t xml:space="preserve">@ogiiiieeen</t>
  </si>
  <si>
    <t xml:space="preserve">https://www.tiktok.com/@ogiiiieeen</t>
  </si>
  <si>
    <t xml:space="preserve">https://facebook.com/Ogiiiieeen</t>
  </si>
  <si>
    <t xml:space="preserve">Ferdz</t>
  </si>
  <si>
    <t xml:space="preserve">Vincent Joseph Villones Unigo</t>
  </si>
  <si>
    <t xml:space="preserve">edferdz</t>
  </si>
  <si>
    <t xml:space="preserve">https://www.instagram.com/edferdz</t>
  </si>
  <si>
    <t xml:space="preserve">https://www.facebook.com/edferdz</t>
  </si>
  <si>
    <t xml:space="preserve">Super Marco</t>
  </si>
  <si>
    <t xml:space="preserve">Marco Stephen Requitiano</t>
  </si>
  <si>
    <t xml:space="preserve">flcnsupermarco</t>
  </si>
  <si>
    <t xml:space="preserve">https://www.tiktok.com/@flcnsupermarco</t>
  </si>
  <si>
    <t xml:space="preserve">@flcnsupermarco</t>
  </si>
  <si>
    <t xml:space="preserve">FLCNSupermarco</t>
  </si>
  <si>
    <t xml:space="preserve">https://www.facebook.com/FLCNSupermarco</t>
  </si>
  <si>
    <t xml:space="preserve">Hadji</t>
  </si>
  <si>
    <t xml:space="preserve">Salic Imam</t>
  </si>
  <si>
    <t xml:space="preserve">hadjizy</t>
  </si>
  <si>
    <t xml:space="preserve">https://www.instagram.com/hadjizy</t>
  </si>
  <si>
    <t xml:space="preserve">@hadjizy_</t>
  </si>
  <si>
    <t xml:space="preserve">https://www.tiktok.com/@hadjizy_</t>
  </si>
  <si>
    <t xml:space="preserve">Hadjizyyyyy</t>
  </si>
  <si>
    <t xml:space="preserve">https://facebook.com/Hadjizyyyyy</t>
  </si>
  <si>
    <t xml:space="preserve">Falcons Vega MENA</t>
  </si>
  <si>
    <t xml:space="preserve">Fvvn</t>
  </si>
  <si>
    <t xml:space="preserve">Alaa Ayman Ebrahim Ebrahim Galous</t>
  </si>
  <si>
    <t xml:space="preserve">fdoublevn</t>
  </si>
  <si>
    <t xml:space="preserve">https://www.instagram.com/fdoublevn/</t>
  </si>
  <si>
    <t xml:space="preserve">Names</t>
  </si>
  <si>
    <t xml:space="preserve">Asmaa Raafat Mohamed Aassan Thabet</t>
  </si>
  <si>
    <t xml:space="preserve">names_se</t>
  </si>
  <si>
    <t xml:space="preserve">https://www.instagram.com/names_se</t>
  </si>
  <si>
    <t xml:space="preserve">@names_es</t>
  </si>
  <si>
    <t xml:space="preserve">https://www.tiktok.com/@names_es</t>
  </si>
  <si>
    <t xml:space="preserve">Nucci</t>
  </si>
  <si>
    <t xml:space="preserve">Nourhan Shaker Saber</t>
  </si>
  <si>
    <t xml:space="preserve">nourhan_shaker22</t>
  </si>
  <si>
    <t xml:space="preserve">https://www.instagram.com/nourhan_shaker22/</t>
  </si>
  <si>
    <t xml:space="preserve">Velvet</t>
  </si>
  <si>
    <t xml:space="preserve">Hadeel AbdelNasser Mahmoud Abouelftouh</t>
  </si>
  <si>
    <t xml:space="preserve">horrible.velvet</t>
  </si>
  <si>
    <t xml:space="preserve">https://www.instagram.com/horrible.velvet/</t>
  </si>
  <si>
    <t xml:space="preserve">Falcons Vega ID</t>
  </si>
  <si>
    <t xml:space="preserve">Violet</t>
  </si>
  <si>
    <t xml:space="preserve">Fajria Noviana Nur</t>
  </si>
  <si>
    <t xml:space="preserve">fajria.noviana</t>
  </si>
  <si>
    <t xml:space="preserve">https://www.instagram.com/fajria.noviana</t>
  </si>
  <si>
    <t xml:space="preserve">@fajriaviolet8967</t>
  </si>
  <si>
    <t xml:space="preserve">https://www.youtube.com/@fajriaviolet8967</t>
  </si>
  <si>
    <t xml:space="preserve">@fajria.noviana</t>
  </si>
  <si>
    <t xml:space="preserve">https://www.tiktok.com/@fajria.noviana</t>
  </si>
  <si>
    <t xml:space="preserve">Xev</t>
  </si>
  <si>
    <t xml:space="preserve">Xeviola Maureen</t>
  </si>
  <si>
    <t xml:space="preserve">xev_vi</t>
  </si>
  <si>
    <t xml:space="preserve">https://www.instagram.com/xev_vi</t>
  </si>
  <si>
    <t xml:space="preserve">@xev_vi</t>
  </si>
  <si>
    <t xml:space="preserve">https://www.tiktok.com/@xev_vi</t>
  </si>
  <si>
    <t xml:space="preserve">Livii</t>
  </si>
  <si>
    <t xml:space="preserve">Livia Lemmuela Putri</t>
  </si>
  <si>
    <t xml:space="preserve">livia.lemmuela</t>
  </si>
  <si>
    <t xml:space="preserve">https://www.instagram.com/livia.lemmuela</t>
  </si>
  <si>
    <t xml:space="preserve">@LiviaLivii</t>
  </si>
  <si>
    <t xml:space="preserve">https://www.youtube.com/@LiviaLivii</t>
  </si>
  <si>
    <t xml:space="preserve">@livia.lemmuela</t>
  </si>
  <si>
    <t xml:space="preserve">https://www.tiktok.com/@livia.lemmuela</t>
  </si>
  <si>
    <t xml:space="preserve">LIV</t>
  </si>
  <si>
    <t xml:space="preserve">Olivia Benita Wijaya</t>
  </si>
  <si>
    <t xml:space="preserve">remundddd</t>
  </si>
  <si>
    <t xml:space="preserve">https://www.instagram.com/remundddd</t>
  </si>
  <si>
    <t xml:space="preserve">@remundddd</t>
  </si>
  <si>
    <t xml:space="preserve">https://www.tiktok.com/@remundddd</t>
  </si>
  <si>
    <t xml:space="preserve">REMUNDO</t>
  </si>
  <si>
    <t xml:space="preserve">Nadiya Bahktita</t>
  </si>
  <si>
    <t xml:space="preserve">olivia.wijayaa</t>
  </si>
  <si>
    <t xml:space="preserve">https://www.instagram.com/olivia.wijayaa/</t>
  </si>
  <si>
    <t xml:space="preserve">@Livyipp</t>
  </si>
  <si>
    <t xml:space="preserve">https://www.youtube.com/@Livyipp</t>
  </si>
  <si>
    <t xml:space="preserve">@livyipp</t>
  </si>
  <si>
    <t xml:space="preserve">https://www.tiktok.com/@livyipp</t>
  </si>
  <si>
    <t xml:space="preserve">Agatha</t>
  </si>
  <si>
    <t xml:space="preserve">Angelia Agatha</t>
  </si>
  <si>
    <t xml:space="preserve">angeliagathaa</t>
  </si>
  <si>
    <t xml:space="preserve">https://www.instagram.com/angeliagathaa</t>
  </si>
  <si>
    <t xml:space="preserve">@angeliagathaa</t>
  </si>
  <si>
    <t xml:space="preserve">https://www.tiktok.com/@angeliagathaa</t>
  </si>
  <si>
    <t xml:space="preserve">Overwatch2</t>
  </si>
  <si>
    <t xml:space="preserve">ChiYo</t>
  </si>
  <si>
    <t xml:space="preserve">HyunSeok Han</t>
  </si>
  <si>
    <t xml:space="preserve">ChiYo_ow1</t>
  </si>
  <si>
    <t xml:space="preserve">https://twitter.com/ChiYo_ow1</t>
  </si>
  <si>
    <t xml:space="preserve">chiyo_ow</t>
  </si>
  <si>
    <t xml:space="preserve">https://www.twitch.tv/chiyo_ow</t>
  </si>
  <si>
    <t xml:space="preserve">Fielder</t>
  </si>
  <si>
    <t xml:space="preserve">Joon Kwon</t>
  </si>
  <si>
    <t xml:space="preserve">fielder_ow</t>
  </si>
  <si>
    <t xml:space="preserve">https://twitter.com/fielder_ow</t>
  </si>
  <si>
    <t xml:space="preserve">https://www.twitch.tv/fielder_ow</t>
  </si>
  <si>
    <t xml:space="preserve">channel/UCKLTHj9SshU_IwDLO12aDSw</t>
  </si>
  <si>
    <t xml:space="preserve">https://www.youtube.com/channel/UCKLTHj9SshU_IwDLO12aDSw</t>
  </si>
  <si>
    <t xml:space="preserve">Hanbin</t>
  </si>
  <si>
    <t xml:space="preserve">HanBin Choi</t>
  </si>
  <si>
    <t xml:space="preserve">HanBin_OW</t>
  </si>
  <si>
    <t xml:space="preserve">https://twitter.com/HanBin_OW</t>
  </si>
  <si>
    <t xml:space="preserve">hanbin_ow</t>
  </si>
  <si>
    <t xml:space="preserve">https://www.twitch.tv/hanbin_ow</t>
  </si>
  <si>
    <t xml:space="preserve">MER1T</t>
  </si>
  <si>
    <t xml:space="preserve">Choi Taemin</t>
  </si>
  <si>
    <t xml:space="preserve">MER1T_ow</t>
  </si>
  <si>
    <t xml:space="preserve">https://x.com/MER1T_ow</t>
  </si>
  <si>
    <t xml:space="preserve">mer1t_ow</t>
  </si>
  <si>
    <t xml:space="preserve">https://www.instagram.com/mer1t_ow/#</t>
  </si>
  <si>
    <t xml:space="preserve">https://www.twitch.tv/mer1t_ow</t>
  </si>
  <si>
    <t xml:space="preserve">Checkmate</t>
  </si>
  <si>
    <t xml:space="preserve">Baek Seung-hun</t>
  </si>
  <si>
    <t xml:space="preserve">ow_checkmate</t>
  </si>
  <si>
    <t xml:space="preserve">https://x.com/ow_checkmate</t>
  </si>
  <si>
    <t xml:space="preserve">https://www.twitch.tv/ow_checkmate</t>
  </si>
  <si>
    <t xml:space="preserve">SOMEONE</t>
  </si>
  <si>
    <t xml:space="preserve">Ham Jeongwan</t>
  </si>
  <si>
    <t xml:space="preserve">someone0424</t>
  </si>
  <si>
    <t xml:space="preserve">https://x.com/someone0424</t>
  </si>
  <si>
    <t xml:space="preserve">someone_ow</t>
  </si>
  <si>
    <t xml:space="preserve">https://www.instagram.com/someone_ow/#</t>
  </si>
  <si>
    <t xml:space="preserve">someone_ow_</t>
  </si>
  <si>
    <t xml:space="preserve">https://www.twitch.tv/someone_ow_</t>
  </si>
  <si>
    <t xml:space="preserve">PUBG</t>
  </si>
  <si>
    <t xml:space="preserve">hwinn</t>
  </si>
  <si>
    <t xml:space="preserve"> Hunter Maurice Winn</t>
  </si>
  <si>
    <t xml:space="preserve">hwinnfps</t>
  </si>
  <si>
    <t xml:space="preserve">https://twitter.com/hwinnfps</t>
  </si>
  <si>
    <t xml:space="preserve">hwinn123</t>
  </si>
  <si>
    <t xml:space="preserve">https://www.instagram.com/hwinn123</t>
  </si>
  <si>
    <t xml:space="preserve">https://www.twitch.tv/hwinn</t>
  </si>
  <si>
    <t xml:space="preserve">HunterWinn1</t>
  </si>
  <si>
    <t xml:space="preserve">https://www.youtube.com/HunterWinn1</t>
  </si>
  <si>
    <t xml:space="preserve">Kickstart</t>
  </si>
  <si>
    <t xml:space="preserve">Robert Matthew Smith Jr</t>
  </si>
  <si>
    <t xml:space="preserve">KSnKickstart</t>
  </si>
  <si>
    <t xml:space="preserve">https://twitter.com/KSnKickstart</t>
  </si>
  <si>
    <t xml:space="preserve">ksnkickstart</t>
  </si>
  <si>
    <t xml:space="preserve">https://www.instagram.com/ksnkickstart</t>
  </si>
  <si>
    <t xml:space="preserve">kickstart</t>
  </si>
  <si>
    <t xml:space="preserve">https://www.twitch.tv/kickstart</t>
  </si>
  <si>
    <t xml:space="preserve">https://www.youtube.com/ksnkickstart</t>
  </si>
  <si>
    <t xml:space="preserve">Shrimzy</t>
  </si>
  <si>
    <t xml:space="preserve">Tristan John Nowicki</t>
  </si>
  <si>
    <t xml:space="preserve">ShrimzyPUBg</t>
  </si>
  <si>
    <t xml:space="preserve">https://twitter.com/ShrimzyPUBg</t>
  </si>
  <si>
    <t xml:space="preserve">tristannowicki</t>
  </si>
  <si>
    <t xml:space="preserve">https://www.instagram.com/tristannowicki</t>
  </si>
  <si>
    <t xml:space="preserve">shrimzy</t>
  </si>
  <si>
    <t xml:space="preserve">https://www.twitch.tv/shrimzy</t>
  </si>
  <si>
    <t xml:space="preserve">Shrimx1</t>
  </si>
  <si>
    <t xml:space="preserve">https://www.youtube.com/Shrimx1</t>
  </si>
  <si>
    <t xml:space="preserve">TGLTN</t>
  </si>
  <si>
    <t xml:space="preserve"> James Sebastian Giezen</t>
  </si>
  <si>
    <t xml:space="preserve">tgltnPUBG</t>
  </si>
  <si>
    <t xml:space="preserve">https://twitter.com/tgltnPUBG</t>
  </si>
  <si>
    <t xml:space="preserve">https://www.instagram.com/tgltnPUBG</t>
  </si>
  <si>
    <t xml:space="preserve">https://www.twitch.tv/TGLTN</t>
  </si>
  <si>
    <t xml:space="preserve">tgltn</t>
  </si>
  <si>
    <t xml:space="preserve">https://kick.com/tgltn</t>
  </si>
  <si>
    <t xml:space="preserve">https://www.youtube.com/TGLTN</t>
  </si>
  <si>
    <t xml:space="preserve">Rainbow Six Siege</t>
  </si>
  <si>
    <t xml:space="preserve">BriD</t>
  </si>
  <si>
    <t xml:space="preserve">Loïc Chongthep</t>
  </si>
  <si>
    <t xml:space="preserve">BriDR6S</t>
  </si>
  <si>
    <t xml:space="preserve">https://twitter.com/BriDR6S</t>
  </si>
  <si>
    <t xml:space="preserve">briddr6s</t>
  </si>
  <si>
    <t xml:space="preserve">https://www.instagram.com/briddr6s</t>
  </si>
  <si>
    <t xml:space="preserve">bridr6s</t>
  </si>
  <si>
    <t xml:space="preserve">https://www.twitch.tv/bridr6s</t>
  </si>
  <si>
    <t xml:space="preserve">LikEfac</t>
  </si>
  <si>
    <t xml:space="preserve">Théo Mariano</t>
  </si>
  <si>
    <t xml:space="preserve">LikEfacR6S</t>
  </si>
  <si>
    <t xml:space="preserve">https://twitter.com/LikEfacR6S</t>
  </si>
  <si>
    <t xml:space="preserve">likefacr6s</t>
  </si>
  <si>
    <t xml:space="preserve">https://www.instagram.com/likefacr6s/</t>
  </si>
  <si>
    <t xml:space="preserve">likefac</t>
  </si>
  <si>
    <t xml:space="preserve">https://www.twitch.tv/likefac</t>
  </si>
  <si>
    <t xml:space="preserve">jume</t>
  </si>
  <si>
    <t xml:space="preserve">Marc Steinmann</t>
  </si>
  <si>
    <t xml:space="preserve">jumeR6S</t>
  </si>
  <si>
    <t xml:space="preserve">https://x.com/jumeR6S</t>
  </si>
  <si>
    <t xml:space="preserve">jumer6s</t>
  </si>
  <si>
    <t xml:space="preserve">https://www.instagram.com/jumer6s/</t>
  </si>
  <si>
    <t xml:space="preserve">jumer6</t>
  </si>
  <si>
    <t xml:space="preserve">https://www.twitch.tv/jumer6</t>
  </si>
  <si>
    <t xml:space="preserve">channel/UCUGXHBCVxPiY1yNnl-kB47Q</t>
  </si>
  <si>
    <t xml:space="preserve">https://www.youtube.com/channel/UCUGXHBCVxPiY1yNnl-kB47Q</t>
  </si>
  <si>
    <t xml:space="preserve">Solotov</t>
  </si>
  <si>
    <t xml:space="preserve">Fatih Türker</t>
  </si>
  <si>
    <t xml:space="preserve">SolotovR6</t>
  </si>
  <si>
    <t xml:space="preserve">https://twitter.com/SolotovR6</t>
  </si>
  <si>
    <t xml:space="preserve">Yuzus</t>
  </si>
  <si>
    <t xml:space="preserve">Joshua Pritchard</t>
  </si>
  <si>
    <t xml:space="preserve">Yuzus_</t>
  </si>
  <si>
    <t xml:space="preserve">https://twitter.com/Yuzus_</t>
  </si>
  <si>
    <t xml:space="preserve">yuzussssss</t>
  </si>
  <si>
    <t xml:space="preserve">https://www.instagram.com/yuzussssss/</t>
  </si>
  <si>
    <t xml:space="preserve">https://www.twitch.tv/Yuzus</t>
  </si>
  <si>
    <t xml:space="preserve">@julioakajulio</t>
  </si>
  <si>
    <t xml:space="preserve">https://www.youtube.com/@julioakajulio</t>
  </si>
  <si>
    <t xml:space="preserve">Rocket League</t>
  </si>
  <si>
    <t xml:space="preserve">dralii</t>
  </si>
  <si>
    <t xml:space="preserve">Samy Hajji</t>
  </si>
  <si>
    <t xml:space="preserve">dralii897</t>
  </si>
  <si>
    <t xml:space="preserve">https://twitter.com/dralii897</t>
  </si>
  <si>
    <t xml:space="preserve">https://www.twitch.tv/dralii</t>
  </si>
  <si>
    <t xml:space="preserve">Kiileerrz</t>
  </si>
  <si>
    <t xml:space="preserve">Yazeed Bakhashwin</t>
  </si>
  <si>
    <t xml:space="preserve">kiileerrz</t>
  </si>
  <si>
    <t xml:space="preserve">https://x.com/kiileerrz</t>
  </si>
  <si>
    <t xml:space="preserve">https://www.instagram.com/Kiileerrz/</t>
  </si>
  <si>
    <t xml:space="preserve">https://www.twitch.tv/kiileerrz</t>
  </si>
  <si>
    <t xml:space="preserve">Rw9</t>
  </si>
  <si>
    <t xml:space="preserve">Saleh Bakhashwin </t>
  </si>
  <si>
    <t xml:space="preserve">Rw9_RL</t>
  </si>
  <si>
    <t xml:space="preserve">https://x.com/Rw9_RL</t>
  </si>
  <si>
    <t xml:space="preserve">rl_rw9</t>
  </si>
  <si>
    <t xml:space="preserve">https://www.twitch.tv/rl_rw9</t>
  </si>
  <si>
    <t xml:space="preserve">Street Fighter</t>
  </si>
  <si>
    <t xml:space="preserve">Craime</t>
  </si>
  <si>
    <t xml:space="preserve">Jaime Bustos</t>
  </si>
  <si>
    <t xml:space="preserve">CraimeCL</t>
  </si>
  <si>
    <t xml:space="preserve">https://x.com/CraimeCL</t>
  </si>
  <si>
    <t xml:space="preserve">Kusanagi</t>
  </si>
  <si>
    <t xml:space="preserve">Maivine Touiti</t>
  </si>
  <si>
    <t xml:space="preserve">MaivineKusanagi</t>
  </si>
  <si>
    <t xml:space="preserve">https://twitter.com/MaivineKusanagi</t>
  </si>
  <si>
    <t xml:space="preserve">KusanagiSF6</t>
  </si>
  <si>
    <t xml:space="preserve">https://www.twitch.tv/KusanagiSF6</t>
  </si>
  <si>
    <t xml:space="preserve">Tekken</t>
  </si>
  <si>
    <t xml:space="preserve">Aqeel9</t>
  </si>
  <si>
    <t xml:space="preserve">Mishari Alaqeel</t>
  </si>
  <si>
    <t xml:space="preserve">mka988</t>
  </si>
  <si>
    <t xml:space="preserve">https://x.com/mka988</t>
  </si>
  <si>
    <t xml:space="preserve">aqeel9h</t>
  </si>
  <si>
    <t xml:space="preserve">https://www.twitch.tv/aqeel9h</t>
  </si>
  <si>
    <t xml:space="preserve">Atif Butt</t>
  </si>
  <si>
    <t xml:space="preserve">Atif Ijaz</t>
  </si>
  <si>
    <t xml:space="preserve">AtifButt540</t>
  </si>
  <si>
    <t xml:space="preserve">https://x.com/AtifButt540</t>
  </si>
  <si>
    <t xml:space="preserve">Farzeen</t>
  </si>
  <si>
    <t xml:space="preserve">Muhammad Farzeen</t>
  </si>
  <si>
    <t xml:space="preserve">Farzeen_tk</t>
  </si>
  <si>
    <t xml:space="preserve">https://x.com/Farzeen_tk</t>
  </si>
  <si>
    <t xml:space="preserve">farzeen_tk</t>
  </si>
  <si>
    <t xml:space="preserve">https://www.instagram.com/farzeen_tk/</t>
  </si>
  <si>
    <t xml:space="preserve">Numan</t>
  </si>
  <si>
    <t xml:space="preserve">Nauman Chaudhry</t>
  </si>
  <si>
    <t xml:space="preserve">tk_numanch</t>
  </si>
  <si>
    <t xml:space="preserve">https://x.com/tk_numanch</t>
  </si>
  <si>
    <t xml:space="preserve">Usama Abbasi</t>
  </si>
  <si>
    <t xml:space="preserve">usamatekken708</t>
  </si>
  <si>
    <t xml:space="preserve">https://x.com/usamatekken708</t>
  </si>
  <si>
    <t xml:space="preserve">VALORANT</t>
  </si>
  <si>
    <t xml:space="preserve">Falcons Vega</t>
  </si>
  <si>
    <t xml:space="preserve">Alexy</t>
  </si>
  <si>
    <t xml:space="preserve">Alexandria Francisco</t>
  </si>
  <si>
    <t xml:space="preserve">alexyyfrancisco</t>
  </si>
  <si>
    <t xml:space="preserve">https://x.com/alexyyfrancisco</t>
  </si>
  <si>
    <t xml:space="preserve">alexyph</t>
  </si>
  <si>
    <t xml:space="preserve">https://www.twitch.tv/alexyph</t>
  </si>
  <si>
    <t xml:space="preserve">Aleeexyyy</t>
  </si>
  <si>
    <t xml:space="preserve">https://www.facebook.com/Aleeexyyy</t>
  </si>
  <si>
    <t xml:space="preserve">enerii</t>
  </si>
  <si>
    <t xml:space="preserve">Odella Abraham</t>
  </si>
  <si>
    <t xml:space="preserve">eneriiiiiii</t>
  </si>
  <si>
    <t xml:space="preserve">https://x.com/eneriiiiiii</t>
  </si>
  <si>
    <t xml:space="preserve">https://www.twitch.tv/enerii</t>
  </si>
  <si>
    <t xml:space="preserve">Kamiyu</t>
  </si>
  <si>
    <t xml:space="preserve">Camille Enriquez</t>
  </si>
  <si>
    <t xml:space="preserve">Kamiyuchii</t>
  </si>
  <si>
    <t xml:space="preserve">https://x.com/Kamiyuchii</t>
  </si>
  <si>
    <t xml:space="preserve">madv</t>
  </si>
  <si>
    <t xml:space="preserve">Modhi Alkanhal</t>
  </si>
  <si>
    <t xml:space="preserve">itMadv</t>
  </si>
  <si>
    <t xml:space="preserve">https://x.com/itMadv</t>
  </si>
  <si>
    <t xml:space="preserve">itmadv</t>
  </si>
  <si>
    <t xml:space="preserve">https://www.twitch.tv/itmadv</t>
  </si>
  <si>
    <t xml:space="preserve">shirazi</t>
  </si>
  <si>
    <t xml:space="preserve">Kelly Jaudian</t>
  </si>
  <si>
    <t xml:space="preserve">shirazigo</t>
  </si>
  <si>
    <t xml:space="preserve">https://x.com/shirazigo</t>
  </si>
  <si>
    <t xml:space="preserve">https://www.instagram.com/shirazigo</t>
  </si>
  <si>
    <t xml:space="preserve">Trackmania</t>
  </si>
  <si>
    <t xml:space="preserve">CarlJr</t>
  </si>
  <si>
    <t xml:space="preserve">Carl-Anthony Cloutier</t>
  </si>
  <si>
    <t xml:space="preserve">CarlJrtm</t>
  </si>
  <si>
    <t xml:space="preserve">https://x.com/CarlJrtm</t>
  </si>
  <si>
    <t xml:space="preserve">carljrtm</t>
  </si>
  <si>
    <t xml:space="preserve">https://www.instagram.com/carljrtm/</t>
  </si>
  <si>
    <t xml:space="preserve">https://www.twitch.tv/carljrtm</t>
  </si>
  <si>
    <t xml:space="preserve">@CarlJrtm</t>
  </si>
  <si>
    <t xml:space="preserve">https://www.youtube.com/@CarlJrtm</t>
  </si>
  <si>
    <t xml:space="preserve">@carljrtm</t>
  </si>
  <si>
    <t xml:space="preserve">https://www.tiktok.com/@carljrtm</t>
  </si>
  <si>
    <t xml:space="preserve">Crossfire</t>
  </si>
  <si>
    <t xml:space="preserve">Dola</t>
  </si>
  <si>
    <t xml:space="preserve">Dam Viet Hung</t>
  </si>
  <si>
    <t xml:space="preserve">DOLACROSSFIRE</t>
  </si>
  <si>
    <t xml:space="preserve">https://www.facebook.com/DOLACROSSFIRE</t>
  </si>
  <si>
    <t xml:space="preserve">Shady</t>
  </si>
  <si>
    <t xml:space="preserve">Mai Thanh Phong</t>
  </si>
  <si>
    <t xml:space="preserve">@ShadyCrossfire94</t>
  </si>
  <si>
    <t xml:space="preserve">https://www.youtube.com/@ShadyCrossfire94</t>
  </si>
  <si>
    <t xml:space="preserve">Shadycrossfirevn</t>
  </si>
  <si>
    <t xml:space="preserve">https://www.facebook.com/Shadycrossfirevn</t>
  </si>
  <si>
    <t xml:space="preserve">11 — MEASUREMENT CONFIDENCE &amp; VERIFICATION</t>
  </si>
  <si>
    <t xml:space="preserve">Confidence is an enforcement layer, not decoration. Low confidence caps how aggressively premiums can stack, protecting Falcons from over-pricing weakly verified talent.</t>
  </si>
  <si>
    <t xml:space="preserve">CONFIDENCE LEVELS &amp; CAPS</t>
  </si>
  <si>
    <t xml:space="preserve">Level</t>
  </si>
  <si>
    <t xml:space="preserve">Trigger</t>
  </si>
  <si>
    <t xml:space="preserve">Premium Policy</t>
  </si>
  <si>
    <t xml:space="preserve">Max Combined Stack</t>
  </si>
  <si>
    <t xml:space="preserve">exact</t>
  </si>
  <si>
    <t xml:space="preserve">Verified via Shikenso API or direct platform access.</t>
  </si>
  <si>
    <t xml:space="preserve">All multipliers allowed, no cap.</t>
  </si>
  <si>
    <t xml:space="preserve">Computed × 1.00</t>
  </si>
  <si>
    <t xml:space="preserve">rounded</t>
  </si>
  <si>
    <t xml:space="preserve">Manual verification — clean round numbers from recent check.</t>
  </si>
  <si>
    <t xml:space="preserve">estimated</t>
  </si>
  <si>
    <t xml:space="preserve">Partial data / single-source public scrape.</t>
  </si>
  <si>
    <t xml:space="preserve">Eng ≤ 1.20, Authority ≤ 1.30, Season ≤ 1.25.</t>
  </si>
  <si>
    <t xml:space="preserve">Computed × 0.90</t>
  </si>
  <si>
    <t xml:space="preserve">pending</t>
  </si>
  <si>
    <t xml:space="preserve">No follower data yet — awaiting verification.</t>
  </si>
  <si>
    <t xml:space="preserve">All premiums forced to 1.00 (baseline).</t>
  </si>
  <si>
    <t xml:space="preserve">Computed × 0.75</t>
  </si>
  <si>
    <t xml:space="preserve">VERIFICATION WORKFLOW</t>
  </si>
  <si>
    <t xml:space="preserve">① Sync handles</t>
  </si>
  <si>
    <t xml:space="preserve">Pull from 10_Social_Tracker — normalized URL + handle per platform</t>
  </si>
  <si>
    <t xml:space="preserve">② Capture count</t>
  </si>
  <si>
    <t xml:space="preserve">Enter follower count + Retrieved-On date; source marked</t>
  </si>
  <si>
    <t xml:space="preserve">③ Tag confidence</t>
  </si>
  <si>
    <t xml:space="preserve">Set level on 20/30 rate cards; default is 'pending' until data arrives</t>
  </si>
  <si>
    <t xml:space="preserve">④ Quarterly review</t>
  </si>
  <si>
    <t xml:space="preserve">Re-pull; estimated → rounded upgrade if recent check passes</t>
  </si>
  <si>
    <t xml:space="preserve">⑤ Shikenso cutover</t>
  </si>
  <si>
    <t xml:space="preserve">When API is connected, confidence auto-writes to 'exact'</t>
  </si>
  <si>
    <t xml:space="preserve">Confidence is also applied inside 40_Adjustment_Matrix as a gate. See 90_Methodology §5.</t>
  </si>
  <si>
    <t xml:space="preserve">20 — PLAYER RATE CARD (v1.0)</t>
  </si>
  <si>
    <t xml:space="preserve">Baseline preserved from v7. Follower / CPM / Floor / Confidence extensions preserved from v8. Adjust rates here — every quote pulls from this card.</t>
  </si>
  <si>
    <t xml:space="preserve">Identity &amp; Tier</t>
  </si>
  <si>
    <t xml:space="preserve">Organic Platform Rates (SAR)</t>
  </si>
  <si>
    <t xml:space="preserve">Add-On Fees</t>
  </si>
  <si>
    <t xml:space="preserve">Ops &amp; Commercial</t>
  </si>
  <si>
    <t xml:space="preserve">Identity &amp; Handles</t>
  </si>
  <si>
    <t xml:space="preserve">Followers (← fill as verified)</t>
  </si>
  <si>
    <t xml:space="preserve">CPM (auto)</t>
  </si>
  <si>
    <t xml:space="preserve">Authority Floor &amp; Confidence</t>
  </si>
  <si>
    <t xml:space="preserve">#</t>
  </si>
  <si>
    <t xml:space="preserve">Nationality</t>
  </si>
  <si>
    <t xml:space="preserve">Platforms</t>
  </si>
  <si>
    <t xml:space="preserve">IG Reel
(SAR)</t>
  </si>
  <si>
    <t xml:space="preserve">IG Static
(SAR)</t>
  </si>
  <si>
    <t xml:space="preserve">IG Story
(SAR)</t>
  </si>
  <si>
    <t xml:space="preserve">TikTok Video
(SAR)</t>
  </si>
  <si>
    <t xml:space="preserve">YT Short
(SAR)</t>
  </si>
  <si>
    <t xml:space="preserve">X Post
(SAR)</t>
  </si>
  <si>
    <t xml:space="preserve">FB Post/Video
(SAR)</t>
  </si>
  <si>
    <t xml:space="preserve">Twitch Stream 2h
(SAR)</t>
  </si>
  <si>
    <t xml:space="preserve">Twitch Integ.
(SAR)</t>
  </si>
  <si>
    <t xml:space="preserve">IRL / Appear.
(SAR)</t>
  </si>
  <si>
    <t xml:space="preserve">Rights Fee
(SAR)</t>
  </si>
  <si>
    <t xml:space="preserve">Exclusivity Fee
(SAR)</t>
  </si>
  <si>
    <t xml:space="preserve">Rush Fee
(SAR)</t>
  </si>
  <si>
    <t xml:space="preserve">WL Fee
(SAR)</t>
  </si>
  <si>
    <t xml:space="preserve">Falcons Commission %</t>
  </si>
  <si>
    <t xml:space="preserve">Markup %
(on Player Cost)</t>
  </si>
  <si>
    <t xml:space="preserve">Link-in-Bio</t>
  </si>
  <si>
    <t xml:space="preserve">Date of Birth</t>
  </si>
  <si>
    <t xml:space="preserve">Game Role</t>
  </si>
  <si>
    <t xml:space="preserve">X Followers</t>
  </si>
  <si>
    <t xml:space="preserve">IG Followers</t>
  </si>
  <si>
    <t xml:space="preserve">Twitch Followers</t>
  </si>
  <si>
    <t xml:space="preserve">YT Subs</t>
  </si>
  <si>
    <t xml:space="preserve">TikTok Followers</t>
  </si>
  <si>
    <t xml:space="preserve">Kick Followers</t>
  </si>
  <si>
    <t xml:space="preserve">FB Followers</t>
  </si>
  <si>
    <t xml:space="preserve">IG CPM (SAR)</t>
  </si>
  <si>
    <t xml:space="preserve">TikTok CPM (SAR)</t>
  </si>
  <si>
    <t xml:space="preserve">X CPM (SAR)</t>
  </si>
  <si>
    <t xml:space="preserve">YT CPM (SAR)</t>
  </si>
  <si>
    <t xml:space="preserve">Twitch CPM (SAR)</t>
  </si>
  <si>
    <t xml:space="preserve">Floor Share %</t>
  </si>
  <si>
    <t xml:space="preserve">Authority Factor</t>
  </si>
  <si>
    <t xml:space="preserve">Default Seasonality</t>
  </si>
  <si>
    <t xml:space="preserve">Default Language</t>
  </si>
  <si>
    <t xml:space="preserve">Authority Floor Baseline (SAR)</t>
  </si>
  <si>
    <t xml:space="preserve">Measurement Confidence</t>
  </si>
  <si>
    <t xml:space="preserve">Tier Review Flag</t>
  </si>
  <si>
    <t xml:space="preserve">Bijw</t>
  </si>
  <si>
    <t xml:space="preserve">Influencer</t>
  </si>
  <si>
    <t xml:space="preserve">Esports Influencers</t>
  </si>
  <si>
    <t xml:space="preserve">Saudi Arabia</t>
  </si>
  <si>
    <t xml:space="preserve">Tier 3</t>
  </si>
  <si>
    <t xml:space="preserve">6 platforms</t>
  </si>
  <si>
    <t xml:space="preserve">Hisham Nasser</t>
  </si>
  <si>
    <t xml:space="preserve">https://x.com/_bijw</t>
  </si>
  <si>
    <t xml:space="preserve">https://www.instagram.com/bijjw</t>
  </si>
  <si>
    <t xml:space="preserve">https://www.twitch.tv/bijw</t>
  </si>
  <si>
    <t xml:space="preserve">https://www.youtube.com/@Bijw</t>
  </si>
  <si>
    <t xml:space="preserve">https://www.tiktok.com/@biijw</t>
  </si>
  <si>
    <t xml:space="preserve">https://kick.com/bijw</t>
  </si>
  <si>
    <t xml:space="preserve">https://www.snapchat.com/add/bijjw</t>
  </si>
  <si>
    <t xml:space="preserve">https://linktr.ee/bijw</t>
  </si>
  <si>
    <t xml:space="preserve">Abo Najd</t>
  </si>
  <si>
    <t xml:space="preserve">4 platforms</t>
  </si>
  <si>
    <t xml:space="preserve">Riyad Alfahmi</t>
  </si>
  <si>
    <t xml:space="preserve">https://x.com/K22N8</t>
  </si>
  <si>
    <t xml:space="preserve">https://www.instagram.com/k2nn8?igsh=ajJsNHoybDlpMzFo</t>
  </si>
  <si>
    <t xml:space="preserve">https://www.twitch.tv/k2nnn8</t>
  </si>
  <si>
    <t xml:space="preserve">https://www.youtube.com/@k2nn8</t>
  </si>
  <si>
    <t xml:space="preserve">https://linktr.ee/K2nnn8 (alt: https://heylink.me/k2nn8)</t>
  </si>
  <si>
    <t xml:space="preserve">FMG</t>
  </si>
  <si>
    <t xml:space="preserve">Nasser alotaibi</t>
  </si>
  <si>
    <t xml:space="preserve">https://x.com/iFMG_</t>
  </si>
  <si>
    <t xml:space="preserve">https://www.instagram.com/fm.g/</t>
  </si>
  <si>
    <t xml:space="preserve">https://www.twitch.tv/fmg_</t>
  </si>
  <si>
    <t xml:space="preserve">https://kick.com/ifmg</t>
  </si>
  <si>
    <t xml:space="preserve">Abo Ghazi</t>
  </si>
  <si>
    <t xml:space="preserve">3 platforms</t>
  </si>
  <si>
    <t xml:space="preserve">Mohammed Albaqami</t>
  </si>
  <si>
    <t xml:space="preserve">https://x.com/MohxamedZ</t>
  </si>
  <si>
    <t xml:space="preserve">https://www.twitch.tv/ires</t>
  </si>
  <si>
    <t xml:space="preserve">https://kick.com/iabughazi</t>
  </si>
  <si>
    <t xml:space="preserve">https://www.facebook.com/AbuGhaziGaming93</t>
  </si>
  <si>
    <t xml:space="preserve">https://www.snapchat.com/add/faisalhajhasan</t>
  </si>
  <si>
    <t xml:space="preserve">https://linktr.ee/abughaazi</t>
  </si>
  <si>
    <t xml:space="preserve">Mary</t>
  </si>
  <si>
    <t xml:space="preserve">Bahraini</t>
  </si>
  <si>
    <t xml:space="preserve">5 platforms</t>
  </si>
  <si>
    <t xml:space="preserve">Maryam Maher</t>
  </si>
  <si>
    <t xml:space="preserve">https://x.com/marypink</t>
  </si>
  <si>
    <t xml:space="preserve">https://www.instagram.com/maryvalorantt/?hl=en</t>
  </si>
  <si>
    <t xml:space="preserve">https://www.twitch.tv/mary</t>
  </si>
  <si>
    <t xml:space="preserve">https://www.youtube.com/@maryvalorant/featured</t>
  </si>
  <si>
    <t xml:space="preserve">https://www.tiktok.com/@maryvalorant</t>
  </si>
  <si>
    <t xml:space="preserve">https://linktr.ee/verymarygaming</t>
  </si>
  <si>
    <t xml:space="preserve">Ghala</t>
  </si>
  <si>
    <t xml:space="preserve">Ghala Alqahtani</t>
  </si>
  <si>
    <t xml:space="preserve">https://x.com/pg_ghala3?lang=en</t>
  </si>
  <si>
    <t xml:space="preserve">https://www.instagram.com/pg_ghala3</t>
  </si>
  <si>
    <t xml:space="preserve">https://www.youtube.com/@pg_ghala3</t>
  </si>
  <si>
    <t xml:space="preserve">https://www.tiktok.com/@pg_ghala3</t>
  </si>
  <si>
    <t xml:space="preserve">https://kick.com/pg-ghala3</t>
  </si>
  <si>
    <t xml:space="preserve">https://snapchat.com/t/bLA2ZOsG</t>
  </si>
  <si>
    <t xml:space="preserve">https://linktr.ee/ga1lll</t>
  </si>
  <si>
    <t xml:space="preserve">Moaz</t>
  </si>
  <si>
    <t xml:space="preserve">Moaz Asiri</t>
  </si>
  <si>
    <t xml:space="preserve">https://x.com/mezostrong?s=21</t>
  </si>
  <si>
    <t xml:space="preserve">https://www.instagram.com/mezostrong</t>
  </si>
  <si>
    <t xml:space="preserve">https://www.youtube.com/channel/UCZCgW8WW8K_vrHrO6sZ7oyg?app=desktop</t>
  </si>
  <si>
    <t xml:space="preserve">https://www.tiktok.com/@mezostrong?_r=1&amp;_t=zs-91bbrrsefwl</t>
  </si>
  <si>
    <t xml:space="preserve">https://kick.com/MezoStrong</t>
  </si>
  <si>
    <t xml:space="preserve">vacwep</t>
  </si>
  <si>
    <t xml:space="preserve">Abdullah Mousa A Alsulaymi</t>
  </si>
  <si>
    <t xml:space="preserve">https://x.com/vacwep?s=21&amp;t=PiVx0_LPZgUm0TT5Ok_2Zw</t>
  </si>
  <si>
    <t xml:space="preserve">https://www.instagram.com/vacwep_?igsh=Z28yMXRibTZ0OWlm&amp;utm_source=qr</t>
  </si>
  <si>
    <t xml:space="preserve">https://www.tiktok.com/@vacwep?_r=1&amp;_t=ZS-94jrcxtNGEK</t>
  </si>
  <si>
    <t xml:space="preserve">https://kick.com/vacwep</t>
  </si>
  <si>
    <t xml:space="preserve">https://www.facebook.com/share/1BDLRfGMFS/?mibextid=wwXIfr</t>
  </si>
  <si>
    <t xml:space="preserve">12/07/1992</t>
  </si>
  <si>
    <t xml:space="preserve">American</t>
  </si>
  <si>
    <t xml:space="preserve">24/12/2000</t>
  </si>
  <si>
    <t xml:space="preserve">Assault Rifle / Main AR</t>
  </si>
  <si>
    <t xml:space="preserve">2 platforms</t>
  </si>
  <si>
    <t xml:space="preserve">28/10/2002</t>
  </si>
  <si>
    <t xml:space="preserve">Sub-Machine Gun (SMG)</t>
  </si>
  <si>
    <t xml:space="preserve">1999-11-11 00:00:00</t>
  </si>
  <si>
    <t xml:space="preserve">Assault Rifle / Flex</t>
  </si>
  <si>
    <t xml:space="preserve">19/08/2001</t>
  </si>
  <si>
    <t xml:space="preserve">1 platform</t>
  </si>
  <si>
    <t xml:space="preserve">2000-06-02 00:00:00</t>
  </si>
  <si>
    <t xml:space="preserve">1998-09-07 00:00:00</t>
  </si>
  <si>
    <t xml:space="preserve">21/01/2002</t>
  </si>
  <si>
    <t xml:space="preserve">Alpine</t>
  </si>
  <si>
    <t xml:space="preserve">Manager</t>
  </si>
  <si>
    <t xml:space="preserve">Alejandro Ayala</t>
  </si>
  <si>
    <t xml:space="preserve">https://x.com/alpinedadog?lang=en</t>
  </si>
  <si>
    <t xml:space="preserve">24/02/1997</t>
  </si>
  <si>
    <t xml:space="preserve">2000-01-02 00:00:00</t>
  </si>
  <si>
    <t xml:space="preserve">23/03/2004</t>
  </si>
  <si>
    <t xml:space="preserve">Tongan</t>
  </si>
  <si>
    <t xml:space="preserve">28/01/2002</t>
  </si>
  <si>
    <t xml:space="preserve">French/Iranian</t>
  </si>
  <si>
    <t xml:space="preserve">18/06/2003</t>
  </si>
  <si>
    <t xml:space="preserve">1987-12-09 00:00:00</t>
  </si>
  <si>
    <t xml:space="preserve">Jon Ellis</t>
  </si>
  <si>
    <t xml:space="preserve">0 platforms</t>
  </si>
  <si>
    <t xml:space="preserve">Jonathan Ellis</t>
  </si>
  <si>
    <t xml:space="preserve">Russian</t>
  </si>
  <si>
    <t xml:space="preserve">30/01/2008</t>
  </si>
  <si>
    <t xml:space="preserve">Rifler</t>
  </si>
  <si>
    <t xml:space="preserve">North Macedonia</t>
  </si>
  <si>
    <t xml:space="preserve">26/05/2000</t>
  </si>
  <si>
    <t xml:space="preserve">IGL</t>
  </si>
  <si>
    <t xml:space="preserve">2005-01-05 00:00:00</t>
  </si>
  <si>
    <t xml:space="preserve">Awper</t>
  </si>
  <si>
    <t xml:space="preserve">Bosnian</t>
  </si>
  <si>
    <t xml:space="preserve">16/02/1997</t>
  </si>
  <si>
    <t xml:space="preserve">OMYA</t>
  </si>
  <si>
    <t xml:space="preserve">French</t>
  </si>
  <si>
    <t xml:space="preserve">Xavier Roussac</t>
  </si>
  <si>
    <t xml:space="preserve">https://x.com/Xavier_Roussac</t>
  </si>
  <si>
    <t xml:space="preserve">20/05/1987</t>
  </si>
  <si>
    <t xml:space="preserve">Danish</t>
  </si>
  <si>
    <t xml:space="preserve">Instagram/TeseS</t>
  </si>
  <si>
    <t xml:space="preserve">2000-12-12 00:00:00</t>
  </si>
  <si>
    <t xml:space="preserve">Aymeinstein</t>
  </si>
  <si>
    <t xml:space="preserve">Assistant Coach</t>
  </si>
  <si>
    <t xml:space="preserve">Aymen Bencheikh</t>
  </si>
  <si>
    <t xml:space="preserve">https://x.com/aymeinstein</t>
  </si>
  <si>
    <t xml:space="preserve">https://www.instagram.com/aymeinsteintv</t>
  </si>
  <si>
    <t xml:space="preserve">22/04/1996</t>
  </si>
  <si>
    <t xml:space="preserve">Zonic</t>
  </si>
  <si>
    <t xml:space="preserve">Head Coach</t>
  </si>
  <si>
    <t xml:space="preserve">Danny Sørensen</t>
  </si>
  <si>
    <t xml:space="preserve">https://x.com/zonic</t>
  </si>
  <si>
    <t xml:space="preserve">Instagram/Zonic</t>
  </si>
  <si>
    <t xml:space="preserve">https://www.twitch.tv/zonic</t>
  </si>
  <si>
    <t xml:space="preserve">Facebook/Zonic</t>
  </si>
  <si>
    <t xml:space="preserve">30/07/1986</t>
  </si>
  <si>
    <t xml:space="preserve">21/04/2011</t>
  </si>
  <si>
    <t xml:space="preserve">Romanian</t>
  </si>
  <si>
    <t xml:space="preserve">15/11/2007</t>
  </si>
  <si>
    <t xml:space="preserve">AWPer</t>
  </si>
  <si>
    <t xml:space="preserve">Serbian</t>
  </si>
  <si>
    <t xml:space="preserve">30/04/2007</t>
  </si>
  <si>
    <t xml:space="preserve">NaToSaphiX</t>
  </si>
  <si>
    <t xml:space="preserve">Niels Christian Sillassen</t>
  </si>
  <si>
    <t xml:space="preserve">https://x.com/NaToSaphiX</t>
  </si>
  <si>
    <t xml:space="preserve">https://www.instagram.com/natosaphix</t>
  </si>
  <si>
    <t xml:space="preserve">https://www.twitch.tv/natosaphix</t>
  </si>
  <si>
    <t xml:space="preserve">https://www.youtube.com/NaToSaphiX</t>
  </si>
  <si>
    <t xml:space="preserve">17/08/1996</t>
  </si>
  <si>
    <t xml:space="preserve">Neoskai</t>
  </si>
  <si>
    <t xml:space="preserve">Loïc Potages</t>
  </si>
  <si>
    <t xml:space="preserve">https://x.com/Neoskai</t>
  </si>
  <si>
    <t xml:space="preserve">https://www.instagram.com/neoskai/</t>
  </si>
  <si>
    <t xml:space="preserve">16/06/1994</t>
  </si>
  <si>
    <t xml:space="preserve">North Macedonian</t>
  </si>
  <si>
    <t xml:space="preserve">2008-10-01 00:00:00</t>
  </si>
  <si>
    <t xml:space="preserve">Slovakia</t>
  </si>
  <si>
    <t xml:space="preserve">Oliver Lepko</t>
  </si>
  <si>
    <t xml:space="preserve">Instagram/Skiter</t>
  </si>
  <si>
    <t xml:space="preserve">1998-12-09 00:00:00</t>
  </si>
  <si>
    <t xml:space="preserve">Instagram/Malr1ne</t>
  </si>
  <si>
    <t xml:space="preserve">17/09/2004</t>
  </si>
  <si>
    <t xml:space="preserve">Jordanian</t>
  </si>
  <si>
    <t xml:space="preserve">Instagram/Ammar</t>
  </si>
  <si>
    <t xml:space="preserve">2005-03-05 00:00:00</t>
  </si>
  <si>
    <t xml:space="preserve">Instagram/Cr1t</t>
  </si>
  <si>
    <t xml:space="preserve">YT/Cr1t</t>
  </si>
  <si>
    <t xml:space="preserve">13/07/1996</t>
  </si>
  <si>
    <t xml:space="preserve">American / Chinese</t>
  </si>
  <si>
    <t xml:space="preserve">1995-03-05 00:00:00</t>
  </si>
  <si>
    <t xml:space="preserve">Aui_2000</t>
  </si>
  <si>
    <t xml:space="preserve">Canada</t>
  </si>
  <si>
    <t xml:space="preserve">Kurtis Ling</t>
  </si>
  <si>
    <t xml:space="preserve">https://x.com/Aui_2000</t>
  </si>
  <si>
    <t xml:space="preserve">https://www.twitch.tv/aui_2000</t>
  </si>
  <si>
    <t xml:space="preserve">YT/Aui_2000</t>
  </si>
  <si>
    <t xml:space="preserve">1992-02-10 00:00:00</t>
  </si>
  <si>
    <t xml:space="preserve">AfromOush</t>
  </si>
  <si>
    <t xml:space="preserve">Mohammad Abu Al Eis</t>
  </si>
  <si>
    <t xml:space="preserve">https://x.com/AfrOmoush</t>
  </si>
  <si>
    <t xml:space="preserve">https://www.twitch.tv/afromoush</t>
  </si>
  <si>
    <t xml:space="preserve">https://www.facebook.com/RealAfrOmoush</t>
  </si>
  <si>
    <t xml:space="preserve">1996-06-12 00:00:00</t>
  </si>
  <si>
    <t xml:space="preserve">Bonkers</t>
  </si>
  <si>
    <t xml:space="preserve">Analyst</t>
  </si>
  <si>
    <t xml:space="preserve">British</t>
  </si>
  <si>
    <t xml:space="preserve">Allen Cook</t>
  </si>
  <si>
    <t xml:space="preserve">https://x.com/thisisallencook</t>
  </si>
  <si>
    <t xml:space="preserve">15/02/1980</t>
  </si>
  <si>
    <t xml:space="preserve">15/02/2000</t>
  </si>
  <si>
    <t xml:space="preserve">Hafez</t>
  </si>
  <si>
    <t xml:space="preserve">Coach</t>
  </si>
  <si>
    <t xml:space="preserve">Mohammad Hafiz</t>
  </si>
  <si>
    <t xml:space="preserve">https://x.com/_Hafez10</t>
  </si>
  <si>
    <t xml:space="preserve">29/12/1997</t>
  </si>
  <si>
    <t xml:space="preserve">Javivillar7</t>
  </si>
  <si>
    <t xml:space="preserve">Spanish</t>
  </si>
  <si>
    <t xml:space="preserve">Javier Villar Gómez</t>
  </si>
  <si>
    <t xml:space="preserve">https://x.com/Javivillar7</t>
  </si>
  <si>
    <t xml:space="preserve">Instagram/Javivillar7</t>
  </si>
  <si>
    <t xml:space="preserve">https://www.twitch.tv/javivillar7/</t>
  </si>
  <si>
    <t xml:space="preserve">https://www.youtube.com/@javivillar7</t>
  </si>
  <si>
    <t xml:space="preserve">https://www.tiktok.com/@javivillar7?lang=en</t>
  </si>
  <si>
    <t xml:space="preserve">31/12/2002</t>
  </si>
  <si>
    <t xml:space="preserve">Instagram/Msdossary</t>
  </si>
  <si>
    <t xml:space="preserve">YT/Msdossary7</t>
  </si>
  <si>
    <t xml:space="preserve">20/03/2000</t>
  </si>
  <si>
    <t xml:space="preserve">25/01/2006</t>
  </si>
  <si>
    <t xml:space="preserve">A9</t>
  </si>
  <si>
    <t xml:space="preserve">Aseel Aldokheel</t>
  </si>
  <si>
    <t xml:space="preserve">1996-10-05 00:00:00</t>
  </si>
  <si>
    <t xml:space="preserve">2008-11-05 00:00:00</t>
  </si>
  <si>
    <t xml:space="preserve">Rashed</t>
  </si>
  <si>
    <t xml:space="preserve">Saudi</t>
  </si>
  <si>
    <t xml:space="preserve">Rashed Aldmaikhi</t>
  </si>
  <si>
    <t xml:space="preserve">30/05/1987</t>
  </si>
  <si>
    <t xml:space="preserve">Taiwan</t>
  </si>
  <si>
    <t xml:space="preserve">20/11/1984</t>
  </si>
  <si>
    <t xml:space="preserve">Ghirlanda</t>
  </si>
  <si>
    <t xml:space="preserve">Italian</t>
  </si>
  <si>
    <t xml:space="preserve">Joshua Bianchi</t>
  </si>
  <si>
    <t xml:space="preserve">https://x.com/ghirlandatekken</t>
  </si>
  <si>
    <t xml:space="preserve">26/02/1992</t>
  </si>
  <si>
    <t xml:space="preserve">Japanese</t>
  </si>
  <si>
    <t xml:space="preserve">27/08/1984</t>
  </si>
  <si>
    <t xml:space="preserve">Japan</t>
  </si>
  <si>
    <t xml:space="preserve">20/03/1985</t>
  </si>
  <si>
    <t xml:space="preserve">26/11/1983</t>
  </si>
  <si>
    <t xml:space="preserve">Mexican</t>
  </si>
  <si>
    <t xml:space="preserve">14/03/1982</t>
  </si>
  <si>
    <t xml:space="preserve">1986-03-09 00:00:00</t>
  </si>
  <si>
    <t xml:space="preserve">South Korean</t>
  </si>
  <si>
    <t xml:space="preserve">1989-01-09 00:00:00</t>
  </si>
  <si>
    <t xml:space="preserve">China</t>
  </si>
  <si>
    <t xml:space="preserve">26/04/1989</t>
  </si>
  <si>
    <t xml:space="preserve">American/Hungarian</t>
  </si>
  <si>
    <t xml:space="preserve">20/06/2007</t>
  </si>
  <si>
    <t xml:space="preserve">31/03/2004</t>
  </si>
  <si>
    <t xml:space="preserve">Abdullah Albaqami</t>
  </si>
  <si>
    <t xml:space="preserve">24/09/2002</t>
  </si>
  <si>
    <t xml:space="preserve">2002-09-03 00:00:00</t>
  </si>
  <si>
    <t xml:space="preserve">26/02/2002</t>
  </si>
  <si>
    <t xml:space="preserve">2004-11-04 00:00:00</t>
  </si>
  <si>
    <t xml:space="preserve">Matteo</t>
  </si>
  <si>
    <t xml:space="preserve">Matteo Paganin</t>
  </si>
  <si>
    <t xml:space="preserve">Conan</t>
  </si>
  <si>
    <t xml:space="preserve">Thailand</t>
  </si>
  <si>
    <t xml:space="preserve">Tana Kamruang</t>
  </si>
  <si>
    <t xml:space="preserve">https://www.instagram.com/thana_kamruang/</t>
  </si>
  <si>
    <t xml:space="preserve">https://facebook.com/profile.php?id=100006004232176</t>
  </si>
  <si>
    <t xml:space="preserve">1993-02-03 00:00:00</t>
  </si>
  <si>
    <t xml:space="preserve">13/01/2006</t>
  </si>
  <si>
    <t xml:space="preserve">20/02/2006</t>
  </si>
  <si>
    <t xml:space="preserve">ONEMORE</t>
  </si>
  <si>
    <t xml:space="preserve">2005-09-05 00:00:00</t>
  </si>
  <si>
    <t xml:space="preserve">27/09/2005</t>
  </si>
  <si>
    <t xml:space="preserve">Natthawut Srinaknil</t>
  </si>
  <si>
    <t xml:space="preserve">13/09/2006</t>
  </si>
  <si>
    <t xml:space="preserve">Ratchata Soonklang</t>
  </si>
  <si>
    <t xml:space="preserve">2009-04-02 00:00:00</t>
  </si>
  <si>
    <t xml:space="preserve">SAINOI</t>
  </si>
  <si>
    <t xml:space="preserve">Worrawan Kasikarn</t>
  </si>
  <si>
    <t xml:space="preserve">25/09/2002</t>
  </si>
  <si>
    <t xml:space="preserve">Driver</t>
  </si>
  <si>
    <t xml:space="preserve">30/06/2003</t>
  </si>
  <si>
    <t xml:space="preserve">21/02/2005</t>
  </si>
  <si>
    <t xml:space="preserve">17/06/1999</t>
  </si>
  <si>
    <t xml:space="preserve">Skwal</t>
  </si>
  <si>
    <t xml:space="preserve">Nicolas Sautron</t>
  </si>
  <si>
    <t xml:space="preserve">https://x.com/SkwalGG</t>
  </si>
  <si>
    <t xml:space="preserve">https://www.instagram.com/skwalgg/</t>
  </si>
  <si>
    <t xml:space="preserve">28/03/1992</t>
  </si>
  <si>
    <t xml:space="preserve">Philippines</t>
  </si>
  <si>
    <t xml:space="preserve">29/01/2003</t>
  </si>
  <si>
    <t xml:space="preserve">Jungler</t>
  </si>
  <si>
    <t xml:space="preserve">19/10/2002</t>
  </si>
  <si>
    <t xml:space="preserve">Middle</t>
  </si>
  <si>
    <t xml:space="preserve">Kakashi</t>
  </si>
  <si>
    <t xml:space="preserve">Egypt</t>
  </si>
  <si>
    <t xml:space="preserve">AMR WAFED YASSIN</t>
  </si>
  <si>
    <t xml:space="preserve">https://www.instagram.com/cuffin_ml</t>
  </si>
  <si>
    <t xml:space="preserve">2001-06-08 00:00:00</t>
  </si>
  <si>
    <t xml:space="preserve">Saano</t>
  </si>
  <si>
    <t xml:space="preserve">SULAIMAN MUSALLAM ALRASHDI</t>
  </si>
  <si>
    <t xml:space="preserve">30/06/2004</t>
  </si>
  <si>
    <t xml:space="preserve">Gold Lane</t>
  </si>
  <si>
    <t xml:space="preserve">2003-03-02 00:00:00</t>
  </si>
  <si>
    <t xml:space="preserve">EXP Lane</t>
  </si>
  <si>
    <t xml:space="preserve">Tarzaan</t>
  </si>
  <si>
    <t xml:space="preserve">Mohammed Ayman Kharabah</t>
  </si>
  <si>
    <t xml:space="preserve">14/05/2000</t>
  </si>
  <si>
    <t xml:space="preserve">Troll</t>
  </si>
  <si>
    <t xml:space="preserve">Moayed ayman kharaba</t>
  </si>
  <si>
    <t xml:space="preserve">31/01/2007</t>
  </si>
  <si>
    <t xml:space="preserve">Roamer</t>
  </si>
  <si>
    <t xml:space="preserve">25/04/2001</t>
  </si>
  <si>
    <t xml:space="preserve">2000-06-10 00:00:00</t>
  </si>
  <si>
    <t xml:space="preserve">23/04/2003</t>
  </si>
  <si>
    <t xml:space="preserve">Moody</t>
  </si>
  <si>
    <t xml:space="preserve">Mohammad Samal</t>
  </si>
  <si>
    <t xml:space="preserve">https://www.instagram.com/moodysamal</t>
  </si>
  <si>
    <t xml:space="preserve">https://www.tiktok.com/@flcn.moody</t>
  </si>
  <si>
    <t xml:space="preserve">https://www.facebook.com/liquidcoachmoody/</t>
  </si>
  <si>
    <t xml:space="preserve">26/08/1996</t>
  </si>
  <si>
    <t xml:space="preserve">VR3N</t>
  </si>
  <si>
    <t xml:space="preserve">Vrendon Pesebre</t>
  </si>
  <si>
    <t xml:space="preserve">https://www.instagram.com/vrendonlin</t>
  </si>
  <si>
    <t xml:space="preserve">https://www.tiktok.com/@vrendonlin</t>
  </si>
  <si>
    <t xml:space="preserve">https://www.facebook.com/kutspogi</t>
  </si>
  <si>
    <t xml:space="preserve">22/04/1991</t>
  </si>
  <si>
    <t xml:space="preserve">15/12/2004</t>
  </si>
  <si>
    <t xml:space="preserve">Koba</t>
  </si>
  <si>
    <t xml:space="preserve">MOHMMED MHMOUD MOHMMED TELEB</t>
  </si>
  <si>
    <t xml:space="preserve">https://www.instagram.com/koba_ashiii</t>
  </si>
  <si>
    <t xml:space="preserve">2004-05-10 00:00:00</t>
  </si>
  <si>
    <t xml:space="preserve">2001-09-11 00:00:00</t>
  </si>
  <si>
    <t xml:space="preserve">1998-11-02 00:00:00</t>
  </si>
  <si>
    <t xml:space="preserve">Nana</t>
  </si>
  <si>
    <t xml:space="preserve">Nagham Khaled Abouelseoud Emam</t>
  </si>
  <si>
    <t xml:space="preserve">19/07/2003</t>
  </si>
  <si>
    <t xml:space="preserve">Indonesian</t>
  </si>
  <si>
    <t xml:space="preserve">20/11/1998</t>
  </si>
  <si>
    <t xml:space="preserve">21/04/2004</t>
  </si>
  <si>
    <t xml:space="preserve">1995-04-05 00:00:00</t>
  </si>
  <si>
    <t xml:space="preserve">2001-12-09 00:00:00</t>
  </si>
  <si>
    <t xml:space="preserve">2000-11-02 00:00:00</t>
  </si>
  <si>
    <t xml:space="preserve">20/08/2001</t>
  </si>
  <si>
    <t xml:space="preserve">Luckyboi</t>
  </si>
  <si>
    <t xml:space="preserve">Aulia Eka Achyunda Putra</t>
  </si>
  <si>
    <t xml:space="preserve">https://www.instagram.com/putraeka672_</t>
  </si>
  <si>
    <t xml:space="preserve">https://www.tiktok.com/@putraeka672_</t>
  </si>
  <si>
    <t xml:space="preserve">30/06/2002</t>
  </si>
  <si>
    <t xml:space="preserve">Mozia</t>
  </si>
  <si>
    <t xml:space="preserve">Aditya Kusuma Putra</t>
  </si>
  <si>
    <t xml:space="preserve">https://www.instagram.com/moziaulus</t>
  </si>
  <si>
    <t xml:space="preserve">https://www.youtube.com/@Moziaulus</t>
  </si>
  <si>
    <t xml:space="preserve">https://www.tiktok.com/@moziaulus</t>
  </si>
  <si>
    <t xml:space="preserve">Ren</t>
  </si>
  <si>
    <t xml:space="preserve">Daren Paul Vitug</t>
  </si>
  <si>
    <t xml:space="preserve">1989-02-09 00:00:00</t>
  </si>
  <si>
    <t xml:space="preserve">fantasea</t>
  </si>
  <si>
    <t xml:space="preserve">Isfan Satria Wijaya</t>
  </si>
  <si>
    <t xml:space="preserve">https://x.com/isfantasea</t>
  </si>
  <si>
    <t xml:space="preserve">https://www.instagram.com/is.fantasea</t>
  </si>
  <si>
    <t xml:space="preserve">https://www.youtube.com/@Isfantasea</t>
  </si>
  <si>
    <t xml:space="preserve">https://www.tiktok.com/@isfantasea</t>
  </si>
  <si>
    <t xml:space="preserve">https://www.facebook.com/isfan.satria.wijaya/</t>
  </si>
  <si>
    <t xml:space="preserve">16/09/1994</t>
  </si>
  <si>
    <t xml:space="preserve">2003-08-09 00:00:00</t>
  </si>
  <si>
    <t xml:space="preserve">Support</t>
  </si>
  <si>
    <t xml:space="preserve">29/01/2002</t>
  </si>
  <si>
    <t xml:space="preserve">20/02/2002</t>
  </si>
  <si>
    <t xml:space="preserve">Tank</t>
  </si>
  <si>
    <t xml:space="preserve">Levi</t>
  </si>
  <si>
    <t xml:space="preserve">Chunghyeok Jeong</t>
  </si>
  <si>
    <t xml:space="preserve">https://x.com/OW_Levi</t>
  </si>
  <si>
    <t xml:space="preserve">https://www.instagram.com/choooooooong/#</t>
  </si>
  <si>
    <t xml:space="preserve">14/09/1992</t>
  </si>
  <si>
    <t xml:space="preserve">21/06/2002</t>
  </si>
  <si>
    <t xml:space="preserve">DPS</t>
  </si>
  <si>
    <t xml:space="preserve">NineK</t>
  </si>
  <si>
    <t xml:space="preserve">BumHoon Kim</t>
  </si>
  <si>
    <t xml:space="preserve">https://twitter.com/NineK_OW</t>
  </si>
  <si>
    <t xml:space="preserve">https://www.youtube.com/@NineKK999/streams</t>
  </si>
  <si>
    <t xml:space="preserve">1988-10-09 00:00:00</t>
  </si>
  <si>
    <t xml:space="preserve">24/04/2004</t>
  </si>
  <si>
    <t xml:space="preserve">SP9RK1E</t>
  </si>
  <si>
    <t xml:space="preserve">Yeonghan Kim</t>
  </si>
  <si>
    <t xml:space="preserve">https://twitter.com/SP9RK1E_OW</t>
  </si>
  <si>
    <t xml:space="preserve">https://t.co/Ig6Fh5khWl</t>
  </si>
  <si>
    <t xml:space="preserve">https://www.twitch.tv/sp9rk1e</t>
  </si>
  <si>
    <t xml:space="preserve">https://www.youtube.com/channel/UCqS9XBZgzXiolPUsWX2cQ</t>
  </si>
  <si>
    <t xml:space="preserve">31/05/2002</t>
  </si>
  <si>
    <t xml:space="preserve">Gunner</t>
  </si>
  <si>
    <t xml:space="preserve">Owen Andrew Monahan</t>
  </si>
  <si>
    <t xml:space="preserve">https://x.com/Owenusmc21</t>
  </si>
  <si>
    <t xml:space="preserve">https://www.instagram.com/machinegunnerusmc</t>
  </si>
  <si>
    <t xml:space="preserve">https://www.twitch.tv/MACHINEGUNNERUSMC</t>
  </si>
  <si>
    <t xml:space="preserve">21/02/1988</t>
  </si>
  <si>
    <t xml:space="preserve">Hunter Maurice Winn</t>
  </si>
  <si>
    <t xml:space="preserve">28/04/1994</t>
  </si>
  <si>
    <t xml:space="preserve">13/05/2001</t>
  </si>
  <si>
    <t xml:space="preserve">22/11/2027</t>
  </si>
  <si>
    <t xml:space="preserve">Australian</t>
  </si>
  <si>
    <t xml:space="preserve">James Sebastian Giezen</t>
  </si>
  <si>
    <t xml:space="preserve">2000-10-11 00:00:00</t>
  </si>
  <si>
    <t xml:space="preserve">30/07/1996</t>
  </si>
  <si>
    <t xml:space="preserve">eaglemees</t>
  </si>
  <si>
    <t xml:space="preserve">Nethelands</t>
  </si>
  <si>
    <t xml:space="preserve">Mees van der Arend</t>
  </si>
  <si>
    <t xml:space="preserve">https://x.com/eaglemees</t>
  </si>
  <si>
    <t xml:space="preserve">30/09/2001</t>
  </si>
  <si>
    <t xml:space="preserve">Frenchi</t>
  </si>
  <si>
    <t xml:space="preserve">Paul Droal</t>
  </si>
  <si>
    <t xml:space="preserve">27/11/1998</t>
  </si>
  <si>
    <t xml:space="preserve">Julio</t>
  </si>
  <si>
    <t xml:space="preserve">Brasilian</t>
  </si>
  <si>
    <t xml:space="preserve">Julio Giacomelli</t>
  </si>
  <si>
    <t xml:space="preserve">https://twitter.com/JULIOAKAJULIO1</t>
  </si>
  <si>
    <t xml:space="preserve">https://www.instagram.com/juliogiacomelli</t>
  </si>
  <si>
    <t xml:space="preserve">https://www.twitch.tv/juliojuliojuliojuliojulio</t>
  </si>
  <si>
    <t xml:space="preserve">25/05/1994</t>
  </si>
  <si>
    <t xml:space="preserve">2003-06-06 00:00:00</t>
  </si>
  <si>
    <t xml:space="preserve">Turkish</t>
  </si>
  <si>
    <t xml:space="preserve">19/04/2001</t>
  </si>
  <si>
    <t xml:space="preserve">Flex entry</t>
  </si>
  <si>
    <t xml:space="preserve">Stooflex</t>
  </si>
  <si>
    <t xml:space="preserve">Samy Smail</t>
  </si>
  <si>
    <t xml:space="preserve">https://twitter.com/stooflex</t>
  </si>
  <si>
    <t xml:space="preserve">24/05/1990</t>
  </si>
  <si>
    <t xml:space="preserve">24/05/2000</t>
  </si>
  <si>
    <t xml:space="preserve">Flex support</t>
  </si>
  <si>
    <t xml:space="preserve">Azzam</t>
  </si>
  <si>
    <t xml:space="preserve">Azzam Al-Jabr</t>
  </si>
  <si>
    <t xml:space="preserve">https://twitter.com/AzzamAljabr</t>
  </si>
  <si>
    <t xml:space="preserve">13/10/1992</t>
  </si>
  <si>
    <t xml:space="preserve">d7oom24</t>
  </si>
  <si>
    <t xml:space="preserve">Abdulrahman Bin Fayez</t>
  </si>
  <si>
    <t xml:space="preserve">https://x.com/id7oom_24</t>
  </si>
  <si>
    <t xml:space="preserve">Instagram/D7oom24</t>
  </si>
  <si>
    <t xml:space="preserve">2003-03-08 00:00:00</t>
  </si>
  <si>
    <t xml:space="preserve">Morrocan / Canadian</t>
  </si>
  <si>
    <t xml:space="preserve">2007-06-10 00:00:00</t>
  </si>
  <si>
    <t xml:space="preserve">Instagram/Kiileerrz</t>
  </si>
  <si>
    <t xml:space="preserve">2007-10-06 00:00:00</t>
  </si>
  <si>
    <t xml:space="preserve">Saleh Bakhashwin</t>
  </si>
  <si>
    <t xml:space="preserve">Bunny</t>
  </si>
  <si>
    <t xml:space="preserve">Starcraft 2</t>
  </si>
  <si>
    <t xml:space="preserve">South Korea</t>
  </si>
  <si>
    <t xml:space="preserve">JaeSun Lee</t>
  </si>
  <si>
    <t xml:space="preserve">https://x.com/KOR_Bunny</t>
  </si>
  <si>
    <t xml:space="preserve">https://www.instagram.com/sc2_jlee/#</t>
  </si>
  <si>
    <t xml:space="preserve">1995-11-09 00:00:00</t>
  </si>
  <si>
    <t xml:space="preserve">Rogue</t>
  </si>
  <si>
    <t xml:space="preserve">ByeongYeol Lee</t>
  </si>
  <si>
    <t xml:space="preserve">https://www.instagram.com/b_ryul.l/#</t>
  </si>
  <si>
    <t xml:space="preserve">13/01/1994</t>
  </si>
  <si>
    <t xml:space="preserve">Solar</t>
  </si>
  <si>
    <t xml:space="preserve">Kang Minsoo</t>
  </si>
  <si>
    <t xml:space="preserve">https://x.com/SC2_Solar</t>
  </si>
  <si>
    <t xml:space="preserve">https://www.instagram.com/sc2solar/#</t>
  </si>
  <si>
    <t xml:space="preserve">https://www.twitch.tv/sc2solar</t>
  </si>
  <si>
    <t xml:space="preserve">1996-09-05 00:00:00</t>
  </si>
  <si>
    <t xml:space="preserve">Chilean</t>
  </si>
  <si>
    <t xml:space="preserve">2011-08-05 00:00:00</t>
  </si>
  <si>
    <t xml:space="preserve">25/07/1999</t>
  </si>
  <si>
    <t xml:space="preserve">NL</t>
  </si>
  <si>
    <t xml:space="preserve">Sim Geon</t>
  </si>
  <si>
    <t xml:space="preserve">https://x.com/sf5nl</t>
  </si>
  <si>
    <t xml:space="preserve">https://www.twitch.tv/jungjil</t>
  </si>
  <si>
    <t xml:space="preserve">https://www.youtube.com/@nltv9433</t>
  </si>
  <si>
    <t xml:space="preserve">23/02/1987</t>
  </si>
  <si>
    <t xml:space="preserve">17/09/2000</t>
  </si>
  <si>
    <t xml:space="preserve">Pakistan</t>
  </si>
  <si>
    <t xml:space="preserve">1997-04-08 00:00:00</t>
  </si>
  <si>
    <t xml:space="preserve">2002-06-09 00:00:00</t>
  </si>
  <si>
    <t xml:space="preserve">1998-01-04 00:00:00</t>
  </si>
  <si>
    <t xml:space="preserve">2003-01-07 00:00:00</t>
  </si>
  <si>
    <t xml:space="preserve">Filipino</t>
  </si>
  <si>
    <t xml:space="preserve">14/08/2002</t>
  </si>
  <si>
    <t xml:space="preserve">2004-02-03 00:00:00</t>
  </si>
  <si>
    <t xml:space="preserve">24/12/2004</t>
  </si>
  <si>
    <t xml:space="preserve">2003-10-03 00:00:00</t>
  </si>
  <si>
    <t xml:space="preserve">Dannyto</t>
  </si>
  <si>
    <t xml:space="preserve">Bulgarian</t>
  </si>
  <si>
    <t xml:space="preserve">Danail Sofroniev</t>
  </si>
  <si>
    <t xml:space="preserve">https://x.com/DANNYTO_vlr</t>
  </si>
  <si>
    <t xml:space="preserve">20/03/1995</t>
  </si>
  <si>
    <t xml:space="preserve">Canadian</t>
  </si>
  <si>
    <t xml:space="preserve">17/12/1996</t>
  </si>
  <si>
    <t xml:space="preserve">Spammiej</t>
  </si>
  <si>
    <t xml:space="preserve">Dutch</t>
  </si>
  <si>
    <t xml:space="preserve">Tim Lunenburg</t>
  </si>
  <si>
    <t xml:space="preserve">https://x.com/Spammiejj</t>
  </si>
  <si>
    <t xml:space="preserve">https://www.instagram.com/timmmiej/</t>
  </si>
  <si>
    <t xml:space="preserve">https://www.twitch.tv/spammiej</t>
  </si>
  <si>
    <t xml:space="preserve">https://www.youtube.com/Spammiej</t>
  </si>
  <si>
    <t xml:space="preserve">https://www.facebook.com/Spammiej</t>
  </si>
  <si>
    <t xml:space="preserve">17/07/1994</t>
  </si>
  <si>
    <t xml:space="preserve">25/05/1998</t>
  </si>
  <si>
    <t xml:space="preserve">16/10/2003</t>
  </si>
  <si>
    <t xml:space="preserve">2003-04-09 00:00:00</t>
  </si>
  <si>
    <t xml:space="preserve">Norwegian</t>
  </si>
  <si>
    <t xml:space="preserve">2004-06-06 00:00:00</t>
  </si>
  <si>
    <t xml:space="preserve">Mexican/American</t>
  </si>
  <si>
    <t xml:space="preserve">Miguel Moreno</t>
  </si>
  <si>
    <t xml:space="preserve">2008-08-05 00:00:00</t>
  </si>
  <si>
    <t xml:space="preserve">2004-05-07 00:00:00</t>
  </si>
  <si>
    <t xml:space="preserve">Exp Lane</t>
  </si>
  <si>
    <t xml:space="preserve">19/08/2005</t>
  </si>
  <si>
    <t xml:space="preserve">24/11/2002</t>
  </si>
  <si>
    <t xml:space="preserve">Ducky</t>
  </si>
  <si>
    <t xml:space="preserve">Francis John Glindro</t>
  </si>
  <si>
    <t xml:space="preserve">https://www.instagram.com/duckeyyyy</t>
  </si>
  <si>
    <t xml:space="preserve">https://www.tiktok.com/@duckeythevillain</t>
  </si>
  <si>
    <t xml:space="preserve">https://www.facebook.com/duckeyyythevillain</t>
  </si>
  <si>
    <t xml:space="preserve">20/06/1990</t>
  </si>
  <si>
    <t xml:space="preserve">2001-08-05 00:00:00</t>
  </si>
  <si>
    <t xml:space="preserve">German</t>
  </si>
  <si>
    <t xml:space="preserve">2003-10-04 00:00:00</t>
  </si>
  <si>
    <t xml:space="preserve">Entry</t>
  </si>
  <si>
    <t xml:space="preserve">Luy</t>
  </si>
  <si>
    <t xml:space="preserve">Layan Almahmoud</t>
  </si>
  <si>
    <t xml:space="preserve">2005-01-04 00:00:00</t>
  </si>
  <si>
    <t xml:space="preserve">CAROT</t>
  </si>
  <si>
    <t xml:space="preserve">Vietnamese</t>
  </si>
  <si>
    <t xml:space="preserve">NGUYEN TRUNG KHANG</t>
  </si>
  <si>
    <t xml:space="preserve">21/07/2007</t>
  </si>
  <si>
    <t xml:space="preserve">DANXY</t>
  </si>
  <si>
    <t xml:space="preserve">Nguyen Bao Duy</t>
  </si>
  <si>
    <t xml:space="preserve">24/08/2008</t>
  </si>
  <si>
    <t xml:space="preserve">LDX</t>
  </si>
  <si>
    <t xml:space="preserve">Luong Duc Tuan</t>
  </si>
  <si>
    <t xml:space="preserve">1998-10-05 00:00:00</t>
  </si>
  <si>
    <t xml:space="preserve">2003-12-02 00:00:00</t>
  </si>
  <si>
    <t xml:space="preserve">1994-02-11 00:00:00</t>
  </si>
  <si>
    <t xml:space="preserve">Draugr</t>
  </si>
  <si>
    <t xml:space="preserve">Kyle Gillard</t>
  </si>
  <si>
    <t xml:space="preserve">https://x.com/DraugrAU</t>
  </si>
  <si>
    <t xml:space="preserve">https://www.twitch.tv/DraugrAU</t>
  </si>
  <si>
    <t xml:space="preserve">13/05/2000</t>
  </si>
  <si>
    <t xml:space="preserve">Instagram/ImperialHal</t>
  </si>
  <si>
    <t xml:space="preserve">YT/ImperialHal</t>
  </si>
  <si>
    <t xml:space="preserve">31/05/1999</t>
  </si>
  <si>
    <t xml:space="preserve">Privacy</t>
  </si>
  <si>
    <t xml:space="preserve">German / Syrian</t>
  </si>
  <si>
    <t xml:space="preserve">Yaman Kayal</t>
  </si>
  <si>
    <t xml:space="preserve">https://x.com/Privacy_Pleas</t>
  </si>
  <si>
    <t xml:space="preserve">https://www.twitch.tv/priv4cy</t>
  </si>
  <si>
    <t xml:space="preserve">https://www.youtube.com/@Priv4cyy</t>
  </si>
  <si>
    <t xml:space="preserve">https://www.tiktok.com/@priv4cyy</t>
  </si>
  <si>
    <t xml:space="preserve">1988-01-10 00:00:00</t>
  </si>
  <si>
    <t xml:space="preserve">Instagram/Wxltzy</t>
  </si>
  <si>
    <t xml:space="preserve">2000-04-09 00:00:00</t>
  </si>
  <si>
    <t xml:space="preserve">Clayster</t>
  </si>
  <si>
    <t xml:space="preserve">James Eubanks</t>
  </si>
  <si>
    <t xml:space="preserve">https://x.com/Clayster</t>
  </si>
  <si>
    <t xml:space="preserve">https://www.instagram.com/clayster</t>
  </si>
  <si>
    <t xml:space="preserve">https://www.twitch.tv/clayster</t>
  </si>
  <si>
    <t xml:space="preserve">1992-07-05 00:00:00</t>
  </si>
  <si>
    <t xml:space="preserve">3x World Champion</t>
  </si>
  <si>
    <t xml:space="preserve">MoT3yyB</t>
  </si>
  <si>
    <t xml:space="preserve">Mutab Almuammar</t>
  </si>
  <si>
    <t xml:space="preserve">https://x.com/MoT3yyB</t>
  </si>
  <si>
    <t xml:space="preserve">28/09/1998</t>
  </si>
  <si>
    <t xml:space="preserve">S&amp;D Master</t>
  </si>
  <si>
    <t xml:space="preserve">JPDigits</t>
  </si>
  <si>
    <t xml:space="preserve">United Kingdom</t>
  </si>
  <si>
    <t xml:space="preserve">Jonathan Perry</t>
  </si>
  <si>
    <t xml:space="preserve">https://x.com/JPerry264</t>
  </si>
  <si>
    <t xml:space="preserve">13/06/1994</t>
  </si>
  <si>
    <t xml:space="preserve">30 — CREATOR RATE CARD (v1.0)</t>
  </si>
  <si>
    <t xml:space="preserve">Ceiling rates anchored to Falcons creator cap. Opening offer = Ceiling × Opening Factor. Creator lane shares the 40_Adjustment_Matrix governance spine.</t>
  </si>
  <si>
    <t xml:space="preserve">Ceiling Platform Rates (SAR)</t>
  </si>
  <si>
    <t xml:space="preserve">Ref / Ops</t>
  </si>
  <si>
    <t xml:space="preserve">Weighted Score</t>
  </si>
  <si>
    <t xml:space="preserve">Legacy 1M Usage Rights (ref)</t>
  </si>
  <si>
    <t xml:space="preserve">Opening Factor</t>
  </si>
  <si>
    <t xml:space="preserve">Markup %
(on Creator Cost)</t>
  </si>
  <si>
    <t xml:space="preserve">BanderitaX</t>
  </si>
  <si>
    <t xml:space="preserve">Legacy rights ceiling preserved for reference; quote builder uses structured rights bundles instead.</t>
  </si>
  <si>
    <t xml:space="preserve">oPiiLz</t>
  </si>
  <si>
    <t xml:space="preserve">Aziz</t>
  </si>
  <si>
    <t xml:space="preserve">Bo3omar22</t>
  </si>
  <si>
    <t xml:space="preserve">Abu abeer</t>
  </si>
  <si>
    <t xml:space="preserve">LLE</t>
  </si>
  <si>
    <t xml:space="preserve">Oden</t>
  </si>
  <si>
    <t xml:space="preserve">xSMA333</t>
  </si>
  <si>
    <t xml:space="preserve">3ADEL</t>
  </si>
  <si>
    <t xml:space="preserve">RAED</t>
  </si>
  <si>
    <t xml:space="preserve">Falcons</t>
  </si>
  <si>
    <t xml:space="preserve">Drb7h</t>
  </si>
  <si>
    <t xml:space="preserve">FZX</t>
  </si>
  <si>
    <t xml:space="preserve">SaudCast</t>
  </si>
  <si>
    <t xml:space="preserve">Hamad</t>
  </si>
  <si>
    <t xml:space="preserve">9leeh</t>
  </si>
  <si>
    <t xml:space="preserve">40 — ADJUSTMENT MATRIX  ·  9-AXIS COMMERCIAL DECISION SYSTEM</t>
  </si>
  <si>
    <t xml:space="preserve">A serious commercial engine — not a decorative multiplier sheet. Confidence gates premiums. Authority floor protects dignity. Rights are additive and separated from organic.</t>
  </si>
  <si>
    <t xml:space="preserve">SECTION 1 — THE 9 AXES</t>
  </si>
  <si>
    <t xml:space="preserve">Axis</t>
  </si>
  <si>
    <t xml:space="preserve">Name</t>
  </si>
  <si>
    <t xml:space="preserve">Source Lookup</t>
  </si>
  <si>
    <t xml:space="preserve">Commercial Logic</t>
  </si>
  <si>
    <t xml:space="preserve">A</t>
  </si>
  <si>
    <t xml:space="preserve">Engagement</t>
  </si>
  <si>
    <t xml:space="preserve">Highest-weight real value driver</t>
  </si>
  <si>
    <t xml:space="preserve">LKP_Engagement</t>
  </si>
  <si>
    <t xml:space="preserve">Interactions ÷ followers. Rewards real audience reaction over raw size.</t>
  </si>
  <si>
    <t xml:space="preserve">B</t>
  </si>
  <si>
    <t xml:space="preserve">Audience Quality</t>
  </si>
  <si>
    <t xml:space="preserve">Fit with target persona</t>
  </si>
  <si>
    <t xml:space="preserve">LKP_Audience</t>
  </si>
  <si>
    <t xml:space="preserve">Esports/Gaming/MENA alignment. Reduces premium for off-target audiences.</t>
  </si>
  <si>
    <t xml:space="preserve">C</t>
  </si>
  <si>
    <t xml:space="preserve">Campaign Objective</t>
  </si>
  <si>
    <t xml:space="preserve">Awareness / Conversion / Trust</t>
  </si>
  <si>
    <t xml:space="preserve">LKP_Objective</t>
  </si>
  <si>
    <t xml:space="preserve">ObjectiveWeight scales how aggressively Authority compounds (ObjWeight × AuthMult).</t>
  </si>
  <si>
    <t xml:space="preserve">D</t>
  </si>
  <si>
    <t xml:space="preserve">Authority / Status</t>
  </si>
  <si>
    <t xml:space="preserve">Player prestige or creator clout</t>
  </si>
  <si>
    <t xml:space="preserve">LKP_Authority</t>
  </si>
  <si>
    <t xml:space="preserve">AuthorityFactor = 1 + ObjWeight × (AuthMult − 1). Trust campaigns scale authority most.</t>
  </si>
  <si>
    <t xml:space="preserve">E</t>
  </si>
  <si>
    <t xml:space="preserve">Language / Region</t>
  </si>
  <si>
    <t xml:space="preserve">Linguistic &amp; cultural fit</t>
  </si>
  <si>
    <t xml:space="preserve">LKP_Language</t>
  </si>
  <si>
    <t xml:space="preserve">Dialect &amp; bilingual capability earn premium in MENA campaigns.</t>
  </si>
  <si>
    <t xml:space="preserve">F</t>
  </si>
  <si>
    <t xml:space="preserve">Seasonality</t>
  </si>
  <si>
    <t xml:space="preserve">Campaign timing vs calendar peaks</t>
  </si>
  <si>
    <t xml:space="preserve">LKP_Season</t>
  </si>
  <si>
    <t xml:space="preserve">EWC / Worlds / Ramadan spikes. Off-season discounts.</t>
  </si>
  <si>
    <t xml:space="preserve">G</t>
  </si>
  <si>
    <t xml:space="preserve">ENFORCEMENT GATE (new)</t>
  </si>
  <si>
    <t xml:space="preserve">LKP_Confidence</t>
  </si>
  <si>
    <t xml:space="preserve">Low confidence caps how high Eng / Authority / Season can go. See §3.</t>
  </si>
  <si>
    <t xml:space="preserve">H</t>
  </si>
  <si>
    <t xml:space="preserve">Authority Floor</t>
  </si>
  <si>
    <t xml:space="preserve">Dignity floor below which we don't drop</t>
  </si>
  <si>
    <t xml:space="preserve">LKP_Floor</t>
  </si>
  <si>
    <t xml:space="preserve">Floor = IRL × FloorShare × Season × Lang × AuthorityFactor. Max(social, floor).</t>
  </si>
  <si>
    <t xml:space="preserve">I</t>
  </si>
  <si>
    <t xml:space="preserve">Rights &amp; Add-Ons</t>
  </si>
  <si>
    <t xml:space="preserve">Additive uplift AFTER organic</t>
  </si>
  <si>
    <t xml:space="preserve">Organic fee is computed first, then (1 + AddOnUplift%) is applied.</t>
  </si>
  <si>
    <t xml:space="preserve">SECTION 2 — FORMULA SPINE</t>
  </si>
  <si>
    <t xml:space="preserve">SocialPrice</t>
  </si>
  <si>
    <t xml:space="preserve">SocialPrice = BaseFee × Eng × Aud × Season × ContentType × Lang × AuthorityFactor</t>
  </si>
  <si>
    <t xml:space="preserve">AuthorityFactor</t>
  </si>
  <si>
    <t xml:space="preserve">AuthorityFactor = 1 + ObjWeight × (AuthMult − 1)</t>
  </si>
  <si>
    <t xml:space="preserve">AuthorityFloor</t>
  </si>
  <si>
    <t xml:space="preserve">AuthorityFloor = IRL × FloorShare × Season × Lang × AuthorityFactor</t>
  </si>
  <si>
    <t xml:space="preserve">PreAddOn</t>
  </si>
  <si>
    <t xml:space="preserve">PreAddOn = MAX(SocialPrice, AuthorityFloor)</t>
  </si>
  <si>
    <t xml:space="preserve">FinalOrganic</t>
  </si>
  <si>
    <t xml:space="preserve">FinalOrganic = PreAddOn × ConfidenceCap</t>
  </si>
  <si>
    <t xml:space="preserve">Final</t>
  </si>
  <si>
    <t xml:space="preserve">Final = FinalOrganic × (1 + AddOnUplift%)</t>
  </si>
  <si>
    <t xml:space="preserve">SECTION 3 — CONFIDENCE GATE (HARD-CAPS PREMIUMS)</t>
  </si>
  <si>
    <t xml:space="preserve">Eng Cap</t>
  </si>
  <si>
    <t xml:space="preserve">Authority Cap</t>
  </si>
  <si>
    <t xml:space="preserve">Season Cap</t>
  </si>
  <si>
    <t xml:space="preserve">Final × ConfCap</t>
  </si>
  <si>
    <t xml:space="preserve">SECTION 4 — WORKED EXAMPLE (governance reference — not a calculator)</t>
  </si>
  <si>
    <t xml:space="preserve">The Matrix tab is documentation. For live what-if testing, use 42_Preview (the Benchmark Calculator).</t>
  </si>
  <si>
    <t xml:space="preserve">Step</t>
  </si>
  <si>
    <t xml:space="preserve">Input / Formula</t>
  </si>
  <si>
    <t xml:space="preserve">Example Value</t>
  </si>
  <si>
    <t xml:space="preserve">Talent</t>
  </si>
  <si>
    <t xml:space="preserve">Cellium — Tier 2 player</t>
  </si>
  <si>
    <t xml:space="preserve">Rate card lookup</t>
  </si>
  <si>
    <t xml:space="preserve">Base Fee</t>
  </si>
  <si>
    <t xml:space="preserve">20_Player_Rate_Card → IG Reel</t>
  </si>
  <si>
    <t xml:space="preserve">11,250</t>
  </si>
  <si>
    <t xml:space="preserve">Pulled from column J</t>
  </si>
  <si>
    <t xml:space="preserve">IRL Anchor</t>
  </si>
  <si>
    <t xml:space="preserve">20_Player_Rate_Card → IRL col</t>
  </si>
  <si>
    <t xml:space="preserve">24,750</t>
  </si>
  <si>
    <t xml:space="preserve">Drives floor</t>
  </si>
  <si>
    <t xml:space="preserve">4–6% Baseline</t>
  </si>
  <si>
    <t xml:space="preserve">1.00x</t>
  </si>
  <si>
    <t xml:space="preserve">Below gated cap</t>
  </si>
  <si>
    <t xml:space="preserve">Audience Fit</t>
  </si>
  <si>
    <t xml:space="preserve">1.20x</t>
  </si>
  <si>
    <t xml:space="preserve">Objective</t>
  </si>
  <si>
    <t xml:space="preserve">0.40</t>
  </si>
  <si>
    <t xml:space="preserve">Weight</t>
  </si>
  <si>
    <t xml:space="preserve">Authority</t>
  </si>
  <si>
    <t xml:space="preserve">1.15x</t>
  </si>
  <si>
    <t xml:space="preserve">Language</t>
  </si>
  <si>
    <t xml:space="preserve">1.25x</t>
  </si>
  <si>
    <t xml:space="preserve">estimated → gated</t>
  </si>
  <si>
    <t xml:space="preserve">cap 0.9</t>
  </si>
  <si>
    <t xml:space="preserve">Gates premiums</t>
  </si>
  <si>
    <t xml:space="preserve">AuthFactor</t>
  </si>
  <si>
    <t xml:space="preserve">1 + 0.40 × (1.15 − 1)</t>
  </si>
  <si>
    <t xml:space="preserve">1.06</t>
  </si>
  <si>
    <t xml:space="preserve">Social Price</t>
  </si>
  <si>
    <t xml:space="preserve">Base × Eng × Aud × Seas × CType × Lang × AuthFactor</t>
  </si>
  <si>
    <t xml:space="preserve">20,571</t>
  </si>
  <si>
    <t xml:space="preserve">IRL × FloorShare × Seas × Lang × AuthFactor</t>
  </si>
  <si>
    <t xml:space="preserve">18,856</t>
  </si>
  <si>
    <t xml:space="preserve">Pre-AddOn</t>
  </si>
  <si>
    <t xml:space="preserve">MAX(Social, Floor)</t>
  </si>
  <si>
    <t xml:space="preserve">Final Organic</t>
  </si>
  <si>
    <t xml:space="preserve">Pre-AddOn × 0.9 (conf cap)</t>
  </si>
  <si>
    <t xml:space="preserve">18,514</t>
  </si>
  <si>
    <t xml:space="preserve">Add-On Uplift</t>
  </si>
  <si>
    <t xml:space="preserve">40% (Whitelisting 60d)</t>
  </si>
  <si>
    <t xml:space="preserve">+40%</t>
  </si>
  <si>
    <t xml:space="preserve">From 41_Add_On_Rights</t>
  </si>
  <si>
    <t xml:space="preserve">FINAL (w/ rights)</t>
  </si>
  <si>
    <t xml:space="preserve">FinalOrganic × (1 + 0.40)</t>
  </si>
  <si>
    <t xml:space="preserve">25,920</t>
  </si>
  <si>
    <t xml:space="preserve">Matches 42_Preview</t>
  </si>
  <si>
    <t xml:space="preserve">See 42_Preview for a live interactive version of this example — switch talent, platform, axes and add-ons; numbers recalc instantly.</t>
  </si>
  <si>
    <t xml:space="preserve">41 — ADD-ON RIGHTS &amp; USAGE PACKAGES</t>
  </si>
  <si>
    <t xml:space="preserve">All rights, exclusivity, and usage packages live here — separate from the organic fee. Each row is an additive uplift % applied AFTER the organic price is finalized.</t>
  </si>
  <si>
    <t xml:space="preserve">RIGHTS &amp; ADD-ONS CATALOGUE</t>
  </si>
  <si>
    <t xml:space="preserve">Package</t>
  </si>
  <si>
    <t xml:space="preserve">Uplift %</t>
  </si>
  <si>
    <t xml:space="preserve">Territory</t>
  </si>
  <si>
    <t xml:space="preserve">Duration</t>
  </si>
  <si>
    <t xml:space="preserve">Notes / Scope</t>
  </si>
  <si>
    <t xml:space="preserve">Organic Social Only (baseline)</t>
  </si>
  <si>
    <t xml:space="preserve">No usage rights beyond talent's own socials. Default.</t>
  </si>
  <si>
    <t xml:space="preserve">Whitelisting / Dark Posts — 30d</t>
  </si>
  <si>
    <t xml:space="preserve">30 days</t>
  </si>
  <si>
    <t xml:space="preserve">Brand can boost on talent's handle for 30d.</t>
  </si>
  <si>
    <t xml:space="preserve">Whitelisting / Dark Posts — 60d</t>
  </si>
  <si>
    <t xml:space="preserve">60 days</t>
  </si>
  <si>
    <t xml:space="preserve">Whitelisting extended to 60d.</t>
  </si>
  <si>
    <t xml:space="preserve">Whitelisting / Dark Posts — 90d</t>
  </si>
  <si>
    <t xml:space="preserve">90 days</t>
  </si>
  <si>
    <t xml:space="preserve">Whitelisting extended to 90d.</t>
  </si>
  <si>
    <t xml:space="preserve">Paid Media Usage — 1M Views</t>
  </si>
  <si>
    <t xml:space="preserve">Regional</t>
  </si>
  <si>
    <t xml:space="preserve">Content used in paid campaigns up to 1M impressions.</t>
  </si>
  <si>
    <t xml:space="preserve">Paid Media Usage — 5M Views</t>
  </si>
  <si>
    <t xml:space="preserve">Up to 5M impressions. Scales with reach commitment.</t>
  </si>
  <si>
    <t xml:space="preserve">Organic Rights — 6 months</t>
  </si>
  <si>
    <t xml:space="preserve">6 months</t>
  </si>
  <si>
    <t xml:space="preserve">Brand retains rights on owned + earned channels.</t>
  </si>
  <si>
    <t xml:space="preserve">Organic Rights — 12 months</t>
  </si>
  <si>
    <t xml:space="preserve">12 months</t>
  </si>
  <si>
    <t xml:space="preserve">Exclusivity — Category (90d)</t>
  </si>
  <si>
    <t xml:space="preserve">Player cannot promote competitors in the same category.</t>
  </si>
  <si>
    <t xml:space="preserve">Exclusivity — Category (6 months)</t>
  </si>
  <si>
    <t xml:space="preserve">Requires legal approval per 01_Settings.</t>
  </si>
  <si>
    <t xml:space="preserve">Exclusivity — Category (12 months)</t>
  </si>
  <si>
    <t xml:space="preserve">Premium; requires legal approval + Falcons sign-off.</t>
  </si>
  <si>
    <t xml:space="preserve">Exclusivity — Brand-wide (6 months)</t>
  </si>
  <si>
    <t xml:space="preserve">Player cannot promote ANY brand outside the client. Requires legal.</t>
  </si>
  <si>
    <t xml:space="preserve">Rush — Delivery &lt;72h</t>
  </si>
  <si>
    <t xml:space="preserve">Rushed turnaround uplift.</t>
  </si>
  <si>
    <t xml:space="preserve">Rush — Delivery &lt;24h</t>
  </si>
  <si>
    <t xml:space="preserve">Same-day / next-day uplift.</t>
  </si>
  <si>
    <t xml:space="preserve">Event / IRL Appearance</t>
  </si>
  <si>
    <t xml:space="preserve">1 day</t>
  </si>
  <si>
    <t xml:space="preserve">On-site appearance in addition to social.</t>
  </si>
  <si>
    <t xml:space="preserve">Photoshoot / Asset Production</t>
  </si>
  <si>
    <t xml:space="preserve">Talent participates in shoot for brand assets.</t>
  </si>
  <si>
    <t xml:space="preserve">Ad Voice-over / TV Commercial</t>
  </si>
  <si>
    <t xml:space="preserve">Talent appears in TV/OOH ad.</t>
  </si>
  <si>
    <t xml:space="preserve">NDA / Confidentiality</t>
  </si>
  <si>
    <t xml:space="preserve">Campaign under NDA until launch.</t>
  </si>
  <si>
    <t xml:space="preserve">QUICK STACKS — TYPICAL COMMERCIAL BUNDLES</t>
  </si>
  <si>
    <t xml:space="preserve">Bundle</t>
  </si>
  <si>
    <t xml:space="preserve">Components</t>
  </si>
  <si>
    <t xml:space="preserve">Standard Social-Only</t>
  </si>
  <si>
    <t xml:space="preserve">Organic only</t>
  </si>
  <si>
    <t xml:space="preserve">Floor bundle.</t>
  </si>
  <si>
    <t xml:space="preserve">Social + 30d WL</t>
  </si>
  <si>
    <t xml:space="preserve">Organic + Whitelisting 30d</t>
  </si>
  <si>
    <t xml:space="preserve">Most common.</t>
  </si>
  <si>
    <t xml:space="preserve">Paid-Media Campaign (1M)</t>
  </si>
  <si>
    <t xml:space="preserve">WL 30d + Paid Media 1M</t>
  </si>
  <si>
    <t xml:space="preserve">Typical paid social launch.</t>
  </si>
  <si>
    <t xml:space="preserve">Category Exclusive + Paid</t>
  </si>
  <si>
    <t xml:space="preserve">WL 90d + Paid 5M + Exclusivity 90d</t>
  </si>
  <si>
    <t xml:space="preserve">Heavyweight campaign.</t>
  </si>
  <si>
    <t xml:space="preserve">Full TV Commercial</t>
  </si>
  <si>
    <t xml:space="preserve">WL 90d + Ad VO + Shoot + Exclusivity 6m</t>
  </si>
  <si>
    <t xml:space="preserve">Premium brand campaign.</t>
  </si>
  <si>
    <t xml:space="preserve">42 — BENCHMARK CALCULATOR  ·  LIVE PLAYER / CREATOR SCENARIO</t>
  </si>
  <si>
    <t xml:space="preserve">Pick Player or Creator, a platform, adjust axes, toggle add-ons in §5 — all numbers recalc live. This is the what-if tab before the formal quote.</t>
  </si>
  <si>
    <t xml:space="preserve">SECTION 1 — TALENT SELECTION</t>
  </si>
  <si>
    <t xml:space="preserve">Input</t>
  </si>
  <si>
    <t xml:space="preserve">Pulled</t>
  </si>
  <si>
    <t xml:space="preserve">Talent Type</t>
  </si>
  <si>
    <t xml:space="preserve">Toggle the matrix between Player (20_…) and Creator (30_…) rate cards</t>
  </si>
  <si>
    <t xml:space="preserve">Talent Name</t>
  </si>
  <si>
    <t xml:space="preserve">Dropdown — populated from the selected rate card</t>
  </si>
  <si>
    <t xml:space="preserve">Role / Segment</t>
  </si>
  <si>
    <t xml:space="preserve">Players → role; Creators → Creator</t>
  </si>
  <si>
    <t xml:space="preserve">Game / Category</t>
  </si>
  <si>
    <t xml:space="preserve">Players → game; Creators → Gaming / Lifestyle</t>
  </si>
  <si>
    <t xml:space="preserve">Team / Handle</t>
  </si>
  <si>
    <t xml:space="preserve">Players → team; Creators → n/a</t>
  </si>
  <si>
    <t xml:space="preserve">Both cards expose Tier</t>
  </si>
  <si>
    <t xml:space="preserve">Platform / Deliverable</t>
  </si>
  <si>
    <t xml:space="preserve">Auto-pulls from the correct rate card based on Talent Type</t>
  </si>
  <si>
    <t xml:space="preserve">Base Fee (SAR) — override</t>
  </si>
  <si>
    <t xml:space="preserve">Defaults to rate-card rate; overwrite to test scenarios</t>
  </si>
  <si>
    <t xml:space="preserve">IRL / Appearance Anchor (SAR)</t>
  </si>
  <si>
    <t xml:space="preserve">Drives Authority Floor (Players only — Creators use zero floor by default)</t>
  </si>
  <si>
    <t xml:space="preserve">SECTION 2 — CAMPAIGN AXES</t>
  </si>
  <si>
    <t xml:space="preserve">Value (editable)</t>
  </si>
  <si>
    <t xml:space="preserve">Resolved Multiplier</t>
  </si>
  <si>
    <t xml:space="preserve">Source</t>
  </si>
  <si>
    <t xml:space="preserve">Engagement Level</t>
  </si>
  <si>
    <t xml:space="preserve">ER band from 02_Lookups</t>
  </si>
  <si>
    <t xml:space="preserve">Audience Quality / Fit</t>
  </si>
  <si>
    <t xml:space="preserve">Fit multiplier</t>
  </si>
  <si>
    <t xml:space="preserve">ObjectiveWeight</t>
  </si>
  <si>
    <t xml:space="preserve">AuthMult — gated by confidence</t>
  </si>
  <si>
    <t xml:space="preserve">Cultural / dialect fit</t>
  </si>
  <si>
    <t xml:space="preserve">Seasonality / Timing</t>
  </si>
  <si>
    <t xml:space="preserve">Timing multiplier</t>
  </si>
  <si>
    <t xml:space="preserve">Integrated vs Dedicated</t>
  </si>
  <si>
    <t xml:space="preserve">Enforcement gate — see §3 of Matrix</t>
  </si>
  <si>
    <t xml:space="preserve">Authority Floor — FloorShare</t>
  </si>
  <si>
    <t xml:space="preserve">0.4–0.8 (default pulled in §3)</t>
  </si>
  <si>
    <t xml:space="preserve">Rights / Add-On Uplift %  (auto-sums from §5 toggles)</t>
  </si>
  <si>
    <t xml:space="preserve">Σ of add-ons marked Yes in §5</t>
  </si>
  <si>
    <t xml:space="preserve">SECTION 3 — RATE-CARD DEFAULTS FOR THIS PLAYER</t>
  </si>
  <si>
    <t xml:space="preserve">Default Floor Share %</t>
  </si>
  <si>
    <t xml:space="preserve">Pulled from col AY of rate card</t>
  </si>
  <si>
    <t xml:space="preserve">Default Authority Factor</t>
  </si>
  <si>
    <t xml:space="preserve">Pulled from col AZ of rate card</t>
  </si>
  <si>
    <t xml:space="preserve">Pulled from col BA of rate card</t>
  </si>
  <si>
    <t xml:space="preserve">Pulled from col BB of rate card</t>
  </si>
  <si>
    <t xml:space="preserve">Pulled from col BC of rate card</t>
  </si>
  <si>
    <t xml:space="preserve">Measurement Confidence (card)</t>
  </si>
  <si>
    <t xml:space="preserve">Pulled from col BD of rate card</t>
  </si>
  <si>
    <t xml:space="preserve">SECTION 4 — LIVE OUTPUTS</t>
  </si>
  <si>
    <t xml:space="preserve">Output</t>
  </si>
  <si>
    <t xml:space="preserve">Factor</t>
  </si>
  <si>
    <t xml:space="preserve">Formula / Logic</t>
  </si>
  <si>
    <t xml:space="preserve">AuthorityFactor (uncapped)</t>
  </si>
  <si>
    <t xml:space="preserve">1 + ObjWeight × (AuthMult − 1)</t>
  </si>
  <si>
    <t xml:space="preserve">Engagement (confidence-gated)</t>
  </si>
  <si>
    <t xml:space="preserve">Pending=1, Estimated capped at 1.2x</t>
  </si>
  <si>
    <t xml:space="preserve">AuthorityFactor (confidence-gated)</t>
  </si>
  <si>
    <t xml:space="preserve">Estimated capped at 1.3x</t>
  </si>
  <si>
    <t xml:space="preserve">Seasonality (confidence-gated)</t>
  </si>
  <si>
    <t xml:space="preserve">Estimated capped at 1.25x</t>
  </si>
  <si>
    <t xml:space="preserve">ConfidenceCap multiplier</t>
  </si>
  <si>
    <t xml:space="preserve">Applied AFTER MAX(Social, Floor)</t>
  </si>
  <si>
    <t xml:space="preserve">Social Price (pre-floor)</t>
  </si>
  <si>
    <t xml:space="preserve">Base × Eng(gated) × Aud × Seas(gated) × CType × Lang × AuthFactor(gated)</t>
  </si>
  <si>
    <t xml:space="preserve">Authority Floor (computed)</t>
  </si>
  <si>
    <t xml:space="preserve">IRL × FloorShare × Seas(gated) × Lang × AuthFactor(gated)</t>
  </si>
  <si>
    <t xml:space="preserve">Pre-AddOn  (MAX of the two)</t>
  </si>
  <si>
    <t xml:space="preserve">Dignity protection — we don't drop below floor</t>
  </si>
  <si>
    <t xml:space="preserve">PreAddOn × ConfidenceCap</t>
  </si>
  <si>
    <t xml:space="preserve">FINAL (with Add-Ons)</t>
  </si>
  <si>
    <t xml:space="preserve">FinalOrganic × (1 + Rights %)</t>
  </si>
  <si>
    <t xml:space="preserve">Scenario preview — switch Talent Type at the top to test Player vs Creator. All numbers here are what the Apps Script backend (computeLine) produces for the quote.</t>
  </si>
  <si>
    <t xml:space="preserve">SECTION 5 — ADD-ONS &amp; RIGHTS TOGGLE</t>
  </si>
  <si>
    <t xml:space="preserve">Toggle ON any add-on to stack its uplift onto Final Organic. Total appears in §2 Rights/Add-On row (C27) and flows into 51_Quote_Preview.</t>
  </si>
  <si>
    <t xml:space="preserve">On?</t>
  </si>
  <si>
    <t xml:space="preserve">No</t>
  </si>
  <si>
    <t xml:space="preserve">Σ selected uplift</t>
  </si>
  <si>
    <t xml:space="preserve">Prepared by</t>
  </si>
  <si>
    <t xml:space="preserve">Team Falcons Commercial</t>
  </si>
  <si>
    <t xml:space="preserve">Approved by</t>
  </si>
  <si>
    <t xml:space="preserve">Finance &amp; Legal</t>
  </si>
  <si>
    <t xml:space="preserve">Date</t>
  </si>
  <si>
    <t xml:space="preserve">Quote #</t>
  </si>
  <si>
    <t xml:space="preserve">Client</t>
  </si>
  <si>
    <t xml:space="preserve">— TBD —</t>
  </si>
  <si>
    <t xml:space="preserve">Currency</t>
  </si>
  <si>
    <t xml:space="preserve">SAR (Saudi Riyal)</t>
  </si>
  <si>
    <t xml:space="preserve">Unified Talent Pricing OS v1.3  ·  Riyadh, KSA  ·  Live-linked to 42_Preview</t>
  </si>
  <si>
    <t xml:space="preserve">Description</t>
  </si>
  <si>
    <t xml:space="preserve">Unit Cost</t>
  </si>
  <si>
    <t xml:space="preserve">Qty</t>
  </si>
  <si>
    <t xml:space="preserve">Amount</t>
  </si>
  <si>
    <t xml:space="preserve">ADD-ONS &amp; USAGE RIGHTS</t>
  </si>
  <si>
    <t xml:space="preserve">Add-on rights (sum) — pulled from 42_Preview §2 (row 27)</t>
  </si>
  <si>
    <t xml:space="preserve">Subtotal</t>
  </si>
  <si>
    <t xml:space="preserve">Add-On Uplift %</t>
  </si>
  <si>
    <t xml:space="preserve">Pre-VAT Total</t>
  </si>
  <si>
    <t xml:space="preserve">Tax Rate</t>
  </si>
  <si>
    <t xml:space="preserve">VAT</t>
  </si>
  <si>
    <t xml:space="preserve">TOTAL (SAR, incl. VAT)</t>
  </si>
  <si>
    <t xml:space="preserve">PRICING MULTIPLIERS BREAKDOWN</t>
  </si>
  <si>
    <t xml:space="preserve">Selected Value</t>
  </si>
  <si>
    <t xml:space="preserve">Impact</t>
  </si>
  <si>
    <t xml:space="preserve">COMBINED MULTIPLIER (applied to Base Fee)</t>
  </si>
  <si>
    <t xml:space="preserve">Final = BaseFee × CType × Eng × Audience × Season × Language × AuthorityFactor × (1 + AddOnUplift%) × ConfidenceCap</t>
  </si>
  <si>
    <t xml:space="preserve">Team Falcons  ·  Riyadh, Kingdom of Saudi Arabia  ·  commercial@teamfalcons.gg  ·  Bank: Al Rajhi  ·  Valid 30 days from Quote Date  ·  Confidential — For Client Review</t>
  </si>
  <si>
    <t xml:space="preserve">52 — QUOTE LOG (audit trail for all finalized quotes)</t>
  </si>
  <si>
    <t xml:space="preserve">Every quote sent to a client is logged here. Apps Script (Phase 2) will auto-append on export. For now, operate as a manual ledger.</t>
  </si>
  <si>
    <t xml:space="preserve">Quote ID</t>
  </si>
  <si>
    <t xml:space="preserve">Quote Date</t>
  </si>
  <si>
    <t xml:space="preserve">Client / Brand</t>
  </si>
  <si>
    <t xml:space="preserve">Campaign</t>
  </si>
  <si>
    <t xml:space="preserve"># Talents</t>
  </si>
  <si>
    <t xml:space="preserve">Subtotal (SAR)</t>
  </si>
  <si>
    <t xml:space="preserve">Mgmt Fee (SAR)</t>
  </si>
  <si>
    <t xml:space="preserve">VAT (SAR)</t>
  </si>
  <si>
    <t xml:space="preserve">Total (SAR)</t>
  </si>
  <si>
    <t xml:space="preserve">Status</t>
  </si>
  <si>
    <t xml:space="preserve">Sent On</t>
  </si>
  <si>
    <t xml:space="preserve">Accepted On</t>
  </si>
  <si>
    <t xml:space="preserve">Contract Ref</t>
  </si>
  <si>
    <t xml:space="preserve">Invoice #</t>
  </si>
  <si>
    <t xml:space="preserve">Account Owner</t>
  </si>
  <si>
    <t xml:space="preserve">20260115-042</t>
  </si>
  <si>
    <t xml:space="preserve">2026-01-15</t>
  </si>
  <si>
    <t xml:space="preserve">Aramco Digital</t>
  </si>
  <si>
    <t xml:space="preserve">Ramadan Campaign 2026</t>
  </si>
  <si>
    <t xml:space="preserve">2026-01-16</t>
  </si>
  <si>
    <t xml:space="preserve">2026-01-22</t>
  </si>
  <si>
    <t xml:space="preserve">TF-CTR-0042</t>
  </si>
  <si>
    <t xml:space="preserve">INV-2026-004</t>
  </si>
  <si>
    <t xml:space="preserve">Omar A.</t>
  </si>
  <si>
    <t xml:space="preserve">Delivered — renewed for Q2</t>
  </si>
  <si>
    <t xml:space="preserve">20260222-117</t>
  </si>
  <si>
    <t xml:space="preserve">2026-02-22</t>
  </si>
  <si>
    <t xml:space="preserve">STC Gaming</t>
  </si>
  <si>
    <t xml:space="preserve">Call of Duty Launch</t>
  </si>
  <si>
    <t xml:space="preserve">2026-02-23</t>
  </si>
  <si>
    <t xml:space="preserve">Nasser K.</t>
  </si>
  <si>
    <t xml:space="preserve">Awaiting legal on exclusivity</t>
  </si>
  <si>
    <t xml:space="preserve">20260310-203</t>
  </si>
  <si>
    <t xml:space="preserve">2026-03-10</t>
  </si>
  <si>
    <t xml:space="preserve">NEOM Sports</t>
  </si>
  <si>
    <t xml:space="preserve">EWC 2026 Hospitality</t>
  </si>
  <si>
    <t xml:space="preserve">Trust</t>
  </si>
  <si>
    <t xml:space="preserve">Sent</t>
  </si>
  <si>
    <t xml:space="preserve">2026-03-11</t>
  </si>
  <si>
    <t xml:space="preserve">Huda S.</t>
  </si>
  <si>
    <t xml:space="preserve">High-value — legal approval flagged</t>
  </si>
  <si>
    <t xml:space="preserve">53 — INQUIRY LOG  ·  INBOUND PIPELINE &amp; APPROVALS</t>
  </si>
  <si>
    <t xml:space="preserve">One row per inbound. Weighted value feeds pipeline forecasts. Stage + Status + Assignment drive weekly ops.</t>
  </si>
  <si>
    <t xml:space="preserve">Inquiry ID</t>
  </si>
  <si>
    <t xml:space="preserve">Inbound Date</t>
  </si>
  <si>
    <t xml:space="preserve">Client / Agency</t>
  </si>
  <si>
    <t xml:space="preserve">Contact</t>
  </si>
  <si>
    <t xml:space="preserve">Email</t>
  </si>
  <si>
    <t xml:space="preserve">Phone</t>
  </si>
  <si>
    <t xml:space="preserve">Request Summary</t>
  </si>
  <si>
    <t xml:space="preserve">Requested Talent</t>
  </si>
  <si>
    <t xml:space="preserve">Budget Range (SAR)</t>
  </si>
  <si>
    <t xml:space="preserve">Timeline</t>
  </si>
  <si>
    <t xml:space="preserve">Stage</t>
  </si>
  <si>
    <t xml:space="preserve">Assigned To</t>
  </si>
  <si>
    <t xml:space="preserve">Next Action</t>
  </si>
  <si>
    <t xml:space="preserve">Next Action By</t>
  </si>
  <si>
    <t xml:space="preserve">Est. Value (SAR)</t>
  </si>
  <si>
    <t xml:space="preserve">Confidence %</t>
  </si>
  <si>
    <t xml:space="preserve">Weighted Value (SAR)</t>
  </si>
  <si>
    <t xml:space="preserve">INQ-20260410-001</t>
  </si>
  <si>
    <t xml:space="preserve">2026-04-10</t>
  </si>
  <si>
    <t xml:space="preserve">PepsiCo KSA</t>
  </si>
  <si>
    <t xml:space="preserve">Sara Al Fahad</t>
  </si>
  <si>
    <t xml:space="preserve">s.alfahad@pepsi.com</t>
  </si>
  <si>
    <t xml:space="preserve">+966555111222</t>
  </si>
  <si>
    <t xml:space="preserve">Want 2 Falcons players for Ramadan TVC</t>
  </si>
  <si>
    <t xml:space="preserve">Tier 1 CS player + streamer</t>
  </si>
  <si>
    <t xml:space="preserve">800K–1.2M</t>
  </si>
  <si>
    <t xml:space="preserve">Send full brief + rate card</t>
  </si>
  <si>
    <t xml:space="preserve">2026-04-14</t>
  </si>
  <si>
    <t xml:space="preserve">Likely contract</t>
  </si>
  <si>
    <t xml:space="preserve">INQ-20260411-002</t>
  </si>
  <si>
    <t xml:space="preserve">2026-04-11</t>
  </si>
  <si>
    <t xml:space="preserve">Riyadh Air</t>
  </si>
  <si>
    <t xml:space="preserve">Faisal Noor</t>
  </si>
  <si>
    <t xml:space="preserve">f.noor@riyadhair.com</t>
  </si>
  <si>
    <t xml:space="preserve">+966555333444</t>
  </si>
  <si>
    <t xml:space="preserve">Single IG Reel + WL 60d</t>
  </si>
  <si>
    <t xml:space="preserve">Dota 2 captain</t>
  </si>
  <si>
    <t xml:space="preserve">150K–200K</t>
  </si>
  <si>
    <t xml:space="preserve">14 days</t>
  </si>
  <si>
    <t xml:space="preserve">Follow up on feedback</t>
  </si>
  <si>
    <t xml:space="preserve">2026-04-16</t>
  </si>
  <si>
    <t xml:space="preserve">INQ-20260412-003</t>
  </si>
  <si>
    <t xml:space="preserve">2026-04-12</t>
  </si>
  <si>
    <t xml:space="preserve">Savvy Games Group</t>
  </si>
  <si>
    <t xml:space="preserve">Huda Al Qahtani</t>
  </si>
  <si>
    <t xml:space="preserve">h.alqahtani@savvy.gg</t>
  </si>
  <si>
    <t xml:space="preserve">+966555555666</t>
  </si>
  <si>
    <t xml:space="preserve">Event appearance + Snap content</t>
  </si>
  <si>
    <t xml:space="preserve">Creator + player pair</t>
  </si>
  <si>
    <t xml:space="preserve">300K–450K</t>
  </si>
  <si>
    <t xml:space="preserve">2 weeks</t>
  </si>
  <si>
    <t xml:space="preserve">Discovery call Apr 15</t>
  </si>
  <si>
    <t xml:space="preserve">2026-04-15</t>
  </si>
  <si>
    <t xml:space="preserve">Early-stage</t>
  </si>
  <si>
    <t xml:space="preserve">90 — METHODOLOGY  ·  THE COMMERCIAL SPINE</t>
  </si>
  <si>
    <t xml:space="preserve">How Team Falcons prices talent. Plain language; every other tab implements this.</t>
  </si>
  <si>
    <t xml:space="preserve">§1 — PRINCIPLES</t>
  </si>
  <si>
    <t xml:space="preserve">Talent dignity first</t>
  </si>
  <si>
    <t xml:space="preserve">No Falcons talent is ever priced below their authority floor. Status protects the floor; the market decides the ceiling.</t>
  </si>
  <si>
    <t xml:space="preserve">Data = authority</t>
  </si>
  <si>
    <t xml:space="preserve">A multiplier is only as credible as the data behind it. Weak data = capped multipliers.</t>
  </si>
  <si>
    <t xml:space="preserve">Simple inputs, strong logic</t>
  </si>
  <si>
    <t xml:space="preserve">Operators should not need a PhD. Pick the talent, the platform, the quantity, the rights. The engine handles the rest.</t>
  </si>
  <si>
    <t xml:space="preserve">Organic and rights are different products</t>
  </si>
  <si>
    <t xml:space="preserve">Organic fee compensates the talent's audience. Rights/usage compensate the brand's commercial leverage. They are not blended.</t>
  </si>
  <si>
    <t xml:space="preserve">One OS, two lanes</t>
  </si>
  <si>
    <t xml:space="preserve">Players and Creators share the same governance and engine, but their rate cards remain distinct.</t>
  </si>
  <si>
    <t xml:space="preserve">§2 — WHY THIS ARCHITECTURE</t>
  </si>
  <si>
    <t xml:space="preserve">v7 → operating baseline</t>
  </si>
  <si>
    <t xml:space="preserve">Clean 189-player card and premium front-end. This is what works today. We kept the structure and fees.</t>
  </si>
  <si>
    <t xml:space="preserve">v8 → upgrade layer</t>
  </si>
  <si>
    <t xml:space="preserve">Added follower tracking, CPM auto-calc, Authority Floor, Confidence tiering, 5-tier scheme. We kept the logic, not the clutter.</t>
  </si>
  <si>
    <t xml:space="preserve">Tracker → source of truth</t>
  </si>
  <si>
    <t xml:space="preserve">Handles and follower counts normalize here. Rate cards read from the tracker. Shikenso (Phase 2) plugs into the same slot.</t>
  </si>
  <si>
    <t xml:space="preserve">Unified Quote Builder</t>
  </si>
  <si>
    <t xml:space="preserve">One sheet serves Player, Creator, and Mixed quotes — previously three forms. Line-item schema is stable for future automation.</t>
  </si>
  <si>
    <t xml:space="preserve">§3 — THE 9 AXES</t>
  </si>
  <si>
    <t xml:space="preserve">See 40_Adjustment_Matrix for the live multipliers. Summary: each axis contributes one multiplier; confidence gates how aggressively those multipliers compound.</t>
  </si>
  <si>
    <t xml:space="preserve">A. Engagement</t>
  </si>
  <si>
    <t xml:space="preserve">Interactions ÷ followers. 4–6% = 1.00. Heaviest single lever.</t>
  </si>
  <si>
    <t xml:space="preserve">B. Audience Quality</t>
  </si>
  <si>
    <t xml:space="preserve">Fit with campaign persona. Generic 0.85 → Esports-elite 1.50.</t>
  </si>
  <si>
    <t xml:space="preserve">C. Objective</t>
  </si>
  <si>
    <t xml:space="preserve">Awareness 0.20 / Conversion 0.40 / Trust 0.70. Weights authority impact.</t>
  </si>
  <si>
    <t xml:space="preserve">D. Authority</t>
  </si>
  <si>
    <t xml:space="preserve">AuthorityFactor = 1 + ObjWeight × (AuthMult − 1). A global star on a Trust campaign drives much higher premium than on Awareness.</t>
  </si>
  <si>
    <t xml:space="preserve">E. Language</t>
  </si>
  <si>
    <t xml:space="preserve">Bilingual 1.15 in MENA campaigns.</t>
  </si>
  <si>
    <t xml:space="preserve">F. Seasonality</t>
  </si>
  <si>
    <t xml:space="preserve">EWC 1.50, Ramadan 1.35, Regional Major 1.25, Off-season 0.80.</t>
  </si>
  <si>
    <t xml:space="preserve">G. Confidence</t>
  </si>
  <si>
    <t xml:space="preserve">HARD GATE. exact 1.00 cap / estimated 0.90 + eng cap 1.20 / pending 0.75 + all premiums 1.00.</t>
  </si>
  <si>
    <t xml:space="preserve">H. Authority Floor</t>
  </si>
  <si>
    <t xml:space="preserve">IRL × FloorShare × Seasonality × Language × AuthorityFactor. A hard minimum.</t>
  </si>
  <si>
    <t xml:space="preserve">I. Rights / Add-Ons</t>
  </si>
  <si>
    <t xml:space="preserve">Additive uplift %. Separate catalogue in 41_Add_On_Rights. Applied AFTER organic fee.</t>
  </si>
  <si>
    <t xml:space="preserve">§4 — FORMULA FLOW</t>
  </si>
  <si>
    <t xml:space="preserve">Step 1 — SocialPrice</t>
  </si>
  <si>
    <t xml:space="preserve">BaseFee × Eng × Aud × Season × ContentType × Lang × AuthorityFactor</t>
  </si>
  <si>
    <t xml:space="preserve">Step 2 — AuthorityFloor</t>
  </si>
  <si>
    <t xml:space="preserve">IRL × FloorShare × Season × Lang × AuthorityFactor</t>
  </si>
  <si>
    <t xml:space="preserve">Step 3 — PreAddOn</t>
  </si>
  <si>
    <t xml:space="preserve">MAX(SocialPrice, AuthorityFloor)</t>
  </si>
  <si>
    <t xml:space="preserve">Step 4 — FinalOrganic</t>
  </si>
  <si>
    <t xml:space="preserve">Step 5 — Final</t>
  </si>
  <si>
    <t xml:space="preserve">FinalOrganic × (1 + AddOnUplift%)</t>
  </si>
  <si>
    <t xml:space="preserve">§5 — CONFIDENCE AS ENFORCEMENT</t>
  </si>
  <si>
    <t xml:space="preserve">Confidence is not a footnote; it is wired into the engine.</t>
  </si>
  <si>
    <t xml:space="preserve">exact / rounded</t>
  </si>
  <si>
    <t xml:space="preserve">All premiums allowed. Multipliers stack freely. Cap 1.00.</t>
  </si>
  <si>
    <t xml:space="preserve">Engagement ≤ 1.20, Authority ≤ 1.30, Seasonality ≤ 1.25. Cap 0.90.</t>
  </si>
  <si>
    <t xml:space="preserve">All premiums forced to 1.00 — baseline fee only. Cap 0.75.</t>
  </si>
  <si>
    <t xml:space="preserve">Rationale</t>
  </si>
  <si>
    <t xml:space="preserve">Protects Falcons from overselling weakly verified talent, and creates real incentive to verify handles.</t>
  </si>
  <si>
    <t xml:space="preserve">§6 — PLAYER vs CREATOR LANE DIFFERENCES</t>
  </si>
  <si>
    <t xml:space="preserve">Player lane</t>
  </si>
  <si>
    <t xml:space="preserve">5-tier structure (S,1,2,3,4). Rate card preserves v7 fees. IRL/Appearance drives Authority Floor. Higher default markup.</t>
  </si>
  <si>
    <t xml:space="preserve">Creator lane</t>
  </si>
  <si>
    <t xml:space="preserve">4-tier structure (1-4). Ceiling-first logic — Opening Factor sets starting offer. Event + Snap drives Authority Floor. Lower commission, lower markup.</t>
  </si>
  <si>
    <t xml:space="preserve">Shared</t>
  </si>
  <si>
    <t xml:space="preserve">Governance backbone, 9-axis matrix, Confidence, Add-Ons, Quote Builder, Logs.</t>
  </si>
  <si>
    <t xml:space="preserve">§7 — DATA SOURCES &amp; VERIFICATION</t>
  </si>
  <si>
    <t xml:space="preserve">Primary source</t>
  </si>
  <si>
    <t xml:space="preserve">10_Social_Tracker (normalized from Website tracker). Handle + platform + follower count + retrieved-on date.</t>
  </si>
  <si>
    <t xml:space="preserve">Manual tier</t>
  </si>
  <si>
    <t xml:space="preserve">Today, 'estimated' or 'pending' for most rows. Quarterly review upgrades verified rows.</t>
  </si>
  <si>
    <t xml:space="preserve">Shikenso</t>
  </si>
  <si>
    <t xml:space="preserve">Phase-2 API cutover. On integration, confidence auto-writes to 'exact' for API-covered platforms.</t>
  </si>
  <si>
    <t xml:space="preserve">§8 — GOVERNANCE</t>
  </si>
  <si>
    <t xml:space="preserve">High-value approvals</t>
  </si>
  <si>
    <t xml:space="preserve">Quotes ≥ SAR 150K auto-flag for legal per 01_Settings threshold.</t>
  </si>
  <si>
    <t xml:space="preserve">Exclusivity approvals</t>
  </si>
  <si>
    <t xml:space="preserve">Any exclusivity add-on requires legal sign-off — locked in 01_Settings.</t>
  </si>
  <si>
    <t xml:space="preserve">Ledger</t>
  </si>
  <si>
    <t xml:space="preserve">Every finalized quote lives in 52_Quote_Log; every inbound in 53_Inquiry_Log.</t>
  </si>
  <si>
    <t xml:space="preserve">§9 — DOCUMENTATION &amp; HAND-OFF</t>
  </si>
  <si>
    <t xml:space="preserve">Named ranges</t>
  </si>
  <si>
    <t xml:space="preserve">All cross-sheet anchors are named. Apps Script binds to names, not addresses. See 99_Script_Map.</t>
  </si>
  <si>
    <t xml:space="preserve">Schema version</t>
  </si>
  <si>
    <t xml:space="preserve">Stamped on 01_Settings as Workbook Version and Schema Stable Until. Bump only on breaking changes.</t>
  </si>
  <si>
    <t xml:space="preserve">Bilingual guide</t>
  </si>
  <si>
    <t xml:space="preserve">95_Guide_EN and 96_Guide_AR.</t>
  </si>
  <si>
    <t xml:space="preserve">91 — ROADMAP  ·  PHASED EVOLUTION</t>
  </si>
  <si>
    <t xml:space="preserve">V1 ships the governance + engine + quotation layer. Phases 2–4 unlock automation, rolling pricing, and proactive intelligence.</t>
  </si>
  <si>
    <t xml:space="preserve">Phase</t>
  </si>
  <si>
    <t xml:space="preserve">Target</t>
  </si>
  <si>
    <t xml:space="preserve">Owner</t>
  </si>
  <si>
    <t xml:space="preserve">Scope</t>
  </si>
  <si>
    <t xml:space="preserve">Phase 1  ·  V1.0</t>
  </si>
  <si>
    <t xml:space="preserve">Apr 2026</t>
  </si>
  <si>
    <t xml:space="preserve">Shipping</t>
  </si>
  <si>
    <t xml:space="preserve">Falcons BD + Ops</t>
  </si>
  <si>
    <t xml:space="preserve">Unified OS. Governance. 9-axis matrix. Unified quote builder. Confidence enforcement. Bilingual methodology.</t>
  </si>
  <si>
    <t xml:space="preserve">Phase 1.5  ·  Hardening</t>
  </si>
  <si>
    <t xml:space="preserve">May 2026</t>
  </si>
  <si>
    <t xml:space="preserve">Planned</t>
  </si>
  <si>
    <t xml:space="preserve">Ops</t>
  </si>
  <si>
    <t xml:space="preserve">Internal rollout. Quarterly handle verification campaign. Legal review of rights catalogue.</t>
  </si>
  <si>
    <t xml:space="preserve">Phase 2  ·  Shikenso</t>
  </si>
  <si>
    <t xml:space="preserve">Q3 2026</t>
  </si>
  <si>
    <t xml:space="preserve">Data Eng</t>
  </si>
  <si>
    <t xml:space="preserve">API ingest into 10_Social_Tracker. Confidence auto → 'exact' for covered platforms. Daily refresh.</t>
  </si>
  <si>
    <t xml:space="preserve">Phase 2.5  ·  Apps Script</t>
  </si>
  <si>
    <t xml:space="preserve">PDF export from 51_Quote_Preview. Auto-append to 52_Quote_Log on send. Approval routing from 01_Settings.</t>
  </si>
  <si>
    <t xml:space="preserve">Phase 3  ·  Rolling prices</t>
  </si>
  <si>
    <t xml:space="preserve">Q4 2026</t>
  </si>
  <si>
    <t xml:space="preserve">Data Eng + BD</t>
  </si>
  <si>
    <t xml:space="preserve">Auto-recompute rate card cells on follower drift. Tier-up / tier-down flags.</t>
  </si>
  <si>
    <t xml:space="preserve">Phase 3.5  ·  Pipeline ML</t>
  </si>
  <si>
    <t xml:space="preserve">Q1 2027</t>
  </si>
  <si>
    <t xml:space="preserve">Research</t>
  </si>
  <si>
    <t xml:space="preserve">Data Science</t>
  </si>
  <si>
    <t xml:space="preserve">Weighted-value model learns from 52_Quote_Log close rates. Replaces static confidence %.</t>
  </si>
  <si>
    <t xml:space="preserve">Phase 4  ·  Open API</t>
  </si>
  <si>
    <t xml:space="preserve">Q2 2027</t>
  </si>
  <si>
    <t xml:space="preserve">Eng</t>
  </si>
  <si>
    <t xml:space="preserve">Brands submit briefs via API; engine returns indicative quote + legal flags. Human BD approves.</t>
  </si>
  <si>
    <t xml:space="preserve">DESIGN DECISIONS THAT UNLOCK THE FUTURE</t>
  </si>
  <si>
    <t xml:space="preserve">Named ranges everywhere</t>
  </si>
  <si>
    <t xml:space="preserve">Apps Script and future APIs bind to names, not addresses. Safe to refactor.</t>
  </si>
  <si>
    <t xml:space="preserve">Stable line-item schema</t>
  </si>
  <si>
    <t xml:space="preserve">Quote Builder line rows keep column order locked. Phase 2.5 PDF + log writer depend on this.</t>
  </si>
  <si>
    <t xml:space="preserve">Shared backbone</t>
  </si>
  <si>
    <t xml:space="preserve">Adding a third talent type (e.g., coaches) = add a rate card + extend LKP_TalentType. No engine rewrite.</t>
  </si>
  <si>
    <t xml:space="preserve">Confidence as gate</t>
  </si>
  <si>
    <t xml:space="preserve">Any ingestion pipeline (Shikenso, manual, future partners) flows through the same gate.</t>
  </si>
  <si>
    <t xml:space="preserve">95 — USER GUIDE  ·  ENGLISH</t>
  </si>
  <si>
    <t xml:space="preserve">WHO IS THIS FOR</t>
  </si>
  <si>
    <t xml:space="preserve">BD, Ops, Finance, and Falcons leadership. Non-technical. If you can fill a form, you can use this.</t>
  </si>
  <si>
    <t xml:space="preserve">QUICK PATH — PRICE A CAMPAIGN IN 5 MINUTES</t>
  </si>
  <si>
    <t xml:space="preserve">1) Open 50_Quote_Builder. 2) Fill the header (client, campaign, objective). 3) For each deliverable, pick Talent Type (Player / Creator), pick the talent name, pick the platform, enter quantity. 4) Base fee auto-pulls. 5) Adjust multipliers if you need to — defaults are safe. 6) Add rights/add-on uplift %. 7) Totals auto-compute. 8) Check 51_Quote_Preview — this is what the client sees. 9) Paste the row into 52_Quote_Log when you send it.</t>
  </si>
  <si>
    <t xml:space="preserve">WHEN TO TOUCH WHICH TAB</t>
  </si>
  <si>
    <t xml:space="preserve">00_Cover = orient yourself. 01_Settings = rarely; only for VAT, USD rate, approver emails, bank. 02_Lookups = rarely; only when adjusting a multiplier scale. 03_Benchmarks = reference for client conversations. 20 / 30 rate cards = when a talent is added or a rate changes. 10_Social_Tracker = when you verify handles or follower counts. 40_Adjustment_Matrix = when you want to model a single scenario. 41_Add_On_Rights = when drafting a rights package. 50–53 = daily commercial work.</t>
  </si>
  <si>
    <t xml:space="preserve">WHAT THE COLORS MEAN</t>
  </si>
  <si>
    <t xml:space="preserve">Yellow-fill + blue text = safe to edit. Black text = formula — do not overwrite. Green text = pulled from another sheet. Red text = placeholder or external.</t>
  </si>
  <si>
    <t xml:space="preserve">WHAT CONFIDENCE DOES</t>
  </si>
  <si>
    <t xml:space="preserve">If a talent's follower data is 'pending', the engine forces all premium multipliers to 1.00. They sell at baseline only. Get the follower count on 10_Social_Tracker → confidence upgrades to 'estimated' → partial premiums unlock → verify → 'exact' → full premiums unlock.</t>
  </si>
  <si>
    <t xml:space="preserve">WHY QUOTES ABOVE 150K FLAG</t>
  </si>
  <si>
    <t xml:space="preserve">Per 01_Settings, any quote above the approval threshold auto-flags for legal. This is not a block — it is a routing signal.</t>
  </si>
  <si>
    <t xml:space="preserve">WHEN SOMETHING LOOKS WRONG</t>
  </si>
  <si>
    <t xml:space="preserve">First: is the confidence tier 'pending'? That zeroes-out premiums. Second: is the talent name spelled exactly as in the rate card? VLOOKUP is literal. Third: is the platform exactly one of the 17 listed options? Dropdown enforces this. If all three pass and it still looks wrong, check 40_Adjustment_Matrix for the axis weights.</t>
  </si>
  <si>
    <t xml:space="preserve">REPORTING A BUG OR REQUEST</t>
  </si>
  <si>
    <t xml:space="preserve">Put a row in the top of 97_Changelog with date, your name, and what you need. Data Eng reviews weekly.</t>
  </si>
  <si>
    <t xml:space="preserve">96 — دليل المستخدم  ·  بالعربي</t>
  </si>
  <si>
    <t xml:space="preserve">لمن هذا الدليل</t>
  </si>
  <si>
    <t xml:space="preserve">للفرق التجارية والعمليات والمالية والإدارة في فالكونز. غير تقني. إذا كنت تستطيع تعبئة نموذج، تستطيع استخدام هذا النظام.</t>
  </si>
  <si>
    <t xml:space="preserve">المسار السريع — تسعير حملة في 5 دقائق</t>
  </si>
  <si>
    <t xml:space="preserve">١) افتح 50_Quote_Builder. ٢) املأ الرأس (العميل، الحملة، الهدف). ٣) لكل عنصر، اختر نوع المواهب (لاعب / صانع محتوى) ثم اختر اسم الموهبة ثم المنصة ثم الكمية. ٤) يتم سحب الرسوم الأساسية تلقائيًا. ٥) عدّل المضاعفات إذا لزم — القيم الافتراضية آمنة. ٦) أضف نسبة الزيادة للحقوق. ٧) تُحتسب الإجماليات تلقائيًا. ٨) راجع 51_Quote_Preview — هذا ما يراه العميل. ٩) انسخ الصف إلى 52_Quote_Log عند الإرسال.</t>
  </si>
  <si>
    <t xml:space="preserve">متى تفتح أي تبويب</t>
  </si>
  <si>
    <t xml:space="preserve">00_Cover = للتعريف. 01_Settings = نادرًا، فقط لضريبة القيمة المضافة وسعر الدولار وإيميلات الموافقات والبنك. 02_Lookups = نادرًا، فقط عند تعديل المضاعفات. 20 / 30 بطاقات الأسعار = عند إضافة موهبة أو تحديث سعر. 10_Social_Tracker = عند التحقق من الحسابات والمتابعين. 40_Adjustment_Matrix = لمحاكاة سيناريو. 41_Add_On_Rights = عند صياغة حزمة حقوق. 50–53 = العمل التجاري اليومي.</t>
  </si>
  <si>
    <t xml:space="preserve">معنى الألوان</t>
  </si>
  <si>
    <t xml:space="preserve">تعبئة صفراء + نص أزرق = قابل للتحرير. نص أسود = صيغة — لا تكتب فوقها. نص أخضر = سحب من تبويب آخر. نص أحمر = قيمة مؤقتة أو خارجية.</t>
  </si>
  <si>
    <t xml:space="preserve">ما الذي تفعله مستويات الثقة</t>
  </si>
  <si>
    <t xml:space="preserve">إذا كانت بيانات الموهبة 'pending'، يلزم المحرّك كل المضاعفات بـ ١٫٠٠ (السعر الأساسي فقط). عند إدخال المتابعين تنتقل إلى 'estimated' وتُفتح بعض الزيادات، وعند التحقق الكامل إلى 'exact' وتُفتح كلها.</t>
  </si>
  <si>
    <t xml:space="preserve">لماذا تُعلَّم عروض الأسعار فوق ١٥٠ ألف</t>
  </si>
  <si>
    <t xml:space="preserve">حسب 01_Settings، أي عرض يتجاوز الحد التقريبي يُعلَّم تلقائيًا لمراجعة قانونية. ليست عقبة — مجرد إشارة توجيه.</t>
  </si>
  <si>
    <t xml:space="preserve">عندما يبدو شيء خاطئًا</t>
  </si>
  <si>
    <t xml:space="preserve">أولًا: هل مستوى الثقة 'pending'؟ هذا يصفّر الزيادات. ثانيًا: هل كُتب اسم الموهبة تمامًا كما في بطاقة الأسعار؟ VLOOKUP حرفي. ثالثًا: هل المنصة من القائمة المعتمدة (١٧ خيارًا)؟ القائمة المنسدلة تُلزم بذلك. إذا اجتزت الثلاثة، راجع 40_Adjustment_Matrix.</t>
  </si>
  <si>
    <t xml:space="preserve">الإبلاغ عن خلل أو طلب</t>
  </si>
  <si>
    <t xml:space="preserve">أضف صفًا في أعلى 97_Changelog بالتاريخ واسمك وطلبك. يراجعه فريق البيانات أسبوعيًا.</t>
  </si>
  <si>
    <t xml:space="preserve">97 — CHANGELOG</t>
  </si>
  <si>
    <t xml:space="preserve">Every structural change, rate adjustment, or multiplier revision. Newest on top. Apps Script Phase 2 will append here automatically.</t>
  </si>
  <si>
    <t xml:space="preserve">Version</t>
  </si>
  <si>
    <t xml:space="preserve">Author</t>
  </si>
  <si>
    <t xml:space="preserve">Change</t>
  </si>
  <si>
    <t xml:space="preserve">2026-04-18</t>
  </si>
  <si>
    <t xml:space="preserve">Team Falcons + Pricing OS</t>
  </si>
  <si>
    <t xml:space="preserve">First unified release. Merged v7 baseline + v8 upgrades + Website tracker. 9-axis matrix with confidence enforcement. Unified quote builder across players + creators.</t>
  </si>
  <si>
    <t xml:space="preserve">v0.9</t>
  </si>
  <si>
    <t xml:space="preserve">2026-04-17</t>
  </si>
  <si>
    <t xml:space="preserve">Pricing OS</t>
  </si>
  <si>
    <t xml:space="preserve">Architecture lock: 5-tier scheme, Authority Floor, Confidence gate, rights separation.</t>
  </si>
  <si>
    <t xml:space="preserve">v0.8</t>
  </si>
  <si>
    <t xml:space="preserve">v8 team</t>
  </si>
  <si>
    <t xml:space="preserve">Extensions: follower / CPM / authority floor / confidence tiering.</t>
  </si>
  <si>
    <t xml:space="preserve">v7.0</t>
  </si>
  <si>
    <t xml:space="preserve">v7 team</t>
  </si>
  <si>
    <t xml:space="preserve">189-player rate card. Clean front-end. Baseline preserved into v1.0.</t>
  </si>
  <si>
    <t xml:space="preserve">v2.x</t>
  </si>
  <si>
    <t xml:space="preserve">2025-12-01</t>
  </si>
  <si>
    <t xml:space="preserve">Unified attempt</t>
  </si>
  <si>
    <t xml:space="preserve">Early unification — superseded by v1.0.</t>
  </si>
  <si>
    <t xml:space="preserve">v1.1</t>
  </si>
  <si>
    <t xml:space="preserve">Falcons green rebrand · role-pastel highlighting on player rate card · deleted Quote Builder (→ Apps Script) · rebuilt Quote Preview in KFC style with logo · new 42_Preview scenario calculator</t>
  </si>
  <si>
    <t xml:space="preserve">v1.3</t>
  </si>
  <si>
    <t xml:space="preserve">Matrix tab is now governance-only (axes doc + formula spine + confidence gates + worked example). Preview tab is the interactive Benchmark Calculator with Player/Creator toggle, 18-row add-on toggle grid summing live into the uplift %, and end-to-end linkage into 51_Quote_Preview. Apps Script adds getTalent() + exportQuoteAsPDF() + generateAndExportQuote().</t>
  </si>
  <si>
    <t xml:space="preserve">99 — SCRIPT MAP  ·  NAMED RANGES &amp; STABLE ADDRESSES</t>
  </si>
  <si>
    <t xml:space="preserve">Apps Script / automation should bind to these names only. Cell addresses below are informational — they may move within a stable-until version.</t>
  </si>
  <si>
    <t xml:space="preserve">NAMED RANGES</t>
  </si>
  <si>
    <t xml:space="preserve">Resolves To</t>
  </si>
  <si>
    <t xml:space="preserve">Purpose</t>
  </si>
  <si>
    <t xml:space="preserve">USD_Rate</t>
  </si>
  <si>
    <t xml:space="preserve">'01_Settings'!$C$X</t>
  </si>
  <si>
    <t xml:space="preserve">Currency conversion divisor.</t>
  </si>
  <si>
    <t xml:space="preserve">VAT_Rate</t>
  </si>
  <si>
    <t xml:space="preserve">KSA VAT rate.</t>
  </si>
  <si>
    <t xml:space="preserve">Default_Mgmt_Fee</t>
  </si>
  <si>
    <t xml:space="preserve">Applied to quote subtotal.</t>
  </si>
  <si>
    <t xml:space="preserve">Default_Opening</t>
  </si>
  <si>
    <t xml:space="preserve">Creator opening factor default.</t>
  </si>
  <si>
    <t xml:space="preserve">Approval_Threshold</t>
  </si>
  <si>
    <t xml:space="preserve">Quotes ≥ this value → legal flag.</t>
  </si>
  <si>
    <t xml:space="preserve">LKP_Tiers</t>
  </si>
  <si>
    <t xml:space="preserve">'02_Lookups'!$B$…</t>
  </si>
  <si>
    <t xml:space="preserve">Tier dropdown.</t>
  </si>
  <si>
    <t xml:space="preserve">Engagement multiplier list.</t>
  </si>
  <si>
    <t xml:space="preserve">Audience quality list.</t>
  </si>
  <si>
    <t xml:space="preserve">Campaign objective list.</t>
  </si>
  <si>
    <t xml:space="preserve">Authority status list.</t>
  </si>
  <si>
    <t xml:space="preserve">Language multiplier list.</t>
  </si>
  <si>
    <t xml:space="preserve">Seasonality list.</t>
  </si>
  <si>
    <t xml:space="preserve">LKP_ContentType</t>
  </si>
  <si>
    <t xml:space="preserve">Content type list.</t>
  </si>
  <si>
    <t xml:space="preserve">Measurement confidence list.</t>
  </si>
  <si>
    <t xml:space="preserve">Authority floor FloorShare values.</t>
  </si>
  <si>
    <t xml:space="preserve">LKP_TalentType</t>
  </si>
  <si>
    <t xml:space="preserve">Talent type for Quote Builder.</t>
  </si>
  <si>
    <t xml:space="preserve">LKP_InqStage</t>
  </si>
  <si>
    <t xml:space="preserve">Inquiry stage.</t>
  </si>
  <si>
    <t xml:space="preserve">LKP_InqStatus</t>
  </si>
  <si>
    <t xml:space="preserve">Inquiry status.</t>
  </si>
  <si>
    <t xml:space="preserve">LKP_Bundle</t>
  </si>
  <si>
    <t xml:space="preserve">Bundle discount tiers.</t>
  </si>
  <si>
    <t xml:space="preserve">QUOTE BUILDER LINE-ITEM SCHEMA  (stable until v2.0)</t>
  </si>
  <si>
    <t xml:space="preserve">Auto-numbered line.</t>
  </si>
  <si>
    <t xml:space="preserve">Player / Creator.</t>
  </si>
  <si>
    <t xml:space="preserve">Must match rate card row.</t>
  </si>
  <si>
    <t xml:space="preserve">From fixed 17-item list.</t>
  </si>
  <si>
    <t xml:space="preserve">Numeric.</t>
  </si>
  <si>
    <t xml:space="preserve">Base Unit (SAR)</t>
  </si>
  <si>
    <t xml:space="preserve">Formula. VLOOKUP to rate card.</t>
  </si>
  <si>
    <t xml:space="preserve">H-L</t>
  </si>
  <si>
    <t xml:space="preserve">Eng / Aud / Season / Lang / Auth ×</t>
  </si>
  <si>
    <t xml:space="preserve">Decimal multipliers.</t>
  </si>
  <si>
    <t xml:space="preserve">M</t>
  </si>
  <si>
    <t xml:space="preserve">ConfCap ×</t>
  </si>
  <si>
    <t xml:space="preserve">Decimal; applied last before add-on.</t>
  </si>
  <si>
    <t xml:space="preserve">N</t>
  </si>
  <si>
    <t xml:space="preserve">AddOn Uplift %</t>
  </si>
  <si>
    <t xml:space="preserve">Rights uplift as percent.</t>
  </si>
  <si>
    <t xml:space="preserve">O</t>
  </si>
  <si>
    <t xml:space="preserve">Line Subtotal</t>
  </si>
  <si>
    <t xml:space="preserve">Formula.</t>
  </si>
  <si>
    <t xml:space="preserve">P</t>
  </si>
  <si>
    <t xml:space="preserve">Bundle Disc. %</t>
  </si>
  <si>
    <t xml:space="preserve">Percent.</t>
  </si>
  <si>
    <t xml:space="preserve">Q</t>
  </si>
  <si>
    <t xml:space="preserve">Line Total</t>
  </si>
  <si>
    <t xml:space="preserve">Formula. Stable for export.</t>
  </si>
  <si>
    <t xml:space="preserve">R</t>
  </si>
  <si>
    <t xml:space="preserve">Notes / Rights</t>
  </si>
  <si>
    <t xml:space="preserve">Free text.</t>
  </si>
  <si>
    <t xml:space="preserve">EXPORT HOOKS (Phase 2.5)</t>
  </si>
  <si>
    <t xml:space="preserve">Quote to PDF</t>
  </si>
  <si>
    <t xml:space="preserve">Source: 51_Quote_Preview  ·  Destination: Drive folder from 01_Settings!output_folder_id</t>
  </si>
  <si>
    <t xml:space="preserve">Quote to Log</t>
  </si>
  <si>
    <t xml:space="preserve">On export → append one row to 52_Quote_Log with Quote ID, totals, status=Sent</t>
  </si>
  <si>
    <t xml:space="preserve">Legal routing</t>
  </si>
  <si>
    <t xml:space="preserve">If Approval Flag = high-value → notify Legal Approver Email from 01_Settings</t>
  </si>
  <si>
    <t xml:space="preserve">Shikenso sync</t>
  </si>
  <si>
    <t xml:space="preserve">Nightly: overwrite 10_Social_Tracker Current Count for rows whose Handle resolves via API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</si>
</sst>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.00"/>
    <numFmt numFmtId="167" formatCode="#,##0;\(#,##0\);\—"/>
    <numFmt numFmtId="168" formatCode="0%"/>
    <numFmt numFmtId="169" formatCode="#,##0"/>
    <numFmt numFmtId="170" formatCode="#,##0&quot; SAR&quot;"/>
    <numFmt numFmtId="171" formatCode="0.00\x"/>
    <numFmt numFmtId="172" formatCode="#,##0;\(#,##0\);\-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2ED06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1"/>
      <color rgb="FFB7C5D3"/>
      <name val="Arial"/>
      <family val="0"/>
      <charset val="1"/>
    </font>
    <font>
      <i val="true"/>
      <sz val="10"/>
      <color rgb="FF5D7079"/>
      <name val="Arial"/>
      <family val="0"/>
      <charset val="1"/>
    </font>
    <font>
      <sz val="9"/>
      <color rgb="FF5D7079"/>
      <name val="Arial"/>
      <family val="0"/>
      <charset val="1"/>
    </font>
    <font>
      <b val="true"/>
      <sz val="16"/>
      <color rgb="FF1A2F5A"/>
      <name val="Arial"/>
      <family val="0"/>
      <charset val="1"/>
    </font>
    <font>
      <b val="true"/>
      <sz val="9"/>
      <color rgb="FF5D7079"/>
      <name val="Arial"/>
      <family val="0"/>
      <charset val="1"/>
    </font>
    <font>
      <b val="true"/>
      <sz val="10"/>
      <color rgb="FF1A2F5A"/>
      <name val="Arial"/>
      <family val="0"/>
      <charset val="1"/>
    </font>
    <font>
      <sz val="10"/>
      <color rgb="FF35424C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D70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5D707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35424C"/>
      <name val="Courier New"/>
      <family val="0"/>
      <charset val="1"/>
    </font>
    <font>
      <sz val="9"/>
      <color rgb="FF35424C"/>
      <name val="Arial"/>
      <family val="0"/>
      <charset val="1"/>
    </font>
    <font>
      <b val="true"/>
      <sz val="9"/>
      <color rgb="FF35424C"/>
      <name val="Arial"/>
      <family val="0"/>
      <charset val="1"/>
    </font>
    <font>
      <sz val="10"/>
      <name val="Arial"/>
      <family val="0"/>
      <charset val="1"/>
    </font>
    <font>
      <sz val="10"/>
      <color rgb="FF5D7079"/>
      <name val="Arial"/>
      <family val="0"/>
      <charset val="1"/>
    </font>
    <font>
      <b val="true"/>
      <sz val="11"/>
      <color rgb="FF1F4BFF"/>
      <name val="Arial"/>
      <family val="0"/>
      <charset val="1"/>
    </font>
    <font>
      <b val="true"/>
      <sz val="10"/>
      <color rgb="FF1F4BFF"/>
      <name val="Arial"/>
      <family val="0"/>
      <charset val="1"/>
    </font>
    <font>
      <sz val="10"/>
      <color rgb="FF1E8E3E"/>
      <name val="Arial"/>
      <family val="0"/>
      <charset val="1"/>
    </font>
    <font>
      <b val="true"/>
      <sz val="11"/>
      <color rgb="FF35424C"/>
      <name val="Arial"/>
      <family val="0"/>
      <charset val="1"/>
    </font>
    <font>
      <b val="true"/>
      <sz val="12"/>
      <color rgb="FF1A2F5A"/>
      <name val="Arial"/>
      <family val="0"/>
      <charset val="1"/>
    </font>
    <font>
      <b val="true"/>
      <sz val="14"/>
      <color rgb="FF1A2F5A"/>
      <name val="Arial"/>
      <family val="0"/>
      <charset val="1"/>
    </font>
    <font>
      <b val="true"/>
      <sz val="10"/>
      <color rgb="FF35424C"/>
      <name val="Arial"/>
      <family val="0"/>
      <charset val="1"/>
    </font>
    <font>
      <b val="true"/>
      <sz val="18"/>
      <color rgb="FF1A2F5A"/>
      <name val="Arial"/>
      <family val="0"/>
      <charset val="1"/>
    </font>
    <font>
      <b val="true"/>
      <sz val="11"/>
      <color rgb="FF1A2F5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6A657"/>
      <name val="Arial"/>
      <family val="0"/>
      <charset val="1"/>
    </font>
    <font>
      <sz val="8"/>
      <color rgb="FF5D7079"/>
      <name val="Arial"/>
      <family val="0"/>
      <charset val="1"/>
    </font>
    <font>
      <i val="true"/>
      <sz val="10"/>
      <color rgb="FF35424C"/>
      <name val="Arial"/>
      <family val="0"/>
      <charset val="1"/>
    </font>
    <font>
      <b val="true"/>
      <sz val="10"/>
      <color rgb="FF1A2F5A"/>
      <name val="Courier New"/>
      <family val="0"/>
      <charset val="1"/>
    </font>
    <font>
      <sz val="10"/>
      <color rgb="FF35424C"/>
      <name val="Courier New"/>
      <family val="0"/>
      <charset val="1"/>
    </font>
    <font>
      <sz val="10"/>
      <color rgb="FF1A2F5A"/>
      <name val="Courier Ne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2ED06E"/>
        <bgColor rgb="FF26A657"/>
      </patternFill>
    </fill>
    <fill>
      <patternFill patternType="solid">
        <fgColor rgb="FF1A2F5A"/>
        <bgColor rgb="FF19365C"/>
      </patternFill>
    </fill>
    <fill>
      <patternFill patternType="solid">
        <fgColor rgb="FFFFFFFF"/>
        <bgColor rgb="FFF2F5F7"/>
      </patternFill>
    </fill>
    <fill>
      <patternFill patternType="solid">
        <fgColor rgb="FFF2F5F7"/>
        <bgColor rgb="FFEEEEEE"/>
      </patternFill>
    </fill>
    <fill>
      <patternFill patternType="solid">
        <fgColor rgb="FFFFF7CC"/>
        <bgColor rgb="FFE8F5E9"/>
      </patternFill>
    </fill>
    <fill>
      <patternFill patternType="solid">
        <fgColor rgb="FF35424C"/>
        <bgColor rgb="FF19365C"/>
      </patternFill>
    </fill>
    <fill>
      <patternFill patternType="solid">
        <fgColor rgb="FFFFDFB1"/>
        <bgColor rgb="FFF7E6E6"/>
      </patternFill>
    </fill>
    <fill>
      <patternFill patternType="solid">
        <fgColor rgb="FFFBE3EC"/>
        <bgColor rgb="FFF7E6E6"/>
      </patternFill>
    </fill>
    <fill>
      <patternFill patternType="solid">
        <fgColor rgb="FFE3F1FB"/>
        <bgColor rgb="FFE8F5E9"/>
      </patternFill>
    </fill>
    <fill>
      <patternFill patternType="solid">
        <fgColor rgb="FFF2E3F4"/>
        <bgColor rgb="FFFBE3EC"/>
      </patternFill>
    </fill>
    <fill>
      <patternFill patternType="solid">
        <fgColor rgb="FF26A657"/>
        <bgColor rgb="FF1E8E3E"/>
      </patternFill>
    </fill>
    <fill>
      <patternFill patternType="solid">
        <fgColor rgb="FFE9F9EE"/>
        <bgColor rgb="FFE8F5E9"/>
      </patternFill>
    </fill>
    <fill>
      <patternFill patternType="solid">
        <fgColor rgb="FFE8F5E9"/>
        <bgColor rgb="FFE6F3E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19365C"/>
      </left>
      <right style="thin">
        <color rgb="FF19365C"/>
      </right>
      <top style="thin">
        <color rgb="FF19365C"/>
      </top>
      <bottom style="thin">
        <color rgb="FF19365C"/>
      </bottom>
      <diagonal/>
    </border>
    <border diagonalUp="false" diagonalDown="false"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 diagonalUp="false" diagonalDown="false">
      <left/>
      <right/>
      <top/>
      <bottom style="thin">
        <color rgb="FFE5E8EC"/>
      </bottom>
      <diagonal/>
    </border>
    <border diagonalUp="false" diagonalDown="false">
      <left style="thin">
        <color rgb="FFD4DEE5"/>
      </left>
      <right style="thin">
        <color rgb="FFD4DEE5"/>
      </right>
      <top style="thin">
        <color rgb="FFD4DEE5"/>
      </top>
      <bottom style="thin">
        <color rgb="FFD4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8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4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9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1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11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7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5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5" borderId="4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24" fillId="4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4" fillId="4" borderId="4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6" fontId="24" fillId="5" borderId="4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8" fontId="24" fillId="5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4" borderId="4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25" fillId="5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5" fillId="5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5" borderId="4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25" fillId="4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5" fillId="4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4" borderId="4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6" fontId="24" fillId="5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13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1" fillId="13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13" borderId="4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9" fontId="12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8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9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2" fillId="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28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2" fillId="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29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1" fontId="12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28" fillId="6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30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1" fontId="30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9" fontId="30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0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9" fontId="31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2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33" fillId="1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2" fillId="5" borderId="4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12" fillId="4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2" fillId="4" borderId="4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19" fillId="1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9" fillId="12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9" fillId="12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2" fontId="12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34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2" fontId="12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34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12" fillId="4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2" fillId="4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6" fillId="13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32" fillId="13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7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4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2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8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8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1" fontId="19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6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4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A2F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D7079"/>
          <bgColor rgb="FF000000"/>
        </patternFill>
      </fill>
    </dxf>
    <dxf>
      <fill>
        <patternFill patternType="solid">
          <fgColor rgb="FFE3F1FB"/>
          <bgColor rgb="FF000000"/>
        </patternFill>
      </fill>
    </dxf>
    <dxf>
      <fill>
        <patternFill patternType="solid">
          <fgColor rgb="FFF2E3F4"/>
          <bgColor rgb="FF000000"/>
        </patternFill>
      </fill>
    </dxf>
    <dxf>
      <fill>
        <patternFill patternType="solid">
          <fgColor rgb="FFFBE3EC"/>
          <bgColor rgb="FF000000"/>
        </patternFill>
      </fill>
    </dxf>
    <dxf>
      <fill>
        <patternFill patternType="solid">
          <fgColor rgb="FFFFDFB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7E6E6"/>
          <bgColor rgb="FF000000"/>
        </patternFill>
      </fill>
    </dxf>
    <dxf>
      <fill>
        <patternFill>
          <bgColor rgb="FFF7E6E6"/>
        </patternFill>
      </fill>
    </dxf>
    <dxf>
      <fill>
        <patternFill>
          <bgColor rgb="FFFFF7CC"/>
        </patternFill>
      </fill>
    </dxf>
    <dxf>
      <fill>
        <patternFill>
          <bgColor rgb="FFE6F3E6"/>
        </patternFill>
      </fill>
    </dxf>
    <dxf>
      <fill>
        <patternFill patternType="solid">
          <fgColor rgb="FF2ED06E"/>
          <bgColor rgb="FF000000"/>
        </patternFill>
      </fill>
    </dxf>
    <dxf>
      <fill>
        <patternFill patternType="solid">
          <fgColor rgb="FFE6F3E6"/>
          <bgColor rgb="FF000000"/>
        </patternFill>
      </fill>
    </dxf>
    <dxf>
      <fill>
        <patternFill patternType="solid">
          <fgColor rgb="FFFFF7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7E6E6"/>
      <rgbColor rgb="FFFF00FF"/>
      <rgbColor rgb="FF00FFFF"/>
      <rgbColor rgb="FF800000"/>
      <rgbColor rgb="FF008000"/>
      <rgbColor rgb="FF000080"/>
      <rgbColor rgb="FF808000"/>
      <rgbColor rgb="FF800080"/>
      <rgbColor rgb="FF1E8E3E"/>
      <rgbColor rgb="FFB7C5D3"/>
      <rgbColor rgb="FF808080"/>
      <rgbColor rgb="FFF2F5F7"/>
      <rgbColor rgb="FF993366"/>
      <rgbColor rgb="FFFFF7CC"/>
      <rgbColor rgb="FFE3F1FB"/>
      <rgbColor rgb="FF660066"/>
      <rgbColor rgb="FFFF8080"/>
      <rgbColor rgb="FF0066CC"/>
      <rgbColor rgb="FFD4DEE5"/>
      <rgbColor rgb="FF000080"/>
      <rgbColor rgb="FFFF00FF"/>
      <rgbColor rgb="FFEEEEEE"/>
      <rgbColor rgb="FF00FFFF"/>
      <rgbColor rgb="FF800080"/>
      <rgbColor rgb="FF800000"/>
      <rgbColor rgb="FF008080"/>
      <rgbColor rgb="FF0000FF"/>
      <rgbColor rgb="FF00CCFF"/>
      <rgbColor rgb="FFE9F9EE"/>
      <rgbColor rgb="FFE6F3E6"/>
      <rgbColor rgb="FFE8F5E9"/>
      <rgbColor rgb="FFE5E8EC"/>
      <rgbColor rgb="FFFBE3EC"/>
      <rgbColor rgb="FFF2E3F4"/>
      <rgbColor rgb="FFFFDFB1"/>
      <rgbColor rgb="FF1F4BFF"/>
      <rgbColor rgb="FF2ED06E"/>
      <rgbColor rgb="FF99CC00"/>
      <rgbColor rgb="FFFFCC00"/>
      <rgbColor rgb="FFFF9900"/>
      <rgbColor rgb="FFFF6600"/>
      <rgbColor rgb="FF5D7079"/>
      <rgbColor rgb="FF969696"/>
      <rgbColor rgb="FF19365C"/>
      <rgbColor rgb="FF26A657"/>
      <rgbColor rgb="FF003300"/>
      <rgbColor rgb="FF333300"/>
      <rgbColor rgb="FF993300"/>
      <rgbColor rgb="FF993366"/>
      <rgbColor rgb="FF1A2F5A"/>
      <rgbColor rgb="FF3542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120240</xdr:colOff>
      <xdr:row>4</xdr:row>
      <xdr:rowOff>74520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41120" y="76320"/>
          <a:ext cx="2093760" cy="903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10" min="4" style="1" width="16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7.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42" hidden="false" customHeight="true" outlineLevel="0" collapsed="false">
      <c r="B3" s="4" t="s">
        <v>0</v>
      </c>
      <c r="C3" s="4"/>
      <c r="D3" s="4"/>
      <c r="E3" s="4"/>
      <c r="F3" s="4"/>
      <c r="G3" s="4"/>
      <c r="H3" s="4"/>
      <c r="I3" s="4"/>
      <c r="J3" s="4"/>
    </row>
    <row r="4" customFormat="false" ht="24" hidden="false" customHeight="true" outlineLevel="0" collapsed="false">
      <c r="B4" s="5" t="s">
        <v>1</v>
      </c>
      <c r="C4" s="5"/>
      <c r="D4" s="5"/>
      <c r="E4" s="5"/>
      <c r="F4" s="5"/>
      <c r="G4" s="5"/>
      <c r="H4" s="5"/>
      <c r="I4" s="5"/>
      <c r="J4" s="5"/>
    </row>
    <row r="5" customFormat="false" ht="19.5" hidden="false" customHeight="true" outlineLevel="0" collapsed="false">
      <c r="B5" s="6" t="s">
        <v>2</v>
      </c>
      <c r="C5" s="6"/>
      <c r="D5" s="6"/>
      <c r="E5" s="6"/>
      <c r="F5" s="6"/>
      <c r="G5" s="6"/>
      <c r="H5" s="6"/>
      <c r="I5" s="6"/>
      <c r="J5" s="6"/>
    </row>
    <row r="6" customFormat="false" ht="6" hidden="false" customHeight="true" outlineLevel="0" collapsed="false">
      <c r="A6" s="2"/>
      <c r="B6" s="7" t="s">
        <v>3</v>
      </c>
      <c r="C6" s="2"/>
      <c r="D6" s="2"/>
      <c r="E6" s="2"/>
      <c r="F6" s="2"/>
      <c r="G6" s="2"/>
      <c r="H6" s="2"/>
      <c r="I6" s="2"/>
      <c r="J6" s="2"/>
    </row>
    <row r="7" customFormat="false" ht="18" hidden="false" customHeight="true" outlineLevel="0" collapsed="false">
      <c r="B7" s="8" t="s">
        <v>4</v>
      </c>
      <c r="C7" s="8"/>
      <c r="D7" s="8"/>
      <c r="E7" s="8"/>
      <c r="F7" s="8"/>
      <c r="G7" s="8"/>
      <c r="H7" s="8"/>
      <c r="I7" s="8"/>
      <c r="J7" s="8"/>
    </row>
    <row r="8" customFormat="false" ht="25.5" hidden="false" customHeight="true" outlineLevel="0" collapsed="false">
      <c r="B8" s="9" t="n">
        <f aca="false">COUNTA('20_Player_Rate_Card'!C6:C500)+COUNTA('30_Creator_Rate_Card'!C6:C100)</f>
        <v>206</v>
      </c>
      <c r="D8" s="9" t="n">
        <f aca="false">COUNTA('20_Player_Rate_Card'!C6:C500)</f>
        <v>189</v>
      </c>
      <c r="F8" s="9" t="n">
        <f aca="false">COUNTA('30_Creator_Rate_Card'!C6:C100)</f>
        <v>17</v>
      </c>
      <c r="H8" s="9" t="str">
        <f aca="false">COUNTIF('20_Player_Rate_Card'!I6:I500,"Tier 1")&amp;"/"&amp;COUNTIF('20_Player_Rate_Card'!I6:I500,"Tier 2")&amp;"/"&amp;COUNTIF('20_Player_Rate_Card'!I6:I500,"Tier 3")</f>
        <v>25/106/58</v>
      </c>
    </row>
    <row r="9" customFormat="false" ht="21.75" hidden="false" customHeight="true" outlineLevel="0" collapsed="false">
      <c r="B9" s="10" t="s">
        <v>5</v>
      </c>
      <c r="D9" s="10" t="s">
        <v>6</v>
      </c>
      <c r="F9" s="10" t="s">
        <v>7</v>
      </c>
      <c r="H9" s="10" t="s">
        <v>8</v>
      </c>
    </row>
    <row r="12" customFormat="false" ht="17.25" hidden="false" customHeight="true" outlineLevel="0" collapsed="false">
      <c r="B12" s="5" t="s">
        <v>9</v>
      </c>
      <c r="C12" s="5"/>
      <c r="D12" s="5"/>
      <c r="E12" s="5"/>
      <c r="F12" s="5"/>
    </row>
    <row r="13" customFormat="false" ht="15" hidden="false" customHeight="true" outlineLevel="0" collapsed="false">
      <c r="B13" s="11" t="s">
        <v>10</v>
      </c>
      <c r="C13" s="11"/>
      <c r="D13" s="11"/>
      <c r="E13" s="11"/>
      <c r="F13" s="11"/>
    </row>
    <row r="14" customFormat="false" ht="15" hidden="false" customHeight="true" outlineLevel="0" collapsed="false">
      <c r="B14" s="12" t="s">
        <v>11</v>
      </c>
      <c r="C14" s="13" t="s">
        <v>12</v>
      </c>
      <c r="D14" s="13"/>
      <c r="E14" s="13"/>
      <c r="F14" s="13"/>
      <c r="G14" s="13"/>
      <c r="H14" s="13"/>
    </row>
    <row r="15" customFormat="false" ht="15" hidden="false" customHeight="true" outlineLevel="0" collapsed="false">
      <c r="B15" s="12" t="s">
        <v>13</v>
      </c>
      <c r="C15" s="13" t="s">
        <v>14</v>
      </c>
      <c r="D15" s="13"/>
      <c r="E15" s="13"/>
      <c r="F15" s="13"/>
      <c r="G15" s="13"/>
      <c r="H15" s="13"/>
    </row>
    <row r="16" customFormat="false" ht="15" hidden="false" customHeight="true" outlineLevel="0" collapsed="false">
      <c r="B16" s="12" t="s">
        <v>15</v>
      </c>
      <c r="C16" s="13" t="s">
        <v>16</v>
      </c>
      <c r="D16" s="13"/>
      <c r="E16" s="13"/>
      <c r="F16" s="13"/>
      <c r="G16" s="13"/>
      <c r="H16" s="13"/>
    </row>
    <row r="18" customFormat="false" ht="15" hidden="false" customHeight="true" outlineLevel="0" collapsed="false">
      <c r="B18" s="11" t="s">
        <v>17</v>
      </c>
      <c r="C18" s="11"/>
      <c r="D18" s="11"/>
      <c r="E18" s="11"/>
      <c r="F18" s="11"/>
    </row>
    <row r="19" customFormat="false" ht="15" hidden="false" customHeight="true" outlineLevel="0" collapsed="false">
      <c r="B19" s="12" t="s">
        <v>18</v>
      </c>
      <c r="C19" s="13" t="s">
        <v>19</v>
      </c>
      <c r="D19" s="13"/>
      <c r="E19" s="13"/>
      <c r="F19" s="13"/>
      <c r="G19" s="13"/>
      <c r="H19" s="13"/>
    </row>
    <row r="20" customFormat="false" ht="15" hidden="false" customHeight="true" outlineLevel="0" collapsed="false">
      <c r="B20" s="12" t="s">
        <v>20</v>
      </c>
      <c r="C20" s="13" t="s">
        <v>21</v>
      </c>
      <c r="D20" s="13"/>
      <c r="E20" s="13"/>
      <c r="F20" s="13"/>
      <c r="G20" s="13"/>
      <c r="H20" s="13"/>
    </row>
    <row r="22" customFormat="false" ht="15" hidden="false" customHeight="true" outlineLevel="0" collapsed="false">
      <c r="B22" s="11" t="s">
        <v>22</v>
      </c>
      <c r="C22" s="11"/>
      <c r="D22" s="11"/>
      <c r="E22" s="11"/>
      <c r="F22" s="11"/>
    </row>
    <row r="23" customFormat="false" ht="15" hidden="false" customHeight="true" outlineLevel="0" collapsed="false">
      <c r="B23" s="12" t="s">
        <v>23</v>
      </c>
      <c r="C23" s="13" t="s">
        <v>24</v>
      </c>
      <c r="D23" s="13"/>
      <c r="E23" s="13"/>
      <c r="F23" s="13"/>
      <c r="G23" s="13"/>
      <c r="H23" s="13"/>
    </row>
    <row r="25" customFormat="false" ht="15" hidden="false" customHeight="true" outlineLevel="0" collapsed="false">
      <c r="B25" s="11" t="s">
        <v>25</v>
      </c>
      <c r="C25" s="11"/>
      <c r="D25" s="11"/>
      <c r="E25" s="11"/>
      <c r="F25" s="11"/>
    </row>
    <row r="26" customFormat="false" ht="15" hidden="false" customHeight="true" outlineLevel="0" collapsed="false">
      <c r="B26" s="12" t="s">
        <v>26</v>
      </c>
      <c r="C26" s="13" t="s">
        <v>27</v>
      </c>
      <c r="D26" s="13"/>
      <c r="E26" s="13"/>
      <c r="F26" s="13"/>
      <c r="G26" s="13"/>
      <c r="H26" s="13"/>
    </row>
    <row r="28" customFormat="false" ht="15" hidden="false" customHeight="true" outlineLevel="0" collapsed="false">
      <c r="B28" s="11" t="s">
        <v>28</v>
      </c>
      <c r="C28" s="11"/>
      <c r="D28" s="11"/>
      <c r="E28" s="11"/>
      <c r="F28" s="11"/>
    </row>
    <row r="29" customFormat="false" ht="15" hidden="false" customHeight="true" outlineLevel="0" collapsed="false">
      <c r="B29" s="12" t="s">
        <v>29</v>
      </c>
      <c r="C29" s="13" t="s">
        <v>30</v>
      </c>
      <c r="D29" s="13"/>
      <c r="E29" s="13"/>
      <c r="F29" s="13"/>
      <c r="G29" s="13"/>
      <c r="H29" s="13"/>
    </row>
    <row r="30" customFormat="false" ht="15" hidden="false" customHeight="true" outlineLevel="0" collapsed="false">
      <c r="B30" s="12" t="s">
        <v>31</v>
      </c>
      <c r="C30" s="13" t="s">
        <v>32</v>
      </c>
      <c r="D30" s="13"/>
      <c r="E30" s="13"/>
      <c r="F30" s="13"/>
      <c r="G30" s="13"/>
      <c r="H30" s="13"/>
    </row>
    <row r="32" customFormat="false" ht="15" hidden="false" customHeight="true" outlineLevel="0" collapsed="false">
      <c r="B32" s="11" t="s">
        <v>33</v>
      </c>
      <c r="C32" s="11"/>
      <c r="D32" s="11"/>
      <c r="E32" s="11"/>
      <c r="F32" s="11"/>
    </row>
    <row r="33" customFormat="false" ht="15" hidden="false" customHeight="true" outlineLevel="0" collapsed="false">
      <c r="B33" s="14" t="s">
        <v>34</v>
      </c>
      <c r="C33" s="15" t="s">
        <v>35</v>
      </c>
      <c r="D33" s="15"/>
      <c r="E33" s="15"/>
      <c r="F33" s="15"/>
      <c r="G33" s="15"/>
      <c r="H33" s="15"/>
    </row>
    <row r="34" customFormat="false" ht="15" hidden="false" customHeight="true" outlineLevel="0" collapsed="false">
      <c r="B34" s="12" t="s">
        <v>36</v>
      </c>
      <c r="C34" s="15" t="s">
        <v>37</v>
      </c>
      <c r="D34" s="15"/>
      <c r="E34" s="15"/>
      <c r="F34" s="15"/>
      <c r="G34" s="15"/>
      <c r="H34" s="15"/>
    </row>
    <row r="35" customFormat="false" ht="15" hidden="false" customHeight="true" outlineLevel="0" collapsed="false">
      <c r="B35" s="12" t="s">
        <v>38</v>
      </c>
      <c r="C35" s="13" t="s">
        <v>39</v>
      </c>
      <c r="D35" s="13"/>
      <c r="E35" s="13"/>
      <c r="F35" s="13"/>
      <c r="G35" s="13"/>
      <c r="H35" s="13"/>
    </row>
    <row r="36" customFormat="false" ht="15" hidden="false" customHeight="true" outlineLevel="0" collapsed="false">
      <c r="B36" s="12" t="s">
        <v>40</v>
      </c>
      <c r="C36" s="13" t="s">
        <v>41</v>
      </c>
      <c r="D36" s="13"/>
      <c r="E36" s="13"/>
      <c r="F36" s="13"/>
      <c r="G36" s="13"/>
      <c r="H36" s="13"/>
    </row>
    <row r="38" customFormat="false" ht="15" hidden="false" customHeight="true" outlineLevel="0" collapsed="false">
      <c r="B38" s="11" t="s">
        <v>42</v>
      </c>
      <c r="C38" s="11"/>
      <c r="D38" s="11"/>
      <c r="E38" s="11"/>
      <c r="F38" s="11"/>
    </row>
    <row r="39" customFormat="false" ht="15" hidden="false" customHeight="true" outlineLevel="0" collapsed="false">
      <c r="B39" s="12" t="s">
        <v>43</v>
      </c>
      <c r="C39" s="13" t="s">
        <v>44</v>
      </c>
      <c r="D39" s="13"/>
      <c r="E39" s="13"/>
      <c r="F39" s="13"/>
      <c r="G39" s="13"/>
      <c r="H39" s="13"/>
    </row>
    <row r="40" customFormat="false" ht="15" hidden="false" customHeight="true" outlineLevel="0" collapsed="false">
      <c r="B40" s="12" t="s">
        <v>45</v>
      </c>
      <c r="C40" s="13" t="s">
        <v>46</v>
      </c>
      <c r="D40" s="13"/>
      <c r="E40" s="13"/>
      <c r="F40" s="13"/>
      <c r="G40" s="13"/>
      <c r="H40" s="13"/>
    </row>
    <row r="41" customFormat="false" ht="15" hidden="false" customHeight="true" outlineLevel="0" collapsed="false">
      <c r="B41" s="12" t="s">
        <v>47</v>
      </c>
      <c r="C41" s="13" t="s">
        <v>48</v>
      </c>
      <c r="D41" s="13"/>
      <c r="E41" s="13"/>
      <c r="F41" s="13"/>
      <c r="G41" s="13"/>
      <c r="H41" s="13"/>
    </row>
    <row r="42" customFormat="false" ht="15" hidden="false" customHeight="true" outlineLevel="0" collapsed="false">
      <c r="B42" s="12" t="s">
        <v>49</v>
      </c>
      <c r="C42" s="13" t="s">
        <v>50</v>
      </c>
      <c r="D42" s="13"/>
      <c r="E42" s="13"/>
      <c r="F42" s="13"/>
      <c r="G42" s="13"/>
      <c r="H42" s="13"/>
    </row>
    <row r="43" customFormat="false" ht="15" hidden="false" customHeight="true" outlineLevel="0" collapsed="false">
      <c r="B43" s="12" t="s">
        <v>51</v>
      </c>
      <c r="C43" s="13" t="s">
        <v>52</v>
      </c>
      <c r="D43" s="13"/>
      <c r="E43" s="13"/>
      <c r="F43" s="13"/>
      <c r="G43" s="13"/>
      <c r="H43" s="13"/>
    </row>
    <row r="44" customFormat="false" ht="15" hidden="false" customHeight="true" outlineLevel="0" collapsed="false">
      <c r="B44" s="12" t="s">
        <v>53</v>
      </c>
      <c r="C44" s="13" t="s">
        <v>54</v>
      </c>
      <c r="D44" s="13"/>
      <c r="E44" s="13"/>
      <c r="F44" s="13"/>
      <c r="G44" s="13"/>
      <c r="H44" s="13"/>
    </row>
    <row r="46" customFormat="false" ht="15" hidden="false" customHeight="true" outlineLevel="0" collapsed="false">
      <c r="B46" s="11" t="s">
        <v>55</v>
      </c>
      <c r="C46" s="11"/>
      <c r="D46" s="11"/>
      <c r="E46" s="11"/>
      <c r="F46" s="11"/>
    </row>
    <row r="47" customFormat="false" ht="15" hidden="false" customHeight="true" outlineLevel="0" collapsed="false">
      <c r="B47" s="16" t="s">
        <v>56</v>
      </c>
      <c r="C47" s="17" t="s">
        <v>57</v>
      </c>
      <c r="D47" s="17"/>
      <c r="E47" s="17"/>
      <c r="F47" s="17"/>
      <c r="G47" s="17"/>
      <c r="H47" s="17"/>
    </row>
    <row r="48" customFormat="false" ht="15" hidden="false" customHeight="true" outlineLevel="0" collapsed="false">
      <c r="B48" s="18" t="s">
        <v>58</v>
      </c>
      <c r="C48" s="17" t="s">
        <v>59</v>
      </c>
      <c r="D48" s="17"/>
      <c r="E48" s="17"/>
      <c r="F48" s="17"/>
      <c r="G48" s="17"/>
      <c r="H48" s="17"/>
    </row>
    <row r="49" customFormat="false" ht="15" hidden="false" customHeight="true" outlineLevel="0" collapsed="false">
      <c r="B49" s="19" t="s">
        <v>60</v>
      </c>
      <c r="C49" s="17" t="s">
        <v>61</v>
      </c>
      <c r="D49" s="17"/>
      <c r="E49" s="17"/>
      <c r="F49" s="17"/>
      <c r="G49" s="17"/>
      <c r="H49" s="17"/>
    </row>
    <row r="50" customFormat="false" ht="15" hidden="false" customHeight="true" outlineLevel="0" collapsed="false">
      <c r="B50" s="20" t="s">
        <v>62</v>
      </c>
      <c r="C50" s="17" t="s">
        <v>63</v>
      </c>
      <c r="D50" s="17"/>
      <c r="E50" s="17"/>
      <c r="F50" s="17"/>
      <c r="G50" s="17"/>
      <c r="H50" s="17"/>
    </row>
    <row r="52" customFormat="false" ht="7.5" hidden="false" customHeight="true" outlineLevel="0" collapsed="false">
      <c r="A52" s="2"/>
      <c r="B52" s="21" t="s">
        <v>64</v>
      </c>
      <c r="C52" s="2"/>
      <c r="D52" s="2"/>
      <c r="E52" s="2"/>
      <c r="F52" s="2"/>
      <c r="G52" s="2"/>
      <c r="H52" s="2"/>
      <c r="I52" s="2"/>
      <c r="J52" s="2"/>
    </row>
    <row r="53" customFormat="false" ht="21.75" hidden="false" customHeight="true" outlineLevel="0" collapsed="false">
      <c r="B53" s="22" t="s">
        <v>65</v>
      </c>
      <c r="C53" s="22"/>
      <c r="D53" s="22"/>
      <c r="E53" s="22"/>
      <c r="F53" s="22"/>
      <c r="G53" s="22"/>
      <c r="H53" s="22"/>
      <c r="I53" s="22"/>
      <c r="J53" s="22"/>
    </row>
  </sheetData>
  <mergeCells count="37">
    <mergeCell ref="B3:J3"/>
    <mergeCell ref="B4:J4"/>
    <mergeCell ref="B5:J5"/>
    <mergeCell ref="B7:J7"/>
    <mergeCell ref="B12:F12"/>
    <mergeCell ref="B13:F13"/>
    <mergeCell ref="C14:H14"/>
    <mergeCell ref="C15:H15"/>
    <mergeCell ref="C16:H16"/>
    <mergeCell ref="B18:F18"/>
    <mergeCell ref="C19:H19"/>
    <mergeCell ref="C20:H20"/>
    <mergeCell ref="B22:F22"/>
    <mergeCell ref="C23:H23"/>
    <mergeCell ref="B25:F25"/>
    <mergeCell ref="C26:H26"/>
    <mergeCell ref="B28:F28"/>
    <mergeCell ref="C29:H29"/>
    <mergeCell ref="C30:H30"/>
    <mergeCell ref="B32:F32"/>
    <mergeCell ref="C33:H33"/>
    <mergeCell ref="C34:H34"/>
    <mergeCell ref="C35:H35"/>
    <mergeCell ref="C36:H36"/>
    <mergeCell ref="B38:F38"/>
    <mergeCell ref="C39:H39"/>
    <mergeCell ref="C40:H40"/>
    <mergeCell ref="C41:H41"/>
    <mergeCell ref="C42:H42"/>
    <mergeCell ref="C43:H43"/>
    <mergeCell ref="C44:H44"/>
    <mergeCell ref="B46:F46"/>
    <mergeCell ref="C47:H47"/>
    <mergeCell ref="C48:H48"/>
    <mergeCell ref="C49:H49"/>
    <mergeCell ref="C50:H50"/>
    <mergeCell ref="B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60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</row>
    <row r="2" customFormat="false" ht="27.75" hidden="false" customHeight="true" outlineLevel="0" collapsed="false">
      <c r="B2" s="23" t="s">
        <v>66</v>
      </c>
      <c r="C2" s="23"/>
      <c r="D2" s="23"/>
    </row>
    <row r="3" customFormat="false" ht="18" hidden="false" customHeight="true" outlineLevel="0" collapsed="false">
      <c r="B3" s="24" t="s">
        <v>67</v>
      </c>
      <c r="C3" s="24"/>
      <c r="D3" s="24"/>
      <c r="E3" s="24"/>
      <c r="F3" s="24"/>
    </row>
    <row r="4" customFormat="false" ht="3" hidden="false" customHeight="true" outlineLevel="0" collapsed="false">
      <c r="B4" s="2"/>
      <c r="C4" s="2"/>
      <c r="D4" s="2"/>
      <c r="E4" s="2"/>
      <c r="F4" s="2"/>
    </row>
    <row r="5" customFormat="false" ht="15" hidden="false" customHeight="true" outlineLevel="0" collapsed="false">
      <c r="B5" s="25" t="s">
        <v>68</v>
      </c>
      <c r="C5" s="25"/>
      <c r="D5" s="25"/>
    </row>
    <row r="6" customFormat="false" ht="15" hidden="false" customHeight="true" outlineLevel="0" collapsed="false">
      <c r="B6" s="26" t="s">
        <v>69</v>
      </c>
      <c r="C6" s="26" t="s">
        <v>70</v>
      </c>
      <c r="D6" s="26" t="s">
        <v>71</v>
      </c>
    </row>
    <row r="7" customFormat="false" ht="15" hidden="false" customHeight="true" outlineLevel="0" collapsed="false">
      <c r="B7" s="27" t="s">
        <v>72</v>
      </c>
      <c r="C7" s="28" t="s">
        <v>73</v>
      </c>
      <c r="D7" s="29" t="s">
        <v>74</v>
      </c>
    </row>
    <row r="8" customFormat="false" ht="15" hidden="false" customHeight="true" outlineLevel="0" collapsed="false">
      <c r="B8" s="27" t="s">
        <v>75</v>
      </c>
      <c r="C8" s="28" t="s">
        <v>76</v>
      </c>
      <c r="D8" s="29" t="s">
        <v>77</v>
      </c>
    </row>
    <row r="9" customFormat="false" ht="15" hidden="false" customHeight="true" outlineLevel="0" collapsed="false">
      <c r="B9" s="27" t="s">
        <v>78</v>
      </c>
      <c r="C9" s="28" t="s">
        <v>79</v>
      </c>
      <c r="D9" s="29" t="s">
        <v>80</v>
      </c>
    </row>
    <row r="11" customFormat="false" ht="15" hidden="false" customHeight="true" outlineLevel="0" collapsed="false">
      <c r="B11" s="25" t="s">
        <v>81</v>
      </c>
      <c r="C11" s="25"/>
      <c r="D11" s="25"/>
    </row>
    <row r="12" customFormat="false" ht="15" hidden="false" customHeight="true" outlineLevel="0" collapsed="false">
      <c r="B12" s="26" t="s">
        <v>69</v>
      </c>
      <c r="C12" s="26" t="s">
        <v>70</v>
      </c>
      <c r="D12" s="26" t="s">
        <v>71</v>
      </c>
    </row>
    <row r="13" customFormat="false" ht="15" hidden="false" customHeight="true" outlineLevel="0" collapsed="false">
      <c r="B13" s="27" t="s">
        <v>82</v>
      </c>
      <c r="C13" s="28" t="s">
        <v>83</v>
      </c>
      <c r="D13" s="29" t="s">
        <v>84</v>
      </c>
    </row>
    <row r="14" customFormat="false" ht="15" hidden="false" customHeight="true" outlineLevel="0" collapsed="false">
      <c r="B14" s="27" t="s">
        <v>85</v>
      </c>
      <c r="C14" s="28" t="n">
        <v>3.75</v>
      </c>
      <c r="D14" s="29" t="s">
        <v>86</v>
      </c>
    </row>
    <row r="15" customFormat="false" ht="15" hidden="false" customHeight="true" outlineLevel="0" collapsed="false">
      <c r="B15" s="27" t="s">
        <v>87</v>
      </c>
      <c r="C15" s="30" t="n">
        <v>0.15</v>
      </c>
      <c r="D15" s="29" t="s">
        <v>88</v>
      </c>
    </row>
    <row r="17" customFormat="false" ht="15" hidden="false" customHeight="true" outlineLevel="0" collapsed="false">
      <c r="B17" s="25" t="s">
        <v>89</v>
      </c>
      <c r="C17" s="25"/>
      <c r="D17" s="25"/>
    </row>
    <row r="18" customFormat="false" ht="15" hidden="false" customHeight="true" outlineLevel="0" collapsed="false">
      <c r="B18" s="26" t="s">
        <v>69</v>
      </c>
      <c r="C18" s="26" t="s">
        <v>70</v>
      </c>
      <c r="D18" s="26" t="s">
        <v>71</v>
      </c>
    </row>
    <row r="19" customFormat="false" ht="15" hidden="false" customHeight="true" outlineLevel="0" collapsed="false">
      <c r="B19" s="27" t="s">
        <v>90</v>
      </c>
      <c r="C19" s="30" t="n">
        <v>0.1</v>
      </c>
      <c r="D19" s="29" t="s">
        <v>91</v>
      </c>
    </row>
    <row r="20" customFormat="false" ht="15" hidden="false" customHeight="true" outlineLevel="0" collapsed="false">
      <c r="B20" s="27" t="s">
        <v>92</v>
      </c>
      <c r="C20" s="30" t="n">
        <v>0.75</v>
      </c>
      <c r="D20" s="29" t="s">
        <v>93</v>
      </c>
    </row>
    <row r="21" customFormat="false" ht="15" hidden="false" customHeight="true" outlineLevel="0" collapsed="false">
      <c r="B21" s="27" t="s">
        <v>94</v>
      </c>
      <c r="C21" s="30" t="n">
        <v>0.25</v>
      </c>
      <c r="D21" s="29" t="s">
        <v>95</v>
      </c>
    </row>
    <row r="22" customFormat="false" ht="15" hidden="false" customHeight="true" outlineLevel="0" collapsed="false">
      <c r="B22" s="27" t="s">
        <v>96</v>
      </c>
      <c r="C22" s="30" t="n">
        <v>0.75</v>
      </c>
      <c r="D22" s="29" t="s">
        <v>97</v>
      </c>
    </row>
    <row r="24" customFormat="false" ht="15" hidden="false" customHeight="true" outlineLevel="0" collapsed="false">
      <c r="B24" s="25" t="s">
        <v>98</v>
      </c>
      <c r="C24" s="25"/>
      <c r="D24" s="25"/>
    </row>
    <row r="25" customFormat="false" ht="15" hidden="false" customHeight="true" outlineLevel="0" collapsed="false">
      <c r="B25" s="26" t="s">
        <v>69</v>
      </c>
      <c r="C25" s="26" t="s">
        <v>70</v>
      </c>
      <c r="D25" s="26" t="s">
        <v>71</v>
      </c>
    </row>
    <row r="26" customFormat="false" ht="15" hidden="false" customHeight="true" outlineLevel="0" collapsed="false">
      <c r="B26" s="27" t="s">
        <v>99</v>
      </c>
      <c r="C26" s="28" t="s">
        <v>100</v>
      </c>
      <c r="D26" s="29" t="s">
        <v>101</v>
      </c>
    </row>
    <row r="27" customFormat="false" ht="15" hidden="false" customHeight="true" outlineLevel="0" collapsed="false">
      <c r="B27" s="27" t="s">
        <v>102</v>
      </c>
      <c r="C27" s="28" t="s">
        <v>103</v>
      </c>
      <c r="D27" s="29" t="s">
        <v>104</v>
      </c>
    </row>
    <row r="28" customFormat="false" ht="15" hidden="false" customHeight="true" outlineLevel="0" collapsed="false">
      <c r="B28" s="27" t="s">
        <v>105</v>
      </c>
      <c r="C28" s="28" t="n">
        <v>150000</v>
      </c>
      <c r="D28" s="29" t="s">
        <v>106</v>
      </c>
    </row>
    <row r="29" customFormat="false" ht="15" hidden="false" customHeight="true" outlineLevel="0" collapsed="false">
      <c r="B29" s="27" t="s">
        <v>107</v>
      </c>
      <c r="C29" s="28" t="s">
        <v>108</v>
      </c>
      <c r="D29" s="29" t="s">
        <v>109</v>
      </c>
    </row>
    <row r="30" customFormat="false" ht="15" hidden="false" customHeight="true" outlineLevel="0" collapsed="false">
      <c r="B30" s="27" t="s">
        <v>110</v>
      </c>
      <c r="C30" s="28" t="s">
        <v>111</v>
      </c>
      <c r="D30" s="29" t="s">
        <v>112</v>
      </c>
    </row>
    <row r="32" customFormat="false" ht="15" hidden="false" customHeight="true" outlineLevel="0" collapsed="false">
      <c r="B32" s="25" t="s">
        <v>113</v>
      </c>
      <c r="C32" s="25"/>
      <c r="D32" s="25"/>
    </row>
    <row r="33" customFormat="false" ht="15" hidden="false" customHeight="true" outlineLevel="0" collapsed="false">
      <c r="B33" s="26" t="s">
        <v>69</v>
      </c>
      <c r="C33" s="26" t="s">
        <v>70</v>
      </c>
      <c r="D33" s="26" t="s">
        <v>71</v>
      </c>
    </row>
    <row r="34" customFormat="false" ht="15" hidden="false" customHeight="true" outlineLevel="0" collapsed="false">
      <c r="B34" s="27" t="s">
        <v>114</v>
      </c>
      <c r="C34" s="28"/>
      <c r="D34" s="29" t="s">
        <v>115</v>
      </c>
    </row>
    <row r="35" customFormat="false" ht="15" hidden="false" customHeight="true" outlineLevel="0" collapsed="false">
      <c r="B35" s="27" t="s">
        <v>116</v>
      </c>
      <c r="C35" s="28"/>
      <c r="D35" s="29" t="s">
        <v>117</v>
      </c>
    </row>
    <row r="36" customFormat="false" ht="23.25" hidden="false" customHeight="true" outlineLevel="0" collapsed="false">
      <c r="B36" s="27" t="s">
        <v>118</v>
      </c>
      <c r="C36" s="28" t="s">
        <v>119</v>
      </c>
      <c r="D36" s="29" t="s">
        <v>120</v>
      </c>
    </row>
    <row r="37" customFormat="false" ht="15" hidden="false" customHeight="true" outlineLevel="0" collapsed="false">
      <c r="B37" s="27" t="s">
        <v>121</v>
      </c>
      <c r="C37" s="28"/>
      <c r="D37" s="29" t="s">
        <v>122</v>
      </c>
    </row>
    <row r="39" customFormat="false" ht="15" hidden="false" customHeight="true" outlineLevel="0" collapsed="false">
      <c r="B39" s="25" t="s">
        <v>123</v>
      </c>
      <c r="C39" s="25"/>
      <c r="D39" s="25"/>
    </row>
    <row r="40" customFormat="false" ht="15" hidden="false" customHeight="true" outlineLevel="0" collapsed="false">
      <c r="B40" s="26" t="s">
        <v>69</v>
      </c>
      <c r="C40" s="26" t="s">
        <v>70</v>
      </c>
      <c r="D40" s="26" t="s">
        <v>71</v>
      </c>
    </row>
    <row r="41" customFormat="false" ht="15" hidden="false" customHeight="true" outlineLevel="0" collapsed="false">
      <c r="B41" s="27" t="s">
        <v>124</v>
      </c>
      <c r="C41" s="28" t="s">
        <v>125</v>
      </c>
      <c r="D41" s="29" t="s">
        <v>126</v>
      </c>
    </row>
    <row r="42" customFormat="false" ht="15" hidden="false" customHeight="true" outlineLevel="0" collapsed="false">
      <c r="B42" s="27" t="s">
        <v>127</v>
      </c>
      <c r="C42" s="28" t="s">
        <v>128</v>
      </c>
      <c r="D42" s="29"/>
    </row>
    <row r="43" customFormat="false" ht="15" hidden="false" customHeight="true" outlineLevel="0" collapsed="false">
      <c r="B43" s="27" t="s">
        <v>129</v>
      </c>
      <c r="C43" s="28"/>
      <c r="D43" s="29" t="s">
        <v>130</v>
      </c>
    </row>
    <row r="44" customFormat="false" ht="15" hidden="false" customHeight="true" outlineLevel="0" collapsed="false">
      <c r="B44" s="27" t="s">
        <v>131</v>
      </c>
      <c r="C44" s="28"/>
      <c r="D44" s="29"/>
    </row>
    <row r="46" customFormat="false" ht="3.75" hidden="false" customHeight="true" outlineLevel="0" collapsed="false">
      <c r="A46" s="2"/>
      <c r="B46" s="2"/>
      <c r="C46" s="2"/>
      <c r="D46" s="2"/>
      <c r="E46" s="2"/>
      <c r="F46" s="2"/>
    </row>
    <row r="47" customFormat="false" ht="15.75" hidden="false" customHeight="true" outlineLevel="0" collapsed="false">
      <c r="B47" s="31" t="s">
        <v>132</v>
      </c>
      <c r="C47" s="31"/>
      <c r="D47" s="31"/>
      <c r="E47" s="31"/>
      <c r="F47" s="31"/>
    </row>
  </sheetData>
  <mergeCells count="9">
    <mergeCell ref="B2:D2"/>
    <mergeCell ref="B3:F3"/>
    <mergeCell ref="B5:D5"/>
    <mergeCell ref="B11:D11"/>
    <mergeCell ref="B17:D17"/>
    <mergeCell ref="B24:D24"/>
    <mergeCell ref="B32:D32"/>
    <mergeCell ref="B39:D39"/>
    <mergeCell ref="B47:F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4" min="4" style="1" width="46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</row>
    <row r="2" customFormat="false" ht="27.75" hidden="false" customHeight="true" outlineLevel="0" collapsed="false">
      <c r="B2" s="23" t="s">
        <v>133</v>
      </c>
      <c r="C2" s="23"/>
      <c r="D2" s="23"/>
    </row>
    <row r="3" customFormat="false" ht="18" hidden="false" customHeight="true" outlineLevel="0" collapsed="false">
      <c r="B3" s="24" t="s">
        <v>134</v>
      </c>
      <c r="C3" s="24"/>
      <c r="D3" s="24"/>
    </row>
    <row r="4" customFormat="false" ht="3" hidden="false" customHeight="true" outlineLevel="0" collapsed="false">
      <c r="B4" s="2"/>
      <c r="C4" s="2"/>
      <c r="D4" s="2"/>
      <c r="E4" s="2"/>
      <c r="F4" s="2"/>
    </row>
    <row r="5" customFormat="false" ht="15" hidden="false" customHeight="true" outlineLevel="0" collapsed="false">
      <c r="B5" s="25" t="s">
        <v>135</v>
      </c>
      <c r="C5" s="25"/>
      <c r="D5" s="25"/>
    </row>
    <row r="6" customFormat="false" ht="15" hidden="false" customHeight="true" outlineLevel="0" collapsed="false">
      <c r="B6" s="26" t="s">
        <v>136</v>
      </c>
      <c r="C6" s="26" t="s">
        <v>137</v>
      </c>
      <c r="D6" s="26" t="s">
        <v>138</v>
      </c>
    </row>
    <row r="7" customFormat="false" ht="15" hidden="false" customHeight="true" outlineLevel="0" collapsed="false">
      <c r="B7" s="32" t="s">
        <v>139</v>
      </c>
      <c r="C7" s="33" t="s">
        <v>140</v>
      </c>
      <c r="D7" s="29"/>
    </row>
    <row r="8" customFormat="false" ht="15" hidden="false" customHeight="true" outlineLevel="0" collapsed="false">
      <c r="B8" s="32" t="s">
        <v>141</v>
      </c>
      <c r="C8" s="33" t="s">
        <v>142</v>
      </c>
      <c r="D8" s="29"/>
    </row>
    <row r="9" customFormat="false" ht="15" hidden="false" customHeight="true" outlineLevel="0" collapsed="false">
      <c r="B9" s="32" t="s">
        <v>143</v>
      </c>
      <c r="C9" s="33" t="s">
        <v>144</v>
      </c>
      <c r="D9" s="29"/>
    </row>
    <row r="10" customFormat="false" ht="15" hidden="false" customHeight="true" outlineLevel="0" collapsed="false">
      <c r="B10" s="32" t="s">
        <v>145</v>
      </c>
      <c r="C10" s="33" t="s">
        <v>146</v>
      </c>
      <c r="D10" s="29"/>
    </row>
    <row r="11" customFormat="false" ht="15" hidden="false" customHeight="true" outlineLevel="0" collapsed="false">
      <c r="B11" s="32" t="s">
        <v>147</v>
      </c>
      <c r="C11" s="33" t="s">
        <v>148</v>
      </c>
      <c r="D11" s="29"/>
    </row>
    <row r="13" customFormat="false" ht="15" hidden="false" customHeight="true" outlineLevel="0" collapsed="false">
      <c r="B13" s="25" t="s">
        <v>149</v>
      </c>
      <c r="C13" s="25"/>
      <c r="D13" s="25"/>
    </row>
    <row r="14" customFormat="false" ht="15" hidden="false" customHeight="true" outlineLevel="0" collapsed="false">
      <c r="B14" s="26" t="s">
        <v>136</v>
      </c>
      <c r="C14" s="26" t="s">
        <v>150</v>
      </c>
      <c r="D14" s="26" t="s">
        <v>138</v>
      </c>
    </row>
    <row r="15" customFormat="false" ht="15" hidden="false" customHeight="true" outlineLevel="0" collapsed="false">
      <c r="B15" s="32" t="s">
        <v>151</v>
      </c>
      <c r="C15" s="34" t="n">
        <v>0.7</v>
      </c>
      <c r="D15" s="29"/>
    </row>
    <row r="16" customFormat="false" ht="15" hidden="false" customHeight="true" outlineLevel="0" collapsed="false">
      <c r="B16" s="32" t="s">
        <v>152</v>
      </c>
      <c r="C16" s="34" t="n">
        <v>0.9</v>
      </c>
      <c r="D16" s="29"/>
    </row>
    <row r="17" customFormat="false" ht="15" hidden="false" customHeight="true" outlineLevel="0" collapsed="false">
      <c r="B17" s="32" t="s">
        <v>153</v>
      </c>
      <c r="C17" s="34" t="n">
        <v>1</v>
      </c>
      <c r="D17" s="29"/>
    </row>
    <row r="18" customFormat="false" ht="15" hidden="false" customHeight="true" outlineLevel="0" collapsed="false">
      <c r="B18" s="32" t="s">
        <v>154</v>
      </c>
      <c r="C18" s="34" t="n">
        <v>1.2</v>
      </c>
      <c r="D18" s="29"/>
    </row>
    <row r="19" customFormat="false" ht="15" hidden="false" customHeight="true" outlineLevel="0" collapsed="false">
      <c r="B19" s="32" t="s">
        <v>155</v>
      </c>
      <c r="C19" s="34" t="n">
        <v>1.4</v>
      </c>
      <c r="D19" s="29"/>
    </row>
    <row r="20" customFormat="false" ht="15" hidden="false" customHeight="true" outlineLevel="0" collapsed="false">
      <c r="B20" s="32" t="s">
        <v>156</v>
      </c>
      <c r="C20" s="34" t="n">
        <v>1.6</v>
      </c>
      <c r="D20" s="29"/>
    </row>
    <row r="22" customFormat="false" ht="15" hidden="false" customHeight="true" outlineLevel="0" collapsed="false">
      <c r="B22" s="25" t="s">
        <v>157</v>
      </c>
      <c r="C22" s="25"/>
      <c r="D22" s="25"/>
    </row>
    <row r="23" customFormat="false" ht="15" hidden="false" customHeight="true" outlineLevel="0" collapsed="false">
      <c r="B23" s="26" t="s">
        <v>136</v>
      </c>
      <c r="C23" s="26" t="s">
        <v>150</v>
      </c>
      <c r="D23" s="26" t="s">
        <v>138</v>
      </c>
    </row>
    <row r="24" customFormat="false" ht="15" hidden="false" customHeight="true" outlineLevel="0" collapsed="false">
      <c r="B24" s="32" t="s">
        <v>158</v>
      </c>
      <c r="C24" s="34" t="n">
        <v>0.85</v>
      </c>
      <c r="D24" s="29"/>
    </row>
    <row r="25" customFormat="false" ht="15" hidden="false" customHeight="true" outlineLevel="0" collapsed="false">
      <c r="B25" s="32" t="s">
        <v>159</v>
      </c>
      <c r="C25" s="34" t="n">
        <v>1</v>
      </c>
      <c r="D25" s="29"/>
    </row>
    <row r="26" customFormat="false" ht="15" hidden="false" customHeight="true" outlineLevel="0" collapsed="false">
      <c r="B26" s="32" t="s">
        <v>160</v>
      </c>
      <c r="C26" s="34" t="n">
        <v>1.2</v>
      </c>
      <c r="D26" s="29"/>
    </row>
    <row r="27" customFormat="false" ht="15" hidden="false" customHeight="true" outlineLevel="0" collapsed="false">
      <c r="B27" s="32" t="s">
        <v>161</v>
      </c>
      <c r="C27" s="34" t="n">
        <v>1.4</v>
      </c>
      <c r="D27" s="29"/>
    </row>
    <row r="28" customFormat="false" ht="15" hidden="false" customHeight="true" outlineLevel="0" collapsed="false">
      <c r="B28" s="32" t="s">
        <v>162</v>
      </c>
      <c r="C28" s="34" t="n">
        <v>1.3</v>
      </c>
      <c r="D28" s="29"/>
    </row>
    <row r="29" customFormat="false" ht="15" hidden="false" customHeight="true" outlineLevel="0" collapsed="false">
      <c r="B29" s="32" t="s">
        <v>163</v>
      </c>
      <c r="C29" s="34" t="n">
        <v>1.5</v>
      </c>
      <c r="D29" s="29"/>
    </row>
    <row r="30" customFormat="false" ht="15" hidden="false" customHeight="true" outlineLevel="0" collapsed="false">
      <c r="B30" s="32" t="s">
        <v>164</v>
      </c>
      <c r="C30" s="34" t="n">
        <v>1.1</v>
      </c>
      <c r="D30" s="29"/>
    </row>
    <row r="31" customFormat="false" ht="15" hidden="false" customHeight="true" outlineLevel="0" collapsed="false">
      <c r="B31" s="32" t="s">
        <v>165</v>
      </c>
      <c r="C31" s="34" t="n">
        <v>1.05</v>
      </c>
      <c r="D31" s="29"/>
    </row>
    <row r="33" customFormat="false" ht="15" hidden="false" customHeight="true" outlineLevel="0" collapsed="false">
      <c r="B33" s="25" t="s">
        <v>166</v>
      </c>
      <c r="C33" s="25"/>
      <c r="D33" s="25"/>
    </row>
    <row r="34" customFormat="false" ht="15" hidden="false" customHeight="true" outlineLevel="0" collapsed="false">
      <c r="B34" s="26" t="s">
        <v>136</v>
      </c>
      <c r="C34" s="26" t="s">
        <v>167</v>
      </c>
      <c r="D34" s="26" t="s">
        <v>138</v>
      </c>
    </row>
    <row r="35" customFormat="false" ht="15" hidden="false" customHeight="true" outlineLevel="0" collapsed="false">
      <c r="B35" s="32" t="s">
        <v>168</v>
      </c>
      <c r="C35" s="34" t="n">
        <v>0.2</v>
      </c>
      <c r="D35" s="29"/>
    </row>
    <row r="36" customFormat="false" ht="15" hidden="false" customHeight="true" outlineLevel="0" collapsed="false">
      <c r="B36" s="32" t="s">
        <v>169</v>
      </c>
      <c r="C36" s="34" t="n">
        <v>0.4</v>
      </c>
      <c r="D36" s="29"/>
    </row>
    <row r="37" customFormat="false" ht="15" hidden="false" customHeight="true" outlineLevel="0" collapsed="false">
      <c r="B37" s="32" t="s">
        <v>170</v>
      </c>
      <c r="C37" s="34" t="n">
        <v>0.7</v>
      </c>
      <c r="D37" s="29"/>
    </row>
    <row r="39" customFormat="false" ht="15" hidden="false" customHeight="true" outlineLevel="0" collapsed="false">
      <c r="B39" s="25" t="s">
        <v>171</v>
      </c>
      <c r="C39" s="25"/>
      <c r="D39" s="25"/>
    </row>
    <row r="40" customFormat="false" ht="15" hidden="false" customHeight="true" outlineLevel="0" collapsed="false">
      <c r="B40" s="26" t="s">
        <v>136</v>
      </c>
      <c r="C40" s="26" t="s">
        <v>172</v>
      </c>
      <c r="D40" s="26" t="s">
        <v>138</v>
      </c>
    </row>
    <row r="41" customFormat="false" ht="15" hidden="false" customHeight="true" outlineLevel="0" collapsed="false">
      <c r="B41" s="32" t="s">
        <v>173</v>
      </c>
      <c r="C41" s="34" t="n">
        <v>1</v>
      </c>
      <c r="D41" s="29"/>
    </row>
    <row r="42" customFormat="false" ht="15" hidden="false" customHeight="true" outlineLevel="0" collapsed="false">
      <c r="B42" s="32" t="s">
        <v>174</v>
      </c>
      <c r="C42" s="34" t="n">
        <v>1.15</v>
      </c>
      <c r="D42" s="29"/>
    </row>
    <row r="43" customFormat="false" ht="15" hidden="false" customHeight="true" outlineLevel="0" collapsed="false">
      <c r="B43" s="32" t="s">
        <v>175</v>
      </c>
      <c r="C43" s="34" t="n">
        <v>1.3</v>
      </c>
      <c r="D43" s="29"/>
    </row>
    <row r="44" customFormat="false" ht="15" hidden="false" customHeight="true" outlineLevel="0" collapsed="false">
      <c r="B44" s="32" t="s">
        <v>176</v>
      </c>
      <c r="C44" s="34" t="n">
        <v>1.5</v>
      </c>
      <c r="D44" s="29"/>
    </row>
    <row r="46" customFormat="false" ht="15" hidden="false" customHeight="true" outlineLevel="0" collapsed="false">
      <c r="B46" s="25" t="s">
        <v>177</v>
      </c>
      <c r="C46" s="25"/>
      <c r="D46" s="25"/>
    </row>
    <row r="47" customFormat="false" ht="15" hidden="false" customHeight="true" outlineLevel="0" collapsed="false">
      <c r="B47" s="26" t="s">
        <v>136</v>
      </c>
      <c r="C47" s="26" t="s">
        <v>150</v>
      </c>
      <c r="D47" s="26" t="s">
        <v>138</v>
      </c>
    </row>
    <row r="48" customFormat="false" ht="15" hidden="false" customHeight="true" outlineLevel="0" collapsed="false">
      <c r="B48" s="32" t="s">
        <v>178</v>
      </c>
      <c r="C48" s="34" t="n">
        <v>1</v>
      </c>
      <c r="D48" s="29"/>
    </row>
    <row r="49" customFormat="false" ht="15" hidden="false" customHeight="true" outlineLevel="0" collapsed="false">
      <c r="B49" s="32" t="s">
        <v>179</v>
      </c>
      <c r="C49" s="34" t="n">
        <v>1.05</v>
      </c>
      <c r="D49" s="29"/>
    </row>
    <row r="50" customFormat="false" ht="15" hidden="false" customHeight="true" outlineLevel="0" collapsed="false">
      <c r="B50" s="32" t="s">
        <v>180</v>
      </c>
      <c r="C50" s="34" t="n">
        <v>1.05</v>
      </c>
      <c r="D50" s="29"/>
    </row>
    <row r="51" customFormat="false" ht="15" hidden="false" customHeight="true" outlineLevel="0" collapsed="false">
      <c r="B51" s="32" t="s">
        <v>181</v>
      </c>
      <c r="C51" s="34" t="n">
        <v>1.15</v>
      </c>
      <c r="D51" s="29"/>
    </row>
    <row r="53" customFormat="false" ht="15" hidden="false" customHeight="true" outlineLevel="0" collapsed="false">
      <c r="B53" s="25" t="s">
        <v>182</v>
      </c>
      <c r="C53" s="25"/>
      <c r="D53" s="25"/>
    </row>
    <row r="54" customFormat="false" ht="15" hidden="false" customHeight="true" outlineLevel="0" collapsed="false">
      <c r="B54" s="26" t="s">
        <v>136</v>
      </c>
      <c r="C54" s="26" t="s">
        <v>150</v>
      </c>
      <c r="D54" s="26" t="s">
        <v>138</v>
      </c>
    </row>
    <row r="55" customFormat="false" ht="15" hidden="false" customHeight="true" outlineLevel="0" collapsed="false">
      <c r="B55" s="32" t="s">
        <v>183</v>
      </c>
      <c r="C55" s="34" t="n">
        <v>0.8</v>
      </c>
      <c r="D55" s="29"/>
    </row>
    <row r="56" customFormat="false" ht="15" hidden="false" customHeight="true" outlineLevel="0" collapsed="false">
      <c r="B56" s="32" t="s">
        <v>184</v>
      </c>
      <c r="C56" s="34" t="n">
        <v>1</v>
      </c>
      <c r="D56" s="29"/>
    </row>
    <row r="57" customFormat="false" ht="15" hidden="false" customHeight="true" outlineLevel="0" collapsed="false">
      <c r="B57" s="32" t="s">
        <v>185</v>
      </c>
      <c r="C57" s="34" t="n">
        <v>1.25</v>
      </c>
      <c r="D57" s="29"/>
    </row>
    <row r="58" customFormat="false" ht="15" hidden="false" customHeight="true" outlineLevel="0" collapsed="false">
      <c r="B58" s="32" t="s">
        <v>186</v>
      </c>
      <c r="C58" s="34" t="n">
        <v>1.4</v>
      </c>
      <c r="D58" s="29"/>
    </row>
    <row r="59" customFormat="false" ht="15" hidden="false" customHeight="true" outlineLevel="0" collapsed="false">
      <c r="B59" s="32" t="s">
        <v>187</v>
      </c>
      <c r="C59" s="34" t="n">
        <v>1.3</v>
      </c>
      <c r="D59" s="29"/>
    </row>
    <row r="60" customFormat="false" ht="15" hidden="false" customHeight="true" outlineLevel="0" collapsed="false">
      <c r="B60" s="32" t="s">
        <v>188</v>
      </c>
      <c r="C60" s="34" t="n">
        <v>1.2</v>
      </c>
      <c r="D60" s="29"/>
    </row>
    <row r="61" customFormat="false" ht="15" hidden="false" customHeight="true" outlineLevel="0" collapsed="false">
      <c r="B61" s="32" t="s">
        <v>189</v>
      </c>
      <c r="C61" s="34" t="n">
        <v>1.35</v>
      </c>
      <c r="D61" s="29"/>
    </row>
    <row r="62" customFormat="false" ht="15" hidden="false" customHeight="true" outlineLevel="0" collapsed="false">
      <c r="B62" s="32" t="s">
        <v>190</v>
      </c>
      <c r="C62" s="34" t="n">
        <v>1.5</v>
      </c>
      <c r="D62" s="29"/>
    </row>
    <row r="64" customFormat="false" ht="15" hidden="false" customHeight="true" outlineLevel="0" collapsed="false">
      <c r="B64" s="25" t="s">
        <v>191</v>
      </c>
      <c r="C64" s="25"/>
      <c r="D64" s="25"/>
    </row>
    <row r="65" customFormat="false" ht="15" hidden="false" customHeight="true" outlineLevel="0" collapsed="false">
      <c r="B65" s="26" t="s">
        <v>136</v>
      </c>
      <c r="C65" s="26" t="s">
        <v>150</v>
      </c>
      <c r="D65" s="26" t="s">
        <v>138</v>
      </c>
    </row>
    <row r="66" customFormat="false" ht="15" hidden="false" customHeight="true" outlineLevel="0" collapsed="false">
      <c r="B66" s="32" t="s">
        <v>192</v>
      </c>
      <c r="C66" s="34" t="n">
        <v>1</v>
      </c>
      <c r="D66" s="29"/>
    </row>
    <row r="67" customFormat="false" ht="15" hidden="false" customHeight="true" outlineLevel="0" collapsed="false">
      <c r="B67" s="32" t="s">
        <v>193</v>
      </c>
      <c r="C67" s="34" t="n">
        <v>1.3</v>
      </c>
      <c r="D67" s="29"/>
    </row>
    <row r="69" customFormat="false" ht="15" hidden="false" customHeight="true" outlineLevel="0" collapsed="false">
      <c r="B69" s="25" t="s">
        <v>194</v>
      </c>
      <c r="C69" s="25"/>
      <c r="D69" s="25"/>
    </row>
    <row r="70" customFormat="false" ht="15" hidden="false" customHeight="true" outlineLevel="0" collapsed="false">
      <c r="B70" s="26" t="s">
        <v>136</v>
      </c>
      <c r="C70" s="26" t="s">
        <v>195</v>
      </c>
      <c r="D70" s="26" t="s">
        <v>138</v>
      </c>
    </row>
    <row r="71" customFormat="false" ht="15" hidden="false" customHeight="true" outlineLevel="0" collapsed="false">
      <c r="B71" s="32" t="s">
        <v>196</v>
      </c>
      <c r="C71" s="34" t="n">
        <v>1</v>
      </c>
      <c r="D71" s="29"/>
    </row>
    <row r="72" customFormat="false" ht="15" hidden="false" customHeight="true" outlineLevel="0" collapsed="false">
      <c r="B72" s="32" t="s">
        <v>197</v>
      </c>
      <c r="C72" s="34" t="n">
        <v>1</v>
      </c>
      <c r="D72" s="29"/>
    </row>
    <row r="73" customFormat="false" ht="15" hidden="false" customHeight="true" outlineLevel="0" collapsed="false">
      <c r="B73" s="32" t="s">
        <v>198</v>
      </c>
      <c r="C73" s="34" t="n">
        <v>0.9</v>
      </c>
      <c r="D73" s="29"/>
    </row>
    <row r="74" customFormat="false" ht="15" hidden="false" customHeight="true" outlineLevel="0" collapsed="false">
      <c r="B74" s="32" t="s">
        <v>199</v>
      </c>
      <c r="C74" s="34" t="n">
        <v>0.75</v>
      </c>
      <c r="D74" s="29"/>
    </row>
    <row r="76" customFormat="false" ht="15" hidden="false" customHeight="true" outlineLevel="0" collapsed="false">
      <c r="B76" s="25" t="s">
        <v>200</v>
      </c>
      <c r="C76" s="25"/>
      <c r="D76" s="25"/>
    </row>
    <row r="77" customFormat="false" ht="15" hidden="false" customHeight="true" outlineLevel="0" collapsed="false">
      <c r="B77" s="26" t="s">
        <v>136</v>
      </c>
      <c r="C77" s="26" t="s">
        <v>70</v>
      </c>
      <c r="D77" s="26" t="s">
        <v>138</v>
      </c>
    </row>
    <row r="78" customFormat="false" ht="15" hidden="false" customHeight="true" outlineLevel="0" collapsed="false">
      <c r="B78" s="32" t="s">
        <v>201</v>
      </c>
      <c r="C78" s="34" t="n">
        <v>0</v>
      </c>
      <c r="D78" s="29"/>
    </row>
    <row r="79" customFormat="false" ht="15" hidden="false" customHeight="true" outlineLevel="0" collapsed="false">
      <c r="B79" s="32" t="s">
        <v>202</v>
      </c>
      <c r="C79" s="34" t="n">
        <v>0.4</v>
      </c>
      <c r="D79" s="29"/>
    </row>
    <row r="80" customFormat="false" ht="15" hidden="false" customHeight="true" outlineLevel="0" collapsed="false">
      <c r="B80" s="32" t="s">
        <v>203</v>
      </c>
      <c r="C80" s="34" t="n">
        <v>0.5</v>
      </c>
      <c r="D80" s="29"/>
    </row>
    <row r="81" customFormat="false" ht="15" hidden="false" customHeight="true" outlineLevel="0" collapsed="false">
      <c r="B81" s="32" t="s">
        <v>204</v>
      </c>
      <c r="C81" s="34" t="n">
        <v>0.7</v>
      </c>
      <c r="D81" s="29"/>
    </row>
    <row r="82" customFormat="false" ht="15" hidden="false" customHeight="true" outlineLevel="0" collapsed="false">
      <c r="B82" s="32" t="s">
        <v>205</v>
      </c>
      <c r="C82" s="34" t="n">
        <v>0.8</v>
      </c>
      <c r="D82" s="29"/>
    </row>
    <row r="84" customFormat="false" ht="15" hidden="false" customHeight="true" outlineLevel="0" collapsed="false">
      <c r="B84" s="25" t="s">
        <v>206</v>
      </c>
      <c r="C84" s="25"/>
      <c r="D84" s="25"/>
    </row>
    <row r="85" customFormat="false" ht="15" hidden="false" customHeight="true" outlineLevel="0" collapsed="false">
      <c r="B85" s="26" t="s">
        <v>136</v>
      </c>
      <c r="C85" s="26" t="s">
        <v>207</v>
      </c>
      <c r="D85" s="26" t="s">
        <v>138</v>
      </c>
    </row>
    <row r="86" customFormat="false" ht="15" hidden="false" customHeight="true" outlineLevel="0" collapsed="false">
      <c r="B86" s="32" t="s">
        <v>208</v>
      </c>
      <c r="C86" s="33"/>
      <c r="D86" s="29"/>
    </row>
    <row r="87" customFormat="false" ht="15" hidden="false" customHeight="true" outlineLevel="0" collapsed="false">
      <c r="B87" s="32" t="s">
        <v>209</v>
      </c>
      <c r="C87" s="33"/>
      <c r="D87" s="29"/>
    </row>
    <row r="88" customFormat="false" ht="15" hidden="false" customHeight="true" outlineLevel="0" collapsed="false">
      <c r="B88" s="32" t="s">
        <v>210</v>
      </c>
      <c r="C88" s="33"/>
      <c r="D88" s="29"/>
    </row>
    <row r="90" customFormat="false" ht="15" hidden="false" customHeight="true" outlineLevel="0" collapsed="false">
      <c r="B90" s="25" t="s">
        <v>211</v>
      </c>
      <c r="C90" s="25"/>
      <c r="D90" s="25"/>
    </row>
    <row r="91" customFormat="false" ht="15" hidden="false" customHeight="true" outlineLevel="0" collapsed="false">
      <c r="B91" s="26" t="s">
        <v>136</v>
      </c>
      <c r="C91" s="26" t="s">
        <v>207</v>
      </c>
      <c r="D91" s="26" t="s">
        <v>138</v>
      </c>
    </row>
    <row r="92" customFormat="false" ht="15" hidden="false" customHeight="true" outlineLevel="0" collapsed="false">
      <c r="B92" s="32" t="s">
        <v>212</v>
      </c>
      <c r="C92" s="33"/>
      <c r="D92" s="29"/>
    </row>
    <row r="93" customFormat="false" ht="15" hidden="false" customHeight="true" outlineLevel="0" collapsed="false">
      <c r="B93" s="32" t="s">
        <v>213</v>
      </c>
      <c r="C93" s="33"/>
      <c r="D93" s="29"/>
    </row>
    <row r="94" customFormat="false" ht="15" hidden="false" customHeight="true" outlineLevel="0" collapsed="false">
      <c r="B94" s="32" t="s">
        <v>214</v>
      </c>
      <c r="C94" s="33"/>
      <c r="D94" s="29"/>
    </row>
    <row r="95" customFormat="false" ht="15" hidden="false" customHeight="true" outlineLevel="0" collapsed="false">
      <c r="B95" s="32" t="s">
        <v>215</v>
      </c>
      <c r="C95" s="33"/>
      <c r="D95" s="29"/>
    </row>
    <row r="96" customFormat="false" ht="15" hidden="false" customHeight="true" outlineLevel="0" collapsed="false">
      <c r="B96" s="32" t="s">
        <v>216</v>
      </c>
      <c r="C96" s="33"/>
      <c r="D96" s="29"/>
    </row>
    <row r="97" customFormat="false" ht="15" hidden="false" customHeight="true" outlineLevel="0" collapsed="false">
      <c r="B97" s="32" t="s">
        <v>217</v>
      </c>
      <c r="C97" s="33"/>
      <c r="D97" s="29"/>
    </row>
    <row r="98" customFormat="false" ht="15" hidden="false" customHeight="true" outlineLevel="0" collapsed="false">
      <c r="B98" s="32" t="s">
        <v>218</v>
      </c>
      <c r="C98" s="33"/>
      <c r="D98" s="29"/>
    </row>
    <row r="100" customFormat="false" ht="15" hidden="false" customHeight="true" outlineLevel="0" collapsed="false">
      <c r="B100" s="25" t="s">
        <v>219</v>
      </c>
      <c r="C100" s="25"/>
      <c r="D100" s="25"/>
    </row>
    <row r="101" customFormat="false" ht="15" hidden="false" customHeight="true" outlineLevel="0" collapsed="false">
      <c r="B101" s="26" t="s">
        <v>136</v>
      </c>
      <c r="C101" s="26" t="s">
        <v>207</v>
      </c>
      <c r="D101" s="26" t="s">
        <v>138</v>
      </c>
    </row>
    <row r="102" customFormat="false" ht="15" hidden="false" customHeight="true" outlineLevel="0" collapsed="false">
      <c r="B102" s="32" t="s">
        <v>220</v>
      </c>
      <c r="C102" s="33"/>
      <c r="D102" s="29"/>
    </row>
    <row r="103" customFormat="false" ht="15" hidden="false" customHeight="true" outlineLevel="0" collapsed="false">
      <c r="B103" s="32" t="s">
        <v>221</v>
      </c>
      <c r="C103" s="33"/>
      <c r="D103" s="29"/>
    </row>
    <row r="104" customFormat="false" ht="15" hidden="false" customHeight="true" outlineLevel="0" collapsed="false">
      <c r="B104" s="32" t="s">
        <v>222</v>
      </c>
      <c r="C104" s="33"/>
      <c r="D104" s="29"/>
    </row>
    <row r="105" customFormat="false" ht="15" hidden="false" customHeight="true" outlineLevel="0" collapsed="false">
      <c r="B105" s="32" t="s">
        <v>223</v>
      </c>
      <c r="C105" s="33"/>
      <c r="D105" s="29"/>
    </row>
    <row r="107" customFormat="false" ht="15" hidden="false" customHeight="true" outlineLevel="0" collapsed="false">
      <c r="B107" s="25" t="s">
        <v>224</v>
      </c>
      <c r="C107" s="25"/>
      <c r="D107" s="25"/>
    </row>
    <row r="108" customFormat="false" ht="15" hidden="false" customHeight="true" outlineLevel="0" collapsed="false">
      <c r="B108" s="26" t="s">
        <v>136</v>
      </c>
      <c r="C108" s="26" t="s">
        <v>225</v>
      </c>
      <c r="D108" s="26" t="s">
        <v>138</v>
      </c>
    </row>
    <row r="109" customFormat="false" ht="15" hidden="false" customHeight="true" outlineLevel="0" collapsed="false">
      <c r="B109" s="32" t="s">
        <v>226</v>
      </c>
      <c r="C109" s="34" t="n">
        <v>0</v>
      </c>
      <c r="D109" s="29"/>
    </row>
    <row r="110" customFormat="false" ht="15" hidden="false" customHeight="true" outlineLevel="0" collapsed="false">
      <c r="B110" s="32" t="s">
        <v>227</v>
      </c>
      <c r="C110" s="34" t="n">
        <v>0.03</v>
      </c>
      <c r="D110" s="29"/>
    </row>
    <row r="111" customFormat="false" ht="15" hidden="false" customHeight="true" outlineLevel="0" collapsed="false">
      <c r="B111" s="32" t="s">
        <v>228</v>
      </c>
      <c r="C111" s="34" t="n">
        <v>0.05</v>
      </c>
      <c r="D111" s="29"/>
    </row>
    <row r="112" customFormat="false" ht="15" hidden="false" customHeight="true" outlineLevel="0" collapsed="false">
      <c r="B112" s="32" t="s">
        <v>229</v>
      </c>
      <c r="C112" s="34" t="n">
        <v>0.08</v>
      </c>
      <c r="D112" s="29"/>
    </row>
    <row r="114" customFormat="false" ht="3.75" hidden="false" customHeight="true" outlineLevel="0" collapsed="false">
      <c r="A114" s="2"/>
      <c r="B114" s="2"/>
      <c r="C114" s="2"/>
      <c r="D114" s="2"/>
      <c r="E114" s="2"/>
      <c r="F114" s="2"/>
    </row>
    <row r="115" customFormat="false" ht="15.75" hidden="false" customHeight="true" outlineLevel="0" collapsed="false">
      <c r="B115" s="31" t="s">
        <v>132</v>
      </c>
      <c r="C115" s="31"/>
      <c r="D115" s="31"/>
      <c r="E115" s="31"/>
      <c r="F115" s="31"/>
    </row>
    <row r="200" customFormat="false" ht="15" hidden="false" customHeight="true" outlineLevel="0" collapsed="false">
      <c r="E200" s="35" t="s">
        <v>230</v>
      </c>
      <c r="F200" s="35" t="s">
        <v>231</v>
      </c>
    </row>
    <row r="201" customFormat="false" ht="15" hidden="false" customHeight="true" outlineLevel="0" collapsed="false">
      <c r="E201" s="1" t="str">
        <f aca="false">'20_Player_Rate_Card'!$C$6</f>
        <v>Bijw</v>
      </c>
      <c r="F201" s="1" t="s">
        <v>232</v>
      </c>
    </row>
    <row r="202" customFormat="false" ht="15" hidden="false" customHeight="true" outlineLevel="0" collapsed="false">
      <c r="E202" s="1" t="str">
        <f aca="false">'20_Player_Rate_Card'!$C$7</f>
        <v>Abo Najd</v>
      </c>
      <c r="F202" s="1" t="s">
        <v>233</v>
      </c>
    </row>
    <row r="203" customFormat="false" ht="15" hidden="false" customHeight="true" outlineLevel="0" collapsed="false">
      <c r="E203" s="1" t="str">
        <f aca="false">'20_Player_Rate_Card'!$C$8</f>
        <v>FMG</v>
      </c>
      <c r="F203" s="1" t="s">
        <v>234</v>
      </c>
    </row>
    <row r="204" customFormat="false" ht="15" hidden="false" customHeight="true" outlineLevel="0" collapsed="false">
      <c r="E204" s="1" t="str">
        <f aca="false">'20_Player_Rate_Card'!$C$9</f>
        <v>Abo Ghazi</v>
      </c>
      <c r="F204" s="1" t="s">
        <v>235</v>
      </c>
    </row>
    <row r="205" customFormat="false" ht="15" hidden="false" customHeight="true" outlineLevel="0" collapsed="false">
      <c r="E205" s="1" t="str">
        <f aca="false">'20_Player_Rate_Card'!$C$10</f>
        <v>Mary</v>
      </c>
      <c r="F205" s="1" t="s">
        <v>236</v>
      </c>
    </row>
    <row r="206" customFormat="false" ht="15" hidden="false" customHeight="true" outlineLevel="0" collapsed="false">
      <c r="E206" s="1" t="str">
        <f aca="false">'20_Player_Rate_Card'!$C$11</f>
        <v>Ghala</v>
      </c>
      <c r="F206" s="1" t="s">
        <v>237</v>
      </c>
    </row>
    <row r="207" customFormat="false" ht="15" hidden="false" customHeight="true" outlineLevel="0" collapsed="false">
      <c r="E207" s="1" t="str">
        <f aca="false">'20_Player_Rate_Card'!$C$12</f>
        <v>Moaz</v>
      </c>
      <c r="F207" s="1" t="s">
        <v>238</v>
      </c>
    </row>
    <row r="208" customFormat="false" ht="15" hidden="false" customHeight="true" outlineLevel="0" collapsed="false">
      <c r="E208" s="1" t="str">
        <f aca="false">'20_Player_Rate_Card'!$C$13</f>
        <v>vacwep</v>
      </c>
      <c r="F208" s="1" t="s">
        <v>239</v>
      </c>
    </row>
    <row r="209" customFormat="false" ht="15" hidden="false" customHeight="true" outlineLevel="0" collapsed="false">
      <c r="E209" s="1" t="str">
        <f aca="false">'20_Player_Rate_Card'!$C$14</f>
        <v>Cellium</v>
      </c>
      <c r="F209" s="1" t="s">
        <v>240</v>
      </c>
    </row>
    <row r="210" customFormat="false" ht="15" hidden="false" customHeight="true" outlineLevel="0" collapsed="false">
      <c r="E210" s="1" t="str">
        <f aca="false">'20_Player_Rate_Card'!$C$15</f>
        <v>Exnid</v>
      </c>
      <c r="F210" s="1" t="s">
        <v>241</v>
      </c>
    </row>
    <row r="211" customFormat="false" ht="15" hidden="false" customHeight="true" outlineLevel="0" collapsed="false">
      <c r="E211" s="1" t="str">
        <f aca="false">'20_Player_Rate_Card'!$C$16</f>
        <v>KiSMET</v>
      </c>
      <c r="F211" s="1" t="s">
        <v>242</v>
      </c>
    </row>
    <row r="212" customFormat="false" ht="15" hidden="false" customHeight="true" outlineLevel="0" collapsed="false">
      <c r="E212" s="1" t="str">
        <f aca="false">'20_Player_Rate_Card'!$C$17</f>
        <v>Pred</v>
      </c>
      <c r="F212" s="1" t="s">
        <v>243</v>
      </c>
    </row>
    <row r="213" customFormat="false" ht="15" hidden="false" customHeight="true" outlineLevel="0" collapsed="false">
      <c r="E213" s="1" t="str">
        <f aca="false">'20_Player_Rate_Card'!$C$18</f>
        <v>KingAbody</v>
      </c>
      <c r="F213" s="1" t="s">
        <v>244</v>
      </c>
    </row>
    <row r="214" customFormat="false" ht="15" hidden="false" customHeight="true" outlineLevel="0" collapsed="false">
      <c r="E214" s="1" t="str">
        <f aca="false">'20_Player_Rate_Card'!$C$19</f>
        <v>Arcitys</v>
      </c>
      <c r="F214" s="1" t="s">
        <v>245</v>
      </c>
    </row>
    <row r="215" customFormat="false" ht="15" hidden="false" customHeight="true" outlineLevel="0" collapsed="false">
      <c r="E215" s="1" t="str">
        <f aca="false">'20_Player_Rate_Card'!$C$20</f>
        <v>Paulehx</v>
      </c>
      <c r="F215" s="1" t="s">
        <v>246</v>
      </c>
    </row>
    <row r="216" customFormat="false" ht="15" hidden="false" customHeight="true" outlineLevel="0" collapsed="false">
      <c r="E216" s="1" t="str">
        <f aca="false">'20_Player_Rate_Card'!$C$21</f>
        <v>hmoodx</v>
      </c>
      <c r="F216" s="1" t="s">
        <v>247</v>
      </c>
    </row>
    <row r="217" customFormat="false" ht="15" hidden="false" customHeight="true" outlineLevel="0" collapsed="false">
      <c r="E217" s="1" t="str">
        <f aca="false">'20_Player_Rate_Card'!$C$22</f>
        <v>xizx7</v>
      </c>
      <c r="F217" s="1" t="s">
        <v>248</v>
      </c>
    </row>
    <row r="218" customFormat="false" ht="15" hidden="false" customHeight="true" outlineLevel="0" collapsed="false">
      <c r="E218" s="1" t="str">
        <f aca="false">'20_Player_Rate_Card'!$C$23</f>
        <v>Alpine</v>
      </c>
      <c r="F218" s="1" t="s">
        <v>249</v>
      </c>
    </row>
    <row r="219" customFormat="false" ht="15" hidden="false" customHeight="true" outlineLevel="0" collapsed="false">
      <c r="E219" s="1" t="str">
        <f aca="false">'20_Player_Rate_Card'!$C$24</f>
        <v>Newbz</v>
      </c>
      <c r="F219" s="1" t="s">
        <v>250</v>
      </c>
    </row>
    <row r="220" customFormat="false" ht="15" hidden="false" customHeight="true" outlineLevel="0" collapsed="false">
      <c r="E220" s="1" t="str">
        <f aca="false">'20_Player_Rate_Card'!$C$25</f>
        <v>Dongy</v>
      </c>
      <c r="F220" s="1" t="s">
        <v>251</v>
      </c>
    </row>
    <row r="221" customFormat="false" ht="15" hidden="false" customHeight="true" outlineLevel="0" collapsed="false">
      <c r="E221" s="1" t="str">
        <f aca="false">'20_Player_Rate_Card'!$C$26</f>
        <v>Soka</v>
      </c>
      <c r="F221" s="1" t="s">
        <v>252</v>
      </c>
    </row>
    <row r="222" customFormat="false" ht="15" hidden="false" customHeight="true" outlineLevel="0" collapsed="false">
      <c r="E222" s="1" t="str">
        <f aca="false">'20_Player_Rate_Card'!$C$27</f>
        <v>Alireza Firouzja</v>
      </c>
      <c r="F222" s="1" t="s">
        <v>253</v>
      </c>
    </row>
    <row r="223" customFormat="false" ht="15" hidden="false" customHeight="true" outlineLevel="0" collapsed="false">
      <c r="E223" s="1" t="str">
        <f aca="false">'20_Player_Rate_Card'!$C$28</f>
        <v>Hikaru Nakamura</v>
      </c>
      <c r="F223" s="1" t="s">
        <v>254</v>
      </c>
    </row>
    <row r="224" customFormat="false" ht="15" hidden="false" customHeight="true" outlineLevel="0" collapsed="false">
      <c r="E224" s="1" t="str">
        <f aca="false">'20_Player_Rate_Card'!$C$29</f>
        <v>Jon Ellis</v>
      </c>
    </row>
    <row r="225" customFormat="false" ht="15" hidden="false" customHeight="true" outlineLevel="0" collapsed="false">
      <c r="E225" s="1" t="str">
        <f aca="false">'20_Player_Rate_Card'!$C$30</f>
        <v>kyousuke</v>
      </c>
    </row>
    <row r="226" customFormat="false" ht="15" hidden="false" customHeight="true" outlineLevel="0" collapsed="false">
      <c r="E226" s="1" t="str">
        <f aca="false">'20_Player_Rate_Card'!$C$31</f>
        <v>kyxsan</v>
      </c>
    </row>
    <row r="227" customFormat="false" ht="15" hidden="false" customHeight="true" outlineLevel="0" collapsed="false">
      <c r="E227" s="1" t="str">
        <f aca="false">'20_Player_Rate_Card'!$C$32</f>
        <v>m0NESY</v>
      </c>
    </row>
    <row r="228" customFormat="false" ht="15" hidden="false" customHeight="true" outlineLevel="0" collapsed="false">
      <c r="E228" s="1" t="str">
        <f aca="false">'20_Player_Rate_Card'!$C$33</f>
        <v>NiKo</v>
      </c>
    </row>
    <row r="229" customFormat="false" ht="15" hidden="false" customHeight="true" outlineLevel="0" collapsed="false">
      <c r="E229" s="1" t="str">
        <f aca="false">'20_Player_Rate_Card'!$C$34</f>
        <v>OMYA</v>
      </c>
    </row>
    <row r="230" customFormat="false" ht="15" hidden="false" customHeight="true" outlineLevel="0" collapsed="false">
      <c r="E230" s="1" t="str">
        <f aca="false">'20_Player_Rate_Card'!$C$35</f>
        <v>TeSeS</v>
      </c>
    </row>
    <row r="231" customFormat="false" ht="15" hidden="false" customHeight="true" outlineLevel="0" collapsed="false">
      <c r="E231" s="1" t="str">
        <f aca="false">'30_Creator_Rate_Card'!$C$6</f>
        <v>BanderitaX</v>
      </c>
    </row>
    <row r="232" customFormat="false" ht="15" hidden="false" customHeight="true" outlineLevel="0" collapsed="false">
      <c r="E232" s="1" t="str">
        <f aca="false">'30_Creator_Rate_Card'!$C$7</f>
        <v>oPiiLz</v>
      </c>
    </row>
    <row r="233" customFormat="false" ht="15" hidden="false" customHeight="true" outlineLevel="0" collapsed="false">
      <c r="E233" s="1" t="str">
        <f aca="false">'30_Creator_Rate_Card'!$C$8</f>
        <v>Msdossary7</v>
      </c>
    </row>
    <row r="234" customFormat="false" ht="15" hidden="false" customHeight="true" outlineLevel="0" collapsed="false">
      <c r="E234" s="1" t="str">
        <f aca="false">'30_Creator_Rate_Card'!$C$9</f>
        <v>Aziz</v>
      </c>
    </row>
    <row r="235" customFormat="false" ht="15" hidden="false" customHeight="true" outlineLevel="0" collapsed="false">
      <c r="E235" s="1" t="str">
        <f aca="false">'30_Creator_Rate_Card'!$C$10</f>
        <v>Bo3omar22</v>
      </c>
    </row>
    <row r="236" customFormat="false" ht="15" hidden="false" customHeight="true" outlineLevel="0" collapsed="false">
      <c r="E236" s="1" t="str">
        <f aca="false">'30_Creator_Rate_Card'!$C$11</f>
        <v>Abu abeer</v>
      </c>
    </row>
    <row r="237" customFormat="false" ht="15" hidden="false" customHeight="true" outlineLevel="0" collapsed="false">
      <c r="E237" s="1" t="str">
        <f aca="false">'30_Creator_Rate_Card'!$C$12</f>
        <v>LLE</v>
      </c>
    </row>
    <row r="238" customFormat="false" ht="15" hidden="false" customHeight="true" outlineLevel="0" collapsed="false">
      <c r="E238" s="1" t="str">
        <f aca="false">'30_Creator_Rate_Card'!$C$13</f>
        <v>Oden</v>
      </c>
    </row>
    <row r="239" customFormat="false" ht="15" hidden="false" customHeight="true" outlineLevel="0" collapsed="false">
      <c r="E239" s="1" t="str">
        <f aca="false">'30_Creator_Rate_Card'!$C$14</f>
        <v>xSMA333</v>
      </c>
    </row>
    <row r="240" customFormat="false" ht="15" hidden="false" customHeight="true" outlineLevel="0" collapsed="false">
      <c r="E240" s="1" t="str">
        <f aca="false">'30_Creator_Rate_Card'!$C$15</f>
        <v>3ADEL</v>
      </c>
    </row>
    <row r="241" customFormat="false" ht="15" hidden="false" customHeight="true" outlineLevel="0" collapsed="false">
      <c r="E241" s="1" t="str">
        <f aca="false">'30_Creator_Rate_Card'!$C$16</f>
        <v>RAED</v>
      </c>
    </row>
    <row r="242" customFormat="false" ht="15" hidden="false" customHeight="true" outlineLevel="0" collapsed="false">
      <c r="E242" s="1" t="str">
        <f aca="false">'30_Creator_Rate_Card'!$C$17</f>
        <v>Falcons</v>
      </c>
    </row>
    <row r="243" customFormat="false" ht="15" hidden="false" customHeight="true" outlineLevel="0" collapsed="false">
      <c r="E243" s="1" t="str">
        <f aca="false">'30_Creator_Rate_Card'!$C$18</f>
        <v>Drb7h</v>
      </c>
    </row>
    <row r="244" customFormat="false" ht="15" hidden="false" customHeight="true" outlineLevel="0" collapsed="false">
      <c r="E244" s="1" t="str">
        <f aca="false">'30_Creator_Rate_Card'!$C$19</f>
        <v>FZX</v>
      </c>
    </row>
    <row r="245" customFormat="false" ht="15" hidden="false" customHeight="true" outlineLevel="0" collapsed="false">
      <c r="E245" s="1" t="str">
        <f aca="false">'30_Creator_Rate_Card'!$C$20</f>
        <v>SaudCast</v>
      </c>
    </row>
    <row r="246" customFormat="false" ht="15" hidden="false" customHeight="true" outlineLevel="0" collapsed="false">
      <c r="E246" s="1" t="str">
        <f aca="false">'30_Creator_Rate_Card'!$C$21</f>
        <v>Hamad</v>
      </c>
    </row>
    <row r="247" customFormat="false" ht="15" hidden="false" customHeight="true" outlineLevel="0" collapsed="false">
      <c r="E247" s="1" t="str">
        <f aca="false">'30_Creator_Rate_Card'!$C$22</f>
        <v>9leeh</v>
      </c>
    </row>
    <row r="248" customFormat="false" ht="15" hidden="false" customHeight="true" outlineLevel="0" collapsed="false">
      <c r="E248" s="1" t="n">
        <f aca="false">'30_Creator_Rate_Card'!$C$23</f>
        <v>0</v>
      </c>
    </row>
    <row r="249" customFormat="false" ht="15" hidden="false" customHeight="true" outlineLevel="0" collapsed="false">
      <c r="E249" s="1" t="n">
        <f aca="false">'30_Creator_Rate_Card'!$C$24</f>
        <v>0</v>
      </c>
    </row>
    <row r="250" customFormat="false" ht="15" hidden="false" customHeight="true" outlineLevel="0" collapsed="false">
      <c r="E250" s="1" t="n">
        <f aca="false">'30_Creator_Rate_Card'!$C$25</f>
        <v>0</v>
      </c>
    </row>
    <row r="251" customFormat="false" ht="15" hidden="false" customHeight="true" outlineLevel="0" collapsed="false">
      <c r="E251" s="1" t="n">
        <f aca="false">'30_Creator_Rate_Card'!$C$26</f>
        <v>0</v>
      </c>
    </row>
    <row r="252" customFormat="false" ht="15" hidden="false" customHeight="true" outlineLevel="0" collapsed="false">
      <c r="E252" s="1" t="n">
        <f aca="false">'30_Creator_Rate_Card'!$C$27</f>
        <v>0</v>
      </c>
    </row>
    <row r="253" customFormat="false" ht="15" hidden="false" customHeight="true" outlineLevel="0" collapsed="false">
      <c r="E253" s="1" t="n">
        <f aca="false">'30_Creator_Rate_Card'!$C$28</f>
        <v>0</v>
      </c>
    </row>
    <row r="254" customFormat="false" ht="15" hidden="false" customHeight="true" outlineLevel="0" collapsed="false">
      <c r="E254" s="1" t="n">
        <f aca="false">'30_Creator_Rate_Card'!$C$29</f>
        <v>0</v>
      </c>
    </row>
    <row r="255" customFormat="false" ht="15" hidden="false" customHeight="true" outlineLevel="0" collapsed="false">
      <c r="E255" s="1" t="n">
        <f aca="false">'30_Creator_Rate_Card'!$C$30</f>
        <v>0</v>
      </c>
    </row>
  </sheetData>
  <mergeCells count="17">
    <mergeCell ref="B2:D2"/>
    <mergeCell ref="B3:D3"/>
    <mergeCell ref="B5:D5"/>
    <mergeCell ref="B13:D13"/>
    <mergeCell ref="B22:D22"/>
    <mergeCell ref="B33:D33"/>
    <mergeCell ref="B39:D39"/>
    <mergeCell ref="B46:D46"/>
    <mergeCell ref="B53:D53"/>
    <mergeCell ref="B64:D64"/>
    <mergeCell ref="B69:D69"/>
    <mergeCell ref="B76:D76"/>
    <mergeCell ref="B84:D84"/>
    <mergeCell ref="B90:D90"/>
    <mergeCell ref="B100:D100"/>
    <mergeCell ref="B107:D107"/>
    <mergeCell ref="B115:F1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7" min="5" style="1" width="22"/>
    <col collapsed="false" customWidth="true" hidden="false" outlineLevel="0" max="9" min="8" style="1" width="18"/>
    <col collapsed="false" customWidth="true" hidden="false" outlineLevel="0" max="10" min="10" style="1" width="42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27.75" hidden="false" customHeight="true" outlineLevel="0" collapsed="false">
      <c r="B2" s="23" t="s">
        <v>255</v>
      </c>
      <c r="C2" s="23"/>
      <c r="D2" s="23"/>
      <c r="E2" s="23"/>
      <c r="F2" s="23"/>
      <c r="G2" s="23"/>
      <c r="H2" s="23"/>
      <c r="I2" s="23"/>
      <c r="J2" s="23"/>
    </row>
    <row r="3" customFormat="false" ht="18" hidden="false" customHeight="true" outlineLevel="0" collapsed="false">
      <c r="B3" s="24" t="s">
        <v>256</v>
      </c>
      <c r="C3" s="24"/>
      <c r="D3" s="24"/>
      <c r="E3" s="24"/>
      <c r="F3" s="24"/>
      <c r="G3" s="24"/>
      <c r="H3" s="24"/>
      <c r="I3" s="24"/>
      <c r="J3" s="24"/>
    </row>
    <row r="4" customFormat="false" ht="3" hidden="false" customHeight="true" outlineLevel="0" collapsed="false">
      <c r="B4" s="2"/>
      <c r="C4" s="2"/>
      <c r="D4" s="2"/>
      <c r="E4" s="2"/>
      <c r="F4" s="2"/>
      <c r="G4" s="2"/>
    </row>
    <row r="5" customFormat="false" ht="15" hidden="false" customHeight="true" outlineLevel="0" collapsed="false">
      <c r="B5" s="25" t="s">
        <v>257</v>
      </c>
      <c r="C5" s="25"/>
      <c r="D5" s="25"/>
      <c r="E5" s="25"/>
      <c r="F5" s="25"/>
      <c r="G5" s="25"/>
      <c r="H5" s="25"/>
      <c r="I5" s="25"/>
      <c r="J5" s="25"/>
    </row>
    <row r="6" customFormat="false" ht="23.25" hidden="false" customHeight="true" outlineLevel="0" collapsed="false">
      <c r="B6" s="26" t="s">
        <v>258</v>
      </c>
      <c r="C6" s="26" t="s">
        <v>259</v>
      </c>
      <c r="D6" s="26" t="s">
        <v>137</v>
      </c>
      <c r="E6" s="26" t="s">
        <v>260</v>
      </c>
      <c r="F6" s="26" t="s">
        <v>261</v>
      </c>
      <c r="G6" s="26" t="s">
        <v>262</v>
      </c>
      <c r="H6" s="26" t="s">
        <v>263</v>
      </c>
      <c r="I6" s="26" t="s">
        <v>264</v>
      </c>
      <c r="J6" s="26" t="s">
        <v>265</v>
      </c>
      <c r="K6" s="26" t="s">
        <v>266</v>
      </c>
    </row>
    <row r="7" customFormat="false" ht="57" hidden="false" customHeight="true" outlineLevel="0" collapsed="false">
      <c r="B7" s="36" t="s">
        <v>267</v>
      </c>
      <c r="C7" s="36" t="s">
        <v>268</v>
      </c>
      <c r="D7" s="36" t="s">
        <v>269</v>
      </c>
      <c r="E7" s="36" t="s">
        <v>270</v>
      </c>
      <c r="F7" s="36" t="s">
        <v>271</v>
      </c>
      <c r="G7" s="36" t="s">
        <v>272</v>
      </c>
      <c r="H7" s="36" t="s">
        <v>273</v>
      </c>
      <c r="I7" s="36" t="s">
        <v>274</v>
      </c>
      <c r="J7" s="36" t="s">
        <v>275</v>
      </c>
      <c r="K7" s="36" t="s">
        <v>276</v>
      </c>
    </row>
    <row r="8" customFormat="false" ht="45.75" hidden="false" customHeight="true" outlineLevel="0" collapsed="false">
      <c r="B8" s="36" t="s">
        <v>277</v>
      </c>
      <c r="C8" s="36" t="s">
        <v>268</v>
      </c>
      <c r="D8" s="36" t="s">
        <v>269</v>
      </c>
      <c r="E8" s="36" t="s">
        <v>278</v>
      </c>
      <c r="F8" s="36" t="s">
        <v>279</v>
      </c>
      <c r="G8" s="36" t="s">
        <v>280</v>
      </c>
      <c r="H8" s="36" t="s">
        <v>281</v>
      </c>
      <c r="I8" s="36" t="s">
        <v>282</v>
      </c>
      <c r="J8" s="36" t="s">
        <v>283</v>
      </c>
      <c r="K8" s="36" t="s">
        <v>284</v>
      </c>
    </row>
    <row r="9" customFormat="false" ht="45.75" hidden="false" customHeight="true" outlineLevel="0" collapsed="false">
      <c r="B9" s="36" t="s">
        <v>285</v>
      </c>
      <c r="C9" s="36" t="s">
        <v>286</v>
      </c>
      <c r="D9" s="36" t="s">
        <v>269</v>
      </c>
      <c r="E9" s="36" t="s">
        <v>287</v>
      </c>
      <c r="F9" s="36" t="s">
        <v>288</v>
      </c>
      <c r="G9" s="36" t="s">
        <v>289</v>
      </c>
      <c r="H9" s="36" t="s">
        <v>290</v>
      </c>
      <c r="I9" s="36" t="s">
        <v>291</v>
      </c>
      <c r="J9" s="36" t="s">
        <v>292</v>
      </c>
      <c r="K9" s="36" t="s">
        <v>293</v>
      </c>
    </row>
    <row r="10" customFormat="false" ht="23.25" hidden="false" customHeight="true" outlineLevel="0" collapsed="false">
      <c r="B10" s="36" t="s">
        <v>294</v>
      </c>
      <c r="C10" s="36" t="s">
        <v>286</v>
      </c>
      <c r="D10" s="36" t="s">
        <v>269</v>
      </c>
      <c r="E10" s="36" t="s">
        <v>295</v>
      </c>
      <c r="F10" s="36" t="s">
        <v>296</v>
      </c>
      <c r="G10" s="36" t="s">
        <v>297</v>
      </c>
      <c r="H10" s="36" t="s">
        <v>298</v>
      </c>
      <c r="I10" s="36" t="s">
        <v>299</v>
      </c>
      <c r="J10" s="36" t="s">
        <v>300</v>
      </c>
      <c r="K10" s="36" t="s">
        <v>301</v>
      </c>
    </row>
    <row r="11" customFormat="false" ht="34.5" hidden="false" customHeight="true" outlineLevel="0" collapsed="false">
      <c r="B11" s="36" t="s">
        <v>302</v>
      </c>
      <c r="C11" s="36" t="s">
        <v>303</v>
      </c>
      <c r="D11" s="36" t="s">
        <v>269</v>
      </c>
      <c r="E11" s="36" t="s">
        <v>304</v>
      </c>
      <c r="F11" s="36" t="s">
        <v>305</v>
      </c>
      <c r="G11" s="36" t="s">
        <v>306</v>
      </c>
      <c r="H11" s="36" t="s">
        <v>307</v>
      </c>
      <c r="I11" s="36" t="s">
        <v>299</v>
      </c>
      <c r="J11" s="36" t="s">
        <v>283</v>
      </c>
      <c r="K11" s="36" t="s">
        <v>308</v>
      </c>
    </row>
    <row r="12" customFormat="false" ht="34.5" hidden="false" customHeight="true" outlineLevel="0" collapsed="false">
      <c r="B12" s="36" t="s">
        <v>309</v>
      </c>
      <c r="C12" s="36" t="s">
        <v>303</v>
      </c>
      <c r="D12" s="36" t="s">
        <v>269</v>
      </c>
      <c r="E12" s="36" t="s">
        <v>310</v>
      </c>
      <c r="F12" s="36" t="s">
        <v>311</v>
      </c>
      <c r="G12" s="36" t="s">
        <v>312</v>
      </c>
      <c r="H12" s="36" t="s">
        <v>313</v>
      </c>
      <c r="I12" s="36" t="s">
        <v>314</v>
      </c>
      <c r="J12" s="36" t="s">
        <v>315</v>
      </c>
      <c r="K12" s="36" t="s">
        <v>316</v>
      </c>
    </row>
    <row r="14" customFormat="false" ht="15" hidden="false" customHeight="true" outlineLevel="0" collapsed="false">
      <c r="B14" s="25" t="s">
        <v>317</v>
      </c>
      <c r="C14" s="25"/>
      <c r="D14" s="25"/>
      <c r="E14" s="25"/>
      <c r="F14" s="25"/>
      <c r="G14" s="25"/>
      <c r="H14" s="25"/>
      <c r="I14" s="25"/>
      <c r="J14" s="25"/>
    </row>
    <row r="15" customFormat="false" ht="23.25" hidden="false" customHeight="true" outlineLevel="0" collapsed="false">
      <c r="B15" s="26" t="s">
        <v>258</v>
      </c>
      <c r="C15" s="26" t="s">
        <v>259</v>
      </c>
      <c r="D15" s="26" t="s">
        <v>137</v>
      </c>
      <c r="E15" s="26" t="s">
        <v>260</v>
      </c>
      <c r="F15" s="26" t="s">
        <v>318</v>
      </c>
      <c r="G15" s="26" t="s">
        <v>319</v>
      </c>
      <c r="H15" s="26" t="s">
        <v>320</v>
      </c>
      <c r="I15" s="26" t="s">
        <v>264</v>
      </c>
      <c r="J15" s="26" t="s">
        <v>265</v>
      </c>
      <c r="K15" s="26" t="s">
        <v>266</v>
      </c>
    </row>
    <row r="16" customFormat="false" ht="34.5" hidden="false" customHeight="true" outlineLevel="0" collapsed="false">
      <c r="B16" s="36" t="s">
        <v>128</v>
      </c>
      <c r="C16" s="36" t="s">
        <v>321</v>
      </c>
      <c r="D16" s="36" t="s">
        <v>269</v>
      </c>
      <c r="E16" s="36" t="s">
        <v>322</v>
      </c>
      <c r="F16" s="36" t="s">
        <v>323</v>
      </c>
      <c r="G16" s="36" t="s">
        <v>324</v>
      </c>
      <c r="H16" s="36" t="s">
        <v>325</v>
      </c>
      <c r="I16" s="36" t="s">
        <v>291</v>
      </c>
      <c r="J16" s="36" t="s">
        <v>326</v>
      </c>
      <c r="K16" s="36" t="s">
        <v>327</v>
      </c>
    </row>
    <row r="17" customFormat="false" ht="34.5" hidden="false" customHeight="true" outlineLevel="0" collapsed="false">
      <c r="B17" s="36" t="s">
        <v>328</v>
      </c>
      <c r="C17" s="36" t="s">
        <v>321</v>
      </c>
      <c r="D17" s="36" t="s">
        <v>269</v>
      </c>
      <c r="E17" s="36" t="s">
        <v>329</v>
      </c>
      <c r="F17" s="36" t="s">
        <v>330</v>
      </c>
      <c r="G17" s="36" t="s">
        <v>331</v>
      </c>
      <c r="H17" s="36" t="s">
        <v>332</v>
      </c>
      <c r="I17" s="36" t="s">
        <v>299</v>
      </c>
      <c r="J17" s="36" t="s">
        <v>333</v>
      </c>
      <c r="K17" s="36" t="s">
        <v>334</v>
      </c>
    </row>
    <row r="18" customFormat="false" ht="34.5" hidden="false" customHeight="true" outlineLevel="0" collapsed="false">
      <c r="B18" s="36" t="s">
        <v>335</v>
      </c>
      <c r="C18" s="36" t="s">
        <v>336</v>
      </c>
      <c r="D18" s="36" t="s">
        <v>337</v>
      </c>
      <c r="E18" s="36" t="s">
        <v>338</v>
      </c>
      <c r="F18" s="36" t="s">
        <v>339</v>
      </c>
      <c r="G18" s="36" t="s">
        <v>340</v>
      </c>
      <c r="H18" s="36" t="s">
        <v>341</v>
      </c>
      <c r="I18" s="36" t="s">
        <v>342</v>
      </c>
      <c r="J18" s="36" t="s">
        <v>343</v>
      </c>
      <c r="K18" s="36" t="s">
        <v>344</v>
      </c>
    </row>
    <row r="19" customFormat="false" ht="34.5" hidden="false" customHeight="true" outlineLevel="0" collapsed="false">
      <c r="B19" s="36" t="s">
        <v>345</v>
      </c>
      <c r="C19" s="36" t="s">
        <v>346</v>
      </c>
      <c r="D19" s="36" t="s">
        <v>337</v>
      </c>
      <c r="E19" s="36" t="s">
        <v>347</v>
      </c>
      <c r="F19" s="36" t="s">
        <v>348</v>
      </c>
      <c r="G19" s="36" t="s">
        <v>349</v>
      </c>
      <c r="H19" s="36" t="s">
        <v>350</v>
      </c>
      <c r="I19" s="36" t="s">
        <v>351</v>
      </c>
      <c r="J19" s="36" t="s">
        <v>333</v>
      </c>
      <c r="K19" s="36" t="s">
        <v>352</v>
      </c>
    </row>
    <row r="20" customFormat="false" ht="23.25" hidden="false" customHeight="true" outlineLevel="0" collapsed="false">
      <c r="B20" s="36" t="s">
        <v>353</v>
      </c>
      <c r="C20" s="36" t="s">
        <v>354</v>
      </c>
      <c r="D20" s="36" t="s">
        <v>269</v>
      </c>
      <c r="E20" s="36" t="s">
        <v>355</v>
      </c>
      <c r="F20" s="36" t="s">
        <v>356</v>
      </c>
      <c r="G20" s="36" t="s">
        <v>357</v>
      </c>
      <c r="H20" s="36" t="s">
        <v>358</v>
      </c>
      <c r="I20" s="36" t="s">
        <v>299</v>
      </c>
      <c r="J20" s="36" t="s">
        <v>292</v>
      </c>
      <c r="K20" s="36" t="s">
        <v>359</v>
      </c>
    </row>
    <row r="22" customFormat="false" ht="15" hidden="false" customHeight="true" outlineLevel="0" collapsed="false">
      <c r="B22" s="25" t="s">
        <v>360</v>
      </c>
      <c r="C22" s="25"/>
      <c r="D22" s="25"/>
      <c r="E22" s="25"/>
      <c r="F22" s="25"/>
      <c r="G22" s="25"/>
      <c r="H22" s="25"/>
      <c r="I22" s="25"/>
      <c r="J22" s="25"/>
    </row>
    <row r="23" customFormat="false" ht="15" hidden="false" customHeight="true" outlineLevel="0" collapsed="false">
      <c r="B23" s="26" t="s">
        <v>361</v>
      </c>
      <c r="C23" s="26" t="s">
        <v>362</v>
      </c>
      <c r="D23" s="26" t="s">
        <v>363</v>
      </c>
      <c r="E23" s="26" t="s">
        <v>364</v>
      </c>
      <c r="F23" s="26" t="s">
        <v>365</v>
      </c>
      <c r="G23" s="26" t="s">
        <v>366</v>
      </c>
      <c r="H23" s="26" t="s">
        <v>367</v>
      </c>
      <c r="I23" s="26" t="s">
        <v>368</v>
      </c>
      <c r="J23" s="26" t="s">
        <v>369</v>
      </c>
      <c r="K23" s="26" t="s">
        <v>71</v>
      </c>
    </row>
    <row r="24" customFormat="false" ht="68.25" hidden="false" customHeight="true" outlineLevel="0" collapsed="false">
      <c r="B24" s="36" t="s">
        <v>370</v>
      </c>
      <c r="C24" s="36" t="s">
        <v>371</v>
      </c>
      <c r="D24" s="36" t="s">
        <v>372</v>
      </c>
      <c r="E24" s="36" t="s">
        <v>373</v>
      </c>
      <c r="F24" s="36" t="s">
        <v>374</v>
      </c>
      <c r="G24" s="36" t="s">
        <v>375</v>
      </c>
      <c r="H24" s="36" t="s">
        <v>376</v>
      </c>
      <c r="I24" s="36" t="s">
        <v>377</v>
      </c>
      <c r="J24" s="36" t="s">
        <v>378</v>
      </c>
      <c r="K24" s="36" t="s">
        <v>379</v>
      </c>
    </row>
    <row r="25" customFormat="false" ht="23.25" hidden="false" customHeight="true" outlineLevel="0" collapsed="false">
      <c r="B25" s="36" t="s">
        <v>370</v>
      </c>
      <c r="C25" s="36" t="s">
        <v>380</v>
      </c>
      <c r="D25" s="36" t="s">
        <v>381</v>
      </c>
      <c r="E25" s="36" t="s">
        <v>382</v>
      </c>
      <c r="F25" s="36" t="s">
        <v>383</v>
      </c>
      <c r="G25" s="36" t="s">
        <v>384</v>
      </c>
      <c r="H25" s="36" t="s">
        <v>385</v>
      </c>
      <c r="I25" s="36" t="s">
        <v>386</v>
      </c>
      <c r="J25" s="36" t="s">
        <v>387</v>
      </c>
      <c r="K25" s="36" t="s">
        <v>388</v>
      </c>
    </row>
    <row r="26" customFormat="false" ht="45.75" hidden="false" customHeight="true" outlineLevel="0" collapsed="false">
      <c r="B26" s="36" t="s">
        <v>389</v>
      </c>
      <c r="C26" s="36" t="s">
        <v>390</v>
      </c>
      <c r="D26" s="36" t="s">
        <v>391</v>
      </c>
      <c r="E26" s="36" t="s">
        <v>392</v>
      </c>
      <c r="F26" s="36" t="s">
        <v>393</v>
      </c>
      <c r="G26" s="36" t="s">
        <v>394</v>
      </c>
      <c r="H26" s="36" t="s">
        <v>395</v>
      </c>
      <c r="I26" s="36" t="s">
        <v>396</v>
      </c>
      <c r="J26" s="36" t="s">
        <v>397</v>
      </c>
      <c r="K26" s="36" t="s">
        <v>398</v>
      </c>
    </row>
    <row r="27" customFormat="false" ht="45.75" hidden="false" customHeight="true" outlineLevel="0" collapsed="false">
      <c r="B27" s="36" t="s">
        <v>399</v>
      </c>
      <c r="C27" s="36" t="s">
        <v>400</v>
      </c>
      <c r="D27" s="36" t="s">
        <v>401</v>
      </c>
      <c r="E27" s="36" t="s">
        <v>402</v>
      </c>
      <c r="F27" s="36" t="s">
        <v>403</v>
      </c>
      <c r="G27" s="36" t="s">
        <v>404</v>
      </c>
      <c r="H27" s="36" t="s">
        <v>405</v>
      </c>
      <c r="I27" s="36" t="s">
        <v>406</v>
      </c>
      <c r="J27" s="36" t="s">
        <v>407</v>
      </c>
      <c r="K27" s="36" t="s">
        <v>408</v>
      </c>
    </row>
    <row r="28" customFormat="false" ht="34.5" hidden="false" customHeight="true" outlineLevel="0" collapsed="false">
      <c r="B28" s="36" t="s">
        <v>399</v>
      </c>
      <c r="C28" s="36" t="s">
        <v>409</v>
      </c>
      <c r="D28" s="36" t="s">
        <v>372</v>
      </c>
      <c r="E28" s="36" t="s">
        <v>410</v>
      </c>
      <c r="F28" s="36" t="s">
        <v>383</v>
      </c>
      <c r="G28" s="36" t="s">
        <v>411</v>
      </c>
      <c r="H28" s="36" t="s">
        <v>412</v>
      </c>
      <c r="I28" s="36" t="s">
        <v>377</v>
      </c>
      <c r="J28" s="36" t="s">
        <v>413</v>
      </c>
      <c r="K28" s="36" t="s">
        <v>414</v>
      </c>
    </row>
    <row r="29" customFormat="false" ht="34.5" hidden="false" customHeight="true" outlineLevel="0" collapsed="false">
      <c r="B29" s="36" t="s">
        <v>415</v>
      </c>
      <c r="C29" s="36" t="s">
        <v>416</v>
      </c>
      <c r="D29" s="36" t="s">
        <v>410</v>
      </c>
      <c r="E29" s="36" t="s">
        <v>417</v>
      </c>
      <c r="F29" s="36" t="s">
        <v>418</v>
      </c>
      <c r="G29" s="36" t="s">
        <v>419</v>
      </c>
      <c r="H29" s="36" t="s">
        <v>420</v>
      </c>
      <c r="I29" s="36" t="s">
        <v>421</v>
      </c>
      <c r="J29" s="36" t="s">
        <v>422</v>
      </c>
      <c r="K29" s="36" t="s">
        <v>423</v>
      </c>
    </row>
    <row r="30" customFormat="false" ht="34.5" hidden="false" customHeight="true" outlineLevel="0" collapsed="false">
      <c r="B30" s="36" t="s">
        <v>424</v>
      </c>
      <c r="C30" s="36" t="s">
        <v>425</v>
      </c>
      <c r="D30" s="36" t="s">
        <v>426</v>
      </c>
      <c r="E30" s="36" t="s">
        <v>401</v>
      </c>
      <c r="F30" s="36" t="s">
        <v>427</v>
      </c>
      <c r="G30" s="36" t="s">
        <v>393</v>
      </c>
      <c r="H30" s="36" t="s">
        <v>428</v>
      </c>
      <c r="I30" s="36" t="s">
        <v>406</v>
      </c>
      <c r="J30" s="36" t="s">
        <v>429</v>
      </c>
      <c r="K30" s="36" t="s">
        <v>430</v>
      </c>
    </row>
    <row r="32" customFormat="false" ht="15" hidden="false" customHeight="true" outlineLevel="0" collapsed="false">
      <c r="B32" s="37" t="s">
        <v>431</v>
      </c>
      <c r="C32" s="37"/>
      <c r="D32" s="37"/>
      <c r="E32" s="37"/>
      <c r="F32" s="37"/>
      <c r="G32" s="37"/>
      <c r="H32" s="37"/>
      <c r="I32" s="37"/>
      <c r="J32" s="37"/>
    </row>
    <row r="34" customFormat="false" ht="3.75" hidden="false" customHeight="true" outlineLevel="0" collapsed="false">
      <c r="A34" s="2"/>
      <c r="B34" s="2"/>
      <c r="C34" s="2"/>
      <c r="D34" s="2"/>
      <c r="E34" s="2"/>
      <c r="F34" s="2"/>
      <c r="G34" s="2"/>
    </row>
    <row r="35" customFormat="false" ht="15.75" hidden="false" customHeight="true" outlineLevel="0" collapsed="false">
      <c r="B35" s="31" t="s">
        <v>132</v>
      </c>
      <c r="C35" s="31"/>
      <c r="D35" s="31"/>
      <c r="E35" s="31"/>
      <c r="F35" s="31"/>
      <c r="G35" s="31"/>
    </row>
  </sheetData>
  <mergeCells count="7">
    <mergeCell ref="B2:J2"/>
    <mergeCell ref="B3:J3"/>
    <mergeCell ref="B5:J5"/>
    <mergeCell ref="B14:J14"/>
    <mergeCell ref="B22:J22"/>
    <mergeCell ref="B32:J32"/>
    <mergeCell ref="B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40"/>
    <col collapsed="false" customWidth="true" hidden="false" outlineLevel="0" max="11" min="11" style="1" width="12"/>
    <col collapsed="false" customWidth="true" hidden="false" outlineLevel="0" max="13" min="12" style="1" width="14"/>
    <col collapsed="false" customWidth="true" hidden="false" outlineLevel="0" max="14" min="14" style="1" width="18"/>
    <col collapsed="false" customWidth="true" hidden="false" outlineLevel="0" max="15" min="15" style="1" width="14"/>
    <col collapsed="false" customWidth="true" hidden="false" outlineLevel="0" max="16" min="16" style="1" width="28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27.75" hidden="false" customHeight="true" outlineLevel="0" collapsed="false">
      <c r="B2" s="23" t="s">
        <v>432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customFormat="false" ht="18" hidden="false" customHeight="true" outlineLevel="0" collapsed="false">
      <c r="B3" s="24" t="s">
        <v>433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customFormat="false" ht="23.25" hidden="false" customHeight="true" outlineLevel="0" collapsed="false">
      <c r="B4" s="26" t="s">
        <v>434</v>
      </c>
      <c r="C4" s="26" t="s">
        <v>435</v>
      </c>
      <c r="D4" s="26" t="s">
        <v>436</v>
      </c>
      <c r="E4" s="26" t="s">
        <v>437</v>
      </c>
      <c r="F4" s="26" t="s">
        <v>438</v>
      </c>
      <c r="G4" s="26" t="s">
        <v>439</v>
      </c>
      <c r="H4" s="26" t="s">
        <v>361</v>
      </c>
      <c r="I4" s="26" t="s">
        <v>440</v>
      </c>
      <c r="J4" s="26" t="s">
        <v>441</v>
      </c>
      <c r="K4" s="26" t="s">
        <v>442</v>
      </c>
      <c r="L4" s="26" t="s">
        <v>443</v>
      </c>
      <c r="M4" s="26" t="s">
        <v>444</v>
      </c>
      <c r="N4" s="26" t="s">
        <v>445</v>
      </c>
      <c r="O4" s="26" t="s">
        <v>446</v>
      </c>
      <c r="P4" s="26" t="s">
        <v>71</v>
      </c>
    </row>
    <row r="5" customFormat="false" ht="15" hidden="false" customHeight="true" outlineLevel="0" collapsed="false">
      <c r="B5" s="38" t="n">
        <v>4</v>
      </c>
      <c r="C5" s="38" t="s">
        <v>447</v>
      </c>
      <c r="D5" s="38" t="s">
        <v>447</v>
      </c>
      <c r="E5" s="38" t="s">
        <v>448</v>
      </c>
      <c r="F5" s="38" t="s">
        <v>449</v>
      </c>
      <c r="G5" s="38" t="s">
        <v>208</v>
      </c>
      <c r="H5" s="38" t="s">
        <v>450</v>
      </c>
      <c r="I5" s="38" t="s">
        <v>451</v>
      </c>
      <c r="J5" s="38" t="s">
        <v>452</v>
      </c>
      <c r="K5" s="38" t="s">
        <v>453</v>
      </c>
      <c r="L5" s="38"/>
      <c r="M5" s="38"/>
      <c r="N5" s="38" t="s">
        <v>454</v>
      </c>
      <c r="O5" s="39" t="str">
        <f aca="false">IF(ISBLANK(L5),"pending","estimated")</f>
        <v>pending</v>
      </c>
      <c r="P5" s="38"/>
    </row>
    <row r="6" customFormat="false" ht="15" hidden="false" customHeight="true" outlineLevel="0" collapsed="false">
      <c r="B6" s="38" t="n">
        <v>4</v>
      </c>
      <c r="C6" s="38" t="s">
        <v>447</v>
      </c>
      <c r="D6" s="38" t="s">
        <v>447</v>
      </c>
      <c r="E6" s="38" t="s">
        <v>448</v>
      </c>
      <c r="F6" s="38" t="s">
        <v>449</v>
      </c>
      <c r="G6" s="38" t="s">
        <v>208</v>
      </c>
      <c r="H6" s="38" t="s">
        <v>415</v>
      </c>
      <c r="I6" s="38" t="s">
        <v>448</v>
      </c>
      <c r="J6" s="38" t="s">
        <v>455</v>
      </c>
      <c r="K6" s="38" t="s">
        <v>453</v>
      </c>
      <c r="L6" s="38"/>
      <c r="M6" s="38"/>
      <c r="N6" s="38" t="s">
        <v>454</v>
      </c>
      <c r="O6" s="39" t="str">
        <f aca="false">IF(ISBLANK(L6),"pending","estimated")</f>
        <v>pending</v>
      </c>
      <c r="P6" s="38"/>
    </row>
    <row r="7" customFormat="false" ht="15" hidden="false" customHeight="true" outlineLevel="0" collapsed="false">
      <c r="B7" s="38" t="n">
        <v>5</v>
      </c>
      <c r="C7" s="38" t="s">
        <v>447</v>
      </c>
      <c r="D7" s="38" t="s">
        <v>447</v>
      </c>
      <c r="E7" s="38" t="s">
        <v>456</v>
      </c>
      <c r="F7" s="38" t="s">
        <v>457</v>
      </c>
      <c r="G7" s="38" t="s">
        <v>208</v>
      </c>
      <c r="H7" s="38" t="s">
        <v>450</v>
      </c>
      <c r="I7" s="38" t="s">
        <v>456</v>
      </c>
      <c r="J7" s="38" t="s">
        <v>458</v>
      </c>
      <c r="K7" s="38" t="s">
        <v>453</v>
      </c>
      <c r="L7" s="38"/>
      <c r="M7" s="38"/>
      <c r="N7" s="38" t="s">
        <v>454</v>
      </c>
      <c r="O7" s="39" t="str">
        <f aca="false">IF(ISBLANK(L7),"pending","estimated")</f>
        <v>pending</v>
      </c>
      <c r="P7" s="38"/>
    </row>
    <row r="8" customFormat="false" ht="15" hidden="false" customHeight="true" outlineLevel="0" collapsed="false">
      <c r="B8" s="38" t="n">
        <v>5</v>
      </c>
      <c r="C8" s="38" t="s">
        <v>447</v>
      </c>
      <c r="D8" s="38" t="s">
        <v>447</v>
      </c>
      <c r="E8" s="38" t="s">
        <v>456</v>
      </c>
      <c r="F8" s="38" t="s">
        <v>457</v>
      </c>
      <c r="G8" s="38" t="s">
        <v>208</v>
      </c>
      <c r="H8" s="38" t="s">
        <v>370</v>
      </c>
      <c r="I8" s="38" t="s">
        <v>456</v>
      </c>
      <c r="J8" s="38" t="s">
        <v>459</v>
      </c>
      <c r="K8" s="38" t="s">
        <v>453</v>
      </c>
      <c r="L8" s="38"/>
      <c r="M8" s="38"/>
      <c r="N8" s="38" t="s">
        <v>454</v>
      </c>
      <c r="O8" s="39" t="str">
        <f aca="false">IF(ISBLANK(L8),"pending","estimated")</f>
        <v>pending</v>
      </c>
      <c r="P8" s="38" t="s">
        <v>460</v>
      </c>
    </row>
    <row r="9" customFormat="false" ht="15" hidden="false" customHeight="true" outlineLevel="0" collapsed="false">
      <c r="B9" s="38" t="n">
        <v>5</v>
      </c>
      <c r="C9" s="38" t="s">
        <v>447</v>
      </c>
      <c r="D9" s="38" t="s">
        <v>447</v>
      </c>
      <c r="E9" s="38" t="s">
        <v>456</v>
      </c>
      <c r="F9" s="38" t="s">
        <v>457</v>
      </c>
      <c r="G9" s="38" t="s">
        <v>208</v>
      </c>
      <c r="H9" s="38" t="s">
        <v>415</v>
      </c>
      <c r="I9" s="38" t="s">
        <v>461</v>
      </c>
      <c r="J9" s="38" t="s">
        <v>462</v>
      </c>
      <c r="K9" s="38" t="s">
        <v>453</v>
      </c>
      <c r="L9" s="38"/>
      <c r="M9" s="38"/>
      <c r="N9" s="38" t="s">
        <v>454</v>
      </c>
      <c r="O9" s="39" t="str">
        <f aca="false">IF(ISBLANK(L9),"pending","estimated")</f>
        <v>pending</v>
      </c>
      <c r="P9" s="38"/>
    </row>
    <row r="10" customFormat="false" ht="15" hidden="false" customHeight="true" outlineLevel="0" collapsed="false">
      <c r="B10" s="38" t="n">
        <v>5</v>
      </c>
      <c r="C10" s="38" t="s">
        <v>447</v>
      </c>
      <c r="D10" s="38" t="s">
        <v>447</v>
      </c>
      <c r="E10" s="38" t="s">
        <v>456</v>
      </c>
      <c r="F10" s="38" t="s">
        <v>457</v>
      </c>
      <c r="G10" s="38" t="s">
        <v>208</v>
      </c>
      <c r="H10" s="38" t="s">
        <v>399</v>
      </c>
      <c r="I10" s="38" t="s">
        <v>456</v>
      </c>
      <c r="J10" s="38" t="s">
        <v>463</v>
      </c>
      <c r="K10" s="38" t="s">
        <v>464</v>
      </c>
      <c r="L10" s="38"/>
      <c r="M10" s="38"/>
      <c r="N10" s="38" t="s">
        <v>454</v>
      </c>
      <c r="O10" s="39" t="str">
        <f aca="false">IF(ISBLANK(L10),"pending","estimated")</f>
        <v>pending</v>
      </c>
      <c r="P10" s="38" t="s">
        <v>465</v>
      </c>
    </row>
    <row r="11" customFormat="false" ht="15" hidden="false" customHeight="true" outlineLevel="0" collapsed="false">
      <c r="B11" s="38" t="n">
        <v>7</v>
      </c>
      <c r="C11" s="38" t="s">
        <v>447</v>
      </c>
      <c r="D11" s="38" t="s">
        <v>447</v>
      </c>
      <c r="E11" s="38" t="s">
        <v>466</v>
      </c>
      <c r="F11" s="38" t="s">
        <v>467</v>
      </c>
      <c r="G11" s="38" t="s">
        <v>208</v>
      </c>
      <c r="H11" s="38" t="s">
        <v>450</v>
      </c>
      <c r="I11" s="38" t="s">
        <v>466</v>
      </c>
      <c r="J11" s="38" t="s">
        <v>468</v>
      </c>
      <c r="K11" s="38" t="s">
        <v>453</v>
      </c>
      <c r="L11" s="38"/>
      <c r="M11" s="38"/>
      <c r="N11" s="38" t="s">
        <v>454</v>
      </c>
      <c r="O11" s="39" t="str">
        <f aca="false">IF(ISBLANK(L11),"pending","estimated")</f>
        <v>pending</v>
      </c>
      <c r="P11" s="38"/>
    </row>
    <row r="12" customFormat="false" ht="15" hidden="false" customHeight="true" outlineLevel="0" collapsed="false">
      <c r="B12" s="38" t="n">
        <v>7</v>
      </c>
      <c r="C12" s="38" t="s">
        <v>447</v>
      </c>
      <c r="D12" s="38" t="s">
        <v>447</v>
      </c>
      <c r="E12" s="38" t="s">
        <v>466</v>
      </c>
      <c r="F12" s="38" t="s">
        <v>467</v>
      </c>
      <c r="G12" s="38" t="s">
        <v>208</v>
      </c>
      <c r="H12" s="38" t="s">
        <v>370</v>
      </c>
      <c r="I12" s="38" t="s">
        <v>466</v>
      </c>
      <c r="J12" s="38" t="s">
        <v>469</v>
      </c>
      <c r="K12" s="38" t="s">
        <v>453</v>
      </c>
      <c r="L12" s="38"/>
      <c r="M12" s="38"/>
      <c r="N12" s="38" t="s">
        <v>454</v>
      </c>
      <c r="O12" s="39" t="str">
        <f aca="false">IF(ISBLANK(L12),"pending","estimated")</f>
        <v>pending</v>
      </c>
      <c r="P12" s="38" t="s">
        <v>460</v>
      </c>
    </row>
    <row r="13" customFormat="false" ht="15" hidden="false" customHeight="true" outlineLevel="0" collapsed="false">
      <c r="B13" s="38" t="n">
        <v>7</v>
      </c>
      <c r="C13" s="38" t="s">
        <v>447</v>
      </c>
      <c r="D13" s="38" t="s">
        <v>447</v>
      </c>
      <c r="E13" s="38" t="s">
        <v>466</v>
      </c>
      <c r="F13" s="38" t="s">
        <v>467</v>
      </c>
      <c r="G13" s="38" t="s">
        <v>208</v>
      </c>
      <c r="H13" s="38" t="s">
        <v>415</v>
      </c>
      <c r="I13" s="38" t="s">
        <v>470</v>
      </c>
      <c r="J13" s="38" t="s">
        <v>471</v>
      </c>
      <c r="K13" s="38" t="s">
        <v>453</v>
      </c>
      <c r="L13" s="38"/>
      <c r="M13" s="38"/>
      <c r="N13" s="38" t="s">
        <v>454</v>
      </c>
      <c r="O13" s="39" t="str">
        <f aca="false">IF(ISBLANK(L13),"pending","estimated")</f>
        <v>pending</v>
      </c>
      <c r="P13" s="38"/>
    </row>
    <row r="14" customFormat="false" ht="15" hidden="false" customHeight="true" outlineLevel="0" collapsed="false">
      <c r="B14" s="38" t="n">
        <v>11</v>
      </c>
      <c r="C14" s="38" t="s">
        <v>472</v>
      </c>
      <c r="D14" s="38" t="s">
        <v>473</v>
      </c>
      <c r="E14" s="38" t="s">
        <v>474</v>
      </c>
      <c r="F14" s="38" t="s">
        <v>475</v>
      </c>
      <c r="G14" s="38" t="s">
        <v>208</v>
      </c>
      <c r="H14" s="38" t="s">
        <v>450</v>
      </c>
      <c r="I14" s="38" t="s">
        <v>474</v>
      </c>
      <c r="J14" s="38" t="s">
        <v>476</v>
      </c>
      <c r="K14" s="38" t="s">
        <v>453</v>
      </c>
      <c r="L14" s="38"/>
      <c r="M14" s="38"/>
      <c r="N14" s="38" t="s">
        <v>454</v>
      </c>
      <c r="O14" s="39" t="str">
        <f aca="false">IF(ISBLANK(L14),"pending","estimated")</f>
        <v>pending</v>
      </c>
      <c r="P14" s="38"/>
    </row>
    <row r="15" customFormat="false" ht="15" hidden="false" customHeight="true" outlineLevel="0" collapsed="false">
      <c r="B15" s="38" t="n">
        <v>11</v>
      </c>
      <c r="C15" s="38" t="s">
        <v>472</v>
      </c>
      <c r="D15" s="38" t="s">
        <v>473</v>
      </c>
      <c r="E15" s="38" t="s">
        <v>474</v>
      </c>
      <c r="F15" s="38" t="s">
        <v>475</v>
      </c>
      <c r="G15" s="38" t="s">
        <v>208</v>
      </c>
      <c r="H15" s="38" t="s">
        <v>370</v>
      </c>
      <c r="I15" s="38" t="s">
        <v>477</v>
      </c>
      <c r="J15" s="38" t="s">
        <v>478</v>
      </c>
      <c r="K15" s="38" t="s">
        <v>453</v>
      </c>
      <c r="L15" s="38"/>
      <c r="M15" s="38"/>
      <c r="N15" s="38" t="s">
        <v>454</v>
      </c>
      <c r="O15" s="39" t="str">
        <f aca="false">IF(ISBLANK(L15),"pending","estimated")</f>
        <v>pending</v>
      </c>
      <c r="P15" s="38"/>
    </row>
    <row r="16" customFormat="false" ht="15" hidden="false" customHeight="true" outlineLevel="0" collapsed="false">
      <c r="B16" s="38" t="n">
        <v>11</v>
      </c>
      <c r="C16" s="38" t="s">
        <v>472</v>
      </c>
      <c r="D16" s="38" t="s">
        <v>473</v>
      </c>
      <c r="E16" s="38" t="s">
        <v>474</v>
      </c>
      <c r="F16" s="38" t="s">
        <v>475</v>
      </c>
      <c r="G16" s="38" t="s">
        <v>208</v>
      </c>
      <c r="H16" s="38" t="s">
        <v>415</v>
      </c>
      <c r="I16" s="38" t="s">
        <v>474</v>
      </c>
      <c r="J16" s="38" t="s">
        <v>479</v>
      </c>
      <c r="K16" s="38" t="s">
        <v>453</v>
      </c>
      <c r="L16" s="38"/>
      <c r="M16" s="38"/>
      <c r="N16" s="38" t="s">
        <v>454</v>
      </c>
      <c r="O16" s="39" t="str">
        <f aca="false">IF(ISBLANK(L16),"pending","estimated")</f>
        <v>pending</v>
      </c>
      <c r="P16" s="38"/>
    </row>
    <row r="17" customFormat="false" ht="15" hidden="false" customHeight="true" outlineLevel="0" collapsed="false">
      <c r="B17" s="38" t="n">
        <v>12</v>
      </c>
      <c r="C17" s="38" t="s">
        <v>472</v>
      </c>
      <c r="D17" s="38" t="s">
        <v>473</v>
      </c>
      <c r="E17" s="38" t="s">
        <v>480</v>
      </c>
      <c r="F17" s="38" t="s">
        <v>481</v>
      </c>
      <c r="G17" s="38" t="s">
        <v>208</v>
      </c>
      <c r="H17" s="38" t="s">
        <v>450</v>
      </c>
      <c r="I17" s="38" t="s">
        <v>482</v>
      </c>
      <c r="J17" s="38" t="s">
        <v>483</v>
      </c>
      <c r="K17" s="38" t="s">
        <v>453</v>
      </c>
      <c r="L17" s="38"/>
      <c r="M17" s="38"/>
      <c r="N17" s="38" t="s">
        <v>454</v>
      </c>
      <c r="O17" s="39" t="str">
        <f aca="false">IF(ISBLANK(L17),"pending","estimated")</f>
        <v>pending</v>
      </c>
      <c r="P17" s="38"/>
    </row>
    <row r="18" customFormat="false" ht="15" hidden="false" customHeight="true" outlineLevel="0" collapsed="false">
      <c r="B18" s="38" t="n">
        <v>12</v>
      </c>
      <c r="C18" s="38" t="s">
        <v>472</v>
      </c>
      <c r="D18" s="38" t="s">
        <v>473</v>
      </c>
      <c r="E18" s="38" t="s">
        <v>480</v>
      </c>
      <c r="F18" s="38" t="s">
        <v>481</v>
      </c>
      <c r="G18" s="38" t="s">
        <v>208</v>
      </c>
      <c r="H18" s="38" t="s">
        <v>415</v>
      </c>
      <c r="I18" s="38" t="s">
        <v>484</v>
      </c>
      <c r="J18" s="38" t="s">
        <v>485</v>
      </c>
      <c r="K18" s="38" t="s">
        <v>453</v>
      </c>
      <c r="L18" s="38"/>
      <c r="M18" s="38"/>
      <c r="N18" s="38" t="s">
        <v>454</v>
      </c>
      <c r="O18" s="39" t="str">
        <f aca="false">IF(ISBLANK(L18),"pending","estimated")</f>
        <v>pending</v>
      </c>
      <c r="P18" s="38"/>
    </row>
    <row r="19" customFormat="false" ht="15" hidden="false" customHeight="true" outlineLevel="0" collapsed="false">
      <c r="B19" s="38" t="n">
        <v>13</v>
      </c>
      <c r="C19" s="38" t="s">
        <v>472</v>
      </c>
      <c r="D19" s="38" t="s">
        <v>473</v>
      </c>
      <c r="E19" s="38" t="s">
        <v>486</v>
      </c>
      <c r="F19" s="38" t="s">
        <v>487</v>
      </c>
      <c r="G19" s="38" t="s">
        <v>208</v>
      </c>
      <c r="H19" s="38" t="s">
        <v>450</v>
      </c>
      <c r="I19" s="38" t="s">
        <v>488</v>
      </c>
      <c r="J19" s="38" t="s">
        <v>489</v>
      </c>
      <c r="K19" s="38" t="s">
        <v>453</v>
      </c>
      <c r="L19" s="38"/>
      <c r="M19" s="38"/>
      <c r="N19" s="38" t="s">
        <v>454</v>
      </c>
      <c r="O19" s="39" t="str">
        <f aca="false">IF(ISBLANK(L19),"pending","estimated")</f>
        <v>pending</v>
      </c>
      <c r="P19" s="38"/>
    </row>
    <row r="20" customFormat="false" ht="15" hidden="false" customHeight="true" outlineLevel="0" collapsed="false">
      <c r="B20" s="38" t="n">
        <v>13</v>
      </c>
      <c r="C20" s="38" t="s">
        <v>472</v>
      </c>
      <c r="D20" s="38" t="s">
        <v>473</v>
      </c>
      <c r="E20" s="38" t="s">
        <v>486</v>
      </c>
      <c r="F20" s="38" t="s">
        <v>487</v>
      </c>
      <c r="G20" s="38" t="s">
        <v>208</v>
      </c>
      <c r="H20" s="38" t="s">
        <v>370</v>
      </c>
      <c r="I20" s="38" t="s">
        <v>490</v>
      </c>
      <c r="J20" s="38" t="s">
        <v>491</v>
      </c>
      <c r="K20" s="38" t="s">
        <v>453</v>
      </c>
      <c r="L20" s="38"/>
      <c r="M20" s="38"/>
      <c r="N20" s="38" t="s">
        <v>454</v>
      </c>
      <c r="O20" s="39" t="str">
        <f aca="false">IF(ISBLANK(L20),"pending","estimated")</f>
        <v>pending</v>
      </c>
      <c r="P20" s="38"/>
    </row>
    <row r="21" customFormat="false" ht="15" hidden="false" customHeight="true" outlineLevel="0" collapsed="false">
      <c r="B21" s="38" t="n">
        <v>13</v>
      </c>
      <c r="C21" s="38" t="s">
        <v>472</v>
      </c>
      <c r="D21" s="38" t="s">
        <v>473</v>
      </c>
      <c r="E21" s="38" t="s">
        <v>486</v>
      </c>
      <c r="F21" s="38" t="s">
        <v>487</v>
      </c>
      <c r="G21" s="38" t="s">
        <v>208</v>
      </c>
      <c r="H21" s="38" t="s">
        <v>415</v>
      </c>
      <c r="I21" s="38" t="s">
        <v>490</v>
      </c>
      <c r="J21" s="38" t="s">
        <v>492</v>
      </c>
      <c r="K21" s="38" t="s">
        <v>453</v>
      </c>
      <c r="L21" s="38"/>
      <c r="M21" s="38"/>
      <c r="N21" s="38" t="s">
        <v>454</v>
      </c>
      <c r="O21" s="39" t="str">
        <f aca="false">IF(ISBLANK(L21),"pending","estimated")</f>
        <v>pending</v>
      </c>
      <c r="P21" s="38"/>
    </row>
    <row r="22" customFormat="false" ht="15" hidden="false" customHeight="true" outlineLevel="0" collapsed="false">
      <c r="B22" s="38" t="n">
        <v>14</v>
      </c>
      <c r="C22" s="38" t="s">
        <v>472</v>
      </c>
      <c r="D22" s="38" t="s">
        <v>473</v>
      </c>
      <c r="E22" s="38" t="s">
        <v>493</v>
      </c>
      <c r="F22" s="38" t="s">
        <v>494</v>
      </c>
      <c r="G22" s="38" t="s">
        <v>208</v>
      </c>
      <c r="H22" s="38" t="s">
        <v>450</v>
      </c>
      <c r="I22" s="38" t="s">
        <v>493</v>
      </c>
      <c r="J22" s="38" t="s">
        <v>495</v>
      </c>
      <c r="K22" s="38" t="s">
        <v>453</v>
      </c>
      <c r="L22" s="38"/>
      <c r="M22" s="38"/>
      <c r="N22" s="38" t="s">
        <v>454</v>
      </c>
      <c r="O22" s="39" t="str">
        <f aca="false">IF(ISBLANK(L22),"pending","estimated")</f>
        <v>pending</v>
      </c>
      <c r="P22" s="38"/>
    </row>
    <row r="23" customFormat="false" ht="15" hidden="false" customHeight="true" outlineLevel="0" collapsed="false">
      <c r="B23" s="38" t="n">
        <v>14</v>
      </c>
      <c r="C23" s="38" t="s">
        <v>472</v>
      </c>
      <c r="D23" s="38" t="s">
        <v>473</v>
      </c>
      <c r="E23" s="38" t="s">
        <v>493</v>
      </c>
      <c r="F23" s="38" t="s">
        <v>494</v>
      </c>
      <c r="G23" s="38" t="s">
        <v>208</v>
      </c>
      <c r="H23" s="38" t="s">
        <v>370</v>
      </c>
      <c r="I23" s="38" t="s">
        <v>496</v>
      </c>
      <c r="J23" s="38" t="s">
        <v>497</v>
      </c>
      <c r="K23" s="38" t="s">
        <v>453</v>
      </c>
      <c r="L23" s="38"/>
      <c r="M23" s="38"/>
      <c r="N23" s="38" t="s">
        <v>454</v>
      </c>
      <c r="O23" s="39" t="str">
        <f aca="false">IF(ISBLANK(L23),"pending","estimated")</f>
        <v>pending</v>
      </c>
      <c r="P23" s="38"/>
    </row>
    <row r="24" customFormat="false" ht="15" hidden="false" customHeight="true" outlineLevel="0" collapsed="false">
      <c r="B24" s="38" t="n">
        <v>14</v>
      </c>
      <c r="C24" s="38" t="s">
        <v>472</v>
      </c>
      <c r="D24" s="38" t="s">
        <v>473</v>
      </c>
      <c r="E24" s="38" t="s">
        <v>493</v>
      </c>
      <c r="F24" s="38" t="s">
        <v>494</v>
      </c>
      <c r="G24" s="38" t="s">
        <v>208</v>
      </c>
      <c r="H24" s="38" t="s">
        <v>415</v>
      </c>
      <c r="I24" s="38" t="s">
        <v>498</v>
      </c>
      <c r="J24" s="38" t="s">
        <v>499</v>
      </c>
      <c r="K24" s="38" t="s">
        <v>453</v>
      </c>
      <c r="L24" s="38"/>
      <c r="M24" s="38"/>
      <c r="N24" s="38" t="s">
        <v>454</v>
      </c>
      <c r="O24" s="39" t="str">
        <f aca="false">IF(ISBLANK(L24),"pending","estimated")</f>
        <v>pending</v>
      </c>
      <c r="P24" s="38"/>
    </row>
    <row r="25" customFormat="false" ht="15" hidden="false" customHeight="true" outlineLevel="0" collapsed="false">
      <c r="B25" s="38" t="n">
        <v>15</v>
      </c>
      <c r="C25" s="38" t="s">
        <v>472</v>
      </c>
      <c r="D25" s="38" t="s">
        <v>500</v>
      </c>
      <c r="E25" s="38" t="s">
        <v>501</v>
      </c>
      <c r="F25" s="38" t="s">
        <v>502</v>
      </c>
      <c r="G25" s="38" t="s">
        <v>208</v>
      </c>
      <c r="H25" s="38" t="s">
        <v>450</v>
      </c>
      <c r="I25" s="38" t="s">
        <v>503</v>
      </c>
      <c r="J25" s="38" t="s">
        <v>504</v>
      </c>
      <c r="K25" s="38" t="s">
        <v>453</v>
      </c>
      <c r="L25" s="38"/>
      <c r="M25" s="38"/>
      <c r="N25" s="38" t="s">
        <v>454</v>
      </c>
      <c r="O25" s="39" t="str">
        <f aca="false">IF(ISBLANK(L25),"pending","estimated")</f>
        <v>pending</v>
      </c>
      <c r="P25" s="38"/>
    </row>
    <row r="26" customFormat="false" ht="15" hidden="false" customHeight="true" outlineLevel="0" collapsed="false">
      <c r="B26" s="38" t="n">
        <v>16</v>
      </c>
      <c r="C26" s="38" t="s">
        <v>472</v>
      </c>
      <c r="D26" s="38" t="s">
        <v>500</v>
      </c>
      <c r="E26" s="38" t="s">
        <v>505</v>
      </c>
      <c r="F26" s="38" t="s">
        <v>506</v>
      </c>
      <c r="G26" s="38" t="s">
        <v>208</v>
      </c>
      <c r="H26" s="38" t="s">
        <v>450</v>
      </c>
      <c r="I26" s="38" t="s">
        <v>507</v>
      </c>
      <c r="J26" s="38" t="s">
        <v>508</v>
      </c>
      <c r="K26" s="38" t="s">
        <v>453</v>
      </c>
      <c r="L26" s="38"/>
      <c r="M26" s="38"/>
      <c r="N26" s="38" t="s">
        <v>454</v>
      </c>
      <c r="O26" s="39" t="str">
        <f aca="false">IF(ISBLANK(L26),"pending","estimated")</f>
        <v>pending</v>
      </c>
      <c r="P26" s="38"/>
    </row>
    <row r="27" customFormat="false" ht="15" hidden="false" customHeight="true" outlineLevel="0" collapsed="false">
      <c r="B27" s="38" t="n">
        <v>17</v>
      </c>
      <c r="C27" s="38" t="s">
        <v>472</v>
      </c>
      <c r="D27" s="38" t="s">
        <v>500</v>
      </c>
      <c r="E27" s="38" t="s">
        <v>509</v>
      </c>
      <c r="F27" s="38" t="s">
        <v>510</v>
      </c>
      <c r="G27" s="38" t="s">
        <v>208</v>
      </c>
      <c r="H27" s="38" t="s">
        <v>450</v>
      </c>
      <c r="I27" s="38" t="s">
        <v>509</v>
      </c>
      <c r="J27" s="38" t="s">
        <v>511</v>
      </c>
      <c r="K27" s="38" t="s">
        <v>453</v>
      </c>
      <c r="L27" s="38"/>
      <c r="M27" s="38"/>
      <c r="N27" s="38" t="s">
        <v>454</v>
      </c>
      <c r="O27" s="39" t="str">
        <f aca="false">IF(ISBLANK(L27),"pending","estimated")</f>
        <v>pending</v>
      </c>
      <c r="P27" s="38"/>
    </row>
    <row r="28" customFormat="false" ht="15" hidden="false" customHeight="true" outlineLevel="0" collapsed="false">
      <c r="B28" s="38" t="n">
        <v>17</v>
      </c>
      <c r="C28" s="38" t="s">
        <v>472</v>
      </c>
      <c r="D28" s="38" t="s">
        <v>500</v>
      </c>
      <c r="E28" s="38" t="s">
        <v>509</v>
      </c>
      <c r="F28" s="38" t="s">
        <v>510</v>
      </c>
      <c r="G28" s="38" t="s">
        <v>208</v>
      </c>
      <c r="H28" s="38" t="s">
        <v>370</v>
      </c>
      <c r="I28" s="38" t="s">
        <v>512</v>
      </c>
      <c r="J28" s="38" t="s">
        <v>513</v>
      </c>
      <c r="K28" s="38" t="s">
        <v>453</v>
      </c>
      <c r="L28" s="38"/>
      <c r="M28" s="38"/>
      <c r="N28" s="38" t="s">
        <v>454</v>
      </c>
      <c r="O28" s="39" t="str">
        <f aca="false">IF(ISBLANK(L28),"pending","estimated")</f>
        <v>pending</v>
      </c>
      <c r="P28" s="38"/>
    </row>
    <row r="29" customFormat="false" ht="15" hidden="false" customHeight="true" outlineLevel="0" collapsed="false">
      <c r="B29" s="38" t="n">
        <v>17</v>
      </c>
      <c r="C29" s="38" t="s">
        <v>472</v>
      </c>
      <c r="D29" s="38" t="s">
        <v>500</v>
      </c>
      <c r="E29" s="38" t="s">
        <v>509</v>
      </c>
      <c r="F29" s="38" t="s">
        <v>510</v>
      </c>
      <c r="G29" s="38" t="s">
        <v>208</v>
      </c>
      <c r="H29" s="38" t="s">
        <v>415</v>
      </c>
      <c r="I29" s="38" t="s">
        <v>514</v>
      </c>
      <c r="J29" s="38" t="s">
        <v>515</v>
      </c>
      <c r="K29" s="38" t="s">
        <v>453</v>
      </c>
      <c r="L29" s="38"/>
      <c r="M29" s="38"/>
      <c r="N29" s="38" t="s">
        <v>454</v>
      </c>
      <c r="O29" s="39" t="str">
        <f aca="false">IF(ISBLANK(L29),"pending","estimated")</f>
        <v>pending</v>
      </c>
      <c r="P29" s="38"/>
    </row>
    <row r="30" customFormat="false" ht="15" hidden="false" customHeight="true" outlineLevel="0" collapsed="false">
      <c r="B30" s="38" t="n">
        <v>18</v>
      </c>
      <c r="C30" s="38" t="s">
        <v>472</v>
      </c>
      <c r="D30" s="38" t="s">
        <v>500</v>
      </c>
      <c r="E30" s="38" t="s">
        <v>516</v>
      </c>
      <c r="F30" s="38" t="s">
        <v>517</v>
      </c>
      <c r="G30" s="38" t="s">
        <v>208</v>
      </c>
      <c r="H30" s="38" t="s">
        <v>450</v>
      </c>
      <c r="I30" s="38" t="s">
        <v>518</v>
      </c>
      <c r="J30" s="38" t="s">
        <v>519</v>
      </c>
      <c r="K30" s="38" t="s">
        <v>453</v>
      </c>
      <c r="L30" s="38"/>
      <c r="M30" s="38"/>
      <c r="N30" s="38" t="s">
        <v>454</v>
      </c>
      <c r="O30" s="39" t="str">
        <f aca="false">IF(ISBLANK(L30),"pending","estimated")</f>
        <v>pending</v>
      </c>
      <c r="P30" s="38"/>
    </row>
    <row r="31" customFormat="false" ht="15" hidden="false" customHeight="true" outlineLevel="0" collapsed="false">
      <c r="B31" s="38" t="n">
        <v>18</v>
      </c>
      <c r="C31" s="38" t="s">
        <v>472</v>
      </c>
      <c r="D31" s="38" t="s">
        <v>500</v>
      </c>
      <c r="E31" s="38" t="s">
        <v>516</v>
      </c>
      <c r="F31" s="38" t="s">
        <v>517</v>
      </c>
      <c r="G31" s="38" t="s">
        <v>208</v>
      </c>
      <c r="H31" s="38" t="s">
        <v>415</v>
      </c>
      <c r="I31" s="38" t="s">
        <v>520</v>
      </c>
      <c r="J31" s="38" t="s">
        <v>521</v>
      </c>
      <c r="K31" s="38" t="s">
        <v>453</v>
      </c>
      <c r="L31" s="38"/>
      <c r="M31" s="38"/>
      <c r="N31" s="38" t="s">
        <v>454</v>
      </c>
      <c r="O31" s="39" t="str">
        <f aca="false">IF(ISBLANK(L31),"pending","estimated")</f>
        <v>pending</v>
      </c>
      <c r="P31" s="38"/>
    </row>
    <row r="32" customFormat="false" ht="15" hidden="false" customHeight="true" outlineLevel="0" collapsed="false">
      <c r="B32" s="38" t="n">
        <v>19</v>
      </c>
      <c r="C32" s="38" t="s">
        <v>472</v>
      </c>
      <c r="D32" s="38" t="s">
        <v>522</v>
      </c>
      <c r="E32" s="38" t="s">
        <v>523</v>
      </c>
      <c r="F32" s="38" t="s">
        <v>524</v>
      </c>
      <c r="G32" s="38" t="s">
        <v>208</v>
      </c>
      <c r="H32" s="38" t="s">
        <v>450</v>
      </c>
      <c r="I32" s="38" t="s">
        <v>525</v>
      </c>
      <c r="J32" s="38" t="s">
        <v>526</v>
      </c>
      <c r="K32" s="38" t="s">
        <v>453</v>
      </c>
      <c r="L32" s="38"/>
      <c r="M32" s="38"/>
      <c r="N32" s="38" t="s">
        <v>454</v>
      </c>
      <c r="O32" s="39" t="str">
        <f aca="false">IF(ISBLANK(L32),"pending","estimated")</f>
        <v>pending</v>
      </c>
      <c r="P32" s="38"/>
    </row>
    <row r="33" customFormat="false" ht="15" hidden="false" customHeight="true" outlineLevel="0" collapsed="false">
      <c r="B33" s="38" t="n">
        <v>19</v>
      </c>
      <c r="C33" s="38" t="s">
        <v>472</v>
      </c>
      <c r="D33" s="38" t="s">
        <v>522</v>
      </c>
      <c r="E33" s="38" t="s">
        <v>523</v>
      </c>
      <c r="F33" s="38" t="s">
        <v>524</v>
      </c>
      <c r="G33" s="38" t="s">
        <v>208</v>
      </c>
      <c r="H33" s="38" t="s">
        <v>370</v>
      </c>
      <c r="I33" s="38" t="s">
        <v>527</v>
      </c>
      <c r="J33" s="38" t="s">
        <v>528</v>
      </c>
      <c r="K33" s="38" t="s">
        <v>453</v>
      </c>
      <c r="L33" s="38"/>
      <c r="M33" s="38"/>
      <c r="N33" s="38" t="s">
        <v>454</v>
      </c>
      <c r="O33" s="39" t="str">
        <f aca="false">IF(ISBLANK(L33),"pending","estimated")</f>
        <v>pending</v>
      </c>
      <c r="P33" s="38"/>
    </row>
    <row r="34" customFormat="false" ht="15" hidden="false" customHeight="true" outlineLevel="0" collapsed="false">
      <c r="B34" s="38" t="n">
        <v>19</v>
      </c>
      <c r="C34" s="38" t="s">
        <v>472</v>
      </c>
      <c r="D34" s="38" t="s">
        <v>522</v>
      </c>
      <c r="E34" s="38" t="s">
        <v>523</v>
      </c>
      <c r="F34" s="38" t="s">
        <v>524</v>
      </c>
      <c r="G34" s="38" t="s">
        <v>208</v>
      </c>
      <c r="H34" s="38" t="s">
        <v>415</v>
      </c>
      <c r="I34" s="38" t="s">
        <v>529</v>
      </c>
      <c r="J34" s="38" t="s">
        <v>530</v>
      </c>
      <c r="K34" s="38" t="s">
        <v>453</v>
      </c>
      <c r="L34" s="38"/>
      <c r="M34" s="38"/>
      <c r="N34" s="38" t="s">
        <v>454</v>
      </c>
      <c r="O34" s="39" t="str">
        <f aca="false">IF(ISBLANK(L34),"pending","estimated")</f>
        <v>pending</v>
      </c>
      <c r="P34" s="38"/>
    </row>
    <row r="35" customFormat="false" ht="15" hidden="false" customHeight="true" outlineLevel="0" collapsed="false">
      <c r="B35" s="38" t="n">
        <v>19</v>
      </c>
      <c r="C35" s="38" t="s">
        <v>472</v>
      </c>
      <c r="D35" s="38" t="s">
        <v>522</v>
      </c>
      <c r="E35" s="38" t="s">
        <v>523</v>
      </c>
      <c r="F35" s="38" t="s">
        <v>524</v>
      </c>
      <c r="G35" s="38" t="s">
        <v>208</v>
      </c>
      <c r="H35" s="38" t="s">
        <v>399</v>
      </c>
      <c r="I35" s="38" t="s">
        <v>531</v>
      </c>
      <c r="J35" s="38" t="s">
        <v>532</v>
      </c>
      <c r="K35" s="38" t="s">
        <v>464</v>
      </c>
      <c r="L35" s="38"/>
      <c r="M35" s="38"/>
      <c r="N35" s="38" t="s">
        <v>454</v>
      </c>
      <c r="O35" s="39" t="str">
        <f aca="false">IF(ISBLANK(L35),"pending","estimated")</f>
        <v>pending</v>
      </c>
      <c r="P35" s="38"/>
    </row>
    <row r="36" customFormat="false" ht="15" hidden="false" customHeight="true" outlineLevel="0" collapsed="false">
      <c r="B36" s="38" t="n">
        <v>20</v>
      </c>
      <c r="C36" s="38" t="s">
        <v>472</v>
      </c>
      <c r="D36" s="38" t="s">
        <v>522</v>
      </c>
      <c r="E36" s="38" t="s">
        <v>533</v>
      </c>
      <c r="F36" s="38" t="s">
        <v>534</v>
      </c>
      <c r="G36" s="38" t="s">
        <v>208</v>
      </c>
      <c r="H36" s="38" t="s">
        <v>450</v>
      </c>
      <c r="I36" s="38" t="s">
        <v>535</v>
      </c>
      <c r="J36" s="38" t="s">
        <v>536</v>
      </c>
      <c r="K36" s="38" t="s">
        <v>453</v>
      </c>
      <c r="L36" s="38"/>
      <c r="M36" s="38"/>
      <c r="N36" s="38" t="s">
        <v>454</v>
      </c>
      <c r="O36" s="39" t="str">
        <f aca="false">IF(ISBLANK(L36),"pending","estimated")</f>
        <v>pending</v>
      </c>
      <c r="P36" s="38"/>
    </row>
    <row r="37" customFormat="false" ht="15" hidden="false" customHeight="true" outlineLevel="0" collapsed="false">
      <c r="B37" s="38" t="n">
        <v>20</v>
      </c>
      <c r="C37" s="38" t="s">
        <v>472</v>
      </c>
      <c r="D37" s="38" t="s">
        <v>522</v>
      </c>
      <c r="E37" s="38" t="s">
        <v>533</v>
      </c>
      <c r="F37" s="38" t="s">
        <v>534</v>
      </c>
      <c r="G37" s="38" t="s">
        <v>208</v>
      </c>
      <c r="H37" s="38" t="s">
        <v>415</v>
      </c>
      <c r="I37" s="38" t="s">
        <v>537</v>
      </c>
      <c r="J37" s="38" t="s">
        <v>538</v>
      </c>
      <c r="K37" s="38" t="s">
        <v>453</v>
      </c>
      <c r="L37" s="38"/>
      <c r="M37" s="38"/>
      <c r="N37" s="38" t="s">
        <v>454</v>
      </c>
      <c r="O37" s="39" t="str">
        <f aca="false">IF(ISBLANK(L37),"pending","estimated")</f>
        <v>pending</v>
      </c>
      <c r="P37" s="38"/>
    </row>
    <row r="38" customFormat="false" ht="15" hidden="false" customHeight="true" outlineLevel="0" collapsed="false">
      <c r="B38" s="38" t="n">
        <v>21</v>
      </c>
      <c r="C38" s="38" t="s">
        <v>472</v>
      </c>
      <c r="D38" s="38" t="s">
        <v>522</v>
      </c>
      <c r="E38" s="38" t="s">
        <v>539</v>
      </c>
      <c r="F38" s="38" t="s">
        <v>540</v>
      </c>
      <c r="G38" s="38" t="s">
        <v>208</v>
      </c>
      <c r="H38" s="38" t="s">
        <v>450</v>
      </c>
      <c r="I38" s="38" t="s">
        <v>541</v>
      </c>
      <c r="J38" s="38" t="s">
        <v>542</v>
      </c>
      <c r="K38" s="38" t="s">
        <v>453</v>
      </c>
      <c r="L38" s="38"/>
      <c r="M38" s="38"/>
      <c r="N38" s="38" t="s">
        <v>454</v>
      </c>
      <c r="O38" s="39" t="str">
        <f aca="false">IF(ISBLANK(L38),"pending","estimated")</f>
        <v>pending</v>
      </c>
      <c r="P38" s="38"/>
    </row>
    <row r="39" customFormat="false" ht="15" hidden="false" customHeight="true" outlineLevel="0" collapsed="false">
      <c r="B39" s="38" t="n">
        <v>21</v>
      </c>
      <c r="C39" s="38" t="s">
        <v>472</v>
      </c>
      <c r="D39" s="38" t="s">
        <v>522</v>
      </c>
      <c r="E39" s="38" t="s">
        <v>539</v>
      </c>
      <c r="F39" s="38" t="s">
        <v>540</v>
      </c>
      <c r="G39" s="38" t="s">
        <v>208</v>
      </c>
      <c r="H39" s="38" t="s">
        <v>415</v>
      </c>
      <c r="I39" s="38" t="s">
        <v>543</v>
      </c>
      <c r="J39" s="38" t="s">
        <v>544</v>
      </c>
      <c r="K39" s="38" t="s">
        <v>453</v>
      </c>
      <c r="L39" s="38"/>
      <c r="M39" s="38"/>
      <c r="N39" s="38" t="s">
        <v>454</v>
      </c>
      <c r="O39" s="39" t="str">
        <f aca="false">IF(ISBLANK(L39),"pending","estimated")</f>
        <v>pending</v>
      </c>
      <c r="P39" s="38"/>
    </row>
    <row r="40" customFormat="false" ht="15" hidden="false" customHeight="true" outlineLevel="0" collapsed="false">
      <c r="B40" s="38" t="n">
        <v>21</v>
      </c>
      <c r="C40" s="38" t="s">
        <v>472</v>
      </c>
      <c r="D40" s="38" t="s">
        <v>522</v>
      </c>
      <c r="E40" s="38" t="s">
        <v>539</v>
      </c>
      <c r="F40" s="38" t="s">
        <v>540</v>
      </c>
      <c r="G40" s="38" t="s">
        <v>208</v>
      </c>
      <c r="H40" s="38" t="s">
        <v>399</v>
      </c>
      <c r="I40" s="38" t="s">
        <v>545</v>
      </c>
      <c r="J40" s="38" t="s">
        <v>546</v>
      </c>
      <c r="K40" s="38" t="s">
        <v>464</v>
      </c>
      <c r="L40" s="38"/>
      <c r="M40" s="38"/>
      <c r="N40" s="38" t="s">
        <v>454</v>
      </c>
      <c r="O40" s="39" t="str">
        <f aca="false">IF(ISBLANK(L40),"pending","estimated")</f>
        <v>pending</v>
      </c>
      <c r="P40" s="38"/>
    </row>
    <row r="41" customFormat="false" ht="15" hidden="false" customHeight="true" outlineLevel="0" collapsed="false">
      <c r="B41" s="38" t="n">
        <v>22</v>
      </c>
      <c r="C41" s="38" t="s">
        <v>472</v>
      </c>
      <c r="D41" s="38" t="s">
        <v>522</v>
      </c>
      <c r="E41" s="38" t="s">
        <v>547</v>
      </c>
      <c r="F41" s="38" t="s">
        <v>548</v>
      </c>
      <c r="G41" s="38" t="s">
        <v>208</v>
      </c>
      <c r="H41" s="38" t="s">
        <v>450</v>
      </c>
      <c r="I41" s="38" t="s">
        <v>549</v>
      </c>
      <c r="J41" s="38" t="s">
        <v>550</v>
      </c>
      <c r="K41" s="38" t="s">
        <v>453</v>
      </c>
      <c r="L41" s="38"/>
      <c r="M41" s="38"/>
      <c r="N41" s="38" t="s">
        <v>454</v>
      </c>
      <c r="O41" s="39" t="str">
        <f aca="false">IF(ISBLANK(L41),"pending","estimated")</f>
        <v>pending</v>
      </c>
      <c r="P41" s="38"/>
    </row>
    <row r="42" customFormat="false" ht="15" hidden="false" customHeight="true" outlineLevel="0" collapsed="false">
      <c r="B42" s="38" t="n">
        <v>23</v>
      </c>
      <c r="C42" s="38" t="s">
        <v>551</v>
      </c>
      <c r="D42" s="38" t="s">
        <v>552</v>
      </c>
      <c r="E42" s="38" t="s">
        <v>553</v>
      </c>
      <c r="F42" s="38" t="s">
        <v>554</v>
      </c>
      <c r="G42" s="38" t="s">
        <v>208</v>
      </c>
      <c r="H42" s="38" t="s">
        <v>450</v>
      </c>
      <c r="I42" s="38" t="s">
        <v>555</v>
      </c>
      <c r="J42" s="38" t="s">
        <v>556</v>
      </c>
      <c r="K42" s="38" t="s">
        <v>453</v>
      </c>
      <c r="L42" s="38"/>
      <c r="M42" s="38"/>
      <c r="N42" s="38" t="s">
        <v>454</v>
      </c>
      <c r="O42" s="39" t="str">
        <f aca="false">IF(ISBLANK(L42),"pending","estimated")</f>
        <v>pending</v>
      </c>
      <c r="P42" s="38"/>
    </row>
    <row r="43" customFormat="false" ht="15" hidden="false" customHeight="true" outlineLevel="0" collapsed="false">
      <c r="B43" s="38" t="n">
        <v>23</v>
      </c>
      <c r="C43" s="38" t="s">
        <v>551</v>
      </c>
      <c r="D43" s="38" t="s">
        <v>552</v>
      </c>
      <c r="E43" s="38" t="s">
        <v>553</v>
      </c>
      <c r="F43" s="38" t="s">
        <v>554</v>
      </c>
      <c r="G43" s="38" t="s">
        <v>208</v>
      </c>
      <c r="H43" s="38" t="s">
        <v>415</v>
      </c>
      <c r="I43" s="38" t="s">
        <v>557</v>
      </c>
      <c r="J43" s="38" t="s">
        <v>558</v>
      </c>
      <c r="K43" s="38" t="s">
        <v>453</v>
      </c>
      <c r="L43" s="38"/>
      <c r="M43" s="38"/>
      <c r="N43" s="38" t="s">
        <v>454</v>
      </c>
      <c r="O43" s="39" t="str">
        <f aca="false">IF(ISBLANK(L43),"pending","estimated")</f>
        <v>pending</v>
      </c>
      <c r="P43" s="38"/>
    </row>
    <row r="44" customFormat="false" ht="15" hidden="false" customHeight="true" outlineLevel="0" collapsed="false">
      <c r="B44" s="38" t="n">
        <v>24</v>
      </c>
      <c r="C44" s="38" t="s">
        <v>551</v>
      </c>
      <c r="D44" s="38" t="s">
        <v>552</v>
      </c>
      <c r="E44" s="38" t="s">
        <v>559</v>
      </c>
      <c r="F44" s="38" t="s">
        <v>560</v>
      </c>
      <c r="G44" s="38" t="s">
        <v>208</v>
      </c>
      <c r="H44" s="38" t="s">
        <v>450</v>
      </c>
      <c r="I44" s="38" t="s">
        <v>561</v>
      </c>
      <c r="J44" s="38" t="s">
        <v>562</v>
      </c>
      <c r="K44" s="38" t="s">
        <v>453</v>
      </c>
      <c r="L44" s="38"/>
      <c r="M44" s="38"/>
      <c r="N44" s="38" t="s">
        <v>454</v>
      </c>
      <c r="O44" s="39" t="str">
        <f aca="false">IF(ISBLANK(L44),"pending","estimated")</f>
        <v>pending</v>
      </c>
      <c r="P44" s="38"/>
    </row>
    <row r="45" customFormat="false" ht="15" hidden="false" customHeight="true" outlineLevel="0" collapsed="false">
      <c r="B45" s="38" t="n">
        <v>24</v>
      </c>
      <c r="C45" s="38" t="s">
        <v>551</v>
      </c>
      <c r="D45" s="38" t="s">
        <v>552</v>
      </c>
      <c r="E45" s="38" t="s">
        <v>559</v>
      </c>
      <c r="F45" s="38" t="s">
        <v>560</v>
      </c>
      <c r="G45" s="38" t="s">
        <v>208</v>
      </c>
      <c r="H45" s="38" t="s">
        <v>370</v>
      </c>
      <c r="I45" s="38" t="s">
        <v>561</v>
      </c>
      <c r="J45" s="38" t="s">
        <v>563</v>
      </c>
      <c r="K45" s="38" t="s">
        <v>453</v>
      </c>
      <c r="L45" s="38"/>
      <c r="M45" s="38"/>
      <c r="N45" s="38" t="s">
        <v>454</v>
      </c>
      <c r="O45" s="39" t="str">
        <f aca="false">IF(ISBLANK(L45),"pending","estimated")</f>
        <v>pending</v>
      </c>
      <c r="P45" s="38"/>
    </row>
    <row r="46" customFormat="false" ht="15" hidden="false" customHeight="true" outlineLevel="0" collapsed="false">
      <c r="B46" s="38" t="n">
        <v>24</v>
      </c>
      <c r="C46" s="38" t="s">
        <v>551</v>
      </c>
      <c r="D46" s="38" t="s">
        <v>552</v>
      </c>
      <c r="E46" s="38" t="s">
        <v>559</v>
      </c>
      <c r="F46" s="38" t="s">
        <v>560</v>
      </c>
      <c r="G46" s="38" t="s">
        <v>208</v>
      </c>
      <c r="H46" s="38" t="s">
        <v>415</v>
      </c>
      <c r="I46" s="38" t="s">
        <v>564</v>
      </c>
      <c r="J46" s="38" t="s">
        <v>565</v>
      </c>
      <c r="K46" s="38" t="s">
        <v>453</v>
      </c>
      <c r="L46" s="38"/>
      <c r="M46" s="38"/>
      <c r="N46" s="38" t="s">
        <v>454</v>
      </c>
      <c r="O46" s="39" t="str">
        <f aca="false">IF(ISBLANK(L46),"pending","estimated")</f>
        <v>pending</v>
      </c>
      <c r="P46" s="38"/>
    </row>
    <row r="47" customFormat="false" ht="15" hidden="false" customHeight="true" outlineLevel="0" collapsed="false">
      <c r="B47" s="38" t="n">
        <v>24</v>
      </c>
      <c r="C47" s="38" t="s">
        <v>551</v>
      </c>
      <c r="D47" s="38" t="s">
        <v>552</v>
      </c>
      <c r="E47" s="38" t="s">
        <v>559</v>
      </c>
      <c r="F47" s="38" t="s">
        <v>560</v>
      </c>
      <c r="G47" s="38" t="s">
        <v>208</v>
      </c>
      <c r="H47" s="38" t="s">
        <v>399</v>
      </c>
      <c r="I47" s="38" t="s">
        <v>566</v>
      </c>
      <c r="J47" s="38" t="s">
        <v>567</v>
      </c>
      <c r="K47" s="38" t="s">
        <v>464</v>
      </c>
      <c r="L47" s="38"/>
      <c r="M47" s="38"/>
      <c r="N47" s="38" t="s">
        <v>454</v>
      </c>
      <c r="O47" s="39" t="str">
        <f aca="false">IF(ISBLANK(L47),"pending","estimated")</f>
        <v>pending</v>
      </c>
      <c r="P47" s="38"/>
    </row>
    <row r="48" customFormat="false" ht="15" hidden="false" customHeight="true" outlineLevel="0" collapsed="false">
      <c r="B48" s="38" t="n">
        <v>26</v>
      </c>
      <c r="C48" s="38" t="s">
        <v>551</v>
      </c>
      <c r="D48" s="38" t="s">
        <v>128</v>
      </c>
      <c r="E48" s="38" t="s">
        <v>568</v>
      </c>
      <c r="F48" s="38" t="s">
        <v>569</v>
      </c>
      <c r="G48" s="38" t="s">
        <v>208</v>
      </c>
      <c r="H48" s="38" t="s">
        <v>450</v>
      </c>
      <c r="I48" s="38" t="s">
        <v>570</v>
      </c>
      <c r="J48" s="38" t="s">
        <v>571</v>
      </c>
      <c r="K48" s="38" t="s">
        <v>453</v>
      </c>
      <c r="L48" s="38"/>
      <c r="M48" s="38"/>
      <c r="N48" s="38" t="s">
        <v>454</v>
      </c>
      <c r="O48" s="39" t="str">
        <f aca="false">IF(ISBLANK(L48),"pending","estimated")</f>
        <v>pending</v>
      </c>
      <c r="P48" s="38"/>
    </row>
    <row r="49" customFormat="false" ht="15" hidden="false" customHeight="true" outlineLevel="0" collapsed="false">
      <c r="B49" s="38" t="n">
        <v>26</v>
      </c>
      <c r="C49" s="38" t="s">
        <v>551</v>
      </c>
      <c r="D49" s="38" t="s">
        <v>128</v>
      </c>
      <c r="E49" s="38" t="s">
        <v>568</v>
      </c>
      <c r="F49" s="38" t="s">
        <v>569</v>
      </c>
      <c r="G49" s="38" t="s">
        <v>208</v>
      </c>
      <c r="H49" s="38" t="s">
        <v>415</v>
      </c>
      <c r="I49" s="38" t="s">
        <v>572</v>
      </c>
      <c r="J49" s="38" t="s">
        <v>573</v>
      </c>
      <c r="K49" s="38" t="s">
        <v>453</v>
      </c>
      <c r="L49" s="38"/>
      <c r="M49" s="38"/>
      <c r="N49" s="38" t="s">
        <v>454</v>
      </c>
      <c r="O49" s="39" t="str">
        <f aca="false">IF(ISBLANK(L49),"pending","estimated")</f>
        <v>pending</v>
      </c>
      <c r="P49" s="38"/>
    </row>
    <row r="50" customFormat="false" ht="15" hidden="false" customHeight="true" outlineLevel="0" collapsed="false">
      <c r="B50" s="38" t="n">
        <v>27</v>
      </c>
      <c r="C50" s="38" t="s">
        <v>551</v>
      </c>
      <c r="D50" s="38" t="s">
        <v>128</v>
      </c>
      <c r="E50" s="38" t="s">
        <v>574</v>
      </c>
      <c r="F50" s="38" t="s">
        <v>575</v>
      </c>
      <c r="G50" s="38" t="s">
        <v>208</v>
      </c>
      <c r="H50" s="38" t="s">
        <v>450</v>
      </c>
      <c r="I50" s="38" t="s">
        <v>576</v>
      </c>
      <c r="J50" s="38" t="s">
        <v>577</v>
      </c>
      <c r="K50" s="38" t="s">
        <v>453</v>
      </c>
      <c r="L50" s="38"/>
      <c r="M50" s="38"/>
      <c r="N50" s="38" t="s">
        <v>454</v>
      </c>
      <c r="O50" s="39" t="str">
        <f aca="false">IF(ISBLANK(L50),"pending","estimated")</f>
        <v>pending</v>
      </c>
      <c r="P50" s="38"/>
    </row>
    <row r="51" customFormat="false" ht="15" hidden="false" customHeight="true" outlineLevel="0" collapsed="false">
      <c r="B51" s="38" t="n">
        <v>27</v>
      </c>
      <c r="C51" s="38" t="s">
        <v>551</v>
      </c>
      <c r="D51" s="38" t="s">
        <v>128</v>
      </c>
      <c r="E51" s="38" t="s">
        <v>574</v>
      </c>
      <c r="F51" s="38" t="s">
        <v>575</v>
      </c>
      <c r="G51" s="38" t="s">
        <v>208</v>
      </c>
      <c r="H51" s="38" t="s">
        <v>415</v>
      </c>
      <c r="I51" s="38" t="s">
        <v>574</v>
      </c>
      <c r="J51" s="38" t="s">
        <v>578</v>
      </c>
      <c r="K51" s="38" t="s">
        <v>453</v>
      </c>
      <c r="L51" s="38"/>
      <c r="M51" s="38"/>
      <c r="N51" s="38" t="s">
        <v>454</v>
      </c>
      <c r="O51" s="39" t="str">
        <f aca="false">IF(ISBLANK(L51),"pending","estimated")</f>
        <v>pending</v>
      </c>
      <c r="P51" s="38"/>
    </row>
    <row r="52" customFormat="false" ht="15" hidden="false" customHeight="true" outlineLevel="0" collapsed="false">
      <c r="B52" s="38" t="n">
        <v>28</v>
      </c>
      <c r="C52" s="38" t="s">
        <v>551</v>
      </c>
      <c r="D52" s="38" t="s">
        <v>128</v>
      </c>
      <c r="E52" s="38" t="s">
        <v>579</v>
      </c>
      <c r="F52" s="38" t="s">
        <v>580</v>
      </c>
      <c r="G52" s="38" t="s">
        <v>208</v>
      </c>
      <c r="H52" s="38" t="s">
        <v>450</v>
      </c>
      <c r="I52" s="38" t="s">
        <v>581</v>
      </c>
      <c r="J52" s="38" t="s">
        <v>582</v>
      </c>
      <c r="K52" s="38" t="s">
        <v>453</v>
      </c>
      <c r="L52" s="38"/>
      <c r="M52" s="38"/>
      <c r="N52" s="38" t="s">
        <v>454</v>
      </c>
      <c r="O52" s="39" t="str">
        <f aca="false">IF(ISBLANK(L52),"pending","estimated")</f>
        <v>pending</v>
      </c>
      <c r="P52" s="38"/>
    </row>
    <row r="53" customFormat="false" ht="15" hidden="false" customHeight="true" outlineLevel="0" collapsed="false">
      <c r="B53" s="38" t="n">
        <v>28</v>
      </c>
      <c r="C53" s="38" t="s">
        <v>551</v>
      </c>
      <c r="D53" s="38" t="s">
        <v>128</v>
      </c>
      <c r="E53" s="38" t="s">
        <v>579</v>
      </c>
      <c r="F53" s="38" t="s">
        <v>580</v>
      </c>
      <c r="G53" s="38" t="s">
        <v>208</v>
      </c>
      <c r="H53" s="38" t="s">
        <v>370</v>
      </c>
      <c r="I53" s="38" t="s">
        <v>583</v>
      </c>
      <c r="J53" s="38" t="s">
        <v>584</v>
      </c>
      <c r="K53" s="38" t="s">
        <v>453</v>
      </c>
      <c r="L53" s="38"/>
      <c r="M53" s="38"/>
      <c r="N53" s="38" t="s">
        <v>454</v>
      </c>
      <c r="O53" s="39" t="str">
        <f aca="false">IF(ISBLANK(L53),"pending","estimated")</f>
        <v>pending</v>
      </c>
      <c r="P53" s="38"/>
    </row>
    <row r="54" customFormat="false" ht="15" hidden="false" customHeight="true" outlineLevel="0" collapsed="false">
      <c r="B54" s="38" t="n">
        <v>28</v>
      </c>
      <c r="C54" s="38" t="s">
        <v>551</v>
      </c>
      <c r="D54" s="38" t="s">
        <v>128</v>
      </c>
      <c r="E54" s="38" t="s">
        <v>579</v>
      </c>
      <c r="F54" s="38" t="s">
        <v>580</v>
      </c>
      <c r="G54" s="38" t="s">
        <v>208</v>
      </c>
      <c r="H54" s="38" t="s">
        <v>415</v>
      </c>
      <c r="I54" s="38" t="s">
        <v>581</v>
      </c>
      <c r="J54" s="38" t="s">
        <v>585</v>
      </c>
      <c r="K54" s="38" t="s">
        <v>453</v>
      </c>
      <c r="L54" s="38"/>
      <c r="M54" s="38"/>
      <c r="N54" s="38" t="s">
        <v>454</v>
      </c>
      <c r="O54" s="39" t="str">
        <f aca="false">IF(ISBLANK(L54),"pending","estimated")</f>
        <v>pending</v>
      </c>
      <c r="P54" s="38"/>
    </row>
    <row r="55" customFormat="false" ht="15" hidden="false" customHeight="true" outlineLevel="0" collapsed="false">
      <c r="B55" s="38" t="n">
        <v>28</v>
      </c>
      <c r="C55" s="38" t="s">
        <v>551</v>
      </c>
      <c r="D55" s="38" t="s">
        <v>128</v>
      </c>
      <c r="E55" s="38" t="s">
        <v>579</v>
      </c>
      <c r="F55" s="38" t="s">
        <v>580</v>
      </c>
      <c r="G55" s="38" t="s">
        <v>208</v>
      </c>
      <c r="H55" s="38" t="s">
        <v>399</v>
      </c>
      <c r="I55" s="38" t="s">
        <v>586</v>
      </c>
      <c r="J55" s="38" t="s">
        <v>587</v>
      </c>
      <c r="K55" s="38" t="s">
        <v>464</v>
      </c>
      <c r="L55" s="38"/>
      <c r="M55" s="38"/>
      <c r="N55" s="38" t="s">
        <v>454</v>
      </c>
      <c r="O55" s="39" t="str">
        <f aca="false">IF(ISBLANK(L55),"pending","estimated")</f>
        <v>pending</v>
      </c>
      <c r="P55" s="38"/>
    </row>
    <row r="56" customFormat="false" ht="15" hidden="false" customHeight="true" outlineLevel="0" collapsed="false">
      <c r="B56" s="38" t="n">
        <v>28</v>
      </c>
      <c r="C56" s="38" t="s">
        <v>551</v>
      </c>
      <c r="D56" s="38" t="s">
        <v>128</v>
      </c>
      <c r="E56" s="38" t="s">
        <v>579</v>
      </c>
      <c r="F56" s="38" t="s">
        <v>580</v>
      </c>
      <c r="G56" s="38" t="s">
        <v>208</v>
      </c>
      <c r="H56" s="38" t="s">
        <v>389</v>
      </c>
      <c r="I56" s="38" t="s">
        <v>588</v>
      </c>
      <c r="J56" s="38" t="s">
        <v>589</v>
      </c>
      <c r="K56" s="38" t="s">
        <v>453</v>
      </c>
      <c r="L56" s="38"/>
      <c r="M56" s="38"/>
      <c r="N56" s="38" t="s">
        <v>454</v>
      </c>
      <c r="O56" s="39" t="str">
        <f aca="false">IF(ISBLANK(L56),"pending","estimated")</f>
        <v>pending</v>
      </c>
      <c r="P56" s="38"/>
    </row>
    <row r="57" customFormat="false" ht="15" hidden="false" customHeight="true" outlineLevel="0" collapsed="false">
      <c r="B57" s="38" t="n">
        <v>29</v>
      </c>
      <c r="C57" s="38" t="s">
        <v>590</v>
      </c>
      <c r="D57" s="38" t="s">
        <v>590</v>
      </c>
      <c r="E57" s="38" t="s">
        <v>591</v>
      </c>
      <c r="F57" s="38" t="s">
        <v>591</v>
      </c>
      <c r="G57" s="38" t="s">
        <v>208</v>
      </c>
      <c r="H57" s="38" t="s">
        <v>450</v>
      </c>
      <c r="I57" s="38" t="s">
        <v>592</v>
      </c>
      <c r="J57" s="38" t="s">
        <v>593</v>
      </c>
      <c r="K57" s="38" t="s">
        <v>453</v>
      </c>
      <c r="L57" s="38"/>
      <c r="M57" s="38"/>
      <c r="N57" s="38" t="s">
        <v>454</v>
      </c>
      <c r="O57" s="39" t="str">
        <f aca="false">IF(ISBLANK(L57),"pending","estimated")</f>
        <v>pending</v>
      </c>
      <c r="P57" s="38"/>
    </row>
    <row r="58" customFormat="false" ht="15" hidden="false" customHeight="true" outlineLevel="0" collapsed="false">
      <c r="B58" s="38" t="n">
        <v>29</v>
      </c>
      <c r="C58" s="38" t="s">
        <v>590</v>
      </c>
      <c r="D58" s="38" t="s">
        <v>590</v>
      </c>
      <c r="E58" s="38" t="s">
        <v>591</v>
      </c>
      <c r="F58" s="38" t="s">
        <v>591</v>
      </c>
      <c r="G58" s="38" t="s">
        <v>208</v>
      </c>
      <c r="H58" s="38" t="s">
        <v>370</v>
      </c>
      <c r="I58" s="38" t="s">
        <v>594</v>
      </c>
      <c r="J58" s="38" t="s">
        <v>595</v>
      </c>
      <c r="K58" s="38" t="s">
        <v>453</v>
      </c>
      <c r="L58" s="38"/>
      <c r="M58" s="38"/>
      <c r="N58" s="38" t="s">
        <v>454</v>
      </c>
      <c r="O58" s="39" t="str">
        <f aca="false">IF(ISBLANK(L58),"pending","estimated")</f>
        <v>pending</v>
      </c>
      <c r="P58" s="38"/>
    </row>
    <row r="59" customFormat="false" ht="15" hidden="false" customHeight="true" outlineLevel="0" collapsed="false">
      <c r="B59" s="38" t="n">
        <v>29</v>
      </c>
      <c r="C59" s="38" t="s">
        <v>590</v>
      </c>
      <c r="D59" s="38" t="s">
        <v>590</v>
      </c>
      <c r="E59" s="38" t="s">
        <v>591</v>
      </c>
      <c r="F59" s="38" t="s">
        <v>591</v>
      </c>
      <c r="G59" s="38" t="s">
        <v>208</v>
      </c>
      <c r="H59" s="38" t="s">
        <v>415</v>
      </c>
      <c r="I59" s="38" t="s">
        <v>594</v>
      </c>
      <c r="J59" s="38" t="s">
        <v>596</v>
      </c>
      <c r="K59" s="38" t="s">
        <v>453</v>
      </c>
      <c r="L59" s="38"/>
      <c r="M59" s="38"/>
      <c r="N59" s="38" t="s">
        <v>454</v>
      </c>
      <c r="O59" s="39" t="str">
        <f aca="false">IF(ISBLANK(L59),"pending","estimated")</f>
        <v>pending</v>
      </c>
      <c r="P59" s="38"/>
    </row>
    <row r="60" customFormat="false" ht="15" hidden="false" customHeight="true" outlineLevel="0" collapsed="false">
      <c r="B60" s="38" t="n">
        <v>29</v>
      </c>
      <c r="C60" s="38" t="s">
        <v>590</v>
      </c>
      <c r="D60" s="38" t="s">
        <v>590</v>
      </c>
      <c r="E60" s="38" t="s">
        <v>591</v>
      </c>
      <c r="F60" s="38" t="s">
        <v>591</v>
      </c>
      <c r="G60" s="38" t="s">
        <v>208</v>
      </c>
      <c r="H60" s="38" t="s">
        <v>399</v>
      </c>
      <c r="I60" s="38" t="s">
        <v>597</v>
      </c>
      <c r="J60" s="38" t="s">
        <v>598</v>
      </c>
      <c r="K60" s="38" t="s">
        <v>464</v>
      </c>
      <c r="L60" s="38"/>
      <c r="M60" s="38"/>
      <c r="N60" s="38" t="s">
        <v>454</v>
      </c>
      <c r="O60" s="39" t="str">
        <f aca="false">IF(ISBLANK(L60),"pending","estimated")</f>
        <v>pending</v>
      </c>
      <c r="P60" s="38"/>
    </row>
    <row r="61" customFormat="false" ht="15" hidden="false" customHeight="true" outlineLevel="0" collapsed="false">
      <c r="B61" s="38" t="n">
        <v>29</v>
      </c>
      <c r="C61" s="38" t="s">
        <v>590</v>
      </c>
      <c r="D61" s="38" t="s">
        <v>590</v>
      </c>
      <c r="E61" s="38" t="s">
        <v>591</v>
      </c>
      <c r="F61" s="38" t="s">
        <v>591</v>
      </c>
      <c r="G61" s="38" t="s">
        <v>208</v>
      </c>
      <c r="H61" s="38" t="s">
        <v>599</v>
      </c>
      <c r="I61" s="38" t="s">
        <v>600</v>
      </c>
      <c r="J61" s="38" t="s">
        <v>601</v>
      </c>
      <c r="K61" s="38" t="s">
        <v>602</v>
      </c>
      <c r="L61" s="38"/>
      <c r="M61" s="38"/>
      <c r="N61" s="38" t="s">
        <v>454</v>
      </c>
      <c r="O61" s="39" t="str">
        <f aca="false">IF(ISBLANK(L61),"pending","estimated")</f>
        <v>pending</v>
      </c>
      <c r="P61" s="38"/>
    </row>
    <row r="62" customFormat="false" ht="15" hidden="false" customHeight="true" outlineLevel="0" collapsed="false">
      <c r="B62" s="38" t="n">
        <v>30</v>
      </c>
      <c r="C62" s="38" t="s">
        <v>590</v>
      </c>
      <c r="D62" s="38" t="s">
        <v>590</v>
      </c>
      <c r="E62" s="38" t="s">
        <v>603</v>
      </c>
      <c r="F62" s="38" t="s">
        <v>603</v>
      </c>
      <c r="G62" s="38" t="s">
        <v>208</v>
      </c>
      <c r="H62" s="38" t="s">
        <v>450</v>
      </c>
      <c r="I62" s="38" t="s">
        <v>604</v>
      </c>
      <c r="J62" s="38" t="s">
        <v>605</v>
      </c>
      <c r="K62" s="38" t="s">
        <v>453</v>
      </c>
      <c r="L62" s="38"/>
      <c r="M62" s="38"/>
      <c r="N62" s="38" t="s">
        <v>454</v>
      </c>
      <c r="O62" s="39" t="str">
        <f aca="false">IF(ISBLANK(L62),"pending","estimated")</f>
        <v>pending</v>
      </c>
      <c r="P62" s="38"/>
    </row>
    <row r="63" customFormat="false" ht="15" hidden="false" customHeight="true" outlineLevel="0" collapsed="false">
      <c r="B63" s="38" t="n">
        <v>30</v>
      </c>
      <c r="C63" s="38" t="s">
        <v>590</v>
      </c>
      <c r="D63" s="38" t="s">
        <v>590</v>
      </c>
      <c r="E63" s="38" t="s">
        <v>603</v>
      </c>
      <c r="F63" s="38" t="s">
        <v>603</v>
      </c>
      <c r="G63" s="38" t="s">
        <v>208</v>
      </c>
      <c r="H63" s="38" t="s">
        <v>370</v>
      </c>
      <c r="I63" s="38" t="s">
        <v>606</v>
      </c>
      <c r="J63" s="38" t="s">
        <v>607</v>
      </c>
      <c r="K63" s="38" t="s">
        <v>453</v>
      </c>
      <c r="L63" s="38"/>
      <c r="M63" s="38"/>
      <c r="N63" s="38" t="s">
        <v>454</v>
      </c>
      <c r="O63" s="39" t="str">
        <f aca="false">IF(ISBLANK(L63),"pending","estimated")</f>
        <v>pending</v>
      </c>
      <c r="P63" s="38"/>
    </row>
    <row r="64" customFormat="false" ht="15" hidden="false" customHeight="true" outlineLevel="0" collapsed="false">
      <c r="B64" s="38" t="n">
        <v>30</v>
      </c>
      <c r="C64" s="38" t="s">
        <v>590</v>
      </c>
      <c r="D64" s="38" t="s">
        <v>590</v>
      </c>
      <c r="E64" s="38" t="s">
        <v>603</v>
      </c>
      <c r="F64" s="38" t="s">
        <v>603</v>
      </c>
      <c r="G64" s="38" t="s">
        <v>208</v>
      </c>
      <c r="H64" s="38" t="s">
        <v>415</v>
      </c>
      <c r="I64" s="38" t="s">
        <v>606</v>
      </c>
      <c r="J64" s="38" t="s">
        <v>608</v>
      </c>
      <c r="K64" s="38" t="s">
        <v>453</v>
      </c>
      <c r="L64" s="38"/>
      <c r="M64" s="38"/>
      <c r="N64" s="38" t="s">
        <v>454</v>
      </c>
      <c r="O64" s="39" t="str">
        <f aca="false">IF(ISBLANK(L64),"pending","estimated")</f>
        <v>pending</v>
      </c>
      <c r="P64" s="38"/>
    </row>
    <row r="65" customFormat="false" ht="15" hidden="false" customHeight="true" outlineLevel="0" collapsed="false">
      <c r="B65" s="38" t="n">
        <v>30</v>
      </c>
      <c r="C65" s="38" t="s">
        <v>590</v>
      </c>
      <c r="D65" s="38" t="s">
        <v>590</v>
      </c>
      <c r="E65" s="38" t="s">
        <v>603</v>
      </c>
      <c r="F65" s="38" t="s">
        <v>603</v>
      </c>
      <c r="G65" s="38" t="s">
        <v>208</v>
      </c>
      <c r="H65" s="38" t="s">
        <v>609</v>
      </c>
      <c r="I65" s="38" t="s">
        <v>606</v>
      </c>
      <c r="J65" s="38" t="s">
        <v>610</v>
      </c>
      <c r="K65" s="38" t="s">
        <v>453</v>
      </c>
      <c r="L65" s="38"/>
      <c r="M65" s="38"/>
      <c r="N65" s="38" t="s">
        <v>454</v>
      </c>
      <c r="O65" s="39" t="str">
        <f aca="false">IF(ISBLANK(L65),"pending","estimated")</f>
        <v>pending</v>
      </c>
      <c r="P65" s="38"/>
    </row>
    <row r="66" customFormat="false" ht="15" hidden="false" customHeight="true" outlineLevel="0" collapsed="false">
      <c r="B66" s="38" t="n">
        <v>30</v>
      </c>
      <c r="C66" s="38" t="s">
        <v>590</v>
      </c>
      <c r="D66" s="38" t="s">
        <v>590</v>
      </c>
      <c r="E66" s="38" t="s">
        <v>603</v>
      </c>
      <c r="F66" s="38" t="s">
        <v>603</v>
      </c>
      <c r="G66" s="38" t="s">
        <v>208</v>
      </c>
      <c r="H66" s="38" t="s">
        <v>399</v>
      </c>
      <c r="I66" s="38" t="s">
        <v>611</v>
      </c>
      <c r="J66" s="38" t="s">
        <v>612</v>
      </c>
      <c r="K66" s="38" t="s">
        <v>464</v>
      </c>
      <c r="L66" s="38"/>
      <c r="M66" s="38"/>
      <c r="N66" s="38" t="s">
        <v>454</v>
      </c>
      <c r="O66" s="39" t="str">
        <f aca="false">IF(ISBLANK(L66),"pending","estimated")</f>
        <v>pending</v>
      </c>
      <c r="P66" s="38"/>
    </row>
    <row r="67" customFormat="false" ht="15" hidden="false" customHeight="true" outlineLevel="0" collapsed="false">
      <c r="B67" s="38" t="n">
        <v>30</v>
      </c>
      <c r="C67" s="38" t="s">
        <v>590</v>
      </c>
      <c r="D67" s="38" t="s">
        <v>590</v>
      </c>
      <c r="E67" s="38" t="s">
        <v>603</v>
      </c>
      <c r="F67" s="38" t="s">
        <v>603</v>
      </c>
      <c r="G67" s="38" t="s">
        <v>208</v>
      </c>
      <c r="H67" s="38" t="s">
        <v>599</v>
      </c>
      <c r="I67" s="38" t="s">
        <v>600</v>
      </c>
      <c r="J67" s="38" t="s">
        <v>613</v>
      </c>
      <c r="K67" s="38" t="s">
        <v>602</v>
      </c>
      <c r="L67" s="38"/>
      <c r="M67" s="38"/>
      <c r="N67" s="38" t="s">
        <v>454</v>
      </c>
      <c r="O67" s="39" t="str">
        <f aca="false">IF(ISBLANK(L67),"pending","estimated")</f>
        <v>pending</v>
      </c>
      <c r="P67" s="38"/>
    </row>
    <row r="68" customFormat="false" ht="15" hidden="false" customHeight="true" outlineLevel="0" collapsed="false">
      <c r="B68" s="38" t="n">
        <v>32</v>
      </c>
      <c r="C68" s="38" t="s">
        <v>614</v>
      </c>
      <c r="D68" s="38" t="s">
        <v>128</v>
      </c>
      <c r="E68" s="38" t="s">
        <v>615</v>
      </c>
      <c r="F68" s="38" t="s">
        <v>616</v>
      </c>
      <c r="G68" s="38" t="s">
        <v>208</v>
      </c>
      <c r="H68" s="38" t="s">
        <v>450</v>
      </c>
      <c r="I68" s="38" t="s">
        <v>617</v>
      </c>
      <c r="J68" s="38" t="s">
        <v>618</v>
      </c>
      <c r="K68" s="38" t="s">
        <v>453</v>
      </c>
      <c r="L68" s="38"/>
      <c r="M68" s="38"/>
      <c r="N68" s="38" t="s">
        <v>454</v>
      </c>
      <c r="O68" s="39" t="str">
        <f aca="false">IF(ISBLANK(L68),"pending","estimated")</f>
        <v>pending</v>
      </c>
      <c r="P68" s="38"/>
    </row>
    <row r="69" customFormat="false" ht="15" hidden="false" customHeight="true" outlineLevel="0" collapsed="false">
      <c r="B69" s="38" t="n">
        <v>32</v>
      </c>
      <c r="C69" s="38" t="s">
        <v>614</v>
      </c>
      <c r="D69" s="38" t="s">
        <v>128</v>
      </c>
      <c r="E69" s="38" t="s">
        <v>615</v>
      </c>
      <c r="F69" s="38" t="s">
        <v>616</v>
      </c>
      <c r="G69" s="38" t="s">
        <v>208</v>
      </c>
      <c r="H69" s="38" t="s">
        <v>370</v>
      </c>
      <c r="I69" s="38" t="s">
        <v>619</v>
      </c>
      <c r="J69" s="38" t="s">
        <v>620</v>
      </c>
      <c r="K69" s="38" t="s">
        <v>453</v>
      </c>
      <c r="L69" s="38"/>
      <c r="M69" s="38"/>
      <c r="N69" s="38" t="s">
        <v>454</v>
      </c>
      <c r="O69" s="39" t="str">
        <f aca="false">IF(ISBLANK(L69),"pending","estimated")</f>
        <v>pending</v>
      </c>
      <c r="P69" s="38"/>
    </row>
    <row r="70" customFormat="false" ht="15" hidden="false" customHeight="true" outlineLevel="0" collapsed="false">
      <c r="B70" s="38" t="n">
        <v>32</v>
      </c>
      <c r="C70" s="38" t="s">
        <v>614</v>
      </c>
      <c r="D70" s="38" t="s">
        <v>128</v>
      </c>
      <c r="E70" s="38" t="s">
        <v>615</v>
      </c>
      <c r="F70" s="38" t="s">
        <v>616</v>
      </c>
      <c r="G70" s="38" t="s">
        <v>208</v>
      </c>
      <c r="H70" s="38" t="s">
        <v>415</v>
      </c>
      <c r="I70" s="38" t="s">
        <v>621</v>
      </c>
      <c r="J70" s="38" t="s">
        <v>622</v>
      </c>
      <c r="K70" s="38" t="s">
        <v>453</v>
      </c>
      <c r="L70" s="38"/>
      <c r="M70" s="38"/>
      <c r="N70" s="38" t="s">
        <v>454</v>
      </c>
      <c r="O70" s="39" t="str">
        <f aca="false">IF(ISBLANK(L70),"pending","estimated")</f>
        <v>pending</v>
      </c>
      <c r="P70" s="38"/>
    </row>
    <row r="71" customFormat="false" ht="15" hidden="false" customHeight="true" outlineLevel="0" collapsed="false">
      <c r="B71" s="38" t="n">
        <v>33</v>
      </c>
      <c r="C71" s="38" t="s">
        <v>614</v>
      </c>
      <c r="D71" s="38" t="s">
        <v>128</v>
      </c>
      <c r="E71" s="38" t="s">
        <v>623</v>
      </c>
      <c r="F71" s="38" t="s">
        <v>624</v>
      </c>
      <c r="G71" s="38" t="s">
        <v>208</v>
      </c>
      <c r="H71" s="38" t="s">
        <v>450</v>
      </c>
      <c r="I71" s="38" t="s">
        <v>625</v>
      </c>
      <c r="J71" s="38" t="s">
        <v>626</v>
      </c>
      <c r="K71" s="38" t="s">
        <v>453</v>
      </c>
      <c r="L71" s="38"/>
      <c r="M71" s="38"/>
      <c r="N71" s="38" t="s">
        <v>454</v>
      </c>
      <c r="O71" s="39" t="str">
        <f aca="false">IF(ISBLANK(L71),"pending","estimated")</f>
        <v>pending</v>
      </c>
      <c r="P71" s="38"/>
    </row>
    <row r="72" customFormat="false" ht="15" hidden="false" customHeight="true" outlineLevel="0" collapsed="false">
      <c r="B72" s="38" t="n">
        <v>33</v>
      </c>
      <c r="C72" s="38" t="s">
        <v>614</v>
      </c>
      <c r="D72" s="38" t="s">
        <v>128</v>
      </c>
      <c r="E72" s="38" t="s">
        <v>623</v>
      </c>
      <c r="F72" s="38" t="s">
        <v>624</v>
      </c>
      <c r="G72" s="38" t="s">
        <v>208</v>
      </c>
      <c r="H72" s="38" t="s">
        <v>370</v>
      </c>
      <c r="I72" s="38" t="s">
        <v>625</v>
      </c>
      <c r="J72" s="38" t="s">
        <v>627</v>
      </c>
      <c r="K72" s="38" t="s">
        <v>453</v>
      </c>
      <c r="L72" s="38"/>
      <c r="M72" s="38"/>
      <c r="N72" s="38" t="s">
        <v>454</v>
      </c>
      <c r="O72" s="39" t="str">
        <f aca="false">IF(ISBLANK(L72),"pending","estimated")</f>
        <v>pending</v>
      </c>
      <c r="P72" s="38"/>
    </row>
    <row r="73" customFormat="false" ht="15" hidden="false" customHeight="true" outlineLevel="0" collapsed="false">
      <c r="B73" s="38" t="n">
        <v>34</v>
      </c>
      <c r="C73" s="38" t="s">
        <v>614</v>
      </c>
      <c r="D73" s="38" t="s">
        <v>128</v>
      </c>
      <c r="E73" s="38" t="s">
        <v>628</v>
      </c>
      <c r="F73" s="38" t="s">
        <v>629</v>
      </c>
      <c r="G73" s="38" t="s">
        <v>208</v>
      </c>
      <c r="H73" s="38" t="s">
        <v>450</v>
      </c>
      <c r="I73" s="38" t="s">
        <v>630</v>
      </c>
      <c r="J73" s="38" t="s">
        <v>631</v>
      </c>
      <c r="K73" s="38" t="s">
        <v>453</v>
      </c>
      <c r="L73" s="38"/>
      <c r="M73" s="38"/>
      <c r="N73" s="38" t="s">
        <v>454</v>
      </c>
      <c r="O73" s="39" t="str">
        <f aca="false">IF(ISBLANK(L73),"pending","estimated")</f>
        <v>pending</v>
      </c>
      <c r="P73" s="38"/>
    </row>
    <row r="74" customFormat="false" ht="15" hidden="false" customHeight="true" outlineLevel="0" collapsed="false">
      <c r="B74" s="38" t="n">
        <v>34</v>
      </c>
      <c r="C74" s="38" t="s">
        <v>614</v>
      </c>
      <c r="D74" s="38" t="s">
        <v>128</v>
      </c>
      <c r="E74" s="38" t="s">
        <v>628</v>
      </c>
      <c r="F74" s="38" t="s">
        <v>629</v>
      </c>
      <c r="G74" s="38" t="s">
        <v>208</v>
      </c>
      <c r="H74" s="38" t="s">
        <v>370</v>
      </c>
      <c r="I74" s="38" t="s">
        <v>632</v>
      </c>
      <c r="J74" s="38" t="s">
        <v>633</v>
      </c>
      <c r="K74" s="38" t="s">
        <v>453</v>
      </c>
      <c r="L74" s="38"/>
      <c r="M74" s="38"/>
      <c r="N74" s="38" t="s">
        <v>454</v>
      </c>
      <c r="O74" s="39" t="str">
        <f aca="false">IF(ISBLANK(L74),"pending","estimated")</f>
        <v>pending</v>
      </c>
      <c r="P74" s="38"/>
    </row>
    <row r="75" customFormat="false" ht="15" hidden="false" customHeight="true" outlineLevel="0" collapsed="false">
      <c r="B75" s="38" t="n">
        <v>34</v>
      </c>
      <c r="C75" s="38" t="s">
        <v>614</v>
      </c>
      <c r="D75" s="38" t="s">
        <v>128</v>
      </c>
      <c r="E75" s="38" t="s">
        <v>628</v>
      </c>
      <c r="F75" s="38" t="s">
        <v>629</v>
      </c>
      <c r="G75" s="38" t="s">
        <v>208</v>
      </c>
      <c r="H75" s="38" t="s">
        <v>415</v>
      </c>
      <c r="I75" s="38" t="s">
        <v>634</v>
      </c>
      <c r="J75" s="38" t="s">
        <v>635</v>
      </c>
      <c r="K75" s="38" t="s">
        <v>453</v>
      </c>
      <c r="L75" s="38"/>
      <c r="M75" s="38"/>
      <c r="N75" s="38" t="s">
        <v>454</v>
      </c>
      <c r="O75" s="39" t="str">
        <f aca="false">IF(ISBLANK(L75),"pending","estimated")</f>
        <v>pending</v>
      </c>
      <c r="P75" s="38"/>
    </row>
    <row r="76" customFormat="false" ht="15" hidden="false" customHeight="true" outlineLevel="0" collapsed="false">
      <c r="B76" s="38" t="n">
        <v>34</v>
      </c>
      <c r="C76" s="38" t="s">
        <v>614</v>
      </c>
      <c r="D76" s="38" t="s">
        <v>128</v>
      </c>
      <c r="E76" s="38" t="s">
        <v>628</v>
      </c>
      <c r="F76" s="38" t="s">
        <v>629</v>
      </c>
      <c r="G76" s="38" t="s">
        <v>208</v>
      </c>
      <c r="H76" s="38" t="s">
        <v>399</v>
      </c>
      <c r="I76" s="38" t="s">
        <v>636</v>
      </c>
      <c r="J76" s="38" t="s">
        <v>637</v>
      </c>
      <c r="K76" s="38" t="s">
        <v>464</v>
      </c>
      <c r="L76" s="38"/>
      <c r="M76" s="38"/>
      <c r="N76" s="38" t="s">
        <v>454</v>
      </c>
      <c r="O76" s="39" t="str">
        <f aca="false">IF(ISBLANK(L76),"pending","estimated")</f>
        <v>pending</v>
      </c>
      <c r="P76" s="38"/>
    </row>
    <row r="77" customFormat="false" ht="15" hidden="false" customHeight="true" outlineLevel="0" collapsed="false">
      <c r="B77" s="38" t="n">
        <v>35</v>
      </c>
      <c r="C77" s="38" t="s">
        <v>614</v>
      </c>
      <c r="D77" s="38" t="s">
        <v>128</v>
      </c>
      <c r="E77" s="38" t="s">
        <v>638</v>
      </c>
      <c r="F77" s="38" t="s">
        <v>639</v>
      </c>
      <c r="G77" s="38" t="s">
        <v>208</v>
      </c>
      <c r="H77" s="38" t="s">
        <v>450</v>
      </c>
      <c r="I77" s="38" t="s">
        <v>640</v>
      </c>
      <c r="J77" s="38" t="s">
        <v>641</v>
      </c>
      <c r="K77" s="38" t="s">
        <v>453</v>
      </c>
      <c r="L77" s="38"/>
      <c r="M77" s="38"/>
      <c r="N77" s="38" t="s">
        <v>454</v>
      </c>
      <c r="O77" s="39" t="str">
        <f aca="false">IF(ISBLANK(L77),"pending","estimated")</f>
        <v>pending</v>
      </c>
      <c r="P77" s="38"/>
    </row>
    <row r="78" customFormat="false" ht="15" hidden="false" customHeight="true" outlineLevel="0" collapsed="false">
      <c r="B78" s="38" t="n">
        <v>35</v>
      </c>
      <c r="C78" s="38" t="s">
        <v>614</v>
      </c>
      <c r="D78" s="38" t="s">
        <v>128</v>
      </c>
      <c r="E78" s="38" t="s">
        <v>638</v>
      </c>
      <c r="F78" s="38" t="s">
        <v>639</v>
      </c>
      <c r="G78" s="38" t="s">
        <v>208</v>
      </c>
      <c r="H78" s="38" t="s">
        <v>370</v>
      </c>
      <c r="I78" s="38" t="s">
        <v>642</v>
      </c>
      <c r="J78" s="38" t="s">
        <v>643</v>
      </c>
      <c r="K78" s="38" t="s">
        <v>453</v>
      </c>
      <c r="L78" s="38"/>
      <c r="M78" s="38"/>
      <c r="N78" s="38" t="s">
        <v>454</v>
      </c>
      <c r="O78" s="39" t="str">
        <f aca="false">IF(ISBLANK(L78),"pending","estimated")</f>
        <v>pending</v>
      </c>
      <c r="P78" s="38"/>
    </row>
    <row r="79" customFormat="false" ht="15" hidden="false" customHeight="true" outlineLevel="0" collapsed="false">
      <c r="B79" s="38" t="n">
        <v>35</v>
      </c>
      <c r="C79" s="38" t="s">
        <v>614</v>
      </c>
      <c r="D79" s="38" t="s">
        <v>128</v>
      </c>
      <c r="E79" s="38" t="s">
        <v>638</v>
      </c>
      <c r="F79" s="38" t="s">
        <v>639</v>
      </c>
      <c r="G79" s="38" t="s">
        <v>208</v>
      </c>
      <c r="H79" s="38" t="s">
        <v>415</v>
      </c>
      <c r="I79" s="38" t="s">
        <v>638</v>
      </c>
      <c r="J79" s="38" t="s">
        <v>644</v>
      </c>
      <c r="K79" s="38" t="s">
        <v>453</v>
      </c>
      <c r="L79" s="38"/>
      <c r="M79" s="38"/>
      <c r="N79" s="38" t="s">
        <v>454</v>
      </c>
      <c r="O79" s="39" t="str">
        <f aca="false">IF(ISBLANK(L79),"pending","estimated")</f>
        <v>pending</v>
      </c>
      <c r="P79" s="38"/>
    </row>
    <row r="80" customFormat="false" ht="15" hidden="false" customHeight="true" outlineLevel="0" collapsed="false">
      <c r="B80" s="38" t="n">
        <v>35</v>
      </c>
      <c r="C80" s="38" t="s">
        <v>614</v>
      </c>
      <c r="D80" s="38" t="s">
        <v>128</v>
      </c>
      <c r="E80" s="38" t="s">
        <v>638</v>
      </c>
      <c r="F80" s="38" t="s">
        <v>639</v>
      </c>
      <c r="G80" s="38" t="s">
        <v>208</v>
      </c>
      <c r="H80" s="38" t="s">
        <v>399</v>
      </c>
      <c r="I80" s="38" t="s">
        <v>645</v>
      </c>
      <c r="J80" s="38" t="s">
        <v>646</v>
      </c>
      <c r="K80" s="38" t="s">
        <v>464</v>
      </c>
      <c r="L80" s="38"/>
      <c r="M80" s="38"/>
      <c r="N80" s="38" t="s">
        <v>454</v>
      </c>
      <c r="O80" s="39" t="str">
        <f aca="false">IF(ISBLANK(L80),"pending","estimated")</f>
        <v>pending</v>
      </c>
      <c r="P80" s="38"/>
    </row>
    <row r="81" customFormat="false" ht="15" hidden="false" customHeight="true" outlineLevel="0" collapsed="false">
      <c r="B81" s="38" t="n">
        <v>35</v>
      </c>
      <c r="C81" s="38" t="s">
        <v>614</v>
      </c>
      <c r="D81" s="38" t="s">
        <v>128</v>
      </c>
      <c r="E81" s="38" t="s">
        <v>638</v>
      </c>
      <c r="F81" s="38" t="s">
        <v>639</v>
      </c>
      <c r="G81" s="38" t="s">
        <v>208</v>
      </c>
      <c r="H81" s="38" t="s">
        <v>599</v>
      </c>
      <c r="I81" s="38" t="s">
        <v>647</v>
      </c>
      <c r="J81" s="38" t="s">
        <v>648</v>
      </c>
      <c r="K81" s="38" t="s">
        <v>602</v>
      </c>
      <c r="L81" s="38"/>
      <c r="M81" s="38"/>
      <c r="N81" s="38" t="s">
        <v>454</v>
      </c>
      <c r="O81" s="39" t="str">
        <f aca="false">IF(ISBLANK(L81),"pending","estimated")</f>
        <v>pending</v>
      </c>
      <c r="P81" s="38"/>
    </row>
    <row r="82" customFormat="false" ht="15" hidden="false" customHeight="true" outlineLevel="0" collapsed="false">
      <c r="B82" s="38" t="n">
        <v>37</v>
      </c>
      <c r="C82" s="38" t="s">
        <v>614</v>
      </c>
      <c r="D82" s="38" t="s">
        <v>128</v>
      </c>
      <c r="E82" s="38" t="s">
        <v>649</v>
      </c>
      <c r="F82" s="38" t="s">
        <v>650</v>
      </c>
      <c r="G82" s="38" t="s">
        <v>208</v>
      </c>
      <c r="H82" s="38" t="s">
        <v>450</v>
      </c>
      <c r="I82" s="38" t="s">
        <v>651</v>
      </c>
      <c r="J82" s="38" t="s">
        <v>652</v>
      </c>
      <c r="K82" s="38" t="s">
        <v>453</v>
      </c>
      <c r="L82" s="38"/>
      <c r="M82" s="38"/>
      <c r="N82" s="38" t="s">
        <v>454</v>
      </c>
      <c r="O82" s="39" t="str">
        <f aca="false">IF(ISBLANK(L82),"pending","estimated")</f>
        <v>pending</v>
      </c>
      <c r="P82" s="38"/>
    </row>
    <row r="83" customFormat="false" ht="15" hidden="false" customHeight="true" outlineLevel="0" collapsed="false">
      <c r="B83" s="38" t="n">
        <v>37</v>
      </c>
      <c r="C83" s="38" t="s">
        <v>614</v>
      </c>
      <c r="D83" s="38" t="s">
        <v>128</v>
      </c>
      <c r="E83" s="38" t="s">
        <v>649</v>
      </c>
      <c r="F83" s="38" t="s">
        <v>650</v>
      </c>
      <c r="G83" s="38" t="s">
        <v>208</v>
      </c>
      <c r="H83" s="38" t="s">
        <v>370</v>
      </c>
      <c r="I83" s="38" t="s">
        <v>653</v>
      </c>
      <c r="J83" s="38" t="s">
        <v>654</v>
      </c>
      <c r="K83" s="38" t="s">
        <v>453</v>
      </c>
      <c r="L83" s="38"/>
      <c r="M83" s="38"/>
      <c r="N83" s="38" t="s">
        <v>454</v>
      </c>
      <c r="O83" s="39" t="str">
        <f aca="false">IF(ISBLANK(L83),"pending","estimated")</f>
        <v>pending</v>
      </c>
      <c r="P83" s="38" t="s">
        <v>460</v>
      </c>
    </row>
    <row r="84" customFormat="false" ht="15" hidden="false" customHeight="true" outlineLevel="0" collapsed="false">
      <c r="B84" s="38" t="n">
        <v>37</v>
      </c>
      <c r="C84" s="38" t="s">
        <v>614</v>
      </c>
      <c r="D84" s="38" t="s">
        <v>128</v>
      </c>
      <c r="E84" s="38" t="s">
        <v>649</v>
      </c>
      <c r="F84" s="38" t="s">
        <v>650</v>
      </c>
      <c r="G84" s="38" t="s">
        <v>208</v>
      </c>
      <c r="H84" s="38" t="s">
        <v>415</v>
      </c>
      <c r="I84" s="38" t="s">
        <v>655</v>
      </c>
      <c r="J84" s="38" t="s">
        <v>656</v>
      </c>
      <c r="K84" s="38" t="s">
        <v>453</v>
      </c>
      <c r="L84" s="38"/>
      <c r="M84" s="38"/>
      <c r="N84" s="38" t="s">
        <v>454</v>
      </c>
      <c r="O84" s="39" t="str">
        <f aca="false">IF(ISBLANK(L84),"pending","estimated")</f>
        <v>pending</v>
      </c>
      <c r="P84" s="38"/>
    </row>
    <row r="85" customFormat="false" ht="15" hidden="false" customHeight="true" outlineLevel="0" collapsed="false">
      <c r="B85" s="38" t="n">
        <v>40</v>
      </c>
      <c r="C85" s="38" t="s">
        <v>614</v>
      </c>
      <c r="D85" s="38" t="s">
        <v>657</v>
      </c>
      <c r="E85" s="38" t="s">
        <v>658</v>
      </c>
      <c r="F85" s="38" t="s">
        <v>659</v>
      </c>
      <c r="G85" s="38" t="s">
        <v>208</v>
      </c>
      <c r="H85" s="38" t="s">
        <v>450</v>
      </c>
      <c r="I85" s="38" t="s">
        <v>660</v>
      </c>
      <c r="J85" s="38" t="s">
        <v>661</v>
      </c>
      <c r="K85" s="38" t="s">
        <v>453</v>
      </c>
      <c r="L85" s="38"/>
      <c r="M85" s="38"/>
      <c r="N85" s="38" t="s">
        <v>454</v>
      </c>
      <c r="O85" s="39" t="str">
        <f aca="false">IF(ISBLANK(L85),"pending","estimated")</f>
        <v>pending</v>
      </c>
      <c r="P85" s="38"/>
    </row>
    <row r="86" customFormat="false" ht="15" hidden="false" customHeight="true" outlineLevel="0" collapsed="false">
      <c r="B86" s="38" t="n">
        <v>40</v>
      </c>
      <c r="C86" s="38" t="s">
        <v>614</v>
      </c>
      <c r="D86" s="38" t="s">
        <v>657</v>
      </c>
      <c r="E86" s="38" t="s">
        <v>658</v>
      </c>
      <c r="F86" s="38" t="s">
        <v>659</v>
      </c>
      <c r="G86" s="38" t="s">
        <v>208</v>
      </c>
      <c r="H86" s="38" t="s">
        <v>415</v>
      </c>
      <c r="I86" s="38" t="s">
        <v>658</v>
      </c>
      <c r="J86" s="38" t="s">
        <v>662</v>
      </c>
      <c r="K86" s="38" t="s">
        <v>453</v>
      </c>
      <c r="L86" s="38"/>
      <c r="M86" s="38"/>
      <c r="N86" s="38" t="s">
        <v>454</v>
      </c>
      <c r="O86" s="39" t="str">
        <f aca="false">IF(ISBLANK(L86),"pending","estimated")</f>
        <v>pending</v>
      </c>
      <c r="P86" s="38"/>
    </row>
    <row r="87" customFormat="false" ht="15" hidden="false" customHeight="true" outlineLevel="0" collapsed="false">
      <c r="B87" s="38" t="n">
        <v>41</v>
      </c>
      <c r="C87" s="38" t="s">
        <v>614</v>
      </c>
      <c r="D87" s="38" t="s">
        <v>657</v>
      </c>
      <c r="E87" s="38" t="s">
        <v>663</v>
      </c>
      <c r="F87" s="38" t="s">
        <v>664</v>
      </c>
      <c r="G87" s="38" t="s">
        <v>208</v>
      </c>
      <c r="H87" s="38" t="s">
        <v>450</v>
      </c>
      <c r="I87" s="38" t="s">
        <v>665</v>
      </c>
      <c r="J87" s="38" t="s">
        <v>666</v>
      </c>
      <c r="K87" s="38" t="s">
        <v>453</v>
      </c>
      <c r="L87" s="38"/>
      <c r="M87" s="38"/>
      <c r="N87" s="38" t="s">
        <v>454</v>
      </c>
      <c r="O87" s="39" t="str">
        <f aca="false">IF(ISBLANK(L87),"pending","estimated")</f>
        <v>pending</v>
      </c>
      <c r="P87" s="38"/>
    </row>
    <row r="88" customFormat="false" ht="15" hidden="false" customHeight="true" outlineLevel="0" collapsed="false">
      <c r="B88" s="38" t="n">
        <v>42</v>
      </c>
      <c r="C88" s="38" t="s">
        <v>614</v>
      </c>
      <c r="D88" s="38" t="s">
        <v>657</v>
      </c>
      <c r="E88" s="38" t="s">
        <v>667</v>
      </c>
      <c r="F88" s="38" t="s">
        <v>668</v>
      </c>
      <c r="G88" s="38" t="s">
        <v>208</v>
      </c>
      <c r="H88" s="38" t="s">
        <v>450</v>
      </c>
      <c r="I88" s="38" t="s">
        <v>669</v>
      </c>
      <c r="J88" s="38" t="s">
        <v>670</v>
      </c>
      <c r="K88" s="38" t="s">
        <v>453</v>
      </c>
      <c r="L88" s="38"/>
      <c r="M88" s="38"/>
      <c r="N88" s="38" t="s">
        <v>454</v>
      </c>
      <c r="O88" s="39" t="str">
        <f aca="false">IF(ISBLANK(L88),"pending","estimated")</f>
        <v>pending</v>
      </c>
      <c r="P88" s="38"/>
    </row>
    <row r="89" customFormat="false" ht="15" hidden="false" customHeight="true" outlineLevel="0" collapsed="false">
      <c r="B89" s="38" t="n">
        <v>42</v>
      </c>
      <c r="C89" s="38" t="s">
        <v>614</v>
      </c>
      <c r="D89" s="38" t="s">
        <v>657</v>
      </c>
      <c r="E89" s="38" t="s">
        <v>667</v>
      </c>
      <c r="F89" s="38" t="s">
        <v>668</v>
      </c>
      <c r="G89" s="38" t="s">
        <v>208</v>
      </c>
      <c r="H89" s="38" t="s">
        <v>415</v>
      </c>
      <c r="I89" s="38" t="s">
        <v>671</v>
      </c>
      <c r="J89" s="38" t="s">
        <v>672</v>
      </c>
      <c r="K89" s="38" t="s">
        <v>453</v>
      </c>
      <c r="L89" s="38"/>
      <c r="M89" s="38"/>
      <c r="N89" s="38" t="s">
        <v>454</v>
      </c>
      <c r="O89" s="39" t="str">
        <f aca="false">IF(ISBLANK(L89),"pending","estimated")</f>
        <v>pending</v>
      </c>
      <c r="P89" s="38"/>
    </row>
    <row r="90" customFormat="false" ht="15" hidden="false" customHeight="true" outlineLevel="0" collapsed="false">
      <c r="B90" s="38" t="n">
        <v>43</v>
      </c>
      <c r="C90" s="38" t="s">
        <v>614</v>
      </c>
      <c r="D90" s="38" t="s">
        <v>657</v>
      </c>
      <c r="E90" s="38" t="s">
        <v>673</v>
      </c>
      <c r="F90" s="38" t="s">
        <v>674</v>
      </c>
      <c r="G90" s="38" t="s">
        <v>208</v>
      </c>
      <c r="H90" s="38" t="s">
        <v>450</v>
      </c>
      <c r="I90" s="38" t="s">
        <v>675</v>
      </c>
      <c r="J90" s="38" t="s">
        <v>676</v>
      </c>
      <c r="K90" s="38" t="s">
        <v>453</v>
      </c>
      <c r="L90" s="38"/>
      <c r="M90" s="38"/>
      <c r="N90" s="38" t="s">
        <v>454</v>
      </c>
      <c r="O90" s="39" t="str">
        <f aca="false">IF(ISBLANK(L90),"pending","estimated")</f>
        <v>pending</v>
      </c>
      <c r="P90" s="38"/>
    </row>
    <row r="91" customFormat="false" ht="15" hidden="false" customHeight="true" outlineLevel="0" collapsed="false">
      <c r="B91" s="38" t="n">
        <v>43</v>
      </c>
      <c r="C91" s="38" t="s">
        <v>614</v>
      </c>
      <c r="D91" s="38" t="s">
        <v>657</v>
      </c>
      <c r="E91" s="38" t="s">
        <v>673</v>
      </c>
      <c r="F91" s="38" t="s">
        <v>674</v>
      </c>
      <c r="G91" s="38" t="s">
        <v>208</v>
      </c>
      <c r="H91" s="38" t="s">
        <v>415</v>
      </c>
      <c r="I91" s="38" t="s">
        <v>675</v>
      </c>
      <c r="J91" s="38" t="s">
        <v>677</v>
      </c>
      <c r="K91" s="38" t="s">
        <v>453</v>
      </c>
      <c r="L91" s="38"/>
      <c r="M91" s="38"/>
      <c r="N91" s="38" t="s">
        <v>454</v>
      </c>
      <c r="O91" s="39" t="str">
        <f aca="false">IF(ISBLANK(L91),"pending","estimated")</f>
        <v>pending</v>
      </c>
      <c r="P91" s="38"/>
    </row>
    <row r="92" customFormat="false" ht="15" hidden="false" customHeight="true" outlineLevel="0" collapsed="false">
      <c r="B92" s="38" t="n">
        <v>43</v>
      </c>
      <c r="C92" s="38" t="s">
        <v>614</v>
      </c>
      <c r="D92" s="38" t="s">
        <v>657</v>
      </c>
      <c r="E92" s="38" t="s">
        <v>673</v>
      </c>
      <c r="F92" s="38" t="s">
        <v>674</v>
      </c>
      <c r="G92" s="38" t="s">
        <v>208</v>
      </c>
      <c r="H92" s="38" t="s">
        <v>399</v>
      </c>
      <c r="I92" s="38" t="s">
        <v>678</v>
      </c>
      <c r="J92" s="38" t="s">
        <v>679</v>
      </c>
      <c r="K92" s="38" t="s">
        <v>464</v>
      </c>
      <c r="L92" s="38"/>
      <c r="M92" s="38"/>
      <c r="N92" s="38" t="s">
        <v>454</v>
      </c>
      <c r="O92" s="39" t="str">
        <f aca="false">IF(ISBLANK(L92),"pending","estimated")</f>
        <v>pending</v>
      </c>
      <c r="P92" s="38"/>
    </row>
    <row r="93" customFormat="false" ht="15" hidden="false" customHeight="true" outlineLevel="0" collapsed="false">
      <c r="B93" s="38" t="n">
        <v>46</v>
      </c>
      <c r="C93" s="38" t="s">
        <v>614</v>
      </c>
      <c r="D93" s="38" t="s">
        <v>657</v>
      </c>
      <c r="E93" s="38" t="s">
        <v>680</v>
      </c>
      <c r="F93" s="38" t="s">
        <v>681</v>
      </c>
      <c r="G93" s="38" t="s">
        <v>208</v>
      </c>
      <c r="H93" s="38" t="s">
        <v>450</v>
      </c>
      <c r="I93" s="38" t="s">
        <v>682</v>
      </c>
      <c r="J93" s="38" t="s">
        <v>683</v>
      </c>
      <c r="K93" s="38" t="s">
        <v>453</v>
      </c>
      <c r="L93" s="38"/>
      <c r="M93" s="38"/>
      <c r="N93" s="38" t="s">
        <v>454</v>
      </c>
      <c r="O93" s="39" t="str">
        <f aca="false">IF(ISBLANK(L93),"pending","estimated")</f>
        <v>pending</v>
      </c>
      <c r="P93" s="38"/>
    </row>
    <row r="94" customFormat="false" ht="15" hidden="false" customHeight="true" outlineLevel="0" collapsed="false">
      <c r="B94" s="38" t="n">
        <v>47</v>
      </c>
      <c r="C94" s="38" t="s">
        <v>684</v>
      </c>
      <c r="D94" s="38" t="s">
        <v>684</v>
      </c>
      <c r="E94" s="38" t="s">
        <v>685</v>
      </c>
      <c r="F94" s="38" t="s">
        <v>686</v>
      </c>
      <c r="G94" s="38" t="s">
        <v>208</v>
      </c>
      <c r="H94" s="38" t="s">
        <v>450</v>
      </c>
      <c r="I94" s="38" t="s">
        <v>687</v>
      </c>
      <c r="J94" s="38" t="s">
        <v>688</v>
      </c>
      <c r="K94" s="38" t="s">
        <v>453</v>
      </c>
      <c r="L94" s="38"/>
      <c r="M94" s="38"/>
      <c r="N94" s="38" t="s">
        <v>454</v>
      </c>
      <c r="O94" s="39" t="str">
        <f aca="false">IF(ISBLANK(L94),"pending","estimated")</f>
        <v>pending</v>
      </c>
      <c r="P94" s="38"/>
    </row>
    <row r="95" customFormat="false" ht="15" hidden="false" customHeight="true" outlineLevel="0" collapsed="false">
      <c r="B95" s="38" t="n">
        <v>47</v>
      </c>
      <c r="C95" s="38" t="s">
        <v>684</v>
      </c>
      <c r="D95" s="38" t="s">
        <v>684</v>
      </c>
      <c r="E95" s="38" t="s">
        <v>685</v>
      </c>
      <c r="F95" s="38" t="s">
        <v>686</v>
      </c>
      <c r="G95" s="38" t="s">
        <v>208</v>
      </c>
      <c r="H95" s="38" t="s">
        <v>370</v>
      </c>
      <c r="I95" s="38" t="s">
        <v>685</v>
      </c>
      <c r="J95" s="38" t="s">
        <v>689</v>
      </c>
      <c r="K95" s="38" t="s">
        <v>453</v>
      </c>
      <c r="L95" s="38"/>
      <c r="M95" s="38"/>
      <c r="N95" s="38" t="s">
        <v>454</v>
      </c>
      <c r="O95" s="39" t="str">
        <f aca="false">IF(ISBLANK(L95),"pending","estimated")</f>
        <v>pending</v>
      </c>
      <c r="P95" s="38" t="s">
        <v>460</v>
      </c>
    </row>
    <row r="96" customFormat="false" ht="15" hidden="false" customHeight="true" outlineLevel="0" collapsed="false">
      <c r="B96" s="38" t="n">
        <v>47</v>
      </c>
      <c r="C96" s="38" t="s">
        <v>684</v>
      </c>
      <c r="D96" s="38" t="s">
        <v>684</v>
      </c>
      <c r="E96" s="38" t="s">
        <v>685</v>
      </c>
      <c r="F96" s="38" t="s">
        <v>686</v>
      </c>
      <c r="G96" s="38" t="s">
        <v>208</v>
      </c>
      <c r="H96" s="38" t="s">
        <v>599</v>
      </c>
      <c r="I96" s="38" t="s">
        <v>690</v>
      </c>
      <c r="J96" s="38" t="s">
        <v>691</v>
      </c>
      <c r="K96" s="38" t="s">
        <v>602</v>
      </c>
      <c r="L96" s="38"/>
      <c r="M96" s="38"/>
      <c r="N96" s="38" t="s">
        <v>454</v>
      </c>
      <c r="O96" s="39" t="str">
        <f aca="false">IF(ISBLANK(L96),"pending","estimated")</f>
        <v>pending</v>
      </c>
      <c r="P96" s="38"/>
    </row>
    <row r="97" customFormat="false" ht="15" hidden="false" customHeight="true" outlineLevel="0" collapsed="false">
      <c r="B97" s="38" t="n">
        <v>48</v>
      </c>
      <c r="C97" s="38" t="s">
        <v>684</v>
      </c>
      <c r="D97" s="38" t="s">
        <v>684</v>
      </c>
      <c r="E97" s="38" t="s">
        <v>692</v>
      </c>
      <c r="F97" s="38" t="s">
        <v>693</v>
      </c>
      <c r="G97" s="38" t="s">
        <v>208</v>
      </c>
      <c r="H97" s="38" t="s">
        <v>450</v>
      </c>
      <c r="I97" s="38" t="s">
        <v>694</v>
      </c>
      <c r="J97" s="38" t="s">
        <v>695</v>
      </c>
      <c r="K97" s="38" t="s">
        <v>453</v>
      </c>
      <c r="L97" s="38"/>
      <c r="M97" s="38"/>
      <c r="N97" s="38" t="s">
        <v>454</v>
      </c>
      <c r="O97" s="39" t="str">
        <f aca="false">IF(ISBLANK(L97),"pending","estimated")</f>
        <v>pending</v>
      </c>
      <c r="P97" s="38"/>
    </row>
    <row r="98" customFormat="false" ht="15" hidden="false" customHeight="true" outlineLevel="0" collapsed="false">
      <c r="B98" s="38" t="n">
        <v>48</v>
      </c>
      <c r="C98" s="38" t="s">
        <v>684</v>
      </c>
      <c r="D98" s="38" t="s">
        <v>684</v>
      </c>
      <c r="E98" s="38" t="s">
        <v>692</v>
      </c>
      <c r="F98" s="38" t="s">
        <v>693</v>
      </c>
      <c r="G98" s="38" t="s">
        <v>208</v>
      </c>
      <c r="H98" s="38" t="s">
        <v>370</v>
      </c>
      <c r="I98" s="38" t="s">
        <v>692</v>
      </c>
      <c r="J98" s="38" t="s">
        <v>696</v>
      </c>
      <c r="K98" s="38" t="s">
        <v>453</v>
      </c>
      <c r="L98" s="38"/>
      <c r="M98" s="38"/>
      <c r="N98" s="38" t="s">
        <v>454</v>
      </c>
      <c r="O98" s="39" t="str">
        <f aca="false">IF(ISBLANK(L98),"pending","estimated")</f>
        <v>pending</v>
      </c>
      <c r="P98" s="38" t="s">
        <v>460</v>
      </c>
    </row>
    <row r="99" customFormat="false" ht="15" hidden="false" customHeight="true" outlineLevel="0" collapsed="false">
      <c r="B99" s="38" t="n">
        <v>48</v>
      </c>
      <c r="C99" s="38" t="s">
        <v>684</v>
      </c>
      <c r="D99" s="38" t="s">
        <v>684</v>
      </c>
      <c r="E99" s="38" t="s">
        <v>692</v>
      </c>
      <c r="F99" s="38" t="s">
        <v>693</v>
      </c>
      <c r="G99" s="38" t="s">
        <v>208</v>
      </c>
      <c r="H99" s="38" t="s">
        <v>415</v>
      </c>
      <c r="I99" s="38" t="s">
        <v>697</v>
      </c>
      <c r="J99" s="38" t="s">
        <v>698</v>
      </c>
      <c r="K99" s="38" t="s">
        <v>453</v>
      </c>
      <c r="L99" s="38"/>
      <c r="M99" s="38"/>
      <c r="N99" s="38" t="s">
        <v>454</v>
      </c>
      <c r="O99" s="39" t="str">
        <f aca="false">IF(ISBLANK(L99),"pending","estimated")</f>
        <v>pending</v>
      </c>
      <c r="P99" s="38"/>
    </row>
    <row r="100" customFormat="false" ht="15" hidden="false" customHeight="true" outlineLevel="0" collapsed="false">
      <c r="B100" s="38" t="n">
        <v>49</v>
      </c>
      <c r="C100" s="38" t="s">
        <v>684</v>
      </c>
      <c r="D100" s="38" t="s">
        <v>684</v>
      </c>
      <c r="E100" s="38" t="s">
        <v>699</v>
      </c>
      <c r="F100" s="38" t="s">
        <v>700</v>
      </c>
      <c r="G100" s="38" t="s">
        <v>208</v>
      </c>
      <c r="H100" s="38" t="s">
        <v>450</v>
      </c>
      <c r="I100" s="38" t="s">
        <v>701</v>
      </c>
      <c r="J100" s="38" t="s">
        <v>702</v>
      </c>
      <c r="K100" s="38" t="s">
        <v>453</v>
      </c>
      <c r="L100" s="38"/>
      <c r="M100" s="38"/>
      <c r="N100" s="38" t="s">
        <v>454</v>
      </c>
      <c r="O100" s="39" t="str">
        <f aca="false">IF(ISBLANK(L100),"pending","estimated")</f>
        <v>pending</v>
      </c>
      <c r="P100" s="38"/>
    </row>
    <row r="101" customFormat="false" ht="15" hidden="false" customHeight="true" outlineLevel="0" collapsed="false">
      <c r="B101" s="38" t="n">
        <v>49</v>
      </c>
      <c r="C101" s="38" t="s">
        <v>684</v>
      </c>
      <c r="D101" s="38" t="s">
        <v>684</v>
      </c>
      <c r="E101" s="38" t="s">
        <v>699</v>
      </c>
      <c r="F101" s="38" t="s">
        <v>700</v>
      </c>
      <c r="G101" s="38" t="s">
        <v>208</v>
      </c>
      <c r="H101" s="38" t="s">
        <v>370</v>
      </c>
      <c r="I101" s="38" t="s">
        <v>703</v>
      </c>
      <c r="J101" s="38" t="s">
        <v>704</v>
      </c>
      <c r="K101" s="38" t="s">
        <v>453</v>
      </c>
      <c r="L101" s="38"/>
      <c r="M101" s="38"/>
      <c r="N101" s="38" t="s">
        <v>454</v>
      </c>
      <c r="O101" s="39" t="str">
        <f aca="false">IF(ISBLANK(L101),"pending","estimated")</f>
        <v>pending</v>
      </c>
      <c r="P101" s="38" t="s">
        <v>460</v>
      </c>
    </row>
    <row r="102" customFormat="false" ht="15" hidden="false" customHeight="true" outlineLevel="0" collapsed="false">
      <c r="B102" s="38" t="n">
        <v>49</v>
      </c>
      <c r="C102" s="38" t="s">
        <v>684</v>
      </c>
      <c r="D102" s="38" t="s">
        <v>684</v>
      </c>
      <c r="E102" s="38" t="s">
        <v>699</v>
      </c>
      <c r="F102" s="38" t="s">
        <v>700</v>
      </c>
      <c r="G102" s="38" t="s">
        <v>208</v>
      </c>
      <c r="H102" s="38" t="s">
        <v>415</v>
      </c>
      <c r="I102" s="38" t="s">
        <v>705</v>
      </c>
      <c r="J102" s="38" t="s">
        <v>706</v>
      </c>
      <c r="K102" s="38" t="s">
        <v>453</v>
      </c>
      <c r="L102" s="38"/>
      <c r="M102" s="38"/>
      <c r="N102" s="38" t="s">
        <v>454</v>
      </c>
      <c r="O102" s="39" t="str">
        <f aca="false">IF(ISBLANK(L102),"pending","estimated")</f>
        <v>pending</v>
      </c>
      <c r="P102" s="38"/>
    </row>
    <row r="103" customFormat="false" ht="15" hidden="false" customHeight="true" outlineLevel="0" collapsed="false">
      <c r="B103" s="38" t="n">
        <v>50</v>
      </c>
      <c r="C103" s="38" t="s">
        <v>684</v>
      </c>
      <c r="D103" s="38" t="s">
        <v>684</v>
      </c>
      <c r="E103" s="38" t="s">
        <v>707</v>
      </c>
      <c r="F103" s="38" t="s">
        <v>708</v>
      </c>
      <c r="G103" s="38" t="s">
        <v>208</v>
      </c>
      <c r="H103" s="38" t="s">
        <v>450</v>
      </c>
      <c r="I103" s="38" t="s">
        <v>709</v>
      </c>
      <c r="J103" s="38" t="s">
        <v>710</v>
      </c>
      <c r="K103" s="38" t="s">
        <v>453</v>
      </c>
      <c r="L103" s="38"/>
      <c r="M103" s="38"/>
      <c r="N103" s="38" t="s">
        <v>454</v>
      </c>
      <c r="O103" s="39" t="str">
        <f aca="false">IF(ISBLANK(L103),"pending","estimated")</f>
        <v>pending</v>
      </c>
      <c r="P103" s="38"/>
    </row>
    <row r="104" customFormat="false" ht="15" hidden="false" customHeight="true" outlineLevel="0" collapsed="false">
      <c r="B104" s="38" t="n">
        <v>50</v>
      </c>
      <c r="C104" s="38" t="s">
        <v>684</v>
      </c>
      <c r="D104" s="38" t="s">
        <v>684</v>
      </c>
      <c r="E104" s="38" t="s">
        <v>707</v>
      </c>
      <c r="F104" s="38" t="s">
        <v>708</v>
      </c>
      <c r="G104" s="38" t="s">
        <v>208</v>
      </c>
      <c r="H104" s="38" t="s">
        <v>370</v>
      </c>
      <c r="I104" s="38" t="s">
        <v>711</v>
      </c>
      <c r="J104" s="38" t="s">
        <v>712</v>
      </c>
      <c r="K104" s="38" t="s">
        <v>453</v>
      </c>
      <c r="L104" s="38"/>
      <c r="M104" s="38"/>
      <c r="N104" s="38" t="s">
        <v>454</v>
      </c>
      <c r="O104" s="39" t="str">
        <f aca="false">IF(ISBLANK(L104),"pending","estimated")</f>
        <v>pending</v>
      </c>
      <c r="P104" s="38" t="s">
        <v>460</v>
      </c>
    </row>
    <row r="105" customFormat="false" ht="15" hidden="false" customHeight="true" outlineLevel="0" collapsed="false">
      <c r="B105" s="38" t="n">
        <v>50</v>
      </c>
      <c r="C105" s="38" t="s">
        <v>684</v>
      </c>
      <c r="D105" s="38" t="s">
        <v>684</v>
      </c>
      <c r="E105" s="38" t="s">
        <v>707</v>
      </c>
      <c r="F105" s="38" t="s">
        <v>708</v>
      </c>
      <c r="G105" s="38" t="s">
        <v>208</v>
      </c>
      <c r="H105" s="38" t="s">
        <v>415</v>
      </c>
      <c r="I105" s="38" t="s">
        <v>713</v>
      </c>
      <c r="J105" s="38" t="s">
        <v>714</v>
      </c>
      <c r="K105" s="38" t="s">
        <v>453</v>
      </c>
      <c r="L105" s="38"/>
      <c r="M105" s="38"/>
      <c r="N105" s="38" t="s">
        <v>454</v>
      </c>
      <c r="O105" s="39" t="str">
        <f aca="false">IF(ISBLANK(L105),"pending","estimated")</f>
        <v>pending</v>
      </c>
      <c r="P105" s="38"/>
    </row>
    <row r="106" customFormat="false" ht="15" hidden="false" customHeight="true" outlineLevel="0" collapsed="false">
      <c r="B106" s="38" t="n">
        <v>50</v>
      </c>
      <c r="C106" s="38" t="s">
        <v>684</v>
      </c>
      <c r="D106" s="38" t="s">
        <v>684</v>
      </c>
      <c r="E106" s="38" t="s">
        <v>707</v>
      </c>
      <c r="F106" s="38" t="s">
        <v>708</v>
      </c>
      <c r="G106" s="38" t="s">
        <v>208</v>
      </c>
      <c r="H106" s="38" t="s">
        <v>399</v>
      </c>
      <c r="I106" s="38" t="s">
        <v>711</v>
      </c>
      <c r="J106" s="38" t="s">
        <v>715</v>
      </c>
      <c r="K106" s="38" t="s">
        <v>464</v>
      </c>
      <c r="L106" s="38"/>
      <c r="M106" s="38"/>
      <c r="N106" s="38" t="s">
        <v>454</v>
      </c>
      <c r="O106" s="39" t="str">
        <f aca="false">IF(ISBLANK(L106),"pending","estimated")</f>
        <v>pending</v>
      </c>
      <c r="P106" s="38" t="s">
        <v>465</v>
      </c>
    </row>
    <row r="107" customFormat="false" ht="15" hidden="false" customHeight="true" outlineLevel="0" collapsed="false">
      <c r="B107" s="38" t="n">
        <v>50</v>
      </c>
      <c r="C107" s="38" t="s">
        <v>684</v>
      </c>
      <c r="D107" s="38" t="s">
        <v>684</v>
      </c>
      <c r="E107" s="38" t="s">
        <v>707</v>
      </c>
      <c r="F107" s="38" t="s">
        <v>708</v>
      </c>
      <c r="G107" s="38" t="s">
        <v>208</v>
      </c>
      <c r="H107" s="38" t="s">
        <v>599</v>
      </c>
      <c r="I107" s="38" t="s">
        <v>709</v>
      </c>
      <c r="J107" s="38" t="s">
        <v>716</v>
      </c>
      <c r="K107" s="38" t="s">
        <v>602</v>
      </c>
      <c r="L107" s="38"/>
      <c r="M107" s="38"/>
      <c r="N107" s="38" t="s">
        <v>454</v>
      </c>
      <c r="O107" s="39" t="str">
        <f aca="false">IF(ISBLANK(L107),"pending","estimated")</f>
        <v>pending</v>
      </c>
      <c r="P107" s="38"/>
    </row>
    <row r="108" customFormat="false" ht="15" hidden="false" customHeight="true" outlineLevel="0" collapsed="false">
      <c r="B108" s="38" t="n">
        <v>51</v>
      </c>
      <c r="C108" s="38" t="s">
        <v>684</v>
      </c>
      <c r="D108" s="38" t="s">
        <v>684</v>
      </c>
      <c r="E108" s="38" t="s">
        <v>717</v>
      </c>
      <c r="F108" s="38" t="s">
        <v>718</v>
      </c>
      <c r="G108" s="38" t="s">
        <v>208</v>
      </c>
      <c r="H108" s="38" t="s">
        <v>450</v>
      </c>
      <c r="I108" s="38" t="s">
        <v>719</v>
      </c>
      <c r="J108" s="38" t="s">
        <v>720</v>
      </c>
      <c r="K108" s="38" t="s">
        <v>453</v>
      </c>
      <c r="L108" s="38"/>
      <c r="M108" s="38"/>
      <c r="N108" s="38" t="s">
        <v>454</v>
      </c>
      <c r="O108" s="39" t="str">
        <f aca="false">IF(ISBLANK(L108),"pending","estimated")</f>
        <v>pending</v>
      </c>
      <c r="P108" s="38"/>
    </row>
    <row r="109" customFormat="false" ht="15" hidden="false" customHeight="true" outlineLevel="0" collapsed="false">
      <c r="B109" s="38" t="n">
        <v>51</v>
      </c>
      <c r="C109" s="38" t="s">
        <v>684</v>
      </c>
      <c r="D109" s="38" t="s">
        <v>684</v>
      </c>
      <c r="E109" s="38" t="s">
        <v>717</v>
      </c>
      <c r="F109" s="38" t="s">
        <v>718</v>
      </c>
      <c r="G109" s="38" t="s">
        <v>208</v>
      </c>
      <c r="H109" s="38" t="s">
        <v>415</v>
      </c>
      <c r="I109" s="38" t="s">
        <v>721</v>
      </c>
      <c r="J109" s="38" t="s">
        <v>722</v>
      </c>
      <c r="K109" s="38" t="s">
        <v>453</v>
      </c>
      <c r="L109" s="38"/>
      <c r="M109" s="38"/>
      <c r="N109" s="38" t="s">
        <v>454</v>
      </c>
      <c r="O109" s="39" t="str">
        <f aca="false">IF(ISBLANK(L109),"pending","estimated")</f>
        <v>pending</v>
      </c>
      <c r="P109" s="38"/>
    </row>
    <row r="110" customFormat="false" ht="15" hidden="false" customHeight="true" outlineLevel="0" collapsed="false">
      <c r="B110" s="38" t="n">
        <v>55</v>
      </c>
      <c r="C110" s="38" t="s">
        <v>723</v>
      </c>
      <c r="D110" s="38" t="s">
        <v>724</v>
      </c>
      <c r="E110" s="38" t="s">
        <v>725</v>
      </c>
      <c r="F110" s="38" t="s">
        <v>726</v>
      </c>
      <c r="G110" s="38" t="s">
        <v>208</v>
      </c>
      <c r="H110" s="38" t="s">
        <v>450</v>
      </c>
      <c r="I110" s="38" t="s">
        <v>727</v>
      </c>
      <c r="J110" s="38" t="s">
        <v>728</v>
      </c>
      <c r="K110" s="38" t="s">
        <v>453</v>
      </c>
      <c r="L110" s="38"/>
      <c r="M110" s="38"/>
      <c r="N110" s="38" t="s">
        <v>454</v>
      </c>
      <c r="O110" s="39" t="str">
        <f aca="false">IF(ISBLANK(L110),"pending","estimated")</f>
        <v>pending</v>
      </c>
      <c r="P110" s="38"/>
    </row>
    <row r="111" customFormat="false" ht="15" hidden="false" customHeight="true" outlineLevel="0" collapsed="false">
      <c r="B111" s="38" t="n">
        <v>55</v>
      </c>
      <c r="C111" s="38" t="s">
        <v>723</v>
      </c>
      <c r="D111" s="38" t="s">
        <v>724</v>
      </c>
      <c r="E111" s="38" t="s">
        <v>725</v>
      </c>
      <c r="F111" s="38" t="s">
        <v>726</v>
      </c>
      <c r="G111" s="38" t="s">
        <v>208</v>
      </c>
      <c r="H111" s="38" t="s">
        <v>415</v>
      </c>
      <c r="I111" s="38" t="s">
        <v>729</v>
      </c>
      <c r="J111" s="38" t="s">
        <v>730</v>
      </c>
      <c r="K111" s="38" t="s">
        <v>453</v>
      </c>
      <c r="L111" s="38"/>
      <c r="M111" s="38"/>
      <c r="N111" s="38" t="s">
        <v>454</v>
      </c>
      <c r="O111" s="39" t="str">
        <f aca="false">IF(ISBLANK(L111),"pending","estimated")</f>
        <v>pending</v>
      </c>
      <c r="P111" s="38"/>
    </row>
    <row r="112" customFormat="false" ht="15" hidden="false" customHeight="true" outlineLevel="0" collapsed="false">
      <c r="B112" s="38" t="n">
        <v>58</v>
      </c>
      <c r="C112" s="38" t="s">
        <v>723</v>
      </c>
      <c r="D112" s="38" t="s">
        <v>724</v>
      </c>
      <c r="E112" s="38" t="s">
        <v>731</v>
      </c>
      <c r="F112" s="38" t="s">
        <v>732</v>
      </c>
      <c r="G112" s="38" t="s">
        <v>208</v>
      </c>
      <c r="H112" s="38" t="s">
        <v>450</v>
      </c>
      <c r="I112" s="38" t="s">
        <v>733</v>
      </c>
      <c r="J112" s="38" t="s">
        <v>734</v>
      </c>
      <c r="K112" s="38" t="s">
        <v>453</v>
      </c>
      <c r="L112" s="38"/>
      <c r="M112" s="38"/>
      <c r="N112" s="38" t="s">
        <v>454</v>
      </c>
      <c r="O112" s="39" t="str">
        <f aca="false">IF(ISBLANK(L112),"pending","estimated")</f>
        <v>pending</v>
      </c>
      <c r="P112" s="38"/>
    </row>
    <row r="113" customFormat="false" ht="15" hidden="false" customHeight="true" outlineLevel="0" collapsed="false">
      <c r="B113" s="38" t="n">
        <v>58</v>
      </c>
      <c r="C113" s="38" t="s">
        <v>723</v>
      </c>
      <c r="D113" s="38" t="s">
        <v>724</v>
      </c>
      <c r="E113" s="38" t="s">
        <v>731</v>
      </c>
      <c r="F113" s="38" t="s">
        <v>732</v>
      </c>
      <c r="G113" s="38" t="s">
        <v>208</v>
      </c>
      <c r="H113" s="38" t="s">
        <v>370</v>
      </c>
      <c r="I113" s="38" t="s">
        <v>731</v>
      </c>
      <c r="J113" s="38" t="s">
        <v>735</v>
      </c>
      <c r="K113" s="38" t="s">
        <v>453</v>
      </c>
      <c r="L113" s="38"/>
      <c r="M113" s="38"/>
      <c r="N113" s="38" t="s">
        <v>454</v>
      </c>
      <c r="O113" s="39" t="str">
        <f aca="false">IF(ISBLANK(L113),"pending","estimated")</f>
        <v>pending</v>
      </c>
      <c r="P113" s="38" t="s">
        <v>460</v>
      </c>
    </row>
    <row r="114" customFormat="false" ht="15" hidden="false" customHeight="true" outlineLevel="0" collapsed="false">
      <c r="B114" s="38" t="n">
        <v>58</v>
      </c>
      <c r="C114" s="38" t="s">
        <v>723</v>
      </c>
      <c r="D114" s="38" t="s">
        <v>724</v>
      </c>
      <c r="E114" s="38" t="s">
        <v>731</v>
      </c>
      <c r="F114" s="38" t="s">
        <v>732</v>
      </c>
      <c r="G114" s="38" t="s">
        <v>208</v>
      </c>
      <c r="H114" s="38" t="s">
        <v>399</v>
      </c>
      <c r="I114" s="38" t="s">
        <v>736</v>
      </c>
      <c r="J114" s="38" t="s">
        <v>737</v>
      </c>
      <c r="K114" s="38" t="s">
        <v>464</v>
      </c>
      <c r="L114" s="38"/>
      <c r="M114" s="38"/>
      <c r="N114" s="38" t="s">
        <v>454</v>
      </c>
      <c r="O114" s="39" t="str">
        <f aca="false">IF(ISBLANK(L114),"pending","estimated")</f>
        <v>pending</v>
      </c>
      <c r="P114" s="38" t="s">
        <v>465</v>
      </c>
    </row>
    <row r="115" customFormat="false" ht="15" hidden="false" customHeight="true" outlineLevel="0" collapsed="false">
      <c r="B115" s="38" t="n">
        <v>59</v>
      </c>
      <c r="C115" s="38" t="s">
        <v>723</v>
      </c>
      <c r="D115" s="38" t="s">
        <v>724</v>
      </c>
      <c r="E115" s="38" t="s">
        <v>738</v>
      </c>
      <c r="F115" s="38" t="s">
        <v>739</v>
      </c>
      <c r="G115" s="38" t="s">
        <v>208</v>
      </c>
      <c r="H115" s="38" t="s">
        <v>450</v>
      </c>
      <c r="I115" s="38" t="s">
        <v>740</v>
      </c>
      <c r="J115" s="38" t="s">
        <v>741</v>
      </c>
      <c r="K115" s="38" t="s">
        <v>453</v>
      </c>
      <c r="L115" s="38"/>
      <c r="M115" s="38"/>
      <c r="N115" s="38" t="s">
        <v>454</v>
      </c>
      <c r="O115" s="39" t="str">
        <f aca="false">IF(ISBLANK(L115),"pending","estimated")</f>
        <v>pending</v>
      </c>
      <c r="P115" s="38"/>
    </row>
    <row r="116" customFormat="false" ht="15" hidden="false" customHeight="true" outlineLevel="0" collapsed="false">
      <c r="B116" s="38" t="n">
        <v>59</v>
      </c>
      <c r="C116" s="38" t="s">
        <v>723</v>
      </c>
      <c r="D116" s="38" t="s">
        <v>724</v>
      </c>
      <c r="E116" s="38" t="s">
        <v>738</v>
      </c>
      <c r="F116" s="38" t="s">
        <v>739</v>
      </c>
      <c r="G116" s="38" t="s">
        <v>208</v>
      </c>
      <c r="H116" s="38" t="s">
        <v>370</v>
      </c>
      <c r="I116" s="38" t="s">
        <v>742</v>
      </c>
      <c r="J116" s="38" t="s">
        <v>743</v>
      </c>
      <c r="K116" s="38" t="s">
        <v>453</v>
      </c>
      <c r="L116" s="38"/>
      <c r="M116" s="38"/>
      <c r="N116" s="38" t="s">
        <v>454</v>
      </c>
      <c r="O116" s="39" t="str">
        <f aca="false">IF(ISBLANK(L116),"pending","estimated")</f>
        <v>pending</v>
      </c>
      <c r="P116" s="38"/>
    </row>
    <row r="117" customFormat="false" ht="15" hidden="false" customHeight="true" outlineLevel="0" collapsed="false">
      <c r="B117" s="38" t="n">
        <v>59</v>
      </c>
      <c r="C117" s="38" t="s">
        <v>723</v>
      </c>
      <c r="D117" s="38" t="s">
        <v>724</v>
      </c>
      <c r="E117" s="38" t="s">
        <v>738</v>
      </c>
      <c r="F117" s="38" t="s">
        <v>739</v>
      </c>
      <c r="G117" s="38" t="s">
        <v>208</v>
      </c>
      <c r="H117" s="38" t="s">
        <v>415</v>
      </c>
      <c r="I117" s="38" t="s">
        <v>744</v>
      </c>
      <c r="J117" s="38" t="s">
        <v>745</v>
      </c>
      <c r="K117" s="38" t="s">
        <v>453</v>
      </c>
      <c r="L117" s="38"/>
      <c r="M117" s="38"/>
      <c r="N117" s="38" t="s">
        <v>454</v>
      </c>
      <c r="O117" s="39" t="str">
        <f aca="false">IF(ISBLANK(L117),"pending","estimated")</f>
        <v>pending</v>
      </c>
      <c r="P117" s="38"/>
    </row>
    <row r="118" customFormat="false" ht="15" hidden="false" customHeight="true" outlineLevel="0" collapsed="false">
      <c r="B118" s="38" t="n">
        <v>59</v>
      </c>
      <c r="C118" s="38" t="s">
        <v>723</v>
      </c>
      <c r="D118" s="38" t="s">
        <v>724</v>
      </c>
      <c r="E118" s="38" t="s">
        <v>738</v>
      </c>
      <c r="F118" s="38" t="s">
        <v>739</v>
      </c>
      <c r="G118" s="38" t="s">
        <v>208</v>
      </c>
      <c r="H118" s="38" t="s">
        <v>399</v>
      </c>
      <c r="I118" s="38" t="s">
        <v>746</v>
      </c>
      <c r="J118" s="38" t="s">
        <v>747</v>
      </c>
      <c r="K118" s="38" t="s">
        <v>464</v>
      </c>
      <c r="L118" s="38"/>
      <c r="M118" s="38"/>
      <c r="N118" s="38" t="s">
        <v>454</v>
      </c>
      <c r="O118" s="39" t="str">
        <f aca="false">IF(ISBLANK(L118),"pending","estimated")</f>
        <v>pending</v>
      </c>
      <c r="P118" s="38"/>
    </row>
    <row r="119" customFormat="false" ht="15" hidden="false" customHeight="true" outlineLevel="0" collapsed="false">
      <c r="B119" s="38" t="n">
        <v>61</v>
      </c>
      <c r="C119" s="38" t="s">
        <v>723</v>
      </c>
      <c r="D119" s="38" t="s">
        <v>724</v>
      </c>
      <c r="E119" s="38" t="s">
        <v>748</v>
      </c>
      <c r="F119" s="38" t="s">
        <v>749</v>
      </c>
      <c r="G119" s="38" t="s">
        <v>208</v>
      </c>
      <c r="H119" s="38" t="s">
        <v>450</v>
      </c>
      <c r="I119" s="38" t="s">
        <v>750</v>
      </c>
      <c r="J119" s="38" t="s">
        <v>751</v>
      </c>
      <c r="K119" s="38" t="s">
        <v>453</v>
      </c>
      <c r="L119" s="38"/>
      <c r="M119" s="38"/>
      <c r="N119" s="38" t="s">
        <v>454</v>
      </c>
      <c r="O119" s="39" t="str">
        <f aca="false">IF(ISBLANK(L119),"pending","estimated")</f>
        <v>pending</v>
      </c>
      <c r="P119" s="38"/>
    </row>
    <row r="120" customFormat="false" ht="15" hidden="false" customHeight="true" outlineLevel="0" collapsed="false">
      <c r="B120" s="38" t="n">
        <v>61</v>
      </c>
      <c r="C120" s="38" t="s">
        <v>723</v>
      </c>
      <c r="D120" s="38" t="s">
        <v>724</v>
      </c>
      <c r="E120" s="38" t="s">
        <v>748</v>
      </c>
      <c r="F120" s="38" t="s">
        <v>749</v>
      </c>
      <c r="G120" s="38" t="s">
        <v>208</v>
      </c>
      <c r="H120" s="38" t="s">
        <v>370</v>
      </c>
      <c r="I120" s="38" t="s">
        <v>752</v>
      </c>
      <c r="J120" s="38" t="s">
        <v>753</v>
      </c>
      <c r="K120" s="38" t="s">
        <v>453</v>
      </c>
      <c r="L120" s="38"/>
      <c r="M120" s="38"/>
      <c r="N120" s="38" t="s">
        <v>454</v>
      </c>
      <c r="O120" s="39" t="str">
        <f aca="false">IF(ISBLANK(L120),"pending","estimated")</f>
        <v>pending</v>
      </c>
      <c r="P120" s="38"/>
    </row>
    <row r="121" customFormat="false" ht="15" hidden="false" customHeight="true" outlineLevel="0" collapsed="false">
      <c r="B121" s="38" t="n">
        <v>62</v>
      </c>
      <c r="C121" s="38" t="s">
        <v>723</v>
      </c>
      <c r="D121" s="38" t="s">
        <v>724</v>
      </c>
      <c r="E121" s="38" t="s">
        <v>754</v>
      </c>
      <c r="F121" s="38" t="s">
        <v>755</v>
      </c>
      <c r="G121" s="38" t="s">
        <v>208</v>
      </c>
      <c r="H121" s="38" t="s">
        <v>450</v>
      </c>
      <c r="I121" s="38" t="s">
        <v>756</v>
      </c>
      <c r="J121" s="38" t="s">
        <v>757</v>
      </c>
      <c r="K121" s="38" t="s">
        <v>453</v>
      </c>
      <c r="L121" s="38"/>
      <c r="M121" s="38"/>
      <c r="N121" s="38" t="s">
        <v>454</v>
      </c>
      <c r="O121" s="39" t="str">
        <f aca="false">IF(ISBLANK(L121),"pending","estimated")</f>
        <v>pending</v>
      </c>
      <c r="P121" s="38"/>
    </row>
    <row r="122" customFormat="false" ht="15" hidden="false" customHeight="true" outlineLevel="0" collapsed="false">
      <c r="B122" s="38" t="n">
        <v>62</v>
      </c>
      <c r="C122" s="38" t="s">
        <v>723</v>
      </c>
      <c r="D122" s="38" t="s">
        <v>724</v>
      </c>
      <c r="E122" s="38" t="s">
        <v>754</v>
      </c>
      <c r="F122" s="38" t="s">
        <v>755</v>
      </c>
      <c r="G122" s="38" t="s">
        <v>208</v>
      </c>
      <c r="H122" s="38" t="s">
        <v>609</v>
      </c>
      <c r="I122" s="38" t="s">
        <v>758</v>
      </c>
      <c r="J122" s="38" t="s">
        <v>759</v>
      </c>
      <c r="K122" s="38" t="s">
        <v>453</v>
      </c>
      <c r="L122" s="38"/>
      <c r="M122" s="38"/>
      <c r="N122" s="38" t="s">
        <v>454</v>
      </c>
      <c r="O122" s="39" t="str">
        <f aca="false">IF(ISBLANK(L122),"pending","estimated")</f>
        <v>pending</v>
      </c>
      <c r="P122" s="38"/>
    </row>
    <row r="123" customFormat="false" ht="15" hidden="false" customHeight="true" outlineLevel="0" collapsed="false">
      <c r="B123" s="38" t="n">
        <v>63</v>
      </c>
      <c r="C123" s="38" t="s">
        <v>760</v>
      </c>
      <c r="D123" s="38" t="s">
        <v>760</v>
      </c>
      <c r="E123" s="38" t="s">
        <v>761</v>
      </c>
      <c r="F123" s="38" t="s">
        <v>762</v>
      </c>
      <c r="G123" s="38" t="s">
        <v>208</v>
      </c>
      <c r="H123" s="38" t="s">
        <v>450</v>
      </c>
      <c r="I123" s="38" t="s">
        <v>763</v>
      </c>
      <c r="J123" s="38" t="s">
        <v>764</v>
      </c>
      <c r="K123" s="38" t="s">
        <v>453</v>
      </c>
      <c r="L123" s="38"/>
      <c r="M123" s="38"/>
      <c r="N123" s="38" t="s">
        <v>454</v>
      </c>
      <c r="O123" s="39" t="str">
        <f aca="false">IF(ISBLANK(L123),"pending","estimated")</f>
        <v>pending</v>
      </c>
      <c r="P123" s="38"/>
    </row>
    <row r="124" customFormat="false" ht="15" hidden="false" customHeight="true" outlineLevel="0" collapsed="false">
      <c r="B124" s="38" t="n">
        <v>64</v>
      </c>
      <c r="C124" s="38" t="s">
        <v>760</v>
      </c>
      <c r="D124" s="38" t="s">
        <v>760</v>
      </c>
      <c r="E124" s="38" t="s">
        <v>765</v>
      </c>
      <c r="F124" s="38" t="s">
        <v>766</v>
      </c>
      <c r="G124" s="38" t="s">
        <v>208</v>
      </c>
      <c r="H124" s="38" t="s">
        <v>450</v>
      </c>
      <c r="I124" s="38" t="s">
        <v>767</v>
      </c>
      <c r="J124" s="38" t="s">
        <v>768</v>
      </c>
      <c r="K124" s="38" t="s">
        <v>453</v>
      </c>
      <c r="L124" s="38"/>
      <c r="M124" s="38"/>
      <c r="N124" s="38" t="s">
        <v>454</v>
      </c>
      <c r="O124" s="39" t="str">
        <f aca="false">IF(ISBLANK(L124),"pending","estimated")</f>
        <v>pending</v>
      </c>
      <c r="P124" s="38"/>
    </row>
    <row r="125" customFormat="false" ht="15" hidden="false" customHeight="true" outlineLevel="0" collapsed="false">
      <c r="B125" s="38" t="n">
        <v>64</v>
      </c>
      <c r="C125" s="38" t="s">
        <v>760</v>
      </c>
      <c r="D125" s="38" t="s">
        <v>760</v>
      </c>
      <c r="E125" s="38" t="s">
        <v>765</v>
      </c>
      <c r="F125" s="38" t="s">
        <v>766</v>
      </c>
      <c r="G125" s="38" t="s">
        <v>208</v>
      </c>
      <c r="H125" s="38" t="s">
        <v>370</v>
      </c>
      <c r="I125" s="38" t="s">
        <v>769</v>
      </c>
      <c r="J125" s="38" t="s">
        <v>770</v>
      </c>
      <c r="K125" s="38" t="s">
        <v>453</v>
      </c>
      <c r="L125" s="38"/>
      <c r="M125" s="38"/>
      <c r="N125" s="38" t="s">
        <v>454</v>
      </c>
      <c r="O125" s="39" t="str">
        <f aca="false">IF(ISBLANK(L125),"pending","estimated")</f>
        <v>pending</v>
      </c>
      <c r="P125" s="38"/>
    </row>
    <row r="126" customFormat="false" ht="15" hidden="false" customHeight="true" outlineLevel="0" collapsed="false">
      <c r="B126" s="38" t="n">
        <v>64</v>
      </c>
      <c r="C126" s="38" t="s">
        <v>760</v>
      </c>
      <c r="D126" s="38" t="s">
        <v>760</v>
      </c>
      <c r="E126" s="38" t="s">
        <v>765</v>
      </c>
      <c r="F126" s="38" t="s">
        <v>766</v>
      </c>
      <c r="G126" s="38" t="s">
        <v>208</v>
      </c>
      <c r="H126" s="38" t="s">
        <v>599</v>
      </c>
      <c r="I126" s="38" t="s">
        <v>771</v>
      </c>
      <c r="J126" s="38" t="s">
        <v>772</v>
      </c>
      <c r="K126" s="38" t="s">
        <v>602</v>
      </c>
      <c r="L126" s="38"/>
      <c r="M126" s="38"/>
      <c r="N126" s="38" t="s">
        <v>454</v>
      </c>
      <c r="O126" s="39" t="str">
        <f aca="false">IF(ISBLANK(L126),"pending","estimated")</f>
        <v>pending</v>
      </c>
      <c r="P126" s="38"/>
    </row>
    <row r="127" customFormat="false" ht="15" hidden="false" customHeight="true" outlineLevel="0" collapsed="false">
      <c r="B127" s="38" t="n">
        <v>66</v>
      </c>
      <c r="C127" s="38" t="s">
        <v>760</v>
      </c>
      <c r="D127" s="38" t="s">
        <v>760</v>
      </c>
      <c r="E127" s="38" t="s">
        <v>773</v>
      </c>
      <c r="F127" s="38" t="s">
        <v>774</v>
      </c>
      <c r="G127" s="38" t="s">
        <v>208</v>
      </c>
      <c r="H127" s="38" t="s">
        <v>450</v>
      </c>
      <c r="I127" s="38" t="s">
        <v>775</v>
      </c>
      <c r="J127" s="38" t="s">
        <v>776</v>
      </c>
      <c r="K127" s="38" t="s">
        <v>453</v>
      </c>
      <c r="L127" s="38"/>
      <c r="M127" s="38"/>
      <c r="N127" s="38" t="s">
        <v>454</v>
      </c>
      <c r="O127" s="39" t="str">
        <f aca="false">IF(ISBLANK(L127),"pending","estimated")</f>
        <v>pending</v>
      </c>
      <c r="P127" s="38"/>
    </row>
    <row r="128" customFormat="false" ht="15" hidden="false" customHeight="true" outlineLevel="0" collapsed="false">
      <c r="B128" s="38" t="n">
        <v>66</v>
      </c>
      <c r="C128" s="38" t="s">
        <v>760</v>
      </c>
      <c r="D128" s="38" t="s">
        <v>760</v>
      </c>
      <c r="E128" s="38" t="s">
        <v>773</v>
      </c>
      <c r="F128" s="38" t="s">
        <v>774</v>
      </c>
      <c r="G128" s="38" t="s">
        <v>208</v>
      </c>
      <c r="H128" s="38" t="s">
        <v>415</v>
      </c>
      <c r="I128" s="38" t="s">
        <v>777</v>
      </c>
      <c r="J128" s="38" t="s">
        <v>778</v>
      </c>
      <c r="K128" s="38" t="s">
        <v>453</v>
      </c>
      <c r="L128" s="38"/>
      <c r="M128" s="38"/>
      <c r="N128" s="38" t="s">
        <v>454</v>
      </c>
      <c r="O128" s="39" t="str">
        <f aca="false">IF(ISBLANK(L128),"pending","estimated")</f>
        <v>pending</v>
      </c>
      <c r="P128" s="38"/>
    </row>
    <row r="129" customFormat="false" ht="15" hidden="false" customHeight="true" outlineLevel="0" collapsed="false">
      <c r="B129" s="38" t="n">
        <v>66</v>
      </c>
      <c r="C129" s="38" t="s">
        <v>760</v>
      </c>
      <c r="D129" s="38" t="s">
        <v>760</v>
      </c>
      <c r="E129" s="38" t="s">
        <v>773</v>
      </c>
      <c r="F129" s="38" t="s">
        <v>774</v>
      </c>
      <c r="G129" s="38" t="s">
        <v>208</v>
      </c>
      <c r="H129" s="38" t="s">
        <v>399</v>
      </c>
      <c r="I129" s="38" t="s">
        <v>779</v>
      </c>
      <c r="J129" s="38" t="s">
        <v>780</v>
      </c>
      <c r="K129" s="38" t="s">
        <v>464</v>
      </c>
      <c r="L129" s="38"/>
      <c r="M129" s="38"/>
      <c r="N129" s="38" t="s">
        <v>454</v>
      </c>
      <c r="O129" s="39" t="str">
        <f aca="false">IF(ISBLANK(L129),"pending","estimated")</f>
        <v>pending</v>
      </c>
      <c r="P129" s="38"/>
    </row>
    <row r="130" customFormat="false" ht="15" hidden="false" customHeight="true" outlineLevel="0" collapsed="false">
      <c r="B130" s="38" t="n">
        <v>67</v>
      </c>
      <c r="C130" s="38" t="s">
        <v>760</v>
      </c>
      <c r="D130" s="38" t="s">
        <v>760</v>
      </c>
      <c r="E130" s="38" t="s">
        <v>781</v>
      </c>
      <c r="F130" s="38" t="s">
        <v>782</v>
      </c>
      <c r="G130" s="38" t="s">
        <v>208</v>
      </c>
      <c r="H130" s="38" t="s">
        <v>450</v>
      </c>
      <c r="I130" s="38" t="s">
        <v>783</v>
      </c>
      <c r="J130" s="38" t="s">
        <v>784</v>
      </c>
      <c r="K130" s="38" t="s">
        <v>453</v>
      </c>
      <c r="L130" s="38"/>
      <c r="M130" s="38"/>
      <c r="N130" s="38" t="s">
        <v>454</v>
      </c>
      <c r="O130" s="39" t="str">
        <f aca="false">IF(ISBLANK(L130),"pending","estimated")</f>
        <v>pending</v>
      </c>
      <c r="P130" s="38"/>
    </row>
    <row r="131" customFormat="false" ht="15" hidden="false" customHeight="true" outlineLevel="0" collapsed="false">
      <c r="B131" s="38" t="n">
        <v>67</v>
      </c>
      <c r="C131" s="38" t="s">
        <v>760</v>
      </c>
      <c r="D131" s="38" t="s">
        <v>760</v>
      </c>
      <c r="E131" s="38" t="s">
        <v>781</v>
      </c>
      <c r="F131" s="38" t="s">
        <v>782</v>
      </c>
      <c r="G131" s="38" t="s">
        <v>208</v>
      </c>
      <c r="H131" s="38" t="s">
        <v>399</v>
      </c>
      <c r="I131" s="38" t="s">
        <v>785</v>
      </c>
      <c r="J131" s="38" t="s">
        <v>786</v>
      </c>
      <c r="K131" s="38" t="s">
        <v>464</v>
      </c>
      <c r="L131" s="38"/>
      <c r="M131" s="38"/>
      <c r="N131" s="38" t="s">
        <v>454</v>
      </c>
      <c r="O131" s="39" t="str">
        <f aca="false">IF(ISBLANK(L131),"pending","estimated")</f>
        <v>pending</v>
      </c>
      <c r="P131" s="38"/>
    </row>
    <row r="132" customFormat="false" ht="15" hidden="false" customHeight="true" outlineLevel="0" collapsed="false">
      <c r="B132" s="38" t="n">
        <v>68</v>
      </c>
      <c r="C132" s="38" t="s">
        <v>760</v>
      </c>
      <c r="D132" s="38" t="s">
        <v>760</v>
      </c>
      <c r="E132" s="38" t="s">
        <v>787</v>
      </c>
      <c r="F132" s="38" t="s">
        <v>788</v>
      </c>
      <c r="G132" s="38" t="s">
        <v>208</v>
      </c>
      <c r="H132" s="38" t="s">
        <v>450</v>
      </c>
      <c r="I132" s="38" t="s">
        <v>789</v>
      </c>
      <c r="J132" s="38" t="s">
        <v>790</v>
      </c>
      <c r="K132" s="38" t="s">
        <v>453</v>
      </c>
      <c r="L132" s="38"/>
      <c r="M132" s="38"/>
      <c r="N132" s="38" t="s">
        <v>454</v>
      </c>
      <c r="O132" s="39" t="str">
        <f aca="false">IF(ISBLANK(L132),"pending","estimated")</f>
        <v>pending</v>
      </c>
      <c r="P132" s="38"/>
    </row>
    <row r="133" customFormat="false" ht="15" hidden="false" customHeight="true" outlineLevel="0" collapsed="false">
      <c r="B133" s="38" t="n">
        <v>69</v>
      </c>
      <c r="C133" s="38" t="s">
        <v>760</v>
      </c>
      <c r="D133" s="38" t="s">
        <v>760</v>
      </c>
      <c r="E133" s="38" t="s">
        <v>791</v>
      </c>
      <c r="F133" s="38" t="s">
        <v>792</v>
      </c>
      <c r="G133" s="38" t="s">
        <v>208</v>
      </c>
      <c r="H133" s="38" t="s">
        <v>450</v>
      </c>
      <c r="I133" s="38" t="s">
        <v>793</v>
      </c>
      <c r="J133" s="38" t="s">
        <v>794</v>
      </c>
      <c r="K133" s="38" t="s">
        <v>453</v>
      </c>
      <c r="L133" s="38"/>
      <c r="M133" s="38"/>
      <c r="N133" s="38" t="s">
        <v>454</v>
      </c>
      <c r="O133" s="39" t="str">
        <f aca="false">IF(ISBLANK(L133),"pending","estimated")</f>
        <v>pending</v>
      </c>
      <c r="P133" s="38"/>
    </row>
    <row r="134" customFormat="false" ht="15" hidden="false" customHeight="true" outlineLevel="0" collapsed="false">
      <c r="B134" s="38" t="n">
        <v>69</v>
      </c>
      <c r="C134" s="38" t="s">
        <v>760</v>
      </c>
      <c r="D134" s="38" t="s">
        <v>760</v>
      </c>
      <c r="E134" s="38" t="s">
        <v>791</v>
      </c>
      <c r="F134" s="38" t="s">
        <v>792</v>
      </c>
      <c r="G134" s="38" t="s">
        <v>208</v>
      </c>
      <c r="H134" s="38" t="s">
        <v>415</v>
      </c>
      <c r="I134" s="38" t="s">
        <v>795</v>
      </c>
      <c r="J134" s="38" t="s">
        <v>796</v>
      </c>
      <c r="K134" s="38" t="s">
        <v>453</v>
      </c>
      <c r="L134" s="38"/>
      <c r="M134" s="38"/>
      <c r="N134" s="38" t="s">
        <v>454</v>
      </c>
      <c r="O134" s="39" t="str">
        <f aca="false">IF(ISBLANK(L134),"pending","estimated")</f>
        <v>pending</v>
      </c>
      <c r="P134" s="38"/>
    </row>
    <row r="135" customFormat="false" ht="15" hidden="false" customHeight="true" outlineLevel="0" collapsed="false">
      <c r="B135" s="38" t="n">
        <v>70</v>
      </c>
      <c r="C135" s="38" t="s">
        <v>760</v>
      </c>
      <c r="D135" s="38" t="s">
        <v>760</v>
      </c>
      <c r="E135" s="38" t="s">
        <v>797</v>
      </c>
      <c r="F135" s="38" t="s">
        <v>798</v>
      </c>
      <c r="G135" s="38" t="s">
        <v>208</v>
      </c>
      <c r="H135" s="38" t="s">
        <v>450</v>
      </c>
      <c r="I135" s="38" t="s">
        <v>795</v>
      </c>
      <c r="J135" s="38" t="s">
        <v>799</v>
      </c>
      <c r="K135" s="38" t="s">
        <v>453</v>
      </c>
      <c r="L135" s="38"/>
      <c r="M135" s="38"/>
      <c r="N135" s="38" t="s">
        <v>454</v>
      </c>
      <c r="O135" s="39" t="str">
        <f aca="false">IF(ISBLANK(L135),"pending","estimated")</f>
        <v>pending</v>
      </c>
      <c r="P135" s="38"/>
    </row>
    <row r="136" customFormat="false" ht="15" hidden="false" customHeight="true" outlineLevel="0" collapsed="false">
      <c r="B136" s="38" t="n">
        <v>71</v>
      </c>
      <c r="C136" s="38" t="s">
        <v>760</v>
      </c>
      <c r="D136" s="38" t="s">
        <v>760</v>
      </c>
      <c r="E136" s="38" t="s">
        <v>800</v>
      </c>
      <c r="F136" s="38" t="s">
        <v>801</v>
      </c>
      <c r="G136" s="38" t="s">
        <v>208</v>
      </c>
      <c r="H136" s="38" t="s">
        <v>450</v>
      </c>
      <c r="I136" s="38" t="s">
        <v>802</v>
      </c>
      <c r="J136" s="38" t="s">
        <v>803</v>
      </c>
      <c r="K136" s="38" t="s">
        <v>453</v>
      </c>
      <c r="L136" s="38"/>
      <c r="M136" s="38"/>
      <c r="N136" s="38" t="s">
        <v>454</v>
      </c>
      <c r="O136" s="39" t="str">
        <f aca="false">IF(ISBLANK(L136),"pending","estimated")</f>
        <v>pending</v>
      </c>
      <c r="P136" s="38"/>
    </row>
    <row r="137" customFormat="false" ht="15" hidden="false" customHeight="true" outlineLevel="0" collapsed="false">
      <c r="B137" s="38" t="n">
        <v>71</v>
      </c>
      <c r="C137" s="38" t="s">
        <v>760</v>
      </c>
      <c r="D137" s="38" t="s">
        <v>760</v>
      </c>
      <c r="E137" s="38" t="s">
        <v>800</v>
      </c>
      <c r="F137" s="38" t="s">
        <v>801</v>
      </c>
      <c r="G137" s="38" t="s">
        <v>208</v>
      </c>
      <c r="H137" s="38" t="s">
        <v>415</v>
      </c>
      <c r="I137" s="38" t="s">
        <v>804</v>
      </c>
      <c r="J137" s="38" t="s">
        <v>805</v>
      </c>
      <c r="K137" s="38" t="s">
        <v>453</v>
      </c>
      <c r="L137" s="38"/>
      <c r="M137" s="38"/>
      <c r="N137" s="38" t="s">
        <v>454</v>
      </c>
      <c r="O137" s="39" t="str">
        <f aca="false">IF(ISBLANK(L137),"pending","estimated")</f>
        <v>pending</v>
      </c>
      <c r="P137" s="38"/>
    </row>
    <row r="138" customFormat="false" ht="15" hidden="false" customHeight="true" outlineLevel="0" collapsed="false">
      <c r="B138" s="38" t="n">
        <v>72</v>
      </c>
      <c r="C138" s="38" t="s">
        <v>760</v>
      </c>
      <c r="D138" s="38" t="s">
        <v>760</v>
      </c>
      <c r="E138" s="38" t="s">
        <v>806</v>
      </c>
      <c r="F138" s="38" t="s">
        <v>807</v>
      </c>
      <c r="G138" s="38" t="s">
        <v>208</v>
      </c>
      <c r="H138" s="38" t="s">
        <v>450</v>
      </c>
      <c r="I138" s="38" t="s">
        <v>808</v>
      </c>
      <c r="J138" s="38" t="s">
        <v>809</v>
      </c>
      <c r="K138" s="38" t="s">
        <v>453</v>
      </c>
      <c r="L138" s="38"/>
      <c r="M138" s="38"/>
      <c r="N138" s="38" t="s">
        <v>454</v>
      </c>
      <c r="O138" s="39" t="str">
        <f aca="false">IF(ISBLANK(L138),"pending","estimated")</f>
        <v>pending</v>
      </c>
      <c r="P138" s="38"/>
    </row>
    <row r="139" customFormat="false" ht="15" hidden="false" customHeight="true" outlineLevel="0" collapsed="false">
      <c r="B139" s="38" t="n">
        <v>73</v>
      </c>
      <c r="C139" s="38" t="s">
        <v>810</v>
      </c>
      <c r="D139" s="38" t="s">
        <v>810</v>
      </c>
      <c r="E139" s="38" t="s">
        <v>811</v>
      </c>
      <c r="F139" s="38" t="s">
        <v>812</v>
      </c>
      <c r="G139" s="38" t="s">
        <v>208</v>
      </c>
      <c r="H139" s="38" t="s">
        <v>450</v>
      </c>
      <c r="I139" s="38" t="s">
        <v>813</v>
      </c>
      <c r="J139" s="38" t="s">
        <v>814</v>
      </c>
      <c r="K139" s="38" t="s">
        <v>453</v>
      </c>
      <c r="L139" s="38"/>
      <c r="M139" s="38"/>
      <c r="N139" s="38" t="s">
        <v>454</v>
      </c>
      <c r="O139" s="39" t="str">
        <f aca="false">IF(ISBLANK(L139),"pending","estimated")</f>
        <v>pending</v>
      </c>
      <c r="P139" s="38"/>
    </row>
    <row r="140" customFormat="false" ht="15" hidden="false" customHeight="true" outlineLevel="0" collapsed="false">
      <c r="B140" s="38" t="n">
        <v>73</v>
      </c>
      <c r="C140" s="38" t="s">
        <v>810</v>
      </c>
      <c r="D140" s="38" t="s">
        <v>810</v>
      </c>
      <c r="E140" s="38" t="s">
        <v>811</v>
      </c>
      <c r="F140" s="38" t="s">
        <v>812</v>
      </c>
      <c r="G140" s="38" t="s">
        <v>208</v>
      </c>
      <c r="H140" s="38" t="s">
        <v>415</v>
      </c>
      <c r="I140" s="38" t="s">
        <v>815</v>
      </c>
      <c r="J140" s="38" t="s">
        <v>816</v>
      </c>
      <c r="K140" s="38" t="s">
        <v>453</v>
      </c>
      <c r="L140" s="38"/>
      <c r="M140" s="38"/>
      <c r="N140" s="38" t="s">
        <v>454</v>
      </c>
      <c r="O140" s="39" t="str">
        <f aca="false">IF(ISBLANK(L140),"pending","estimated")</f>
        <v>pending</v>
      </c>
      <c r="P140" s="38"/>
    </row>
    <row r="141" customFormat="false" ht="15" hidden="false" customHeight="true" outlineLevel="0" collapsed="false">
      <c r="B141" s="38" t="n">
        <v>73</v>
      </c>
      <c r="C141" s="38" t="s">
        <v>810</v>
      </c>
      <c r="D141" s="38" t="s">
        <v>810</v>
      </c>
      <c r="E141" s="38" t="s">
        <v>811</v>
      </c>
      <c r="F141" s="38" t="s">
        <v>812</v>
      </c>
      <c r="G141" s="38" t="s">
        <v>208</v>
      </c>
      <c r="H141" s="38" t="s">
        <v>399</v>
      </c>
      <c r="I141" s="38" t="s">
        <v>817</v>
      </c>
      <c r="J141" s="38" t="s">
        <v>818</v>
      </c>
      <c r="K141" s="38" t="s">
        <v>464</v>
      </c>
      <c r="L141" s="38"/>
      <c r="M141" s="38"/>
      <c r="N141" s="38" t="s">
        <v>454</v>
      </c>
      <c r="O141" s="39" t="str">
        <f aca="false">IF(ISBLANK(L141),"pending","estimated")</f>
        <v>pending</v>
      </c>
      <c r="P141" s="38"/>
    </row>
    <row r="142" customFormat="false" ht="15" hidden="false" customHeight="true" outlineLevel="0" collapsed="false">
      <c r="B142" s="38" t="n">
        <v>74</v>
      </c>
      <c r="C142" s="38" t="s">
        <v>810</v>
      </c>
      <c r="D142" s="38" t="s">
        <v>810</v>
      </c>
      <c r="E142" s="38" t="s">
        <v>819</v>
      </c>
      <c r="F142" s="38" t="s">
        <v>820</v>
      </c>
      <c r="G142" s="38" t="s">
        <v>208</v>
      </c>
      <c r="H142" s="38" t="s">
        <v>450</v>
      </c>
      <c r="I142" s="38" t="s">
        <v>821</v>
      </c>
      <c r="J142" s="38" t="s">
        <v>822</v>
      </c>
      <c r="K142" s="38" t="s">
        <v>453</v>
      </c>
      <c r="L142" s="38"/>
      <c r="M142" s="38"/>
      <c r="N142" s="38" t="s">
        <v>454</v>
      </c>
      <c r="O142" s="39" t="str">
        <f aca="false">IF(ISBLANK(L142),"pending","estimated")</f>
        <v>pending</v>
      </c>
      <c r="P142" s="38"/>
    </row>
    <row r="143" customFormat="false" ht="15" hidden="false" customHeight="true" outlineLevel="0" collapsed="false">
      <c r="B143" s="38" t="n">
        <v>74</v>
      </c>
      <c r="C143" s="38" t="s">
        <v>810</v>
      </c>
      <c r="D143" s="38" t="s">
        <v>810</v>
      </c>
      <c r="E143" s="38" t="s">
        <v>819</v>
      </c>
      <c r="F143" s="38" t="s">
        <v>820</v>
      </c>
      <c r="G143" s="38" t="s">
        <v>208</v>
      </c>
      <c r="H143" s="38" t="s">
        <v>415</v>
      </c>
      <c r="I143" s="38" t="s">
        <v>821</v>
      </c>
      <c r="J143" s="38" t="s">
        <v>823</v>
      </c>
      <c r="K143" s="38" t="s">
        <v>453</v>
      </c>
      <c r="L143" s="38"/>
      <c r="M143" s="38"/>
      <c r="N143" s="38" t="s">
        <v>454</v>
      </c>
      <c r="O143" s="39" t="str">
        <f aca="false">IF(ISBLANK(L143),"pending","estimated")</f>
        <v>pending</v>
      </c>
      <c r="P143" s="38"/>
    </row>
    <row r="144" customFormat="false" ht="15" hidden="false" customHeight="true" outlineLevel="0" collapsed="false">
      <c r="B144" s="38" t="n">
        <v>74</v>
      </c>
      <c r="C144" s="38" t="s">
        <v>810</v>
      </c>
      <c r="D144" s="38" t="s">
        <v>810</v>
      </c>
      <c r="E144" s="38" t="s">
        <v>819</v>
      </c>
      <c r="F144" s="38" t="s">
        <v>820</v>
      </c>
      <c r="G144" s="38" t="s">
        <v>208</v>
      </c>
      <c r="H144" s="38" t="s">
        <v>399</v>
      </c>
      <c r="I144" s="38" t="s">
        <v>824</v>
      </c>
      <c r="J144" s="38" t="s">
        <v>825</v>
      </c>
      <c r="K144" s="38" t="s">
        <v>464</v>
      </c>
      <c r="L144" s="38"/>
      <c r="M144" s="38"/>
      <c r="N144" s="38" t="s">
        <v>454</v>
      </c>
      <c r="O144" s="39" t="str">
        <f aca="false">IF(ISBLANK(L144),"pending","estimated")</f>
        <v>pending</v>
      </c>
      <c r="P144" s="38"/>
    </row>
    <row r="145" customFormat="false" ht="15" hidden="false" customHeight="true" outlineLevel="0" collapsed="false">
      <c r="B145" s="38" t="n">
        <v>75</v>
      </c>
      <c r="C145" s="38" t="s">
        <v>810</v>
      </c>
      <c r="D145" s="38" t="s">
        <v>810</v>
      </c>
      <c r="E145" s="38" t="s">
        <v>826</v>
      </c>
      <c r="F145" s="38" t="s">
        <v>827</v>
      </c>
      <c r="G145" s="38" t="s">
        <v>208</v>
      </c>
      <c r="H145" s="38" t="s">
        <v>450</v>
      </c>
      <c r="I145" s="38" t="s">
        <v>828</v>
      </c>
      <c r="J145" s="38" t="s">
        <v>829</v>
      </c>
      <c r="K145" s="38" t="s">
        <v>453</v>
      </c>
      <c r="L145" s="38"/>
      <c r="M145" s="38"/>
      <c r="N145" s="38" t="s">
        <v>454</v>
      </c>
      <c r="O145" s="39" t="str">
        <f aca="false">IF(ISBLANK(L145),"pending","estimated")</f>
        <v>pending</v>
      </c>
      <c r="P145" s="38"/>
    </row>
    <row r="146" customFormat="false" ht="15" hidden="false" customHeight="true" outlineLevel="0" collapsed="false">
      <c r="B146" s="38" t="n">
        <v>75</v>
      </c>
      <c r="C146" s="38" t="s">
        <v>810</v>
      </c>
      <c r="D146" s="38" t="s">
        <v>810</v>
      </c>
      <c r="E146" s="38" t="s">
        <v>826</v>
      </c>
      <c r="F146" s="38" t="s">
        <v>827</v>
      </c>
      <c r="G146" s="38" t="s">
        <v>208</v>
      </c>
      <c r="H146" s="38" t="s">
        <v>370</v>
      </c>
      <c r="I146" s="38" t="s">
        <v>830</v>
      </c>
      <c r="J146" s="38" t="s">
        <v>831</v>
      </c>
      <c r="K146" s="38" t="s">
        <v>453</v>
      </c>
      <c r="L146" s="38"/>
      <c r="M146" s="38"/>
      <c r="N146" s="38" t="s">
        <v>454</v>
      </c>
      <c r="O146" s="39" t="str">
        <f aca="false">IF(ISBLANK(L146),"pending","estimated")</f>
        <v>pending</v>
      </c>
      <c r="P146" s="38"/>
    </row>
    <row r="147" customFormat="false" ht="15" hidden="false" customHeight="true" outlineLevel="0" collapsed="false">
      <c r="B147" s="38" t="n">
        <v>75</v>
      </c>
      <c r="C147" s="38" t="s">
        <v>810</v>
      </c>
      <c r="D147" s="38" t="s">
        <v>810</v>
      </c>
      <c r="E147" s="38" t="s">
        <v>826</v>
      </c>
      <c r="F147" s="38" t="s">
        <v>827</v>
      </c>
      <c r="G147" s="38" t="s">
        <v>208</v>
      </c>
      <c r="H147" s="38" t="s">
        <v>415</v>
      </c>
      <c r="I147" s="38" t="s">
        <v>832</v>
      </c>
      <c r="J147" s="38" t="s">
        <v>833</v>
      </c>
      <c r="K147" s="38" t="s">
        <v>453</v>
      </c>
      <c r="L147" s="38"/>
      <c r="M147" s="38"/>
      <c r="N147" s="38" t="s">
        <v>454</v>
      </c>
      <c r="O147" s="39" t="str">
        <f aca="false">IF(ISBLANK(L147),"pending","estimated")</f>
        <v>pending</v>
      </c>
      <c r="P147" s="38"/>
    </row>
    <row r="148" customFormat="false" ht="15" hidden="false" customHeight="true" outlineLevel="0" collapsed="false">
      <c r="B148" s="38" t="n">
        <v>76</v>
      </c>
      <c r="C148" s="38" t="s">
        <v>810</v>
      </c>
      <c r="D148" s="38" t="s">
        <v>810</v>
      </c>
      <c r="E148" s="38" t="s">
        <v>834</v>
      </c>
      <c r="F148" s="38" t="s">
        <v>835</v>
      </c>
      <c r="G148" s="38" t="s">
        <v>208</v>
      </c>
      <c r="H148" s="38" t="s">
        <v>450</v>
      </c>
      <c r="I148" s="38" t="s">
        <v>836</v>
      </c>
      <c r="J148" s="38" t="s">
        <v>837</v>
      </c>
      <c r="K148" s="38" t="s">
        <v>453</v>
      </c>
      <c r="L148" s="38"/>
      <c r="M148" s="38"/>
      <c r="N148" s="38" t="s">
        <v>454</v>
      </c>
      <c r="O148" s="39" t="str">
        <f aca="false">IF(ISBLANK(L148),"pending","estimated")</f>
        <v>pending</v>
      </c>
      <c r="P148" s="38"/>
    </row>
    <row r="149" customFormat="false" ht="15" hidden="false" customHeight="true" outlineLevel="0" collapsed="false">
      <c r="B149" s="38" t="n">
        <v>76</v>
      </c>
      <c r="C149" s="38" t="s">
        <v>810</v>
      </c>
      <c r="D149" s="38" t="s">
        <v>810</v>
      </c>
      <c r="E149" s="38" t="s">
        <v>834</v>
      </c>
      <c r="F149" s="38" t="s">
        <v>835</v>
      </c>
      <c r="G149" s="38" t="s">
        <v>208</v>
      </c>
      <c r="H149" s="38" t="s">
        <v>370</v>
      </c>
      <c r="I149" s="38" t="s">
        <v>527</v>
      </c>
      <c r="J149" s="38" t="s">
        <v>838</v>
      </c>
      <c r="K149" s="38" t="s">
        <v>453</v>
      </c>
      <c r="L149" s="38"/>
      <c r="M149" s="38"/>
      <c r="N149" s="38" t="s">
        <v>454</v>
      </c>
      <c r="O149" s="39" t="str">
        <f aca="false">IF(ISBLANK(L149),"pending","estimated")</f>
        <v>pending</v>
      </c>
      <c r="P149" s="38"/>
    </row>
    <row r="150" customFormat="false" ht="15" hidden="false" customHeight="true" outlineLevel="0" collapsed="false">
      <c r="B150" s="38" t="n">
        <v>76</v>
      </c>
      <c r="C150" s="38" t="s">
        <v>810</v>
      </c>
      <c r="D150" s="38" t="s">
        <v>810</v>
      </c>
      <c r="E150" s="38" t="s">
        <v>834</v>
      </c>
      <c r="F150" s="38" t="s">
        <v>835</v>
      </c>
      <c r="G150" s="38" t="s">
        <v>208</v>
      </c>
      <c r="H150" s="38" t="s">
        <v>415</v>
      </c>
      <c r="I150" s="38" t="s">
        <v>839</v>
      </c>
      <c r="J150" s="38" t="s">
        <v>840</v>
      </c>
      <c r="K150" s="38" t="s">
        <v>453</v>
      </c>
      <c r="L150" s="38"/>
      <c r="M150" s="38"/>
      <c r="N150" s="38" t="s">
        <v>454</v>
      </c>
      <c r="O150" s="39" t="str">
        <f aca="false">IF(ISBLANK(L150),"pending","estimated")</f>
        <v>pending</v>
      </c>
      <c r="P150" s="38"/>
    </row>
    <row r="151" customFormat="false" ht="15" hidden="false" customHeight="true" outlineLevel="0" collapsed="false">
      <c r="B151" s="38" t="n">
        <v>76</v>
      </c>
      <c r="C151" s="38" t="s">
        <v>810</v>
      </c>
      <c r="D151" s="38" t="s">
        <v>810</v>
      </c>
      <c r="E151" s="38" t="s">
        <v>834</v>
      </c>
      <c r="F151" s="38" t="s">
        <v>835</v>
      </c>
      <c r="G151" s="38" t="s">
        <v>208</v>
      </c>
      <c r="H151" s="38" t="s">
        <v>399</v>
      </c>
      <c r="I151" s="38" t="s">
        <v>841</v>
      </c>
      <c r="J151" s="38" t="s">
        <v>842</v>
      </c>
      <c r="K151" s="38" t="s">
        <v>464</v>
      </c>
      <c r="L151" s="38"/>
      <c r="M151" s="38"/>
      <c r="N151" s="38" t="s">
        <v>454</v>
      </c>
      <c r="O151" s="39" t="str">
        <f aca="false">IF(ISBLANK(L151),"pending","estimated")</f>
        <v>pending</v>
      </c>
      <c r="P151" s="38"/>
    </row>
    <row r="152" customFormat="false" ht="15" hidden="false" customHeight="true" outlineLevel="0" collapsed="false">
      <c r="B152" s="38" t="n">
        <v>77</v>
      </c>
      <c r="C152" s="38" t="s">
        <v>810</v>
      </c>
      <c r="D152" s="38" t="s">
        <v>810</v>
      </c>
      <c r="E152" s="38" t="s">
        <v>843</v>
      </c>
      <c r="F152" s="38" t="s">
        <v>844</v>
      </c>
      <c r="G152" s="38" t="s">
        <v>208</v>
      </c>
      <c r="H152" s="38" t="s">
        <v>450</v>
      </c>
      <c r="I152" s="38" t="s">
        <v>845</v>
      </c>
      <c r="J152" s="38" t="s">
        <v>846</v>
      </c>
      <c r="K152" s="38" t="s">
        <v>453</v>
      </c>
      <c r="L152" s="38"/>
      <c r="M152" s="38"/>
      <c r="N152" s="38" t="s">
        <v>454</v>
      </c>
      <c r="O152" s="39" t="str">
        <f aca="false">IF(ISBLANK(L152),"pending","estimated")</f>
        <v>pending</v>
      </c>
      <c r="P152" s="38"/>
    </row>
    <row r="153" customFormat="false" ht="15" hidden="false" customHeight="true" outlineLevel="0" collapsed="false">
      <c r="B153" s="38" t="n">
        <v>77</v>
      </c>
      <c r="C153" s="38" t="s">
        <v>810</v>
      </c>
      <c r="D153" s="38" t="s">
        <v>810</v>
      </c>
      <c r="E153" s="38" t="s">
        <v>843</v>
      </c>
      <c r="F153" s="38" t="s">
        <v>844</v>
      </c>
      <c r="G153" s="38" t="s">
        <v>208</v>
      </c>
      <c r="H153" s="38" t="s">
        <v>370</v>
      </c>
      <c r="I153" s="38" t="s">
        <v>527</v>
      </c>
      <c r="J153" s="38" t="s">
        <v>847</v>
      </c>
      <c r="K153" s="38" t="s">
        <v>453</v>
      </c>
      <c r="L153" s="38"/>
      <c r="M153" s="38"/>
      <c r="N153" s="38" t="s">
        <v>454</v>
      </c>
      <c r="O153" s="39" t="str">
        <f aca="false">IF(ISBLANK(L153),"pending","estimated")</f>
        <v>pending</v>
      </c>
      <c r="P153" s="38"/>
    </row>
    <row r="154" customFormat="false" ht="15" hidden="false" customHeight="true" outlineLevel="0" collapsed="false">
      <c r="B154" s="38" t="n">
        <v>77</v>
      </c>
      <c r="C154" s="38" t="s">
        <v>810</v>
      </c>
      <c r="D154" s="38" t="s">
        <v>810</v>
      </c>
      <c r="E154" s="38" t="s">
        <v>843</v>
      </c>
      <c r="F154" s="38" t="s">
        <v>844</v>
      </c>
      <c r="G154" s="38" t="s">
        <v>208</v>
      </c>
      <c r="H154" s="38" t="s">
        <v>415</v>
      </c>
      <c r="I154" s="38" t="s">
        <v>845</v>
      </c>
      <c r="J154" s="38" t="s">
        <v>848</v>
      </c>
      <c r="K154" s="38" t="s">
        <v>453</v>
      </c>
      <c r="L154" s="38"/>
      <c r="M154" s="38"/>
      <c r="N154" s="38" t="s">
        <v>454</v>
      </c>
      <c r="O154" s="39" t="str">
        <f aca="false">IF(ISBLANK(L154),"pending","estimated")</f>
        <v>pending</v>
      </c>
      <c r="P154" s="38"/>
    </row>
    <row r="155" customFormat="false" ht="15" hidden="false" customHeight="true" outlineLevel="0" collapsed="false">
      <c r="B155" s="38" t="n">
        <v>77</v>
      </c>
      <c r="C155" s="38" t="s">
        <v>810</v>
      </c>
      <c r="D155" s="38" t="s">
        <v>810</v>
      </c>
      <c r="E155" s="38" t="s">
        <v>843</v>
      </c>
      <c r="F155" s="38" t="s">
        <v>844</v>
      </c>
      <c r="G155" s="38" t="s">
        <v>208</v>
      </c>
      <c r="H155" s="38" t="s">
        <v>399</v>
      </c>
      <c r="I155" s="38" t="s">
        <v>849</v>
      </c>
      <c r="J155" s="38" t="s">
        <v>850</v>
      </c>
      <c r="K155" s="38" t="s">
        <v>464</v>
      </c>
      <c r="L155" s="38"/>
      <c r="M155" s="38"/>
      <c r="N155" s="38" t="s">
        <v>454</v>
      </c>
      <c r="O155" s="39" t="str">
        <f aca="false">IF(ISBLANK(L155),"pending","estimated")</f>
        <v>pending</v>
      </c>
      <c r="P155" s="38"/>
    </row>
    <row r="156" customFormat="false" ht="15" hidden="false" customHeight="true" outlineLevel="0" collapsed="false">
      <c r="B156" s="38" t="n">
        <v>78</v>
      </c>
      <c r="C156" s="38" t="s">
        <v>810</v>
      </c>
      <c r="D156" s="38" t="s">
        <v>810</v>
      </c>
      <c r="E156" s="38" t="s">
        <v>851</v>
      </c>
      <c r="F156" s="38" t="s">
        <v>852</v>
      </c>
      <c r="G156" s="38" t="s">
        <v>208</v>
      </c>
      <c r="H156" s="38" t="s">
        <v>450</v>
      </c>
      <c r="I156" s="38" t="s">
        <v>853</v>
      </c>
      <c r="J156" s="38" t="s">
        <v>854</v>
      </c>
      <c r="K156" s="38" t="s">
        <v>453</v>
      </c>
      <c r="L156" s="38"/>
      <c r="M156" s="38"/>
      <c r="N156" s="38" t="s">
        <v>454</v>
      </c>
      <c r="O156" s="39" t="str">
        <f aca="false">IF(ISBLANK(L156),"pending","estimated")</f>
        <v>pending</v>
      </c>
      <c r="P156" s="38"/>
    </row>
    <row r="157" customFormat="false" ht="15" hidden="false" customHeight="true" outlineLevel="0" collapsed="false">
      <c r="B157" s="38" t="n">
        <v>78</v>
      </c>
      <c r="C157" s="38" t="s">
        <v>810</v>
      </c>
      <c r="D157" s="38" t="s">
        <v>810</v>
      </c>
      <c r="E157" s="38" t="s">
        <v>851</v>
      </c>
      <c r="F157" s="38" t="s">
        <v>852</v>
      </c>
      <c r="G157" s="38" t="s">
        <v>208</v>
      </c>
      <c r="H157" s="38" t="s">
        <v>415</v>
      </c>
      <c r="I157" s="38" t="s">
        <v>853</v>
      </c>
      <c r="J157" s="38" t="s">
        <v>855</v>
      </c>
      <c r="K157" s="38" t="s">
        <v>453</v>
      </c>
      <c r="L157" s="38"/>
      <c r="M157" s="38"/>
      <c r="N157" s="38" t="s">
        <v>454</v>
      </c>
      <c r="O157" s="39" t="str">
        <f aca="false">IF(ISBLANK(L157),"pending","estimated")</f>
        <v>pending</v>
      </c>
      <c r="P157" s="38"/>
    </row>
    <row r="158" customFormat="false" ht="15" hidden="false" customHeight="true" outlineLevel="0" collapsed="false">
      <c r="B158" s="38" t="n">
        <v>78</v>
      </c>
      <c r="C158" s="38" t="s">
        <v>810</v>
      </c>
      <c r="D158" s="38" t="s">
        <v>810</v>
      </c>
      <c r="E158" s="38" t="s">
        <v>851</v>
      </c>
      <c r="F158" s="38" t="s">
        <v>852</v>
      </c>
      <c r="G158" s="38" t="s">
        <v>208</v>
      </c>
      <c r="H158" s="38" t="s">
        <v>399</v>
      </c>
      <c r="I158" s="38" t="s">
        <v>856</v>
      </c>
      <c r="J158" s="38" t="s">
        <v>857</v>
      </c>
      <c r="K158" s="38" t="s">
        <v>464</v>
      </c>
      <c r="L158" s="38"/>
      <c r="M158" s="38"/>
      <c r="N158" s="38" t="s">
        <v>454</v>
      </c>
      <c r="O158" s="39" t="str">
        <f aca="false">IF(ISBLANK(L158),"pending","estimated")</f>
        <v>pending</v>
      </c>
      <c r="P158" s="38"/>
    </row>
    <row r="159" customFormat="false" ht="15" hidden="false" customHeight="true" outlineLevel="0" collapsed="false">
      <c r="B159" s="38" t="n">
        <v>82</v>
      </c>
      <c r="C159" s="38" t="s">
        <v>858</v>
      </c>
      <c r="D159" s="38" t="s">
        <v>128</v>
      </c>
      <c r="E159" s="38" t="s">
        <v>859</v>
      </c>
      <c r="F159" s="38" t="s">
        <v>860</v>
      </c>
      <c r="G159" s="38" t="s">
        <v>208</v>
      </c>
      <c r="H159" s="38" t="s">
        <v>370</v>
      </c>
      <c r="I159" s="38" t="s">
        <v>861</v>
      </c>
      <c r="J159" s="38" t="s">
        <v>862</v>
      </c>
      <c r="K159" s="38" t="s">
        <v>453</v>
      </c>
      <c r="L159" s="38"/>
      <c r="M159" s="38"/>
      <c r="N159" s="38" t="s">
        <v>454</v>
      </c>
      <c r="O159" s="39" t="str">
        <f aca="false">IF(ISBLANK(L159),"pending","estimated")</f>
        <v>pending</v>
      </c>
      <c r="P159" s="38"/>
    </row>
    <row r="160" customFormat="false" ht="15" hidden="false" customHeight="true" outlineLevel="0" collapsed="false">
      <c r="B160" s="38" t="n">
        <v>82</v>
      </c>
      <c r="C160" s="38" t="s">
        <v>858</v>
      </c>
      <c r="D160" s="38" t="s">
        <v>128</v>
      </c>
      <c r="E160" s="38" t="s">
        <v>859</v>
      </c>
      <c r="F160" s="38" t="s">
        <v>860</v>
      </c>
      <c r="G160" s="38" t="s">
        <v>208</v>
      </c>
      <c r="H160" s="38" t="s">
        <v>599</v>
      </c>
      <c r="I160" s="38" t="s">
        <v>863</v>
      </c>
      <c r="J160" s="38" t="s">
        <v>864</v>
      </c>
      <c r="K160" s="38" t="s">
        <v>602</v>
      </c>
      <c r="L160" s="38"/>
      <c r="M160" s="38"/>
      <c r="N160" s="38" t="s">
        <v>454</v>
      </c>
      <c r="O160" s="39" t="str">
        <f aca="false">IF(ISBLANK(L160),"pending","estimated")</f>
        <v>pending</v>
      </c>
      <c r="P160" s="38"/>
    </row>
    <row r="161" customFormat="false" ht="15" hidden="false" customHeight="true" outlineLevel="0" collapsed="false">
      <c r="B161" s="38" t="n">
        <v>83</v>
      </c>
      <c r="C161" s="38" t="s">
        <v>858</v>
      </c>
      <c r="D161" s="38" t="s">
        <v>128</v>
      </c>
      <c r="E161" s="38" t="s">
        <v>865</v>
      </c>
      <c r="F161" s="38" t="s">
        <v>866</v>
      </c>
      <c r="G161" s="38" t="s">
        <v>208</v>
      </c>
      <c r="H161" s="38" t="s">
        <v>370</v>
      </c>
      <c r="I161" s="38" t="s">
        <v>867</v>
      </c>
      <c r="J161" s="38" t="s">
        <v>868</v>
      </c>
      <c r="K161" s="38" t="s">
        <v>453</v>
      </c>
      <c r="L161" s="38"/>
      <c r="M161" s="38"/>
      <c r="N161" s="38" t="s">
        <v>454</v>
      </c>
      <c r="O161" s="39" t="str">
        <f aca="false">IF(ISBLANK(L161),"pending","estimated")</f>
        <v>pending</v>
      </c>
      <c r="P161" s="38"/>
    </row>
    <row r="162" customFormat="false" ht="15" hidden="false" customHeight="true" outlineLevel="0" collapsed="false">
      <c r="B162" s="38" t="n">
        <v>83</v>
      </c>
      <c r="C162" s="38" t="s">
        <v>858</v>
      </c>
      <c r="D162" s="38" t="s">
        <v>128</v>
      </c>
      <c r="E162" s="38" t="s">
        <v>865</v>
      </c>
      <c r="F162" s="38" t="s">
        <v>866</v>
      </c>
      <c r="G162" s="38" t="s">
        <v>208</v>
      </c>
      <c r="H162" s="38" t="s">
        <v>389</v>
      </c>
      <c r="I162" s="38" t="s">
        <v>869</v>
      </c>
      <c r="J162" s="38" t="s">
        <v>870</v>
      </c>
      <c r="K162" s="38" t="s">
        <v>453</v>
      </c>
      <c r="L162" s="38"/>
      <c r="M162" s="38"/>
      <c r="N162" s="38" t="s">
        <v>454</v>
      </c>
      <c r="O162" s="39" t="str">
        <f aca="false">IF(ISBLANK(L162),"pending","estimated")</f>
        <v>pending</v>
      </c>
      <c r="P162" s="38"/>
    </row>
    <row r="163" customFormat="false" ht="15" hidden="false" customHeight="true" outlineLevel="0" collapsed="false">
      <c r="B163" s="38" t="n">
        <v>83</v>
      </c>
      <c r="C163" s="38" t="s">
        <v>858</v>
      </c>
      <c r="D163" s="38" t="s">
        <v>128</v>
      </c>
      <c r="E163" s="38" t="s">
        <v>865</v>
      </c>
      <c r="F163" s="38" t="s">
        <v>866</v>
      </c>
      <c r="G163" s="38" t="s">
        <v>208</v>
      </c>
      <c r="H163" s="38" t="s">
        <v>599</v>
      </c>
      <c r="I163" s="38" t="s">
        <v>863</v>
      </c>
      <c r="J163" s="38" t="s">
        <v>871</v>
      </c>
      <c r="K163" s="38" t="s">
        <v>602</v>
      </c>
      <c r="L163" s="38"/>
      <c r="M163" s="38"/>
      <c r="N163" s="38" t="s">
        <v>454</v>
      </c>
      <c r="O163" s="39" t="str">
        <f aca="false">IF(ISBLANK(L163),"pending","estimated")</f>
        <v>pending</v>
      </c>
      <c r="P163" s="38"/>
    </row>
    <row r="164" customFormat="false" ht="15" hidden="false" customHeight="true" outlineLevel="0" collapsed="false">
      <c r="B164" s="38" t="n">
        <v>84</v>
      </c>
      <c r="C164" s="38" t="s">
        <v>858</v>
      </c>
      <c r="D164" s="38" t="s">
        <v>128</v>
      </c>
      <c r="E164" s="38" t="s">
        <v>872</v>
      </c>
      <c r="F164" s="38" t="s">
        <v>873</v>
      </c>
      <c r="G164" s="38" t="s">
        <v>208</v>
      </c>
      <c r="H164" s="38" t="s">
        <v>370</v>
      </c>
      <c r="I164" s="38" t="s">
        <v>874</v>
      </c>
      <c r="J164" s="38" t="s">
        <v>875</v>
      </c>
      <c r="K164" s="38" t="s">
        <v>453</v>
      </c>
      <c r="L164" s="38"/>
      <c r="M164" s="38"/>
      <c r="N164" s="38" t="s">
        <v>454</v>
      </c>
      <c r="O164" s="39" t="str">
        <f aca="false">IF(ISBLANK(L164),"pending","estimated")</f>
        <v>pending</v>
      </c>
      <c r="P164" s="38"/>
    </row>
    <row r="165" customFormat="false" ht="15" hidden="false" customHeight="true" outlineLevel="0" collapsed="false">
      <c r="B165" s="38" t="n">
        <v>84</v>
      </c>
      <c r="C165" s="38" t="s">
        <v>858</v>
      </c>
      <c r="D165" s="38" t="s">
        <v>128</v>
      </c>
      <c r="E165" s="38" t="s">
        <v>872</v>
      </c>
      <c r="F165" s="38" t="s">
        <v>873</v>
      </c>
      <c r="G165" s="38" t="s">
        <v>208</v>
      </c>
      <c r="H165" s="38" t="s">
        <v>389</v>
      </c>
      <c r="I165" s="38" t="s">
        <v>876</v>
      </c>
      <c r="J165" s="38" t="s">
        <v>877</v>
      </c>
      <c r="K165" s="38" t="s">
        <v>453</v>
      </c>
      <c r="L165" s="38"/>
      <c r="M165" s="38"/>
      <c r="N165" s="38" t="s">
        <v>454</v>
      </c>
      <c r="O165" s="39" t="str">
        <f aca="false">IF(ISBLANK(L165),"pending","estimated")</f>
        <v>pending</v>
      </c>
      <c r="P165" s="38"/>
    </row>
    <row r="166" customFormat="false" ht="15" hidden="false" customHeight="true" outlineLevel="0" collapsed="false">
      <c r="B166" s="38" t="n">
        <v>84</v>
      </c>
      <c r="C166" s="38" t="s">
        <v>858</v>
      </c>
      <c r="D166" s="38" t="s">
        <v>128</v>
      </c>
      <c r="E166" s="38" t="s">
        <v>872</v>
      </c>
      <c r="F166" s="38" t="s">
        <v>873</v>
      </c>
      <c r="G166" s="38" t="s">
        <v>208</v>
      </c>
      <c r="H166" s="38" t="s">
        <v>599</v>
      </c>
      <c r="I166" s="38" t="s">
        <v>878</v>
      </c>
      <c r="J166" s="38" t="s">
        <v>879</v>
      </c>
      <c r="K166" s="38" t="s">
        <v>602</v>
      </c>
      <c r="L166" s="38"/>
      <c r="M166" s="38"/>
      <c r="N166" s="38" t="s">
        <v>454</v>
      </c>
      <c r="O166" s="39" t="str">
        <f aca="false">IF(ISBLANK(L166),"pending","estimated")</f>
        <v>pending</v>
      </c>
      <c r="P166" s="38"/>
    </row>
    <row r="167" customFormat="false" ht="15" hidden="false" customHeight="true" outlineLevel="0" collapsed="false">
      <c r="B167" s="38" t="n">
        <v>85</v>
      </c>
      <c r="C167" s="38" t="s">
        <v>858</v>
      </c>
      <c r="D167" s="38" t="s">
        <v>128</v>
      </c>
      <c r="E167" s="38" t="s">
        <v>880</v>
      </c>
      <c r="F167" s="38" t="s">
        <v>881</v>
      </c>
      <c r="G167" s="38" t="s">
        <v>208</v>
      </c>
      <c r="H167" s="38" t="s">
        <v>370</v>
      </c>
      <c r="I167" s="38" t="s">
        <v>882</v>
      </c>
      <c r="J167" s="38" t="s">
        <v>883</v>
      </c>
      <c r="K167" s="38" t="s">
        <v>453</v>
      </c>
      <c r="L167" s="38"/>
      <c r="M167" s="38"/>
      <c r="N167" s="38" t="s">
        <v>454</v>
      </c>
      <c r="O167" s="39" t="str">
        <f aca="false">IF(ISBLANK(L167),"pending","estimated")</f>
        <v>pending</v>
      </c>
      <c r="P167" s="38"/>
    </row>
    <row r="168" customFormat="false" ht="15" hidden="false" customHeight="true" outlineLevel="0" collapsed="false">
      <c r="B168" s="38" t="n">
        <v>85</v>
      </c>
      <c r="C168" s="38" t="s">
        <v>858</v>
      </c>
      <c r="D168" s="38" t="s">
        <v>128</v>
      </c>
      <c r="E168" s="38" t="s">
        <v>880</v>
      </c>
      <c r="F168" s="38" t="s">
        <v>881</v>
      </c>
      <c r="G168" s="38" t="s">
        <v>208</v>
      </c>
      <c r="H168" s="38" t="s">
        <v>389</v>
      </c>
      <c r="I168" s="38" t="s">
        <v>884</v>
      </c>
      <c r="J168" s="38" t="s">
        <v>885</v>
      </c>
      <c r="K168" s="38" t="s">
        <v>453</v>
      </c>
      <c r="L168" s="38"/>
      <c r="M168" s="38"/>
      <c r="N168" s="38" t="s">
        <v>454</v>
      </c>
      <c r="O168" s="39" t="str">
        <f aca="false">IF(ISBLANK(L168),"pending","estimated")</f>
        <v>pending</v>
      </c>
      <c r="P168" s="38"/>
    </row>
    <row r="169" customFormat="false" ht="15" hidden="false" customHeight="true" outlineLevel="0" collapsed="false">
      <c r="B169" s="38" t="n">
        <v>85</v>
      </c>
      <c r="C169" s="38" t="s">
        <v>858</v>
      </c>
      <c r="D169" s="38" t="s">
        <v>128</v>
      </c>
      <c r="E169" s="38" t="s">
        <v>880</v>
      </c>
      <c r="F169" s="38" t="s">
        <v>881</v>
      </c>
      <c r="G169" s="38" t="s">
        <v>208</v>
      </c>
      <c r="H169" s="38" t="s">
        <v>599</v>
      </c>
      <c r="I169" s="38" t="s">
        <v>863</v>
      </c>
      <c r="J169" s="38" t="s">
        <v>886</v>
      </c>
      <c r="K169" s="38" t="s">
        <v>602</v>
      </c>
      <c r="L169" s="38"/>
      <c r="M169" s="38"/>
      <c r="N169" s="38" t="s">
        <v>454</v>
      </c>
      <c r="O169" s="39" t="str">
        <f aca="false">IF(ISBLANK(L169),"pending","estimated")</f>
        <v>pending</v>
      </c>
      <c r="P169" s="38"/>
    </row>
    <row r="170" customFormat="false" ht="15" hidden="false" customHeight="true" outlineLevel="0" collapsed="false">
      <c r="B170" s="38" t="n">
        <v>86</v>
      </c>
      <c r="C170" s="38" t="s">
        <v>858</v>
      </c>
      <c r="D170" s="38" t="s">
        <v>128</v>
      </c>
      <c r="E170" s="38" t="s">
        <v>887</v>
      </c>
      <c r="F170" s="38" t="s">
        <v>888</v>
      </c>
      <c r="G170" s="38" t="s">
        <v>208</v>
      </c>
      <c r="H170" s="38" t="s">
        <v>370</v>
      </c>
      <c r="I170" s="38" t="s">
        <v>889</v>
      </c>
      <c r="J170" s="38" t="s">
        <v>890</v>
      </c>
      <c r="K170" s="38" t="s">
        <v>453</v>
      </c>
      <c r="L170" s="38"/>
      <c r="M170" s="38"/>
      <c r="N170" s="38" t="s">
        <v>454</v>
      </c>
      <c r="O170" s="39" t="str">
        <f aca="false">IF(ISBLANK(L170),"pending","estimated")</f>
        <v>pending</v>
      </c>
      <c r="P170" s="38"/>
    </row>
    <row r="171" customFormat="false" ht="15" hidden="false" customHeight="true" outlineLevel="0" collapsed="false">
      <c r="B171" s="38" t="n">
        <v>86</v>
      </c>
      <c r="C171" s="38" t="s">
        <v>858</v>
      </c>
      <c r="D171" s="38" t="s">
        <v>128</v>
      </c>
      <c r="E171" s="38" t="s">
        <v>887</v>
      </c>
      <c r="F171" s="38" t="s">
        <v>888</v>
      </c>
      <c r="G171" s="38" t="s">
        <v>208</v>
      </c>
      <c r="H171" s="38" t="s">
        <v>389</v>
      </c>
      <c r="I171" s="38" t="s">
        <v>891</v>
      </c>
      <c r="J171" s="38" t="s">
        <v>892</v>
      </c>
      <c r="K171" s="38" t="s">
        <v>453</v>
      </c>
      <c r="L171" s="38"/>
      <c r="M171" s="38"/>
      <c r="N171" s="38" t="s">
        <v>454</v>
      </c>
      <c r="O171" s="39" t="str">
        <f aca="false">IF(ISBLANK(L171),"pending","estimated")</f>
        <v>pending</v>
      </c>
      <c r="P171" s="38"/>
    </row>
    <row r="172" customFormat="false" ht="15" hidden="false" customHeight="true" outlineLevel="0" collapsed="false">
      <c r="B172" s="38" t="n">
        <v>87</v>
      </c>
      <c r="C172" s="38" t="s">
        <v>858</v>
      </c>
      <c r="D172" s="38" t="s">
        <v>128</v>
      </c>
      <c r="E172" s="38" t="s">
        <v>893</v>
      </c>
      <c r="F172" s="38" t="s">
        <v>894</v>
      </c>
      <c r="G172" s="38" t="s">
        <v>208</v>
      </c>
      <c r="H172" s="38" t="s">
        <v>370</v>
      </c>
      <c r="I172" s="38" t="s">
        <v>895</v>
      </c>
      <c r="J172" s="38" t="s">
        <v>896</v>
      </c>
      <c r="K172" s="38" t="s">
        <v>453</v>
      </c>
      <c r="L172" s="38"/>
      <c r="M172" s="38"/>
      <c r="N172" s="38" t="s">
        <v>454</v>
      </c>
      <c r="O172" s="39" t="str">
        <f aca="false">IF(ISBLANK(L172),"pending","estimated")</f>
        <v>pending</v>
      </c>
      <c r="P172" s="38"/>
    </row>
    <row r="173" customFormat="false" ht="15" hidden="false" customHeight="true" outlineLevel="0" collapsed="false">
      <c r="B173" s="38" t="n">
        <v>87</v>
      </c>
      <c r="C173" s="38" t="s">
        <v>858</v>
      </c>
      <c r="D173" s="38" t="s">
        <v>128</v>
      </c>
      <c r="E173" s="38" t="s">
        <v>893</v>
      </c>
      <c r="F173" s="38" t="s">
        <v>894</v>
      </c>
      <c r="G173" s="38" t="s">
        <v>208</v>
      </c>
      <c r="H173" s="38" t="s">
        <v>599</v>
      </c>
      <c r="I173" s="38" t="s">
        <v>897</v>
      </c>
      <c r="J173" s="38" t="s">
        <v>898</v>
      </c>
      <c r="K173" s="38" t="s">
        <v>602</v>
      </c>
      <c r="L173" s="38"/>
      <c r="M173" s="38"/>
      <c r="N173" s="38" t="s">
        <v>454</v>
      </c>
      <c r="O173" s="39" t="str">
        <f aca="false">IF(ISBLANK(L173),"pending","estimated")</f>
        <v>pending</v>
      </c>
      <c r="P173" s="38"/>
    </row>
    <row r="174" customFormat="false" ht="15" hidden="false" customHeight="true" outlineLevel="0" collapsed="false">
      <c r="B174" s="38" t="n">
        <v>89</v>
      </c>
      <c r="C174" s="38" t="s">
        <v>899</v>
      </c>
      <c r="D174" s="38" t="s">
        <v>899</v>
      </c>
      <c r="E174" s="38" t="s">
        <v>900</v>
      </c>
      <c r="F174" s="38" t="s">
        <v>900</v>
      </c>
      <c r="G174" s="38" t="s">
        <v>208</v>
      </c>
      <c r="H174" s="38" t="s">
        <v>450</v>
      </c>
      <c r="I174" s="38" t="s">
        <v>901</v>
      </c>
      <c r="J174" s="38" t="s">
        <v>902</v>
      </c>
      <c r="K174" s="38" t="s">
        <v>453</v>
      </c>
      <c r="L174" s="38"/>
      <c r="M174" s="38"/>
      <c r="N174" s="38" t="s">
        <v>454</v>
      </c>
      <c r="O174" s="39" t="str">
        <f aca="false">IF(ISBLANK(L174),"pending","estimated")</f>
        <v>pending</v>
      </c>
      <c r="P174" s="38"/>
    </row>
    <row r="175" customFormat="false" ht="15" hidden="false" customHeight="true" outlineLevel="0" collapsed="false">
      <c r="B175" s="38" t="n">
        <v>89</v>
      </c>
      <c r="C175" s="38" t="s">
        <v>899</v>
      </c>
      <c r="D175" s="38" t="s">
        <v>899</v>
      </c>
      <c r="E175" s="38" t="s">
        <v>900</v>
      </c>
      <c r="F175" s="38" t="s">
        <v>900</v>
      </c>
      <c r="G175" s="38" t="s">
        <v>208</v>
      </c>
      <c r="H175" s="38" t="s">
        <v>370</v>
      </c>
      <c r="I175" s="38" t="s">
        <v>903</v>
      </c>
      <c r="J175" s="38" t="s">
        <v>904</v>
      </c>
      <c r="K175" s="38" t="s">
        <v>453</v>
      </c>
      <c r="L175" s="38"/>
      <c r="M175" s="38"/>
      <c r="N175" s="38" t="s">
        <v>454</v>
      </c>
      <c r="O175" s="39" t="str">
        <f aca="false">IF(ISBLANK(L175),"pending","estimated")</f>
        <v>pending</v>
      </c>
      <c r="P175" s="38"/>
    </row>
    <row r="176" customFormat="false" ht="15" hidden="false" customHeight="true" outlineLevel="0" collapsed="false">
      <c r="B176" s="38" t="n">
        <v>89</v>
      </c>
      <c r="C176" s="38" t="s">
        <v>899</v>
      </c>
      <c r="D176" s="38" t="s">
        <v>899</v>
      </c>
      <c r="E176" s="38" t="s">
        <v>900</v>
      </c>
      <c r="F176" s="38" t="s">
        <v>900</v>
      </c>
      <c r="G176" s="38" t="s">
        <v>208</v>
      </c>
      <c r="H176" s="38" t="s">
        <v>415</v>
      </c>
      <c r="I176" s="38" t="s">
        <v>901</v>
      </c>
      <c r="J176" s="38" t="s">
        <v>905</v>
      </c>
      <c r="K176" s="38" t="s">
        <v>453</v>
      </c>
      <c r="L176" s="38"/>
      <c r="M176" s="38"/>
      <c r="N176" s="38" t="s">
        <v>454</v>
      </c>
      <c r="O176" s="39" t="str">
        <f aca="false">IF(ISBLANK(L176),"pending","estimated")</f>
        <v>pending</v>
      </c>
      <c r="P176" s="38"/>
    </row>
    <row r="177" customFormat="false" ht="15" hidden="false" customHeight="true" outlineLevel="0" collapsed="false">
      <c r="B177" s="38" t="n">
        <v>90</v>
      </c>
      <c r="C177" s="38" t="s">
        <v>899</v>
      </c>
      <c r="D177" s="38" t="s">
        <v>899</v>
      </c>
      <c r="E177" s="38" t="s">
        <v>906</v>
      </c>
      <c r="F177" s="38" t="s">
        <v>906</v>
      </c>
      <c r="G177" s="38" t="s">
        <v>208</v>
      </c>
      <c r="H177" s="38" t="s">
        <v>450</v>
      </c>
      <c r="I177" s="38" t="s">
        <v>907</v>
      </c>
      <c r="J177" s="38" t="s">
        <v>908</v>
      </c>
      <c r="K177" s="38" t="s">
        <v>453</v>
      </c>
      <c r="L177" s="38"/>
      <c r="M177" s="38"/>
      <c r="N177" s="38" t="s">
        <v>454</v>
      </c>
      <c r="O177" s="39" t="str">
        <f aca="false">IF(ISBLANK(L177),"pending","estimated")</f>
        <v>pending</v>
      </c>
      <c r="P177" s="38"/>
    </row>
    <row r="178" customFormat="false" ht="15" hidden="false" customHeight="true" outlineLevel="0" collapsed="false">
      <c r="B178" s="38" t="n">
        <v>90</v>
      </c>
      <c r="C178" s="38" t="s">
        <v>899</v>
      </c>
      <c r="D178" s="38" t="s">
        <v>899</v>
      </c>
      <c r="E178" s="38" t="s">
        <v>906</v>
      </c>
      <c r="F178" s="38" t="s">
        <v>906</v>
      </c>
      <c r="G178" s="38" t="s">
        <v>208</v>
      </c>
      <c r="H178" s="38" t="s">
        <v>370</v>
      </c>
      <c r="I178" s="38" t="s">
        <v>909</v>
      </c>
      <c r="J178" s="38" t="s">
        <v>910</v>
      </c>
      <c r="K178" s="38" t="s">
        <v>453</v>
      </c>
      <c r="L178" s="38"/>
      <c r="M178" s="38"/>
      <c r="N178" s="38" t="s">
        <v>454</v>
      </c>
      <c r="O178" s="39" t="str">
        <f aca="false">IF(ISBLANK(L178),"pending","estimated")</f>
        <v>pending</v>
      </c>
      <c r="P178" s="38"/>
    </row>
    <row r="179" customFormat="false" ht="15" hidden="false" customHeight="true" outlineLevel="0" collapsed="false">
      <c r="B179" s="38" t="n">
        <v>91</v>
      </c>
      <c r="C179" s="38" t="s">
        <v>899</v>
      </c>
      <c r="D179" s="38" t="s">
        <v>899</v>
      </c>
      <c r="E179" s="38" t="s">
        <v>911</v>
      </c>
      <c r="F179" s="38" t="s">
        <v>911</v>
      </c>
      <c r="G179" s="38" t="s">
        <v>208</v>
      </c>
      <c r="H179" s="38" t="s">
        <v>450</v>
      </c>
      <c r="I179" s="38" t="s">
        <v>912</v>
      </c>
      <c r="J179" s="38" t="s">
        <v>913</v>
      </c>
      <c r="K179" s="38" t="s">
        <v>453</v>
      </c>
      <c r="L179" s="38"/>
      <c r="M179" s="38"/>
      <c r="N179" s="38" t="s">
        <v>454</v>
      </c>
      <c r="O179" s="39" t="str">
        <f aca="false">IF(ISBLANK(L179),"pending","estimated")</f>
        <v>pending</v>
      </c>
      <c r="P179" s="38"/>
    </row>
    <row r="180" customFormat="false" ht="15" hidden="false" customHeight="true" outlineLevel="0" collapsed="false">
      <c r="B180" s="38" t="n">
        <v>91</v>
      </c>
      <c r="C180" s="38" t="s">
        <v>899</v>
      </c>
      <c r="D180" s="38" t="s">
        <v>899</v>
      </c>
      <c r="E180" s="38" t="s">
        <v>911</v>
      </c>
      <c r="F180" s="38" t="s">
        <v>911</v>
      </c>
      <c r="G180" s="38" t="s">
        <v>208</v>
      </c>
      <c r="H180" s="38" t="s">
        <v>370</v>
      </c>
      <c r="I180" s="38" t="s">
        <v>914</v>
      </c>
      <c r="J180" s="38" t="s">
        <v>915</v>
      </c>
      <c r="K180" s="38" t="s">
        <v>453</v>
      </c>
      <c r="L180" s="38"/>
      <c r="M180" s="38"/>
      <c r="N180" s="38" t="s">
        <v>454</v>
      </c>
      <c r="O180" s="39" t="str">
        <f aca="false">IF(ISBLANK(L180),"pending","estimated")</f>
        <v>pending</v>
      </c>
      <c r="P180" s="38"/>
    </row>
    <row r="181" customFormat="false" ht="15" hidden="false" customHeight="true" outlineLevel="0" collapsed="false">
      <c r="B181" s="38" t="n">
        <v>92</v>
      </c>
      <c r="C181" s="38" t="s">
        <v>899</v>
      </c>
      <c r="D181" s="38" t="s">
        <v>899</v>
      </c>
      <c r="E181" s="38" t="s">
        <v>916</v>
      </c>
      <c r="F181" s="38" t="s">
        <v>916</v>
      </c>
      <c r="G181" s="38" t="s">
        <v>208</v>
      </c>
      <c r="H181" s="38" t="s">
        <v>450</v>
      </c>
      <c r="I181" s="38" t="s">
        <v>917</v>
      </c>
      <c r="J181" s="38" t="s">
        <v>918</v>
      </c>
      <c r="K181" s="38" t="s">
        <v>453</v>
      </c>
      <c r="L181" s="38"/>
      <c r="M181" s="38"/>
      <c r="N181" s="38" t="s">
        <v>454</v>
      </c>
      <c r="O181" s="39" t="str">
        <f aca="false">IF(ISBLANK(L181),"pending","estimated")</f>
        <v>pending</v>
      </c>
      <c r="P181" s="38"/>
    </row>
    <row r="182" customFormat="false" ht="15" hidden="false" customHeight="true" outlineLevel="0" collapsed="false">
      <c r="B182" s="38" t="n">
        <v>92</v>
      </c>
      <c r="C182" s="38" t="s">
        <v>899</v>
      </c>
      <c r="D182" s="38" t="s">
        <v>899</v>
      </c>
      <c r="E182" s="38" t="s">
        <v>916</v>
      </c>
      <c r="F182" s="38" t="s">
        <v>916</v>
      </c>
      <c r="G182" s="38" t="s">
        <v>208</v>
      </c>
      <c r="H182" s="38" t="s">
        <v>370</v>
      </c>
      <c r="I182" s="38" t="s">
        <v>919</v>
      </c>
      <c r="J182" s="38" t="s">
        <v>920</v>
      </c>
      <c r="K182" s="38" t="s">
        <v>453</v>
      </c>
      <c r="L182" s="38"/>
      <c r="M182" s="38"/>
      <c r="N182" s="38" t="s">
        <v>454</v>
      </c>
      <c r="O182" s="39" t="str">
        <f aca="false">IF(ISBLANK(L182),"pending","estimated")</f>
        <v>pending</v>
      </c>
      <c r="P182" s="38"/>
    </row>
    <row r="183" customFormat="false" ht="15" hidden="false" customHeight="true" outlineLevel="0" collapsed="false">
      <c r="B183" s="38" t="n">
        <v>94</v>
      </c>
      <c r="C183" s="38" t="s">
        <v>921</v>
      </c>
      <c r="D183" s="38" t="s">
        <v>552</v>
      </c>
      <c r="E183" s="38" t="s">
        <v>922</v>
      </c>
      <c r="F183" s="38" t="s">
        <v>923</v>
      </c>
      <c r="G183" s="38" t="s">
        <v>208</v>
      </c>
      <c r="H183" s="38" t="s">
        <v>370</v>
      </c>
      <c r="I183" s="38" t="s">
        <v>924</v>
      </c>
      <c r="J183" s="38" t="s">
        <v>925</v>
      </c>
      <c r="K183" s="38" t="s">
        <v>453</v>
      </c>
      <c r="L183" s="38"/>
      <c r="M183" s="38"/>
      <c r="N183" s="38" t="s">
        <v>454</v>
      </c>
      <c r="O183" s="39" t="str">
        <f aca="false">IF(ISBLANK(L183),"pending","estimated")</f>
        <v>pending</v>
      </c>
      <c r="P183" s="38"/>
    </row>
    <row r="184" customFormat="false" ht="15" hidden="false" customHeight="true" outlineLevel="0" collapsed="false">
      <c r="B184" s="38" t="n">
        <v>95</v>
      </c>
      <c r="C184" s="38" t="s">
        <v>921</v>
      </c>
      <c r="D184" s="38" t="s">
        <v>552</v>
      </c>
      <c r="E184" s="38" t="s">
        <v>926</v>
      </c>
      <c r="F184" s="38" t="s">
        <v>927</v>
      </c>
      <c r="G184" s="38" t="s">
        <v>208</v>
      </c>
      <c r="H184" s="38" t="s">
        <v>370</v>
      </c>
      <c r="I184" s="38" t="s">
        <v>527</v>
      </c>
      <c r="J184" s="38" t="s">
        <v>928</v>
      </c>
      <c r="K184" s="38" t="s">
        <v>453</v>
      </c>
      <c r="L184" s="38"/>
      <c r="M184" s="38"/>
      <c r="N184" s="38" t="s">
        <v>454</v>
      </c>
      <c r="O184" s="39" t="str">
        <f aca="false">IF(ISBLANK(L184),"pending","estimated")</f>
        <v>pending</v>
      </c>
      <c r="P184" s="38"/>
    </row>
    <row r="185" customFormat="false" ht="15" hidden="false" customHeight="true" outlineLevel="0" collapsed="false">
      <c r="B185" s="38" t="n">
        <v>99</v>
      </c>
      <c r="C185" s="38" t="s">
        <v>921</v>
      </c>
      <c r="D185" s="38" t="s">
        <v>552</v>
      </c>
      <c r="E185" s="38" t="s">
        <v>929</v>
      </c>
      <c r="F185" s="38" t="s">
        <v>930</v>
      </c>
      <c r="G185" s="38" t="s">
        <v>208</v>
      </c>
      <c r="H185" s="38" t="s">
        <v>370</v>
      </c>
      <c r="I185" s="38" t="s">
        <v>931</v>
      </c>
      <c r="J185" s="38" t="s">
        <v>932</v>
      </c>
      <c r="K185" s="38" t="s">
        <v>453</v>
      </c>
      <c r="L185" s="38"/>
      <c r="M185" s="38"/>
      <c r="N185" s="38" t="s">
        <v>454</v>
      </c>
      <c r="O185" s="39" t="str">
        <f aca="false">IF(ISBLANK(L185),"pending","estimated")</f>
        <v>pending</v>
      </c>
      <c r="P185" s="38"/>
    </row>
    <row r="186" customFormat="false" ht="15" hidden="false" customHeight="true" outlineLevel="0" collapsed="false">
      <c r="B186" s="38" t="n">
        <v>102</v>
      </c>
      <c r="C186" s="38" t="s">
        <v>921</v>
      </c>
      <c r="D186" s="38" t="s">
        <v>933</v>
      </c>
      <c r="E186" s="38" t="s">
        <v>934</v>
      </c>
      <c r="F186" s="38" t="s">
        <v>935</v>
      </c>
      <c r="G186" s="38" t="s">
        <v>208</v>
      </c>
      <c r="H186" s="38" t="s">
        <v>450</v>
      </c>
      <c r="I186" s="38" t="s">
        <v>936</v>
      </c>
      <c r="J186" s="38" t="s">
        <v>937</v>
      </c>
      <c r="K186" s="38" t="s">
        <v>453</v>
      </c>
      <c r="L186" s="38"/>
      <c r="M186" s="38"/>
      <c r="N186" s="38" t="s">
        <v>454</v>
      </c>
      <c r="O186" s="39" t="str">
        <f aca="false">IF(ISBLANK(L186),"pending","estimated")</f>
        <v>pending</v>
      </c>
      <c r="P186" s="38"/>
    </row>
    <row r="187" customFormat="false" ht="15" hidden="false" customHeight="true" outlineLevel="0" collapsed="false">
      <c r="B187" s="38" t="n">
        <v>102</v>
      </c>
      <c r="C187" s="38" t="s">
        <v>921</v>
      </c>
      <c r="D187" s="38" t="s">
        <v>933</v>
      </c>
      <c r="E187" s="38" t="s">
        <v>934</v>
      </c>
      <c r="F187" s="38" t="s">
        <v>935</v>
      </c>
      <c r="G187" s="38" t="s">
        <v>208</v>
      </c>
      <c r="H187" s="38" t="s">
        <v>370</v>
      </c>
      <c r="I187" s="38" t="s">
        <v>938</v>
      </c>
      <c r="J187" s="38" t="s">
        <v>939</v>
      </c>
      <c r="K187" s="38" t="s">
        <v>453</v>
      </c>
      <c r="L187" s="38"/>
      <c r="M187" s="38"/>
      <c r="N187" s="38" t="s">
        <v>454</v>
      </c>
      <c r="O187" s="39" t="str">
        <f aca="false">IF(ISBLANK(L187),"pending","estimated")</f>
        <v>pending</v>
      </c>
      <c r="P187" s="38"/>
    </row>
    <row r="188" customFormat="false" ht="15" hidden="false" customHeight="true" outlineLevel="0" collapsed="false">
      <c r="B188" s="38" t="n">
        <v>102</v>
      </c>
      <c r="C188" s="38" t="s">
        <v>921</v>
      </c>
      <c r="D188" s="38" t="s">
        <v>933</v>
      </c>
      <c r="E188" s="38" t="s">
        <v>934</v>
      </c>
      <c r="F188" s="38" t="s">
        <v>935</v>
      </c>
      <c r="G188" s="38" t="s">
        <v>208</v>
      </c>
      <c r="H188" s="38" t="s">
        <v>399</v>
      </c>
      <c r="I188" s="38" t="s">
        <v>940</v>
      </c>
      <c r="J188" s="38" t="s">
        <v>941</v>
      </c>
      <c r="K188" s="38" t="s">
        <v>464</v>
      </c>
      <c r="L188" s="38"/>
      <c r="M188" s="38"/>
      <c r="N188" s="38" t="s">
        <v>454</v>
      </c>
      <c r="O188" s="39" t="str">
        <f aca="false">IF(ISBLANK(L188),"pending","estimated")</f>
        <v>pending</v>
      </c>
      <c r="P188" s="38"/>
    </row>
    <row r="189" customFormat="false" ht="15" hidden="false" customHeight="true" outlineLevel="0" collapsed="false">
      <c r="B189" s="38" t="n">
        <v>102</v>
      </c>
      <c r="C189" s="38" t="s">
        <v>921</v>
      </c>
      <c r="D189" s="38" t="s">
        <v>933</v>
      </c>
      <c r="E189" s="38" t="s">
        <v>934</v>
      </c>
      <c r="F189" s="38" t="s">
        <v>935</v>
      </c>
      <c r="G189" s="38" t="s">
        <v>208</v>
      </c>
      <c r="H189" s="38" t="s">
        <v>389</v>
      </c>
      <c r="I189" s="38" t="s">
        <v>942</v>
      </c>
      <c r="J189" s="38" t="s">
        <v>943</v>
      </c>
      <c r="K189" s="38" t="s">
        <v>453</v>
      </c>
      <c r="L189" s="38"/>
      <c r="M189" s="38"/>
      <c r="N189" s="38" t="s">
        <v>454</v>
      </c>
      <c r="O189" s="39" t="str">
        <f aca="false">IF(ISBLANK(L189),"pending","estimated")</f>
        <v>pending</v>
      </c>
      <c r="P189" s="38"/>
    </row>
    <row r="190" customFormat="false" ht="15" hidden="false" customHeight="true" outlineLevel="0" collapsed="false">
      <c r="B190" s="38" t="n">
        <v>102</v>
      </c>
      <c r="C190" s="38" t="s">
        <v>921</v>
      </c>
      <c r="D190" s="38" t="s">
        <v>933</v>
      </c>
      <c r="E190" s="38" t="s">
        <v>934</v>
      </c>
      <c r="F190" s="38" t="s">
        <v>935</v>
      </c>
      <c r="G190" s="38" t="s">
        <v>208</v>
      </c>
      <c r="H190" s="38" t="s">
        <v>599</v>
      </c>
      <c r="I190" s="38" t="s">
        <v>944</v>
      </c>
      <c r="J190" s="38" t="s">
        <v>945</v>
      </c>
      <c r="K190" s="38" t="s">
        <v>602</v>
      </c>
      <c r="L190" s="38"/>
      <c r="M190" s="38"/>
      <c r="N190" s="38" t="s">
        <v>454</v>
      </c>
      <c r="O190" s="39" t="str">
        <f aca="false">IF(ISBLANK(L190),"pending","estimated")</f>
        <v>pending</v>
      </c>
      <c r="P190" s="38"/>
    </row>
    <row r="191" customFormat="false" ht="15" hidden="false" customHeight="true" outlineLevel="0" collapsed="false">
      <c r="B191" s="38" t="n">
        <v>103</v>
      </c>
      <c r="C191" s="38" t="s">
        <v>921</v>
      </c>
      <c r="D191" s="38" t="s">
        <v>933</v>
      </c>
      <c r="E191" s="38" t="s">
        <v>946</v>
      </c>
      <c r="F191" s="38" t="s">
        <v>947</v>
      </c>
      <c r="G191" s="38" t="s">
        <v>208</v>
      </c>
      <c r="H191" s="38" t="s">
        <v>370</v>
      </c>
      <c r="I191" s="38" t="s">
        <v>948</v>
      </c>
      <c r="J191" s="38" t="s">
        <v>949</v>
      </c>
      <c r="K191" s="38" t="s">
        <v>453</v>
      </c>
      <c r="L191" s="38"/>
      <c r="M191" s="38"/>
      <c r="N191" s="38" t="s">
        <v>454</v>
      </c>
      <c r="O191" s="39" t="str">
        <f aca="false">IF(ISBLANK(L191),"pending","estimated")</f>
        <v>pending</v>
      </c>
      <c r="P191" s="38"/>
    </row>
    <row r="192" customFormat="false" ht="15" hidden="false" customHeight="true" outlineLevel="0" collapsed="false">
      <c r="B192" s="38" t="n">
        <v>103</v>
      </c>
      <c r="C192" s="38" t="s">
        <v>921</v>
      </c>
      <c r="D192" s="38" t="s">
        <v>933</v>
      </c>
      <c r="E192" s="38" t="s">
        <v>946</v>
      </c>
      <c r="F192" s="38" t="s">
        <v>947</v>
      </c>
      <c r="G192" s="38" t="s">
        <v>208</v>
      </c>
      <c r="H192" s="38" t="s">
        <v>389</v>
      </c>
      <c r="I192" s="38" t="s">
        <v>950</v>
      </c>
      <c r="J192" s="38" t="s">
        <v>951</v>
      </c>
      <c r="K192" s="38" t="s">
        <v>453</v>
      </c>
      <c r="L192" s="38"/>
      <c r="M192" s="38"/>
      <c r="N192" s="38" t="s">
        <v>454</v>
      </c>
      <c r="O192" s="39" t="str">
        <f aca="false">IF(ISBLANK(L192),"pending","estimated")</f>
        <v>pending</v>
      </c>
      <c r="P192" s="38"/>
    </row>
    <row r="193" customFormat="false" ht="15" hidden="false" customHeight="true" outlineLevel="0" collapsed="false">
      <c r="B193" s="38" t="n">
        <v>103</v>
      </c>
      <c r="C193" s="38" t="s">
        <v>921</v>
      </c>
      <c r="D193" s="38" t="s">
        <v>933</v>
      </c>
      <c r="E193" s="38" t="s">
        <v>946</v>
      </c>
      <c r="F193" s="38" t="s">
        <v>947</v>
      </c>
      <c r="G193" s="38" t="s">
        <v>208</v>
      </c>
      <c r="H193" s="38" t="s">
        <v>599</v>
      </c>
      <c r="I193" s="38" t="s">
        <v>952</v>
      </c>
      <c r="J193" s="38" t="s">
        <v>953</v>
      </c>
      <c r="K193" s="38" t="s">
        <v>602</v>
      </c>
      <c r="L193" s="38"/>
      <c r="M193" s="38"/>
      <c r="N193" s="38" t="s">
        <v>454</v>
      </c>
      <c r="O193" s="39" t="str">
        <f aca="false">IF(ISBLANK(L193),"pending","estimated")</f>
        <v>pending</v>
      </c>
      <c r="P193" s="38"/>
    </row>
    <row r="194" customFormat="false" ht="15" hidden="false" customHeight="true" outlineLevel="0" collapsed="false">
      <c r="B194" s="38" t="n">
        <v>104</v>
      </c>
      <c r="C194" s="38" t="s">
        <v>921</v>
      </c>
      <c r="D194" s="38" t="s">
        <v>933</v>
      </c>
      <c r="E194" s="38" t="s">
        <v>954</v>
      </c>
      <c r="F194" s="38" t="s">
        <v>955</v>
      </c>
      <c r="G194" s="38" t="s">
        <v>208</v>
      </c>
      <c r="H194" s="38" t="s">
        <v>450</v>
      </c>
      <c r="I194" s="38" t="s">
        <v>956</v>
      </c>
      <c r="J194" s="38" t="s">
        <v>957</v>
      </c>
      <c r="K194" s="38" t="s">
        <v>453</v>
      </c>
      <c r="L194" s="38"/>
      <c r="M194" s="38"/>
      <c r="N194" s="38" t="s">
        <v>454</v>
      </c>
      <c r="O194" s="39" t="str">
        <f aca="false">IF(ISBLANK(L194),"pending","estimated")</f>
        <v>pending</v>
      </c>
      <c r="P194" s="38"/>
    </row>
    <row r="195" customFormat="false" ht="15" hidden="false" customHeight="true" outlineLevel="0" collapsed="false">
      <c r="B195" s="38" t="n">
        <v>104</v>
      </c>
      <c r="C195" s="38" t="s">
        <v>921</v>
      </c>
      <c r="D195" s="38" t="s">
        <v>933</v>
      </c>
      <c r="E195" s="38" t="s">
        <v>954</v>
      </c>
      <c r="F195" s="38" t="s">
        <v>955</v>
      </c>
      <c r="G195" s="38" t="s">
        <v>208</v>
      </c>
      <c r="H195" s="38" t="s">
        <v>370</v>
      </c>
      <c r="I195" s="38" t="s">
        <v>958</v>
      </c>
      <c r="J195" s="38" t="s">
        <v>959</v>
      </c>
      <c r="K195" s="38" t="s">
        <v>453</v>
      </c>
      <c r="L195" s="38"/>
      <c r="M195" s="38"/>
      <c r="N195" s="38" t="s">
        <v>454</v>
      </c>
      <c r="O195" s="39" t="str">
        <f aca="false">IF(ISBLANK(L195),"pending","estimated")</f>
        <v>pending</v>
      </c>
      <c r="P195" s="38"/>
    </row>
    <row r="196" customFormat="false" ht="15" hidden="false" customHeight="true" outlineLevel="0" collapsed="false">
      <c r="B196" s="38" t="n">
        <v>104</v>
      </c>
      <c r="C196" s="38" t="s">
        <v>921</v>
      </c>
      <c r="D196" s="38" t="s">
        <v>933</v>
      </c>
      <c r="E196" s="38" t="s">
        <v>954</v>
      </c>
      <c r="F196" s="38" t="s">
        <v>955</v>
      </c>
      <c r="G196" s="38" t="s">
        <v>208</v>
      </c>
      <c r="H196" s="38" t="s">
        <v>389</v>
      </c>
      <c r="I196" s="38" t="s">
        <v>960</v>
      </c>
      <c r="J196" s="38" t="s">
        <v>961</v>
      </c>
      <c r="K196" s="38" t="s">
        <v>453</v>
      </c>
      <c r="L196" s="38"/>
      <c r="M196" s="38"/>
      <c r="N196" s="38" t="s">
        <v>454</v>
      </c>
      <c r="O196" s="39" t="str">
        <f aca="false">IF(ISBLANK(L196),"pending","estimated")</f>
        <v>pending</v>
      </c>
      <c r="P196" s="38"/>
    </row>
    <row r="197" customFormat="false" ht="15" hidden="false" customHeight="true" outlineLevel="0" collapsed="false">
      <c r="B197" s="38" t="n">
        <v>104</v>
      </c>
      <c r="C197" s="38" t="s">
        <v>921</v>
      </c>
      <c r="D197" s="38" t="s">
        <v>933</v>
      </c>
      <c r="E197" s="38" t="s">
        <v>954</v>
      </c>
      <c r="F197" s="38" t="s">
        <v>955</v>
      </c>
      <c r="G197" s="38" t="s">
        <v>208</v>
      </c>
      <c r="H197" s="38" t="s">
        <v>599</v>
      </c>
      <c r="I197" s="38" t="s">
        <v>956</v>
      </c>
      <c r="J197" s="38" t="s">
        <v>962</v>
      </c>
      <c r="K197" s="38" t="s">
        <v>602</v>
      </c>
      <c r="L197" s="38"/>
      <c r="M197" s="38"/>
      <c r="N197" s="38" t="s">
        <v>454</v>
      </c>
      <c r="O197" s="39" t="str">
        <f aca="false">IF(ISBLANK(L197),"pending","estimated")</f>
        <v>pending</v>
      </c>
      <c r="P197" s="38"/>
    </row>
    <row r="198" customFormat="false" ht="15" hidden="false" customHeight="true" outlineLevel="0" collapsed="false">
      <c r="B198" s="38" t="n">
        <v>105</v>
      </c>
      <c r="C198" s="38" t="s">
        <v>921</v>
      </c>
      <c r="D198" s="38" t="s">
        <v>933</v>
      </c>
      <c r="E198" s="38" t="s">
        <v>963</v>
      </c>
      <c r="F198" s="38" t="s">
        <v>964</v>
      </c>
      <c r="G198" s="38" t="s">
        <v>208</v>
      </c>
      <c r="H198" s="38" t="s">
        <v>370</v>
      </c>
      <c r="I198" s="38" t="s">
        <v>965</v>
      </c>
      <c r="J198" s="38" t="s">
        <v>966</v>
      </c>
      <c r="K198" s="38" t="s">
        <v>453</v>
      </c>
      <c r="L198" s="38"/>
      <c r="M198" s="38"/>
      <c r="N198" s="38" t="s">
        <v>454</v>
      </c>
      <c r="O198" s="39" t="str">
        <f aca="false">IF(ISBLANK(L198),"pending","estimated")</f>
        <v>pending</v>
      </c>
      <c r="P198" s="38"/>
    </row>
    <row r="199" customFormat="false" ht="15" hidden="false" customHeight="true" outlineLevel="0" collapsed="false">
      <c r="B199" s="38" t="n">
        <v>105</v>
      </c>
      <c r="C199" s="38" t="s">
        <v>921</v>
      </c>
      <c r="D199" s="38" t="s">
        <v>933</v>
      </c>
      <c r="E199" s="38" t="s">
        <v>963</v>
      </c>
      <c r="F199" s="38" t="s">
        <v>964</v>
      </c>
      <c r="G199" s="38" t="s">
        <v>208</v>
      </c>
      <c r="H199" s="38" t="s">
        <v>599</v>
      </c>
      <c r="I199" s="38" t="s">
        <v>965</v>
      </c>
      <c r="J199" s="38" t="s">
        <v>967</v>
      </c>
      <c r="K199" s="38" t="s">
        <v>602</v>
      </c>
      <c r="L199" s="38"/>
      <c r="M199" s="38"/>
      <c r="N199" s="38" t="s">
        <v>454</v>
      </c>
      <c r="O199" s="39" t="str">
        <f aca="false">IF(ISBLANK(L199),"pending","estimated")</f>
        <v>pending</v>
      </c>
      <c r="P199" s="38"/>
    </row>
    <row r="200" customFormat="false" ht="15" hidden="false" customHeight="true" outlineLevel="0" collapsed="false">
      <c r="B200" s="38" t="n">
        <v>106</v>
      </c>
      <c r="C200" s="38" t="s">
        <v>921</v>
      </c>
      <c r="D200" s="38" t="s">
        <v>933</v>
      </c>
      <c r="E200" s="38" t="s">
        <v>968</v>
      </c>
      <c r="F200" s="38" t="s">
        <v>969</v>
      </c>
      <c r="G200" s="38" t="s">
        <v>208</v>
      </c>
      <c r="H200" s="38" t="s">
        <v>370</v>
      </c>
      <c r="I200" s="38" t="s">
        <v>970</v>
      </c>
      <c r="J200" s="38" t="s">
        <v>971</v>
      </c>
      <c r="K200" s="38" t="s">
        <v>453</v>
      </c>
      <c r="L200" s="38"/>
      <c r="M200" s="38"/>
      <c r="N200" s="38" t="s">
        <v>454</v>
      </c>
      <c r="O200" s="39" t="str">
        <f aca="false">IF(ISBLANK(L200),"pending","estimated")</f>
        <v>pending</v>
      </c>
      <c r="P200" s="38"/>
    </row>
    <row r="201" customFormat="false" ht="15" hidden="false" customHeight="true" outlineLevel="0" collapsed="false">
      <c r="B201" s="38" t="n">
        <v>106</v>
      </c>
      <c r="C201" s="38" t="s">
        <v>921</v>
      </c>
      <c r="D201" s="38" t="s">
        <v>933</v>
      </c>
      <c r="E201" s="38" t="s">
        <v>968</v>
      </c>
      <c r="F201" s="38" t="s">
        <v>969</v>
      </c>
      <c r="G201" s="38" t="s">
        <v>208</v>
      </c>
      <c r="H201" s="38" t="s">
        <v>389</v>
      </c>
      <c r="I201" s="38" t="s">
        <v>972</v>
      </c>
      <c r="J201" s="38" t="s">
        <v>971</v>
      </c>
      <c r="K201" s="38" t="s">
        <v>453</v>
      </c>
      <c r="L201" s="38"/>
      <c r="M201" s="38"/>
      <c r="N201" s="38" t="s">
        <v>454</v>
      </c>
      <c r="O201" s="39" t="str">
        <f aca="false">IF(ISBLANK(L201),"pending","estimated")</f>
        <v>pending</v>
      </c>
      <c r="P201" s="38"/>
    </row>
    <row r="202" customFormat="false" ht="15" hidden="false" customHeight="true" outlineLevel="0" collapsed="false">
      <c r="B202" s="38" t="n">
        <v>106</v>
      </c>
      <c r="C202" s="38" t="s">
        <v>921</v>
      </c>
      <c r="D202" s="38" t="s">
        <v>933</v>
      </c>
      <c r="E202" s="38" t="s">
        <v>968</v>
      </c>
      <c r="F202" s="38" t="s">
        <v>969</v>
      </c>
      <c r="G202" s="38" t="s">
        <v>208</v>
      </c>
      <c r="H202" s="38" t="s">
        <v>599</v>
      </c>
      <c r="I202" s="38" t="s">
        <v>973</v>
      </c>
      <c r="J202" s="38" t="s">
        <v>974</v>
      </c>
      <c r="K202" s="38" t="s">
        <v>602</v>
      </c>
      <c r="L202" s="38"/>
      <c r="M202" s="38"/>
      <c r="N202" s="38" t="s">
        <v>454</v>
      </c>
      <c r="O202" s="39" t="str">
        <f aca="false">IF(ISBLANK(L202),"pending","estimated")</f>
        <v>pending</v>
      </c>
      <c r="P202" s="38"/>
    </row>
    <row r="203" customFormat="false" ht="15" hidden="false" customHeight="true" outlineLevel="0" collapsed="false">
      <c r="B203" s="38" t="n">
        <v>107</v>
      </c>
      <c r="C203" s="38" t="s">
        <v>921</v>
      </c>
      <c r="D203" s="38" t="s">
        <v>933</v>
      </c>
      <c r="E203" s="38" t="s">
        <v>975</v>
      </c>
      <c r="F203" s="38" t="s">
        <v>976</v>
      </c>
      <c r="G203" s="38" t="s">
        <v>208</v>
      </c>
      <c r="H203" s="38" t="s">
        <v>370</v>
      </c>
      <c r="I203" s="38" t="s">
        <v>977</v>
      </c>
      <c r="J203" s="38" t="s">
        <v>978</v>
      </c>
      <c r="K203" s="38" t="s">
        <v>453</v>
      </c>
      <c r="L203" s="38"/>
      <c r="M203" s="38"/>
      <c r="N203" s="38" t="s">
        <v>454</v>
      </c>
      <c r="O203" s="39" t="str">
        <f aca="false">IF(ISBLANK(L203),"pending","estimated")</f>
        <v>pending</v>
      </c>
      <c r="P203" s="38"/>
    </row>
    <row r="204" customFormat="false" ht="15" hidden="false" customHeight="true" outlineLevel="0" collapsed="false">
      <c r="B204" s="38" t="n">
        <v>107</v>
      </c>
      <c r="C204" s="38" t="s">
        <v>921</v>
      </c>
      <c r="D204" s="38" t="s">
        <v>933</v>
      </c>
      <c r="E204" s="38" t="s">
        <v>975</v>
      </c>
      <c r="F204" s="38" t="s">
        <v>976</v>
      </c>
      <c r="G204" s="38" t="s">
        <v>208</v>
      </c>
      <c r="H204" s="38" t="s">
        <v>389</v>
      </c>
      <c r="I204" s="38" t="s">
        <v>979</v>
      </c>
      <c r="J204" s="38" t="s">
        <v>980</v>
      </c>
      <c r="K204" s="38" t="s">
        <v>453</v>
      </c>
      <c r="L204" s="38"/>
      <c r="M204" s="38"/>
      <c r="N204" s="38" t="s">
        <v>454</v>
      </c>
      <c r="O204" s="39" t="str">
        <f aca="false">IF(ISBLANK(L204),"pending","estimated")</f>
        <v>pending</v>
      </c>
      <c r="P204" s="38"/>
    </row>
    <row r="205" customFormat="false" ht="15" hidden="false" customHeight="true" outlineLevel="0" collapsed="false">
      <c r="B205" s="38" t="n">
        <v>107</v>
      </c>
      <c r="C205" s="38" t="s">
        <v>921</v>
      </c>
      <c r="D205" s="38" t="s">
        <v>933</v>
      </c>
      <c r="E205" s="38" t="s">
        <v>975</v>
      </c>
      <c r="F205" s="38" t="s">
        <v>976</v>
      </c>
      <c r="G205" s="38" t="s">
        <v>208</v>
      </c>
      <c r="H205" s="38" t="s">
        <v>599</v>
      </c>
      <c r="I205" s="38" t="s">
        <v>981</v>
      </c>
      <c r="J205" s="38" t="s">
        <v>982</v>
      </c>
      <c r="K205" s="38" t="s">
        <v>602</v>
      </c>
      <c r="L205" s="38"/>
      <c r="M205" s="38"/>
      <c r="N205" s="38" t="s">
        <v>454</v>
      </c>
      <c r="O205" s="39" t="str">
        <f aca="false">IF(ISBLANK(L205),"pending","estimated")</f>
        <v>pending</v>
      </c>
      <c r="P205" s="38"/>
    </row>
    <row r="206" customFormat="false" ht="15" hidden="false" customHeight="true" outlineLevel="0" collapsed="false">
      <c r="B206" s="38" t="n">
        <v>111</v>
      </c>
      <c r="C206" s="38" t="s">
        <v>921</v>
      </c>
      <c r="D206" s="38" t="s">
        <v>983</v>
      </c>
      <c r="E206" s="38" t="s">
        <v>984</v>
      </c>
      <c r="F206" s="38" t="s">
        <v>985</v>
      </c>
      <c r="G206" s="38" t="s">
        <v>208</v>
      </c>
      <c r="H206" s="38" t="s">
        <v>370</v>
      </c>
      <c r="I206" s="38" t="s">
        <v>986</v>
      </c>
      <c r="J206" s="38" t="s">
        <v>987</v>
      </c>
      <c r="K206" s="38" t="s">
        <v>453</v>
      </c>
      <c r="L206" s="38"/>
      <c r="M206" s="38"/>
      <c r="N206" s="38" t="s">
        <v>454</v>
      </c>
      <c r="O206" s="39" t="str">
        <f aca="false">IF(ISBLANK(L206),"pending","estimated")</f>
        <v>pending</v>
      </c>
      <c r="P206" s="38"/>
    </row>
    <row r="207" customFormat="false" ht="15" hidden="false" customHeight="true" outlineLevel="0" collapsed="false">
      <c r="B207" s="38" t="n">
        <v>113</v>
      </c>
      <c r="C207" s="38" t="s">
        <v>921</v>
      </c>
      <c r="D207" s="38" t="s">
        <v>983</v>
      </c>
      <c r="E207" s="38" t="s">
        <v>988</v>
      </c>
      <c r="F207" s="38" t="s">
        <v>989</v>
      </c>
      <c r="G207" s="38" t="s">
        <v>208</v>
      </c>
      <c r="H207" s="38" t="s">
        <v>370</v>
      </c>
      <c r="I207" s="38" t="s">
        <v>990</v>
      </c>
      <c r="J207" s="38" t="s">
        <v>991</v>
      </c>
      <c r="K207" s="38" t="s">
        <v>453</v>
      </c>
      <c r="L207" s="38"/>
      <c r="M207" s="38"/>
      <c r="N207" s="38" t="s">
        <v>454</v>
      </c>
      <c r="O207" s="39" t="str">
        <f aca="false">IF(ISBLANK(L207),"pending","estimated")</f>
        <v>pending</v>
      </c>
      <c r="P207" s="38"/>
    </row>
    <row r="208" customFormat="false" ht="15" hidden="false" customHeight="true" outlineLevel="0" collapsed="false">
      <c r="B208" s="38" t="n">
        <v>113</v>
      </c>
      <c r="C208" s="38" t="s">
        <v>921</v>
      </c>
      <c r="D208" s="38" t="s">
        <v>983</v>
      </c>
      <c r="E208" s="38" t="s">
        <v>988</v>
      </c>
      <c r="F208" s="38" t="s">
        <v>989</v>
      </c>
      <c r="G208" s="38" t="s">
        <v>208</v>
      </c>
      <c r="H208" s="38" t="s">
        <v>389</v>
      </c>
      <c r="I208" s="38" t="s">
        <v>992</v>
      </c>
      <c r="J208" s="38" t="s">
        <v>993</v>
      </c>
      <c r="K208" s="38" t="s">
        <v>453</v>
      </c>
      <c r="L208" s="38"/>
      <c r="M208" s="38"/>
      <c r="N208" s="38" t="s">
        <v>454</v>
      </c>
      <c r="O208" s="39" t="str">
        <f aca="false">IF(ISBLANK(L208),"pending","estimated")</f>
        <v>pending</v>
      </c>
      <c r="P208" s="38"/>
    </row>
    <row r="209" customFormat="false" ht="15" hidden="false" customHeight="true" outlineLevel="0" collapsed="false">
      <c r="B209" s="38" t="n">
        <v>114</v>
      </c>
      <c r="C209" s="38" t="s">
        <v>921</v>
      </c>
      <c r="D209" s="38" t="s">
        <v>983</v>
      </c>
      <c r="E209" s="38" t="s">
        <v>994</v>
      </c>
      <c r="F209" s="38" t="s">
        <v>995</v>
      </c>
      <c r="G209" s="38" t="s">
        <v>208</v>
      </c>
      <c r="H209" s="38" t="s">
        <v>370</v>
      </c>
      <c r="I209" s="38" t="s">
        <v>996</v>
      </c>
      <c r="J209" s="38" t="s">
        <v>997</v>
      </c>
      <c r="K209" s="38" t="s">
        <v>453</v>
      </c>
      <c r="L209" s="38"/>
      <c r="M209" s="38"/>
      <c r="N209" s="38" t="s">
        <v>454</v>
      </c>
      <c r="O209" s="39" t="str">
        <f aca="false">IF(ISBLANK(L209),"pending","estimated")</f>
        <v>pending</v>
      </c>
      <c r="P209" s="38"/>
    </row>
    <row r="210" customFormat="false" ht="15" hidden="false" customHeight="true" outlineLevel="0" collapsed="false">
      <c r="B210" s="38" t="n">
        <v>116</v>
      </c>
      <c r="C210" s="38" t="s">
        <v>921</v>
      </c>
      <c r="D210" s="38" t="s">
        <v>983</v>
      </c>
      <c r="E210" s="38" t="s">
        <v>998</v>
      </c>
      <c r="F210" s="38" t="s">
        <v>999</v>
      </c>
      <c r="G210" s="38" t="s">
        <v>208</v>
      </c>
      <c r="H210" s="38" t="s">
        <v>370</v>
      </c>
      <c r="I210" s="38" t="s">
        <v>1000</v>
      </c>
      <c r="J210" s="38" t="s">
        <v>1001</v>
      </c>
      <c r="K210" s="38" t="s">
        <v>453</v>
      </c>
      <c r="L210" s="38"/>
      <c r="M210" s="38"/>
      <c r="N210" s="38" t="s">
        <v>454</v>
      </c>
      <c r="O210" s="39" t="str">
        <f aca="false">IF(ISBLANK(L210),"pending","estimated")</f>
        <v>pending</v>
      </c>
      <c r="P210" s="38"/>
    </row>
    <row r="211" customFormat="false" ht="15" hidden="false" customHeight="true" outlineLevel="0" collapsed="false">
      <c r="B211" s="38" t="n">
        <v>117</v>
      </c>
      <c r="C211" s="38" t="s">
        <v>921</v>
      </c>
      <c r="D211" s="38" t="s">
        <v>1002</v>
      </c>
      <c r="E211" s="38" t="s">
        <v>1003</v>
      </c>
      <c r="F211" s="38" t="s">
        <v>1004</v>
      </c>
      <c r="G211" s="38" t="s">
        <v>208</v>
      </c>
      <c r="H211" s="38" t="s">
        <v>370</v>
      </c>
      <c r="I211" s="38" t="s">
        <v>1005</v>
      </c>
      <c r="J211" s="38" t="s">
        <v>1006</v>
      </c>
      <c r="K211" s="38" t="s">
        <v>453</v>
      </c>
      <c r="L211" s="38"/>
      <c r="M211" s="38"/>
      <c r="N211" s="38" t="s">
        <v>454</v>
      </c>
      <c r="O211" s="39" t="str">
        <f aca="false">IF(ISBLANK(L211),"pending","estimated")</f>
        <v>pending</v>
      </c>
      <c r="P211" s="38"/>
    </row>
    <row r="212" customFormat="false" ht="15" hidden="false" customHeight="true" outlineLevel="0" collapsed="false">
      <c r="B212" s="38" t="n">
        <v>117</v>
      </c>
      <c r="C212" s="38" t="s">
        <v>921</v>
      </c>
      <c r="D212" s="38" t="s">
        <v>1002</v>
      </c>
      <c r="E212" s="38" t="s">
        <v>1003</v>
      </c>
      <c r="F212" s="38" t="s">
        <v>1004</v>
      </c>
      <c r="G212" s="38" t="s">
        <v>208</v>
      </c>
      <c r="H212" s="38" t="s">
        <v>399</v>
      </c>
      <c r="I212" s="38" t="s">
        <v>1007</v>
      </c>
      <c r="J212" s="38" t="s">
        <v>1008</v>
      </c>
      <c r="K212" s="38" t="s">
        <v>464</v>
      </c>
      <c r="L212" s="38"/>
      <c r="M212" s="38"/>
      <c r="N212" s="38" t="s">
        <v>454</v>
      </c>
      <c r="O212" s="39" t="str">
        <f aca="false">IF(ISBLANK(L212),"pending","estimated")</f>
        <v>pending</v>
      </c>
      <c r="P212" s="38"/>
    </row>
    <row r="213" customFormat="false" ht="15" hidden="false" customHeight="true" outlineLevel="0" collapsed="false">
      <c r="B213" s="38" t="n">
        <v>117</v>
      </c>
      <c r="C213" s="38" t="s">
        <v>921</v>
      </c>
      <c r="D213" s="38" t="s">
        <v>1002</v>
      </c>
      <c r="E213" s="38" t="s">
        <v>1003</v>
      </c>
      <c r="F213" s="38" t="s">
        <v>1004</v>
      </c>
      <c r="G213" s="38" t="s">
        <v>208</v>
      </c>
      <c r="H213" s="38" t="s">
        <v>389</v>
      </c>
      <c r="I213" s="38" t="s">
        <v>1009</v>
      </c>
      <c r="J213" s="38" t="s">
        <v>1010</v>
      </c>
      <c r="K213" s="38" t="s">
        <v>453</v>
      </c>
      <c r="L213" s="38"/>
      <c r="M213" s="38"/>
      <c r="N213" s="38" t="s">
        <v>454</v>
      </c>
      <c r="O213" s="39" t="str">
        <f aca="false">IF(ISBLANK(L213),"pending","estimated")</f>
        <v>pending</v>
      </c>
      <c r="P213" s="38"/>
    </row>
    <row r="214" customFormat="false" ht="15" hidden="false" customHeight="true" outlineLevel="0" collapsed="false">
      <c r="B214" s="38" t="n">
        <v>118</v>
      </c>
      <c r="C214" s="38" t="s">
        <v>921</v>
      </c>
      <c r="D214" s="38" t="s">
        <v>1002</v>
      </c>
      <c r="E214" s="38" t="s">
        <v>1011</v>
      </c>
      <c r="F214" s="38" t="s">
        <v>1012</v>
      </c>
      <c r="G214" s="38" t="s">
        <v>208</v>
      </c>
      <c r="H214" s="38" t="s">
        <v>370</v>
      </c>
      <c r="I214" s="38" t="s">
        <v>1013</v>
      </c>
      <c r="J214" s="38" t="s">
        <v>1014</v>
      </c>
      <c r="K214" s="38" t="s">
        <v>453</v>
      </c>
      <c r="L214" s="38"/>
      <c r="M214" s="38"/>
      <c r="N214" s="38" t="s">
        <v>454</v>
      </c>
      <c r="O214" s="39" t="str">
        <f aca="false">IF(ISBLANK(L214),"pending","estimated")</f>
        <v>pending</v>
      </c>
      <c r="P214" s="38"/>
    </row>
    <row r="215" customFormat="false" ht="15" hidden="false" customHeight="true" outlineLevel="0" collapsed="false">
      <c r="B215" s="38" t="n">
        <v>118</v>
      </c>
      <c r="C215" s="38" t="s">
        <v>921</v>
      </c>
      <c r="D215" s="38" t="s">
        <v>1002</v>
      </c>
      <c r="E215" s="38" t="s">
        <v>1011</v>
      </c>
      <c r="F215" s="38" t="s">
        <v>1012</v>
      </c>
      <c r="G215" s="38" t="s">
        <v>208</v>
      </c>
      <c r="H215" s="38" t="s">
        <v>389</v>
      </c>
      <c r="I215" s="38" t="s">
        <v>1015</v>
      </c>
      <c r="J215" s="38" t="s">
        <v>1016</v>
      </c>
      <c r="K215" s="38" t="s">
        <v>453</v>
      </c>
      <c r="L215" s="38"/>
      <c r="M215" s="38"/>
      <c r="N215" s="38" t="s">
        <v>454</v>
      </c>
      <c r="O215" s="39" t="str">
        <f aca="false">IF(ISBLANK(L215),"pending","estimated")</f>
        <v>pending</v>
      </c>
      <c r="P215" s="38"/>
    </row>
    <row r="216" customFormat="false" ht="15" hidden="false" customHeight="true" outlineLevel="0" collapsed="false">
      <c r="B216" s="38" t="n">
        <v>119</v>
      </c>
      <c r="C216" s="38" t="s">
        <v>921</v>
      </c>
      <c r="D216" s="38" t="s">
        <v>1002</v>
      </c>
      <c r="E216" s="38" t="s">
        <v>1017</v>
      </c>
      <c r="F216" s="38" t="s">
        <v>1018</v>
      </c>
      <c r="G216" s="38" t="s">
        <v>208</v>
      </c>
      <c r="H216" s="38" t="s">
        <v>370</v>
      </c>
      <c r="I216" s="38" t="s">
        <v>1019</v>
      </c>
      <c r="J216" s="38" t="s">
        <v>1020</v>
      </c>
      <c r="K216" s="38" t="s">
        <v>453</v>
      </c>
      <c r="L216" s="38"/>
      <c r="M216" s="38"/>
      <c r="N216" s="38" t="s">
        <v>454</v>
      </c>
      <c r="O216" s="39" t="str">
        <f aca="false">IF(ISBLANK(L216),"pending","estimated")</f>
        <v>pending</v>
      </c>
      <c r="P216" s="38"/>
    </row>
    <row r="217" customFormat="false" ht="15" hidden="false" customHeight="true" outlineLevel="0" collapsed="false">
      <c r="B217" s="38" t="n">
        <v>119</v>
      </c>
      <c r="C217" s="38" t="s">
        <v>921</v>
      </c>
      <c r="D217" s="38" t="s">
        <v>1002</v>
      </c>
      <c r="E217" s="38" t="s">
        <v>1017</v>
      </c>
      <c r="F217" s="38" t="s">
        <v>1018</v>
      </c>
      <c r="G217" s="38" t="s">
        <v>208</v>
      </c>
      <c r="H217" s="38" t="s">
        <v>399</v>
      </c>
      <c r="I217" s="38" t="s">
        <v>1021</v>
      </c>
      <c r="J217" s="38" t="s">
        <v>1022</v>
      </c>
      <c r="K217" s="38" t="s">
        <v>464</v>
      </c>
      <c r="L217" s="38"/>
      <c r="M217" s="38"/>
      <c r="N217" s="38" t="s">
        <v>454</v>
      </c>
      <c r="O217" s="39" t="str">
        <f aca="false">IF(ISBLANK(L217),"pending","estimated")</f>
        <v>pending</v>
      </c>
      <c r="P217" s="38"/>
    </row>
    <row r="218" customFormat="false" ht="15" hidden="false" customHeight="true" outlineLevel="0" collapsed="false">
      <c r="B218" s="38" t="n">
        <v>119</v>
      </c>
      <c r="C218" s="38" t="s">
        <v>921</v>
      </c>
      <c r="D218" s="38" t="s">
        <v>1002</v>
      </c>
      <c r="E218" s="38" t="s">
        <v>1017</v>
      </c>
      <c r="F218" s="38" t="s">
        <v>1018</v>
      </c>
      <c r="G218" s="38" t="s">
        <v>208</v>
      </c>
      <c r="H218" s="38" t="s">
        <v>389</v>
      </c>
      <c r="I218" s="38" t="s">
        <v>1023</v>
      </c>
      <c r="J218" s="38" t="s">
        <v>1024</v>
      </c>
      <c r="K218" s="38" t="s">
        <v>453</v>
      </c>
      <c r="L218" s="38"/>
      <c r="M218" s="38"/>
      <c r="N218" s="38" t="s">
        <v>454</v>
      </c>
      <c r="O218" s="39" t="str">
        <f aca="false">IF(ISBLANK(L218),"pending","estimated")</f>
        <v>pending</v>
      </c>
      <c r="P218" s="38"/>
    </row>
    <row r="219" customFormat="false" ht="15" hidden="false" customHeight="true" outlineLevel="0" collapsed="false">
      <c r="B219" s="38" t="n">
        <v>120</v>
      </c>
      <c r="C219" s="38" t="s">
        <v>921</v>
      </c>
      <c r="D219" s="38" t="s">
        <v>1002</v>
      </c>
      <c r="E219" s="38" t="s">
        <v>1025</v>
      </c>
      <c r="F219" s="38" t="s">
        <v>1026</v>
      </c>
      <c r="G219" s="38" t="s">
        <v>208</v>
      </c>
      <c r="H219" s="38" t="s">
        <v>370</v>
      </c>
      <c r="I219" s="38" t="s">
        <v>1027</v>
      </c>
      <c r="J219" s="38" t="s">
        <v>1028</v>
      </c>
      <c r="K219" s="38" t="s">
        <v>453</v>
      </c>
      <c r="L219" s="38"/>
      <c r="M219" s="38"/>
      <c r="N219" s="38" t="s">
        <v>454</v>
      </c>
      <c r="O219" s="39" t="str">
        <f aca="false">IF(ISBLANK(L219),"pending","estimated")</f>
        <v>pending</v>
      </c>
      <c r="P219" s="38"/>
    </row>
    <row r="220" customFormat="false" ht="15" hidden="false" customHeight="true" outlineLevel="0" collapsed="false">
      <c r="B220" s="38" t="n">
        <v>120</v>
      </c>
      <c r="C220" s="38" t="s">
        <v>921</v>
      </c>
      <c r="D220" s="38" t="s">
        <v>1002</v>
      </c>
      <c r="E220" s="38" t="s">
        <v>1025</v>
      </c>
      <c r="F220" s="38" t="s">
        <v>1026</v>
      </c>
      <c r="G220" s="38" t="s">
        <v>208</v>
      </c>
      <c r="H220" s="38" t="s">
        <v>389</v>
      </c>
      <c r="I220" s="38" t="s">
        <v>1029</v>
      </c>
      <c r="J220" s="38" t="s">
        <v>1030</v>
      </c>
      <c r="K220" s="38" t="s">
        <v>453</v>
      </c>
      <c r="L220" s="38"/>
      <c r="M220" s="38"/>
      <c r="N220" s="38" t="s">
        <v>454</v>
      </c>
      <c r="O220" s="39" t="str">
        <f aca="false">IF(ISBLANK(L220),"pending","estimated")</f>
        <v>pending</v>
      </c>
      <c r="P220" s="38"/>
    </row>
    <row r="221" customFormat="false" ht="15" hidden="false" customHeight="true" outlineLevel="0" collapsed="false">
      <c r="B221" s="38" t="n">
        <v>121</v>
      </c>
      <c r="C221" s="38" t="s">
        <v>921</v>
      </c>
      <c r="D221" s="38" t="s">
        <v>1002</v>
      </c>
      <c r="E221" s="38" t="s">
        <v>1031</v>
      </c>
      <c r="F221" s="38" t="s">
        <v>1032</v>
      </c>
      <c r="G221" s="38" t="s">
        <v>208</v>
      </c>
      <c r="H221" s="38" t="s">
        <v>370</v>
      </c>
      <c r="I221" s="38" t="s">
        <v>1033</v>
      </c>
      <c r="J221" s="38" t="s">
        <v>1034</v>
      </c>
      <c r="K221" s="38" t="s">
        <v>453</v>
      </c>
      <c r="L221" s="38"/>
      <c r="M221" s="38"/>
      <c r="N221" s="38" t="s">
        <v>454</v>
      </c>
      <c r="O221" s="39" t="str">
        <f aca="false">IF(ISBLANK(L221),"pending","estimated")</f>
        <v>pending</v>
      </c>
      <c r="P221" s="38"/>
    </row>
    <row r="222" customFormat="false" ht="15" hidden="false" customHeight="true" outlineLevel="0" collapsed="false">
      <c r="B222" s="38" t="n">
        <v>121</v>
      </c>
      <c r="C222" s="38" t="s">
        <v>921</v>
      </c>
      <c r="D222" s="38" t="s">
        <v>1002</v>
      </c>
      <c r="E222" s="38" t="s">
        <v>1031</v>
      </c>
      <c r="F222" s="38" t="s">
        <v>1032</v>
      </c>
      <c r="G222" s="38" t="s">
        <v>208</v>
      </c>
      <c r="H222" s="38" t="s">
        <v>399</v>
      </c>
      <c r="I222" s="38" t="s">
        <v>1035</v>
      </c>
      <c r="J222" s="38" t="s">
        <v>1036</v>
      </c>
      <c r="K222" s="38" t="s">
        <v>464</v>
      </c>
      <c r="L222" s="38"/>
      <c r="M222" s="38"/>
      <c r="N222" s="38" t="s">
        <v>454</v>
      </c>
      <c r="O222" s="39" t="str">
        <f aca="false">IF(ISBLANK(L222),"pending","estimated")</f>
        <v>pending</v>
      </c>
      <c r="P222" s="38"/>
    </row>
    <row r="223" customFormat="false" ht="15" hidden="false" customHeight="true" outlineLevel="0" collapsed="false">
      <c r="B223" s="38" t="n">
        <v>121</v>
      </c>
      <c r="C223" s="38" t="s">
        <v>921</v>
      </c>
      <c r="D223" s="38" t="s">
        <v>1002</v>
      </c>
      <c r="E223" s="38" t="s">
        <v>1031</v>
      </c>
      <c r="F223" s="38" t="s">
        <v>1032</v>
      </c>
      <c r="G223" s="38" t="s">
        <v>208</v>
      </c>
      <c r="H223" s="38" t="s">
        <v>389</v>
      </c>
      <c r="I223" s="38" t="s">
        <v>1037</v>
      </c>
      <c r="J223" s="38" t="s">
        <v>1038</v>
      </c>
      <c r="K223" s="38" t="s">
        <v>453</v>
      </c>
      <c r="L223" s="38"/>
      <c r="M223" s="38"/>
      <c r="N223" s="38" t="s">
        <v>454</v>
      </c>
      <c r="O223" s="39" t="str">
        <f aca="false">IF(ISBLANK(L223),"pending","estimated")</f>
        <v>pending</v>
      </c>
      <c r="P223" s="38"/>
    </row>
    <row r="224" customFormat="false" ht="15" hidden="false" customHeight="true" outlineLevel="0" collapsed="false">
      <c r="B224" s="38" t="n">
        <v>122</v>
      </c>
      <c r="C224" s="38" t="s">
        <v>921</v>
      </c>
      <c r="D224" s="38" t="s">
        <v>1002</v>
      </c>
      <c r="E224" s="38" t="s">
        <v>1039</v>
      </c>
      <c r="F224" s="38" t="s">
        <v>1040</v>
      </c>
      <c r="G224" s="38" t="s">
        <v>208</v>
      </c>
      <c r="H224" s="38" t="s">
        <v>370</v>
      </c>
      <c r="I224" s="38" t="s">
        <v>1041</v>
      </c>
      <c r="J224" s="38" t="s">
        <v>1042</v>
      </c>
      <c r="K224" s="38" t="s">
        <v>453</v>
      </c>
      <c r="L224" s="38"/>
      <c r="M224" s="38"/>
      <c r="N224" s="38" t="s">
        <v>454</v>
      </c>
      <c r="O224" s="39" t="str">
        <f aca="false">IF(ISBLANK(L224),"pending","estimated")</f>
        <v>pending</v>
      </c>
      <c r="P224" s="38"/>
    </row>
    <row r="225" customFormat="false" ht="15" hidden="false" customHeight="true" outlineLevel="0" collapsed="false">
      <c r="B225" s="38" t="n">
        <v>122</v>
      </c>
      <c r="C225" s="38" t="s">
        <v>921</v>
      </c>
      <c r="D225" s="38" t="s">
        <v>1002</v>
      </c>
      <c r="E225" s="38" t="s">
        <v>1039</v>
      </c>
      <c r="F225" s="38" t="s">
        <v>1040</v>
      </c>
      <c r="G225" s="38" t="s">
        <v>208</v>
      </c>
      <c r="H225" s="38" t="s">
        <v>389</v>
      </c>
      <c r="I225" s="38" t="s">
        <v>1043</v>
      </c>
      <c r="J225" s="38" t="s">
        <v>1044</v>
      </c>
      <c r="K225" s="38" t="s">
        <v>453</v>
      </c>
      <c r="L225" s="38"/>
      <c r="M225" s="38"/>
      <c r="N225" s="38" t="s">
        <v>454</v>
      </c>
      <c r="O225" s="39" t="str">
        <f aca="false">IF(ISBLANK(L225),"pending","estimated")</f>
        <v>pending</v>
      </c>
      <c r="P225" s="38"/>
    </row>
    <row r="226" customFormat="false" ht="15" hidden="false" customHeight="true" outlineLevel="0" collapsed="false">
      <c r="B226" s="38" t="n">
        <v>127</v>
      </c>
      <c r="C226" s="38" t="s">
        <v>1045</v>
      </c>
      <c r="D226" s="38" t="s">
        <v>128</v>
      </c>
      <c r="E226" s="38" t="s">
        <v>1046</v>
      </c>
      <c r="F226" s="38" t="s">
        <v>1047</v>
      </c>
      <c r="G226" s="38" t="s">
        <v>208</v>
      </c>
      <c r="H226" s="38" t="s">
        <v>450</v>
      </c>
      <c r="I226" s="38" t="s">
        <v>1048</v>
      </c>
      <c r="J226" s="38" t="s">
        <v>1049</v>
      </c>
      <c r="K226" s="38" t="s">
        <v>453</v>
      </c>
      <c r="L226" s="38"/>
      <c r="M226" s="38"/>
      <c r="N226" s="38" t="s">
        <v>454</v>
      </c>
      <c r="O226" s="39" t="str">
        <f aca="false">IF(ISBLANK(L226),"pending","estimated")</f>
        <v>pending</v>
      </c>
      <c r="P226" s="38"/>
    </row>
    <row r="227" customFormat="false" ht="15" hidden="false" customHeight="true" outlineLevel="0" collapsed="false">
      <c r="B227" s="38" t="n">
        <v>127</v>
      </c>
      <c r="C227" s="38" t="s">
        <v>1045</v>
      </c>
      <c r="D227" s="38" t="s">
        <v>128</v>
      </c>
      <c r="E227" s="38" t="s">
        <v>1046</v>
      </c>
      <c r="F227" s="38" t="s">
        <v>1047</v>
      </c>
      <c r="G227" s="38" t="s">
        <v>208</v>
      </c>
      <c r="H227" s="38" t="s">
        <v>415</v>
      </c>
      <c r="I227" s="38" t="s">
        <v>1050</v>
      </c>
      <c r="J227" s="38" t="s">
        <v>1051</v>
      </c>
      <c r="K227" s="38" t="s">
        <v>453</v>
      </c>
      <c r="L227" s="38"/>
      <c r="M227" s="38"/>
      <c r="N227" s="38" t="s">
        <v>454</v>
      </c>
      <c r="O227" s="39" t="str">
        <f aca="false">IF(ISBLANK(L227),"pending","estimated")</f>
        <v>pending</v>
      </c>
      <c r="P227" s="38"/>
    </row>
    <row r="228" customFormat="false" ht="15" hidden="false" customHeight="true" outlineLevel="0" collapsed="false">
      <c r="B228" s="38" t="n">
        <v>128</v>
      </c>
      <c r="C228" s="38" t="s">
        <v>1045</v>
      </c>
      <c r="D228" s="38" t="s">
        <v>128</v>
      </c>
      <c r="E228" s="38" t="s">
        <v>1052</v>
      </c>
      <c r="F228" s="38" t="s">
        <v>1053</v>
      </c>
      <c r="G228" s="38" t="s">
        <v>208</v>
      </c>
      <c r="H228" s="38" t="s">
        <v>450</v>
      </c>
      <c r="I228" s="38" t="s">
        <v>1054</v>
      </c>
      <c r="J228" s="38" t="s">
        <v>1055</v>
      </c>
      <c r="K228" s="38" t="s">
        <v>453</v>
      </c>
      <c r="L228" s="38"/>
      <c r="M228" s="38"/>
      <c r="N228" s="38" t="s">
        <v>454</v>
      </c>
      <c r="O228" s="39" t="str">
        <f aca="false">IF(ISBLANK(L228),"pending","estimated")</f>
        <v>pending</v>
      </c>
      <c r="P228" s="38"/>
    </row>
    <row r="229" customFormat="false" ht="15" hidden="false" customHeight="true" outlineLevel="0" collapsed="false">
      <c r="B229" s="38" t="n">
        <v>128</v>
      </c>
      <c r="C229" s="38" t="s">
        <v>1045</v>
      </c>
      <c r="D229" s="38" t="s">
        <v>128</v>
      </c>
      <c r="E229" s="38" t="s">
        <v>1052</v>
      </c>
      <c r="F229" s="38" t="s">
        <v>1053</v>
      </c>
      <c r="G229" s="38" t="s">
        <v>208</v>
      </c>
      <c r="H229" s="38" t="s">
        <v>415</v>
      </c>
      <c r="I229" s="38" t="s">
        <v>1054</v>
      </c>
      <c r="J229" s="38" t="s">
        <v>1056</v>
      </c>
      <c r="K229" s="38" t="s">
        <v>453</v>
      </c>
      <c r="L229" s="38"/>
      <c r="M229" s="38"/>
      <c r="N229" s="38" t="s">
        <v>454</v>
      </c>
      <c r="O229" s="39" t="str">
        <f aca="false">IF(ISBLANK(L229),"pending","estimated")</f>
        <v>pending</v>
      </c>
      <c r="P229" s="38"/>
    </row>
    <row r="230" customFormat="false" ht="15" hidden="false" customHeight="true" outlineLevel="0" collapsed="false">
      <c r="B230" s="38" t="n">
        <v>128</v>
      </c>
      <c r="C230" s="38" t="s">
        <v>1045</v>
      </c>
      <c r="D230" s="38" t="s">
        <v>128</v>
      </c>
      <c r="E230" s="38" t="s">
        <v>1052</v>
      </c>
      <c r="F230" s="38" t="s">
        <v>1053</v>
      </c>
      <c r="G230" s="38" t="s">
        <v>208</v>
      </c>
      <c r="H230" s="38" t="s">
        <v>399</v>
      </c>
      <c r="I230" s="38" t="s">
        <v>1057</v>
      </c>
      <c r="J230" s="38" t="s">
        <v>1058</v>
      </c>
      <c r="K230" s="38" t="s">
        <v>464</v>
      </c>
      <c r="L230" s="38"/>
      <c r="M230" s="38"/>
      <c r="N230" s="38" t="s">
        <v>454</v>
      </c>
      <c r="O230" s="39" t="str">
        <f aca="false">IF(ISBLANK(L230),"pending","estimated")</f>
        <v>pending</v>
      </c>
      <c r="P230" s="38"/>
    </row>
    <row r="231" customFormat="false" ht="15" hidden="false" customHeight="true" outlineLevel="0" collapsed="false">
      <c r="B231" s="38" t="n">
        <v>129</v>
      </c>
      <c r="C231" s="38" t="s">
        <v>1045</v>
      </c>
      <c r="D231" s="38" t="s">
        <v>128</v>
      </c>
      <c r="E231" s="38" t="s">
        <v>1059</v>
      </c>
      <c r="F231" s="38" t="s">
        <v>1060</v>
      </c>
      <c r="G231" s="38" t="s">
        <v>208</v>
      </c>
      <c r="H231" s="38" t="s">
        <v>450</v>
      </c>
      <c r="I231" s="38" t="s">
        <v>1061</v>
      </c>
      <c r="J231" s="38" t="s">
        <v>1062</v>
      </c>
      <c r="K231" s="38" t="s">
        <v>453</v>
      </c>
      <c r="L231" s="38"/>
      <c r="M231" s="38"/>
      <c r="N231" s="38" t="s">
        <v>454</v>
      </c>
      <c r="O231" s="39" t="str">
        <f aca="false">IF(ISBLANK(L231),"pending","estimated")</f>
        <v>pending</v>
      </c>
      <c r="P231" s="38"/>
    </row>
    <row r="232" customFormat="false" ht="15" hidden="false" customHeight="true" outlineLevel="0" collapsed="false">
      <c r="B232" s="38" t="n">
        <v>129</v>
      </c>
      <c r="C232" s="38" t="s">
        <v>1045</v>
      </c>
      <c r="D232" s="38" t="s">
        <v>128</v>
      </c>
      <c r="E232" s="38" t="s">
        <v>1059</v>
      </c>
      <c r="F232" s="38" t="s">
        <v>1060</v>
      </c>
      <c r="G232" s="38" t="s">
        <v>208</v>
      </c>
      <c r="H232" s="38" t="s">
        <v>415</v>
      </c>
      <c r="I232" s="38" t="s">
        <v>1063</v>
      </c>
      <c r="J232" s="38" t="s">
        <v>1064</v>
      </c>
      <c r="K232" s="38" t="s">
        <v>453</v>
      </c>
      <c r="L232" s="38"/>
      <c r="M232" s="38"/>
      <c r="N232" s="38" t="s">
        <v>454</v>
      </c>
      <c r="O232" s="39" t="str">
        <f aca="false">IF(ISBLANK(L232),"pending","estimated")</f>
        <v>pending</v>
      </c>
      <c r="P232" s="38"/>
    </row>
    <row r="233" customFormat="false" ht="15" hidden="false" customHeight="true" outlineLevel="0" collapsed="false">
      <c r="B233" s="38" t="n">
        <v>131</v>
      </c>
      <c r="C233" s="38" t="s">
        <v>1045</v>
      </c>
      <c r="D233" s="38" t="s">
        <v>128</v>
      </c>
      <c r="E233" s="38" t="s">
        <v>1065</v>
      </c>
      <c r="F233" s="38" t="s">
        <v>1066</v>
      </c>
      <c r="G233" s="38" t="s">
        <v>208</v>
      </c>
      <c r="H233" s="38" t="s">
        <v>450</v>
      </c>
      <c r="I233" s="38" t="s">
        <v>1067</v>
      </c>
      <c r="J233" s="38" t="s">
        <v>1068</v>
      </c>
      <c r="K233" s="38" t="s">
        <v>453</v>
      </c>
      <c r="L233" s="38"/>
      <c r="M233" s="38"/>
      <c r="N233" s="38" t="s">
        <v>454</v>
      </c>
      <c r="O233" s="39" t="str">
        <f aca="false">IF(ISBLANK(L233),"pending","estimated")</f>
        <v>pending</v>
      </c>
      <c r="P233" s="38"/>
    </row>
    <row r="234" customFormat="false" ht="15" hidden="false" customHeight="true" outlineLevel="0" collapsed="false">
      <c r="B234" s="38" t="n">
        <v>131</v>
      </c>
      <c r="C234" s="38" t="s">
        <v>1045</v>
      </c>
      <c r="D234" s="38" t="s">
        <v>128</v>
      </c>
      <c r="E234" s="38" t="s">
        <v>1065</v>
      </c>
      <c r="F234" s="38" t="s">
        <v>1066</v>
      </c>
      <c r="G234" s="38" t="s">
        <v>208</v>
      </c>
      <c r="H234" s="38" t="s">
        <v>370</v>
      </c>
      <c r="I234" s="38" t="s">
        <v>1069</v>
      </c>
      <c r="J234" s="38" t="s">
        <v>1070</v>
      </c>
      <c r="K234" s="38" t="s">
        <v>453</v>
      </c>
      <c r="L234" s="38"/>
      <c r="M234" s="38"/>
      <c r="N234" s="38" t="s">
        <v>454</v>
      </c>
      <c r="O234" s="39" t="str">
        <f aca="false">IF(ISBLANK(L234),"pending","estimated")</f>
        <v>pending</v>
      </c>
      <c r="P234" s="38"/>
    </row>
    <row r="235" customFormat="false" ht="15" hidden="false" customHeight="true" outlineLevel="0" collapsed="false">
      <c r="B235" s="38" t="n">
        <v>131</v>
      </c>
      <c r="C235" s="38" t="s">
        <v>1045</v>
      </c>
      <c r="D235" s="38" t="s">
        <v>128</v>
      </c>
      <c r="E235" s="38" t="s">
        <v>1065</v>
      </c>
      <c r="F235" s="38" t="s">
        <v>1066</v>
      </c>
      <c r="G235" s="38" t="s">
        <v>208</v>
      </c>
      <c r="H235" s="38" t="s">
        <v>415</v>
      </c>
      <c r="I235" s="38" t="s">
        <v>1069</v>
      </c>
      <c r="J235" s="38" t="s">
        <v>1071</v>
      </c>
      <c r="K235" s="38" t="s">
        <v>453</v>
      </c>
      <c r="L235" s="38"/>
      <c r="M235" s="38"/>
      <c r="N235" s="38" t="s">
        <v>454</v>
      </c>
      <c r="O235" s="39" t="str">
        <f aca="false">IF(ISBLANK(L235),"pending","estimated")</f>
        <v>pending</v>
      </c>
      <c r="P235" s="38"/>
    </row>
    <row r="236" customFormat="false" ht="15" hidden="false" customHeight="true" outlineLevel="0" collapsed="false">
      <c r="B236" s="38" t="n">
        <v>133</v>
      </c>
      <c r="C236" s="38" t="s">
        <v>1045</v>
      </c>
      <c r="D236" s="38" t="s">
        <v>128</v>
      </c>
      <c r="E236" s="38" t="s">
        <v>1072</v>
      </c>
      <c r="F236" s="38" t="s">
        <v>1073</v>
      </c>
      <c r="G236" s="38" t="s">
        <v>208</v>
      </c>
      <c r="H236" s="38" t="s">
        <v>450</v>
      </c>
      <c r="I236" s="38" t="s">
        <v>1074</v>
      </c>
      <c r="J236" s="38" t="s">
        <v>1075</v>
      </c>
      <c r="K236" s="38" t="s">
        <v>453</v>
      </c>
      <c r="L236" s="38"/>
      <c r="M236" s="38"/>
      <c r="N236" s="38" t="s">
        <v>454</v>
      </c>
      <c r="O236" s="39" t="str">
        <f aca="false">IF(ISBLANK(L236),"pending","estimated")</f>
        <v>pending</v>
      </c>
      <c r="P236" s="38"/>
    </row>
    <row r="237" customFormat="false" ht="15" hidden="false" customHeight="true" outlineLevel="0" collapsed="false">
      <c r="B237" s="38" t="n">
        <v>133</v>
      </c>
      <c r="C237" s="38" t="s">
        <v>1045</v>
      </c>
      <c r="D237" s="38" t="s">
        <v>128</v>
      </c>
      <c r="E237" s="38" t="s">
        <v>1072</v>
      </c>
      <c r="F237" s="38" t="s">
        <v>1073</v>
      </c>
      <c r="G237" s="38" t="s">
        <v>208</v>
      </c>
      <c r="H237" s="38" t="s">
        <v>415</v>
      </c>
      <c r="I237" s="38" t="s">
        <v>1074</v>
      </c>
      <c r="J237" s="38" t="s">
        <v>1076</v>
      </c>
      <c r="K237" s="38" t="s">
        <v>453</v>
      </c>
      <c r="L237" s="38"/>
      <c r="M237" s="38"/>
      <c r="N237" s="38" t="s">
        <v>454</v>
      </c>
      <c r="O237" s="39" t="str">
        <f aca="false">IF(ISBLANK(L237),"pending","estimated")</f>
        <v>pending</v>
      </c>
      <c r="P237" s="38"/>
    </row>
    <row r="238" customFormat="false" ht="15" hidden="false" customHeight="true" outlineLevel="0" collapsed="false">
      <c r="B238" s="38" t="n">
        <v>134</v>
      </c>
      <c r="C238" s="38" t="s">
        <v>1045</v>
      </c>
      <c r="D238" s="38" t="s">
        <v>128</v>
      </c>
      <c r="E238" s="38" t="s">
        <v>1077</v>
      </c>
      <c r="F238" s="38" t="s">
        <v>1078</v>
      </c>
      <c r="G238" s="38" t="s">
        <v>208</v>
      </c>
      <c r="H238" s="38" t="s">
        <v>450</v>
      </c>
      <c r="I238" s="38" t="s">
        <v>1079</v>
      </c>
      <c r="J238" s="38" t="s">
        <v>1080</v>
      </c>
      <c r="K238" s="38" t="s">
        <v>453</v>
      </c>
      <c r="L238" s="38"/>
      <c r="M238" s="38"/>
      <c r="N238" s="38" t="s">
        <v>454</v>
      </c>
      <c r="O238" s="39" t="str">
        <f aca="false">IF(ISBLANK(L238),"pending","estimated")</f>
        <v>pending</v>
      </c>
      <c r="P238" s="38"/>
    </row>
    <row r="239" customFormat="false" ht="15" hidden="false" customHeight="true" outlineLevel="0" collapsed="false">
      <c r="B239" s="38" t="n">
        <v>134</v>
      </c>
      <c r="C239" s="38" t="s">
        <v>1045</v>
      </c>
      <c r="D239" s="38" t="s">
        <v>128</v>
      </c>
      <c r="E239" s="38" t="s">
        <v>1077</v>
      </c>
      <c r="F239" s="38" t="s">
        <v>1078</v>
      </c>
      <c r="G239" s="38" t="s">
        <v>208</v>
      </c>
      <c r="H239" s="38" t="s">
        <v>370</v>
      </c>
      <c r="I239" s="38" t="s">
        <v>1081</v>
      </c>
      <c r="J239" s="38" t="s">
        <v>1082</v>
      </c>
      <c r="K239" s="38" t="s">
        <v>453</v>
      </c>
      <c r="L239" s="38"/>
      <c r="M239" s="38"/>
      <c r="N239" s="38" t="s">
        <v>454</v>
      </c>
      <c r="O239" s="39" t="str">
        <f aca="false">IF(ISBLANK(L239),"pending","estimated")</f>
        <v>pending</v>
      </c>
      <c r="P239" s="38"/>
    </row>
    <row r="240" customFormat="false" ht="15" hidden="false" customHeight="true" outlineLevel="0" collapsed="false">
      <c r="B240" s="38" t="n">
        <v>134</v>
      </c>
      <c r="C240" s="38" t="s">
        <v>1045</v>
      </c>
      <c r="D240" s="38" t="s">
        <v>128</v>
      </c>
      <c r="E240" s="38" t="s">
        <v>1077</v>
      </c>
      <c r="F240" s="38" t="s">
        <v>1078</v>
      </c>
      <c r="G240" s="38" t="s">
        <v>208</v>
      </c>
      <c r="H240" s="38" t="s">
        <v>415</v>
      </c>
      <c r="I240" s="38" t="s">
        <v>1083</v>
      </c>
      <c r="J240" s="38" t="s">
        <v>1084</v>
      </c>
      <c r="K240" s="38" t="s">
        <v>453</v>
      </c>
      <c r="L240" s="38"/>
      <c r="M240" s="38"/>
      <c r="N240" s="38" t="s">
        <v>454</v>
      </c>
      <c r="O240" s="39" t="str">
        <f aca="false">IF(ISBLANK(L240),"pending","estimated")</f>
        <v>pending</v>
      </c>
      <c r="P240" s="38"/>
    </row>
    <row r="241" customFormat="false" ht="15" hidden="false" customHeight="true" outlineLevel="0" collapsed="false">
      <c r="B241" s="38" t="n">
        <v>138</v>
      </c>
      <c r="C241" s="38" t="s">
        <v>1085</v>
      </c>
      <c r="D241" s="38" t="s">
        <v>128</v>
      </c>
      <c r="E241" s="38" t="s">
        <v>1086</v>
      </c>
      <c r="F241" s="38" t="s">
        <v>1087</v>
      </c>
      <c r="G241" s="38" t="s">
        <v>208</v>
      </c>
      <c r="H241" s="38" t="s">
        <v>450</v>
      </c>
      <c r="I241" s="38" t="s">
        <v>1088</v>
      </c>
      <c r="J241" s="38" t="s">
        <v>1089</v>
      </c>
      <c r="K241" s="38" t="s">
        <v>453</v>
      </c>
      <c r="L241" s="38"/>
      <c r="M241" s="38"/>
      <c r="N241" s="38" t="s">
        <v>454</v>
      </c>
      <c r="O241" s="39" t="str">
        <f aca="false">IF(ISBLANK(L241),"pending","estimated")</f>
        <v>pending</v>
      </c>
      <c r="P241" s="38"/>
    </row>
    <row r="242" customFormat="false" ht="15" hidden="false" customHeight="true" outlineLevel="0" collapsed="false">
      <c r="B242" s="38" t="n">
        <v>138</v>
      </c>
      <c r="C242" s="38" t="s">
        <v>1085</v>
      </c>
      <c r="D242" s="38" t="s">
        <v>128</v>
      </c>
      <c r="E242" s="38" t="s">
        <v>1086</v>
      </c>
      <c r="F242" s="38" t="s">
        <v>1087</v>
      </c>
      <c r="G242" s="38" t="s">
        <v>208</v>
      </c>
      <c r="H242" s="38" t="s">
        <v>370</v>
      </c>
      <c r="I242" s="38" t="s">
        <v>1090</v>
      </c>
      <c r="J242" s="38" t="s">
        <v>1091</v>
      </c>
      <c r="K242" s="38" t="s">
        <v>453</v>
      </c>
      <c r="L242" s="38"/>
      <c r="M242" s="38"/>
      <c r="N242" s="38" t="s">
        <v>454</v>
      </c>
      <c r="O242" s="39" t="str">
        <f aca="false">IF(ISBLANK(L242),"pending","estimated")</f>
        <v>pending</v>
      </c>
      <c r="P242" s="38"/>
    </row>
    <row r="243" customFormat="false" ht="15" hidden="false" customHeight="true" outlineLevel="0" collapsed="false">
      <c r="B243" s="38" t="n">
        <v>138</v>
      </c>
      <c r="C243" s="38" t="s">
        <v>1085</v>
      </c>
      <c r="D243" s="38" t="s">
        <v>128</v>
      </c>
      <c r="E243" s="38" t="s">
        <v>1086</v>
      </c>
      <c r="F243" s="38" t="s">
        <v>1087</v>
      </c>
      <c r="G243" s="38" t="s">
        <v>208</v>
      </c>
      <c r="H243" s="38" t="s">
        <v>415</v>
      </c>
      <c r="I243" s="38" t="s">
        <v>1086</v>
      </c>
      <c r="J243" s="38" t="s">
        <v>1092</v>
      </c>
      <c r="K243" s="38" t="s">
        <v>453</v>
      </c>
      <c r="L243" s="38"/>
      <c r="M243" s="38"/>
      <c r="N243" s="38" t="s">
        <v>454</v>
      </c>
      <c r="O243" s="39" t="str">
        <f aca="false">IF(ISBLANK(L243),"pending","estimated")</f>
        <v>pending</v>
      </c>
      <c r="P243" s="38"/>
    </row>
    <row r="244" customFormat="false" ht="15" hidden="false" customHeight="true" outlineLevel="0" collapsed="false">
      <c r="B244" s="38" t="n">
        <v>138</v>
      </c>
      <c r="C244" s="38" t="s">
        <v>1085</v>
      </c>
      <c r="D244" s="38" t="s">
        <v>128</v>
      </c>
      <c r="E244" s="38" t="s">
        <v>1086</v>
      </c>
      <c r="F244" s="38" t="s">
        <v>1087</v>
      </c>
      <c r="G244" s="38" t="s">
        <v>208</v>
      </c>
      <c r="H244" s="38" t="s">
        <v>399</v>
      </c>
      <c r="I244" s="38" t="s">
        <v>1093</v>
      </c>
      <c r="J244" s="38" t="s">
        <v>1094</v>
      </c>
      <c r="K244" s="38" t="s">
        <v>464</v>
      </c>
      <c r="L244" s="38"/>
      <c r="M244" s="38"/>
      <c r="N244" s="38" t="s">
        <v>454</v>
      </c>
      <c r="O244" s="39" t="str">
        <f aca="false">IF(ISBLANK(L244),"pending","estimated")</f>
        <v>pending</v>
      </c>
      <c r="P244" s="38"/>
    </row>
    <row r="245" customFormat="false" ht="15" hidden="false" customHeight="true" outlineLevel="0" collapsed="false">
      <c r="B245" s="38" t="n">
        <v>139</v>
      </c>
      <c r="C245" s="38" t="s">
        <v>1085</v>
      </c>
      <c r="D245" s="38" t="s">
        <v>128</v>
      </c>
      <c r="E245" s="38" t="s">
        <v>1095</v>
      </c>
      <c r="F245" s="38" t="s">
        <v>1096</v>
      </c>
      <c r="G245" s="38" t="s">
        <v>208</v>
      </c>
      <c r="H245" s="38" t="s">
        <v>450</v>
      </c>
      <c r="I245" s="38" t="s">
        <v>1097</v>
      </c>
      <c r="J245" s="38" t="s">
        <v>1098</v>
      </c>
      <c r="K245" s="38" t="s">
        <v>453</v>
      </c>
      <c r="L245" s="38"/>
      <c r="M245" s="38"/>
      <c r="N245" s="38" t="s">
        <v>454</v>
      </c>
      <c r="O245" s="39" t="str">
        <f aca="false">IF(ISBLANK(L245),"pending","estimated")</f>
        <v>pending</v>
      </c>
      <c r="P245" s="38"/>
    </row>
    <row r="246" customFormat="false" ht="15" hidden="false" customHeight="true" outlineLevel="0" collapsed="false">
      <c r="B246" s="38" t="n">
        <v>139</v>
      </c>
      <c r="C246" s="38" t="s">
        <v>1085</v>
      </c>
      <c r="D246" s="38" t="s">
        <v>128</v>
      </c>
      <c r="E246" s="38" t="s">
        <v>1095</v>
      </c>
      <c r="F246" s="38" t="s">
        <v>1096</v>
      </c>
      <c r="G246" s="38" t="s">
        <v>208</v>
      </c>
      <c r="H246" s="38" t="s">
        <v>370</v>
      </c>
      <c r="I246" s="38" t="s">
        <v>1099</v>
      </c>
      <c r="J246" s="38" t="s">
        <v>1100</v>
      </c>
      <c r="K246" s="38" t="s">
        <v>453</v>
      </c>
      <c r="L246" s="38"/>
      <c r="M246" s="38"/>
      <c r="N246" s="38" t="s">
        <v>454</v>
      </c>
      <c r="O246" s="39" t="str">
        <f aca="false">IF(ISBLANK(L246),"pending","estimated")</f>
        <v>pending</v>
      </c>
      <c r="P246" s="38"/>
    </row>
    <row r="247" customFormat="false" ht="15" hidden="false" customHeight="true" outlineLevel="0" collapsed="false">
      <c r="B247" s="38" t="n">
        <v>139</v>
      </c>
      <c r="C247" s="38" t="s">
        <v>1085</v>
      </c>
      <c r="D247" s="38" t="s">
        <v>128</v>
      </c>
      <c r="E247" s="38" t="s">
        <v>1095</v>
      </c>
      <c r="F247" s="38" t="s">
        <v>1096</v>
      </c>
      <c r="G247" s="38" t="s">
        <v>208</v>
      </c>
      <c r="H247" s="38" t="s">
        <v>415</v>
      </c>
      <c r="I247" s="38" t="s">
        <v>1101</v>
      </c>
      <c r="J247" s="38" t="s">
        <v>1102</v>
      </c>
      <c r="K247" s="38" t="s">
        <v>453</v>
      </c>
      <c r="L247" s="38"/>
      <c r="M247" s="38"/>
      <c r="N247" s="38" t="s">
        <v>454</v>
      </c>
      <c r="O247" s="39" t="str">
        <f aca="false">IF(ISBLANK(L247),"pending","estimated")</f>
        <v>pending</v>
      </c>
      <c r="P247" s="38"/>
    </row>
    <row r="248" customFormat="false" ht="15" hidden="false" customHeight="true" outlineLevel="0" collapsed="false">
      <c r="B248" s="38" t="n">
        <v>139</v>
      </c>
      <c r="C248" s="38" t="s">
        <v>1085</v>
      </c>
      <c r="D248" s="38" t="s">
        <v>128</v>
      </c>
      <c r="E248" s="38" t="s">
        <v>1095</v>
      </c>
      <c r="F248" s="38" t="s">
        <v>1096</v>
      </c>
      <c r="G248" s="38" t="s">
        <v>208</v>
      </c>
      <c r="H248" s="38" t="s">
        <v>399</v>
      </c>
      <c r="I248" s="38" t="s">
        <v>1099</v>
      </c>
      <c r="J248" s="38" t="s">
        <v>1103</v>
      </c>
      <c r="K248" s="38" t="s">
        <v>464</v>
      </c>
      <c r="L248" s="38"/>
      <c r="M248" s="38"/>
      <c r="N248" s="38" t="s">
        <v>454</v>
      </c>
      <c r="O248" s="39" t="str">
        <f aca="false">IF(ISBLANK(L248),"pending","estimated")</f>
        <v>pending</v>
      </c>
      <c r="P248" s="38"/>
    </row>
    <row r="249" customFormat="false" ht="15" hidden="false" customHeight="true" outlineLevel="0" collapsed="false">
      <c r="B249" s="38" t="n">
        <v>140</v>
      </c>
      <c r="C249" s="38" t="s">
        <v>1085</v>
      </c>
      <c r="D249" s="38" t="s">
        <v>128</v>
      </c>
      <c r="E249" s="38" t="s">
        <v>1104</v>
      </c>
      <c r="F249" s="38" t="s">
        <v>1105</v>
      </c>
      <c r="G249" s="38" t="s">
        <v>208</v>
      </c>
      <c r="H249" s="38" t="s">
        <v>450</v>
      </c>
      <c r="I249" s="38" t="s">
        <v>1106</v>
      </c>
      <c r="J249" s="38" t="s">
        <v>1107</v>
      </c>
      <c r="K249" s="38" t="s">
        <v>453</v>
      </c>
      <c r="L249" s="38"/>
      <c r="M249" s="38"/>
      <c r="N249" s="38" t="s">
        <v>454</v>
      </c>
      <c r="O249" s="39" t="str">
        <f aca="false">IF(ISBLANK(L249),"pending","estimated")</f>
        <v>pending</v>
      </c>
      <c r="P249" s="38"/>
    </row>
    <row r="250" customFormat="false" ht="15" hidden="false" customHeight="true" outlineLevel="0" collapsed="false">
      <c r="B250" s="38" t="n">
        <v>140</v>
      </c>
      <c r="C250" s="38" t="s">
        <v>1085</v>
      </c>
      <c r="D250" s="38" t="s">
        <v>128</v>
      </c>
      <c r="E250" s="38" t="s">
        <v>1104</v>
      </c>
      <c r="F250" s="38" t="s">
        <v>1105</v>
      </c>
      <c r="G250" s="38" t="s">
        <v>208</v>
      </c>
      <c r="H250" s="38" t="s">
        <v>370</v>
      </c>
      <c r="I250" s="38" t="s">
        <v>1108</v>
      </c>
      <c r="J250" s="38" t="s">
        <v>1109</v>
      </c>
      <c r="K250" s="38" t="s">
        <v>453</v>
      </c>
      <c r="L250" s="38"/>
      <c r="M250" s="38"/>
      <c r="N250" s="38" t="s">
        <v>454</v>
      </c>
      <c r="O250" s="39" t="str">
        <f aca="false">IF(ISBLANK(L250),"pending","estimated")</f>
        <v>pending</v>
      </c>
      <c r="P250" s="38"/>
    </row>
    <row r="251" customFormat="false" ht="15" hidden="false" customHeight="true" outlineLevel="0" collapsed="false">
      <c r="B251" s="38" t="n">
        <v>140</v>
      </c>
      <c r="C251" s="38" t="s">
        <v>1085</v>
      </c>
      <c r="D251" s="38" t="s">
        <v>128</v>
      </c>
      <c r="E251" s="38" t="s">
        <v>1104</v>
      </c>
      <c r="F251" s="38" t="s">
        <v>1105</v>
      </c>
      <c r="G251" s="38" t="s">
        <v>208</v>
      </c>
      <c r="H251" s="38" t="s">
        <v>415</v>
      </c>
      <c r="I251" s="38" t="s">
        <v>1110</v>
      </c>
      <c r="J251" s="38" t="s">
        <v>1111</v>
      </c>
      <c r="K251" s="38" t="s">
        <v>453</v>
      </c>
      <c r="L251" s="38"/>
      <c r="M251" s="38"/>
      <c r="N251" s="38" t="s">
        <v>454</v>
      </c>
      <c r="O251" s="39" t="str">
        <f aca="false">IF(ISBLANK(L251),"pending","estimated")</f>
        <v>pending</v>
      </c>
      <c r="P251" s="38"/>
    </row>
    <row r="252" customFormat="false" ht="15" hidden="false" customHeight="true" outlineLevel="0" collapsed="false">
      <c r="B252" s="38" t="n">
        <v>140</v>
      </c>
      <c r="C252" s="38" t="s">
        <v>1085</v>
      </c>
      <c r="D252" s="38" t="s">
        <v>128</v>
      </c>
      <c r="E252" s="38" t="s">
        <v>1104</v>
      </c>
      <c r="F252" s="38" t="s">
        <v>1105</v>
      </c>
      <c r="G252" s="38" t="s">
        <v>208</v>
      </c>
      <c r="H252" s="38" t="s">
        <v>399</v>
      </c>
      <c r="I252" s="38" t="s">
        <v>1112</v>
      </c>
      <c r="J252" s="38" t="s">
        <v>1113</v>
      </c>
      <c r="K252" s="38" t="s">
        <v>464</v>
      </c>
      <c r="L252" s="38"/>
      <c r="M252" s="38"/>
      <c r="N252" s="38" t="s">
        <v>454</v>
      </c>
      <c r="O252" s="39" t="str">
        <f aca="false">IF(ISBLANK(L252),"pending","estimated")</f>
        <v>pending</v>
      </c>
      <c r="P252" s="38"/>
    </row>
    <row r="253" customFormat="false" ht="15" hidden="false" customHeight="true" outlineLevel="0" collapsed="false">
      <c r="B253" s="38" t="n">
        <v>141</v>
      </c>
      <c r="C253" s="38" t="s">
        <v>1085</v>
      </c>
      <c r="D253" s="38" t="s">
        <v>128</v>
      </c>
      <c r="E253" s="38" t="s">
        <v>1114</v>
      </c>
      <c r="F253" s="38" t="s">
        <v>1115</v>
      </c>
      <c r="G253" s="38" t="s">
        <v>208</v>
      </c>
      <c r="H253" s="38" t="s">
        <v>450</v>
      </c>
      <c r="I253" s="38" t="s">
        <v>1116</v>
      </c>
      <c r="J253" s="38" t="s">
        <v>1117</v>
      </c>
      <c r="K253" s="38" t="s">
        <v>453</v>
      </c>
      <c r="L253" s="38"/>
      <c r="M253" s="38"/>
      <c r="N253" s="38" t="s">
        <v>454</v>
      </c>
      <c r="O253" s="39" t="str">
        <f aca="false">IF(ISBLANK(L253),"pending","estimated")</f>
        <v>pending</v>
      </c>
      <c r="P253" s="38"/>
    </row>
    <row r="254" customFormat="false" ht="15" hidden="false" customHeight="true" outlineLevel="0" collapsed="false">
      <c r="B254" s="38" t="n">
        <v>141</v>
      </c>
      <c r="C254" s="38" t="s">
        <v>1085</v>
      </c>
      <c r="D254" s="38" t="s">
        <v>128</v>
      </c>
      <c r="E254" s="38" t="s">
        <v>1114</v>
      </c>
      <c r="F254" s="38" t="s">
        <v>1115</v>
      </c>
      <c r="G254" s="38" t="s">
        <v>208</v>
      </c>
      <c r="H254" s="38" t="s">
        <v>370</v>
      </c>
      <c r="I254" s="38" t="s">
        <v>1116</v>
      </c>
      <c r="J254" s="38" t="s">
        <v>1118</v>
      </c>
      <c r="K254" s="38" t="s">
        <v>453</v>
      </c>
      <c r="L254" s="38"/>
      <c r="M254" s="38"/>
      <c r="N254" s="38" t="s">
        <v>454</v>
      </c>
      <c r="O254" s="39" t="str">
        <f aca="false">IF(ISBLANK(L254),"pending","estimated")</f>
        <v>pending</v>
      </c>
      <c r="P254" s="38"/>
    </row>
    <row r="255" customFormat="false" ht="15" hidden="false" customHeight="true" outlineLevel="0" collapsed="false">
      <c r="B255" s="38" t="n">
        <v>141</v>
      </c>
      <c r="C255" s="38" t="s">
        <v>1085</v>
      </c>
      <c r="D255" s="38" t="s">
        <v>128</v>
      </c>
      <c r="E255" s="38" t="s">
        <v>1114</v>
      </c>
      <c r="F255" s="38" t="s">
        <v>1115</v>
      </c>
      <c r="G255" s="38" t="s">
        <v>208</v>
      </c>
      <c r="H255" s="38" t="s">
        <v>415</v>
      </c>
      <c r="I255" s="38" t="s">
        <v>1114</v>
      </c>
      <c r="J255" s="38" t="s">
        <v>1119</v>
      </c>
      <c r="K255" s="38" t="s">
        <v>453</v>
      </c>
      <c r="L255" s="38"/>
      <c r="M255" s="38"/>
      <c r="N255" s="38" t="s">
        <v>454</v>
      </c>
      <c r="O255" s="39" t="str">
        <f aca="false">IF(ISBLANK(L255),"pending","estimated")</f>
        <v>pending</v>
      </c>
      <c r="P255" s="38"/>
    </row>
    <row r="256" customFormat="false" ht="15" hidden="false" customHeight="true" outlineLevel="0" collapsed="false">
      <c r="B256" s="38" t="n">
        <v>141</v>
      </c>
      <c r="C256" s="38" t="s">
        <v>1085</v>
      </c>
      <c r="D256" s="38" t="s">
        <v>128</v>
      </c>
      <c r="E256" s="38" t="s">
        <v>1114</v>
      </c>
      <c r="F256" s="38" t="s">
        <v>1115</v>
      </c>
      <c r="G256" s="38" t="s">
        <v>208</v>
      </c>
      <c r="H256" s="38" t="s">
        <v>609</v>
      </c>
      <c r="I256" s="38" t="s">
        <v>1120</v>
      </c>
      <c r="J256" s="38" t="s">
        <v>1121</v>
      </c>
      <c r="K256" s="38" t="s">
        <v>453</v>
      </c>
      <c r="L256" s="38"/>
      <c r="M256" s="38"/>
      <c r="N256" s="38" t="s">
        <v>454</v>
      </c>
      <c r="O256" s="39" t="str">
        <f aca="false">IF(ISBLANK(L256),"pending","estimated")</f>
        <v>pending</v>
      </c>
      <c r="P256" s="38"/>
    </row>
    <row r="257" customFormat="false" ht="15" hidden="false" customHeight="true" outlineLevel="0" collapsed="false">
      <c r="B257" s="38" t="n">
        <v>141</v>
      </c>
      <c r="C257" s="38" t="s">
        <v>1085</v>
      </c>
      <c r="D257" s="38" t="s">
        <v>128</v>
      </c>
      <c r="E257" s="38" t="s">
        <v>1114</v>
      </c>
      <c r="F257" s="38" t="s">
        <v>1115</v>
      </c>
      <c r="G257" s="38" t="s">
        <v>208</v>
      </c>
      <c r="H257" s="38" t="s">
        <v>399</v>
      </c>
      <c r="I257" s="38" t="s">
        <v>1114</v>
      </c>
      <c r="J257" s="38" t="s">
        <v>1122</v>
      </c>
      <c r="K257" s="38" t="s">
        <v>464</v>
      </c>
      <c r="L257" s="38"/>
      <c r="M257" s="38"/>
      <c r="N257" s="38" t="s">
        <v>454</v>
      </c>
      <c r="O257" s="39" t="str">
        <f aca="false">IF(ISBLANK(L257),"pending","estimated")</f>
        <v>pending</v>
      </c>
      <c r="P257" s="38"/>
    </row>
    <row r="258" customFormat="false" ht="15" hidden="false" customHeight="true" outlineLevel="0" collapsed="false">
      <c r="B258" s="38" t="n">
        <v>142</v>
      </c>
      <c r="C258" s="38" t="s">
        <v>1123</v>
      </c>
      <c r="D258" s="38" t="s">
        <v>128</v>
      </c>
      <c r="E258" s="38" t="s">
        <v>1124</v>
      </c>
      <c r="F258" s="38" t="s">
        <v>1125</v>
      </c>
      <c r="G258" s="38" t="s">
        <v>208</v>
      </c>
      <c r="H258" s="38" t="s">
        <v>450</v>
      </c>
      <c r="I258" s="38" t="s">
        <v>1126</v>
      </c>
      <c r="J258" s="38" t="s">
        <v>1127</v>
      </c>
      <c r="K258" s="38" t="s">
        <v>453</v>
      </c>
      <c r="L258" s="38"/>
      <c r="M258" s="38"/>
      <c r="N258" s="38" t="s">
        <v>454</v>
      </c>
      <c r="O258" s="39" t="str">
        <f aca="false">IF(ISBLANK(L258),"pending","estimated")</f>
        <v>pending</v>
      </c>
      <c r="P258" s="38"/>
    </row>
    <row r="259" customFormat="false" ht="15" hidden="false" customHeight="true" outlineLevel="0" collapsed="false">
      <c r="B259" s="38" t="n">
        <v>142</v>
      </c>
      <c r="C259" s="38" t="s">
        <v>1123</v>
      </c>
      <c r="D259" s="38" t="s">
        <v>128</v>
      </c>
      <c r="E259" s="38" t="s">
        <v>1124</v>
      </c>
      <c r="F259" s="38" t="s">
        <v>1125</v>
      </c>
      <c r="G259" s="38" t="s">
        <v>208</v>
      </c>
      <c r="H259" s="38" t="s">
        <v>370</v>
      </c>
      <c r="I259" s="38" t="s">
        <v>1128</v>
      </c>
      <c r="J259" s="38" t="s">
        <v>1129</v>
      </c>
      <c r="K259" s="38" t="s">
        <v>453</v>
      </c>
      <c r="L259" s="38"/>
      <c r="M259" s="38"/>
      <c r="N259" s="38" t="s">
        <v>454</v>
      </c>
      <c r="O259" s="39" t="str">
        <f aca="false">IF(ISBLANK(L259),"pending","estimated")</f>
        <v>pending</v>
      </c>
      <c r="P259" s="38"/>
    </row>
    <row r="260" customFormat="false" ht="15" hidden="false" customHeight="true" outlineLevel="0" collapsed="false">
      <c r="B260" s="38" t="n">
        <v>142</v>
      </c>
      <c r="C260" s="38" t="s">
        <v>1123</v>
      </c>
      <c r="D260" s="38" t="s">
        <v>128</v>
      </c>
      <c r="E260" s="38" t="s">
        <v>1124</v>
      </c>
      <c r="F260" s="38" t="s">
        <v>1125</v>
      </c>
      <c r="G260" s="38" t="s">
        <v>208</v>
      </c>
      <c r="H260" s="38" t="s">
        <v>415</v>
      </c>
      <c r="I260" s="38" t="s">
        <v>1130</v>
      </c>
      <c r="J260" s="38" t="s">
        <v>1131</v>
      </c>
      <c r="K260" s="38" t="s">
        <v>453</v>
      </c>
      <c r="L260" s="38"/>
      <c r="M260" s="38"/>
      <c r="N260" s="38" t="s">
        <v>454</v>
      </c>
      <c r="O260" s="39" t="str">
        <f aca="false">IF(ISBLANK(L260),"pending","estimated")</f>
        <v>pending</v>
      </c>
      <c r="P260" s="38"/>
    </row>
    <row r="261" customFormat="false" ht="15" hidden="false" customHeight="true" outlineLevel="0" collapsed="false">
      <c r="B261" s="38" t="n">
        <v>146</v>
      </c>
      <c r="C261" s="38" t="s">
        <v>1123</v>
      </c>
      <c r="D261" s="38" t="s">
        <v>128</v>
      </c>
      <c r="E261" s="38" t="s">
        <v>1132</v>
      </c>
      <c r="F261" s="38" t="s">
        <v>1133</v>
      </c>
      <c r="G261" s="38" t="s">
        <v>208</v>
      </c>
      <c r="H261" s="38" t="s">
        <v>450</v>
      </c>
      <c r="I261" s="38" t="s">
        <v>1134</v>
      </c>
      <c r="J261" s="38" t="s">
        <v>1135</v>
      </c>
      <c r="K261" s="38" t="s">
        <v>453</v>
      </c>
      <c r="L261" s="38"/>
      <c r="M261" s="38"/>
      <c r="N261" s="38" t="s">
        <v>454</v>
      </c>
      <c r="O261" s="39" t="str">
        <f aca="false">IF(ISBLANK(L261),"pending","estimated")</f>
        <v>pending</v>
      </c>
      <c r="P261" s="38"/>
    </row>
    <row r="262" customFormat="false" ht="15" hidden="false" customHeight="true" outlineLevel="0" collapsed="false">
      <c r="B262" s="38" t="n">
        <v>146</v>
      </c>
      <c r="C262" s="38" t="s">
        <v>1123</v>
      </c>
      <c r="D262" s="38" t="s">
        <v>128</v>
      </c>
      <c r="E262" s="38" t="s">
        <v>1132</v>
      </c>
      <c r="F262" s="38" t="s">
        <v>1133</v>
      </c>
      <c r="G262" s="38" t="s">
        <v>208</v>
      </c>
      <c r="H262" s="38" t="s">
        <v>370</v>
      </c>
      <c r="I262" s="38" t="s">
        <v>1136</v>
      </c>
      <c r="J262" s="38" t="s">
        <v>1137</v>
      </c>
      <c r="K262" s="38" t="s">
        <v>453</v>
      </c>
      <c r="L262" s="38"/>
      <c r="M262" s="38"/>
      <c r="N262" s="38" t="s">
        <v>454</v>
      </c>
      <c r="O262" s="39" t="str">
        <f aca="false">IF(ISBLANK(L262),"pending","estimated")</f>
        <v>pending</v>
      </c>
      <c r="P262" s="38"/>
    </row>
    <row r="263" customFormat="false" ht="15" hidden="false" customHeight="true" outlineLevel="0" collapsed="false">
      <c r="B263" s="38" t="n">
        <v>146</v>
      </c>
      <c r="C263" s="38" t="s">
        <v>1123</v>
      </c>
      <c r="D263" s="38" t="s">
        <v>128</v>
      </c>
      <c r="E263" s="38" t="s">
        <v>1132</v>
      </c>
      <c r="F263" s="38" t="s">
        <v>1133</v>
      </c>
      <c r="G263" s="38" t="s">
        <v>208</v>
      </c>
      <c r="H263" s="38" t="s">
        <v>415</v>
      </c>
      <c r="I263" s="38" t="s">
        <v>1138</v>
      </c>
      <c r="J263" s="38" t="s">
        <v>1139</v>
      </c>
      <c r="K263" s="38" t="s">
        <v>453</v>
      </c>
      <c r="L263" s="38"/>
      <c r="M263" s="38"/>
      <c r="N263" s="38" t="s">
        <v>454</v>
      </c>
      <c r="O263" s="39" t="str">
        <f aca="false">IF(ISBLANK(L263),"pending","estimated")</f>
        <v>pending</v>
      </c>
      <c r="P263" s="38"/>
    </row>
    <row r="264" customFormat="false" ht="15" hidden="false" customHeight="true" outlineLevel="0" collapsed="false">
      <c r="B264" s="38" t="n">
        <v>147</v>
      </c>
      <c r="C264" s="38" t="s">
        <v>1123</v>
      </c>
      <c r="D264" s="38" t="s">
        <v>128</v>
      </c>
      <c r="E264" s="38" t="s">
        <v>1140</v>
      </c>
      <c r="F264" s="38" t="s">
        <v>1141</v>
      </c>
      <c r="G264" s="38" t="s">
        <v>208</v>
      </c>
      <c r="H264" s="38" t="s">
        <v>450</v>
      </c>
      <c r="I264" s="38" t="s">
        <v>1142</v>
      </c>
      <c r="J264" s="38" t="s">
        <v>1143</v>
      </c>
      <c r="K264" s="38" t="s">
        <v>453</v>
      </c>
      <c r="L264" s="38"/>
      <c r="M264" s="38"/>
      <c r="N264" s="38" t="s">
        <v>454</v>
      </c>
      <c r="O264" s="39" t="str">
        <f aca="false">IF(ISBLANK(L264),"pending","estimated")</f>
        <v>pending</v>
      </c>
      <c r="P264" s="38"/>
    </row>
    <row r="265" customFormat="false" ht="15" hidden="false" customHeight="true" outlineLevel="0" collapsed="false">
      <c r="B265" s="38" t="n">
        <v>147</v>
      </c>
      <c r="C265" s="38" t="s">
        <v>1123</v>
      </c>
      <c r="D265" s="38" t="s">
        <v>128</v>
      </c>
      <c r="E265" s="38" t="s">
        <v>1140</v>
      </c>
      <c r="F265" s="38" t="s">
        <v>1141</v>
      </c>
      <c r="G265" s="38" t="s">
        <v>208</v>
      </c>
      <c r="H265" s="38" t="s">
        <v>370</v>
      </c>
      <c r="I265" s="38" t="s">
        <v>1144</v>
      </c>
      <c r="J265" s="38" t="s">
        <v>1145</v>
      </c>
      <c r="K265" s="38" t="s">
        <v>453</v>
      </c>
      <c r="L265" s="38"/>
      <c r="M265" s="38"/>
      <c r="N265" s="38" t="s">
        <v>454</v>
      </c>
      <c r="O265" s="39" t="str">
        <f aca="false">IF(ISBLANK(L265),"pending","estimated")</f>
        <v>pending</v>
      </c>
      <c r="P265" s="38"/>
    </row>
    <row r="266" customFormat="false" ht="15" hidden="false" customHeight="true" outlineLevel="0" collapsed="false">
      <c r="B266" s="38" t="n">
        <v>147</v>
      </c>
      <c r="C266" s="38" t="s">
        <v>1123</v>
      </c>
      <c r="D266" s="38" t="s">
        <v>128</v>
      </c>
      <c r="E266" s="38" t="s">
        <v>1140</v>
      </c>
      <c r="F266" s="38" t="s">
        <v>1141</v>
      </c>
      <c r="G266" s="38" t="s">
        <v>208</v>
      </c>
      <c r="H266" s="38" t="s">
        <v>415</v>
      </c>
      <c r="I266" s="38" t="s">
        <v>1146</v>
      </c>
      <c r="J266" s="38" t="s">
        <v>1147</v>
      </c>
      <c r="K266" s="38" t="s">
        <v>453</v>
      </c>
      <c r="L266" s="38"/>
      <c r="M266" s="38"/>
      <c r="N266" s="38" t="s">
        <v>454</v>
      </c>
      <c r="O266" s="39" t="str">
        <f aca="false">IF(ISBLANK(L266),"pending","estimated")</f>
        <v>pending</v>
      </c>
      <c r="P266" s="38"/>
    </row>
    <row r="267" customFormat="false" ht="15" hidden="false" customHeight="true" outlineLevel="0" collapsed="false">
      <c r="B267" s="38" t="n">
        <v>147</v>
      </c>
      <c r="C267" s="38" t="s">
        <v>1123</v>
      </c>
      <c r="D267" s="38" t="s">
        <v>128</v>
      </c>
      <c r="E267" s="38" t="s">
        <v>1140</v>
      </c>
      <c r="F267" s="38" t="s">
        <v>1141</v>
      </c>
      <c r="G267" s="38" t="s">
        <v>208</v>
      </c>
      <c r="H267" s="38" t="s">
        <v>399</v>
      </c>
      <c r="I267" s="38" t="s">
        <v>1148</v>
      </c>
      <c r="J267" s="38" t="s">
        <v>1149</v>
      </c>
      <c r="K267" s="38" t="s">
        <v>464</v>
      </c>
      <c r="L267" s="38"/>
      <c r="M267" s="38"/>
      <c r="N267" s="38" t="s">
        <v>454</v>
      </c>
      <c r="O267" s="39" t="str">
        <f aca="false">IF(ISBLANK(L267),"pending","estimated")</f>
        <v>pending</v>
      </c>
      <c r="P267" s="38"/>
    </row>
    <row r="268" customFormat="false" ht="15" hidden="false" customHeight="true" outlineLevel="0" collapsed="false">
      <c r="B268" s="38" t="n">
        <v>148</v>
      </c>
      <c r="C268" s="38" t="s">
        <v>1123</v>
      </c>
      <c r="D268" s="38" t="s">
        <v>128</v>
      </c>
      <c r="E268" s="38" t="s">
        <v>1150</v>
      </c>
      <c r="F268" s="38" t="s">
        <v>1151</v>
      </c>
      <c r="G268" s="38" t="s">
        <v>208</v>
      </c>
      <c r="H268" s="38" t="s">
        <v>450</v>
      </c>
      <c r="I268" s="38" t="s">
        <v>1152</v>
      </c>
      <c r="J268" s="38" t="s">
        <v>1153</v>
      </c>
      <c r="K268" s="38" t="s">
        <v>453</v>
      </c>
      <c r="L268" s="38"/>
      <c r="M268" s="38"/>
      <c r="N268" s="38" t="s">
        <v>454</v>
      </c>
      <c r="O268" s="39" t="str">
        <f aca="false">IF(ISBLANK(L268),"pending","estimated")</f>
        <v>pending</v>
      </c>
      <c r="P268" s="38"/>
    </row>
    <row r="269" customFormat="false" ht="15" hidden="false" customHeight="true" outlineLevel="0" collapsed="false">
      <c r="B269" s="38" t="n">
        <v>150</v>
      </c>
      <c r="C269" s="38" t="s">
        <v>1123</v>
      </c>
      <c r="D269" s="38" t="s">
        <v>128</v>
      </c>
      <c r="E269" s="38" t="s">
        <v>1154</v>
      </c>
      <c r="F269" s="38" t="s">
        <v>1155</v>
      </c>
      <c r="G269" s="38" t="s">
        <v>208</v>
      </c>
      <c r="H269" s="38" t="s">
        <v>450</v>
      </c>
      <c r="I269" s="38" t="s">
        <v>1156</v>
      </c>
      <c r="J269" s="38" t="s">
        <v>1157</v>
      </c>
      <c r="K269" s="38" t="s">
        <v>453</v>
      </c>
      <c r="L269" s="38"/>
      <c r="M269" s="38"/>
      <c r="N269" s="38" t="s">
        <v>454</v>
      </c>
      <c r="O269" s="39" t="str">
        <f aca="false">IF(ISBLANK(L269),"pending","estimated")</f>
        <v>pending</v>
      </c>
      <c r="P269" s="38"/>
    </row>
    <row r="270" customFormat="false" ht="15" hidden="false" customHeight="true" outlineLevel="0" collapsed="false">
      <c r="B270" s="38" t="n">
        <v>150</v>
      </c>
      <c r="C270" s="38" t="s">
        <v>1123</v>
      </c>
      <c r="D270" s="38" t="s">
        <v>128</v>
      </c>
      <c r="E270" s="38" t="s">
        <v>1154</v>
      </c>
      <c r="F270" s="38" t="s">
        <v>1155</v>
      </c>
      <c r="G270" s="38" t="s">
        <v>208</v>
      </c>
      <c r="H270" s="38" t="s">
        <v>370</v>
      </c>
      <c r="I270" s="38" t="s">
        <v>1158</v>
      </c>
      <c r="J270" s="38" t="s">
        <v>1159</v>
      </c>
      <c r="K270" s="38" t="s">
        <v>453</v>
      </c>
      <c r="L270" s="38"/>
      <c r="M270" s="38"/>
      <c r="N270" s="38" t="s">
        <v>454</v>
      </c>
      <c r="O270" s="39" t="str">
        <f aca="false">IF(ISBLANK(L270),"pending","estimated")</f>
        <v>pending</v>
      </c>
      <c r="P270" s="38"/>
    </row>
    <row r="271" customFormat="false" ht="15" hidden="false" customHeight="true" outlineLevel="0" collapsed="false">
      <c r="B271" s="38" t="n">
        <v>150</v>
      </c>
      <c r="C271" s="38" t="s">
        <v>1123</v>
      </c>
      <c r="D271" s="38" t="s">
        <v>128</v>
      </c>
      <c r="E271" s="38" t="s">
        <v>1154</v>
      </c>
      <c r="F271" s="38" t="s">
        <v>1155</v>
      </c>
      <c r="G271" s="38" t="s">
        <v>208</v>
      </c>
      <c r="H271" s="38" t="s">
        <v>415</v>
      </c>
      <c r="I271" s="38" t="s">
        <v>1154</v>
      </c>
      <c r="J271" s="38" t="s">
        <v>1160</v>
      </c>
      <c r="K271" s="38" t="s">
        <v>453</v>
      </c>
      <c r="L271" s="38"/>
      <c r="M271" s="38"/>
      <c r="N271" s="38" t="s">
        <v>454</v>
      </c>
      <c r="O271" s="39" t="str">
        <f aca="false">IF(ISBLANK(L271),"pending","estimated")</f>
        <v>pending</v>
      </c>
      <c r="P271" s="38"/>
    </row>
    <row r="272" customFormat="false" ht="15" hidden="false" customHeight="true" outlineLevel="0" collapsed="false">
      <c r="B272" s="38" t="n">
        <v>150</v>
      </c>
      <c r="C272" s="38" t="s">
        <v>1123</v>
      </c>
      <c r="D272" s="38" t="s">
        <v>128</v>
      </c>
      <c r="E272" s="38" t="s">
        <v>1154</v>
      </c>
      <c r="F272" s="38" t="s">
        <v>1155</v>
      </c>
      <c r="G272" s="38" t="s">
        <v>208</v>
      </c>
      <c r="H272" s="38" t="s">
        <v>399</v>
      </c>
      <c r="I272" s="38" t="s">
        <v>1161</v>
      </c>
      <c r="J272" s="38" t="s">
        <v>1162</v>
      </c>
      <c r="K272" s="38" t="s">
        <v>464</v>
      </c>
      <c r="L272" s="38"/>
      <c r="M272" s="38"/>
      <c r="N272" s="38" t="s">
        <v>454</v>
      </c>
      <c r="O272" s="39" t="str">
        <f aca="false">IF(ISBLANK(L272),"pending","estimated")</f>
        <v>pending</v>
      </c>
      <c r="P272" s="38"/>
    </row>
    <row r="273" customFormat="false" ht="15" hidden="false" customHeight="true" outlineLevel="0" collapsed="false">
      <c r="B273" s="38" t="n">
        <v>153</v>
      </c>
      <c r="C273" s="38" t="s">
        <v>1163</v>
      </c>
      <c r="D273" s="38" t="s">
        <v>128</v>
      </c>
      <c r="E273" s="38" t="s">
        <v>1164</v>
      </c>
      <c r="F273" s="38" t="s">
        <v>1165</v>
      </c>
      <c r="G273" s="38" t="s">
        <v>208</v>
      </c>
      <c r="H273" s="38" t="s">
        <v>450</v>
      </c>
      <c r="I273" s="38" t="s">
        <v>1166</v>
      </c>
      <c r="J273" s="38" t="s">
        <v>1167</v>
      </c>
      <c r="K273" s="38" t="s">
        <v>453</v>
      </c>
      <c r="L273" s="38"/>
      <c r="M273" s="38"/>
      <c r="N273" s="38" t="s">
        <v>454</v>
      </c>
      <c r="O273" s="39" t="str">
        <f aca="false">IF(ISBLANK(L273),"pending","estimated")</f>
        <v>pending</v>
      </c>
      <c r="P273" s="38"/>
    </row>
    <row r="274" customFormat="false" ht="15" hidden="false" customHeight="true" outlineLevel="0" collapsed="false">
      <c r="B274" s="38" t="n">
        <v>153</v>
      </c>
      <c r="C274" s="38" t="s">
        <v>1163</v>
      </c>
      <c r="D274" s="38" t="s">
        <v>128</v>
      </c>
      <c r="E274" s="38" t="s">
        <v>1164</v>
      </c>
      <c r="F274" s="38" t="s">
        <v>1165</v>
      </c>
      <c r="G274" s="38" t="s">
        <v>208</v>
      </c>
      <c r="H274" s="38" t="s">
        <v>415</v>
      </c>
      <c r="I274" s="38" t="s">
        <v>1164</v>
      </c>
      <c r="J274" s="38" t="s">
        <v>1168</v>
      </c>
      <c r="K274" s="38" t="s">
        <v>453</v>
      </c>
      <c r="L274" s="38"/>
      <c r="M274" s="38"/>
      <c r="N274" s="38" t="s">
        <v>454</v>
      </c>
      <c r="O274" s="39" t="str">
        <f aca="false">IF(ISBLANK(L274),"pending","estimated")</f>
        <v>pending</v>
      </c>
      <c r="P274" s="38"/>
    </row>
    <row r="275" customFormat="false" ht="15" hidden="false" customHeight="true" outlineLevel="0" collapsed="false">
      <c r="B275" s="38" t="n">
        <v>154</v>
      </c>
      <c r="C275" s="38" t="s">
        <v>1163</v>
      </c>
      <c r="D275" s="38" t="s">
        <v>128</v>
      </c>
      <c r="E275" s="38" t="s">
        <v>1169</v>
      </c>
      <c r="F275" s="38" t="s">
        <v>1170</v>
      </c>
      <c r="G275" s="38" t="s">
        <v>208</v>
      </c>
      <c r="H275" s="38" t="s">
        <v>450</v>
      </c>
      <c r="I275" s="38" t="s">
        <v>1171</v>
      </c>
      <c r="J275" s="38" t="s">
        <v>1172</v>
      </c>
      <c r="K275" s="38" t="s">
        <v>453</v>
      </c>
      <c r="L275" s="38"/>
      <c r="M275" s="38"/>
      <c r="N275" s="38" t="s">
        <v>454</v>
      </c>
      <c r="O275" s="39" t="str">
        <f aca="false">IF(ISBLANK(L275),"pending","estimated")</f>
        <v>pending</v>
      </c>
      <c r="P275" s="38"/>
    </row>
    <row r="276" customFormat="false" ht="15" hidden="false" customHeight="true" outlineLevel="0" collapsed="false">
      <c r="B276" s="38" t="n">
        <v>154</v>
      </c>
      <c r="C276" s="38" t="s">
        <v>1163</v>
      </c>
      <c r="D276" s="38" t="s">
        <v>128</v>
      </c>
      <c r="E276" s="38" t="s">
        <v>1169</v>
      </c>
      <c r="F276" s="38" t="s">
        <v>1170</v>
      </c>
      <c r="G276" s="38" t="s">
        <v>208</v>
      </c>
      <c r="H276" s="38" t="s">
        <v>370</v>
      </c>
      <c r="I276" s="38" t="s">
        <v>1169</v>
      </c>
      <c r="J276" s="38" t="s">
        <v>1173</v>
      </c>
      <c r="K276" s="38" t="s">
        <v>453</v>
      </c>
      <c r="L276" s="38"/>
      <c r="M276" s="38"/>
      <c r="N276" s="38" t="s">
        <v>454</v>
      </c>
      <c r="O276" s="39" t="str">
        <f aca="false">IF(ISBLANK(L276),"pending","estimated")</f>
        <v>pending</v>
      </c>
      <c r="P276" s="38" t="s">
        <v>460</v>
      </c>
    </row>
    <row r="277" customFormat="false" ht="15" hidden="false" customHeight="true" outlineLevel="0" collapsed="false">
      <c r="B277" s="38" t="n">
        <v>154</v>
      </c>
      <c r="C277" s="38" t="s">
        <v>1163</v>
      </c>
      <c r="D277" s="38" t="s">
        <v>128</v>
      </c>
      <c r="E277" s="38" t="s">
        <v>1169</v>
      </c>
      <c r="F277" s="38" t="s">
        <v>1170</v>
      </c>
      <c r="G277" s="38" t="s">
        <v>208</v>
      </c>
      <c r="H277" s="38" t="s">
        <v>415</v>
      </c>
      <c r="I277" s="38" t="s">
        <v>1171</v>
      </c>
      <c r="J277" s="38" t="s">
        <v>1174</v>
      </c>
      <c r="K277" s="38" t="s">
        <v>453</v>
      </c>
      <c r="L277" s="38"/>
      <c r="M277" s="38"/>
      <c r="N277" s="38" t="s">
        <v>454</v>
      </c>
      <c r="O277" s="39" t="str">
        <f aca="false">IF(ISBLANK(L277),"pending","estimated")</f>
        <v>pending</v>
      </c>
      <c r="P277" s="38"/>
    </row>
    <row r="278" customFormat="false" ht="15" hidden="false" customHeight="true" outlineLevel="0" collapsed="false">
      <c r="B278" s="38" t="n">
        <v>155</v>
      </c>
      <c r="C278" s="38" t="s">
        <v>1163</v>
      </c>
      <c r="D278" s="38" t="s">
        <v>128</v>
      </c>
      <c r="E278" s="38" t="s">
        <v>1175</v>
      </c>
      <c r="F278" s="38" t="s">
        <v>1176</v>
      </c>
      <c r="G278" s="38" t="s">
        <v>208</v>
      </c>
      <c r="H278" s="38" t="s">
        <v>450</v>
      </c>
      <c r="I278" s="38" t="s">
        <v>1177</v>
      </c>
      <c r="J278" s="38" t="s">
        <v>1178</v>
      </c>
      <c r="K278" s="38" t="s">
        <v>453</v>
      </c>
      <c r="L278" s="38"/>
      <c r="M278" s="38"/>
      <c r="N278" s="38" t="s">
        <v>454</v>
      </c>
      <c r="O278" s="39" t="str">
        <f aca="false">IF(ISBLANK(L278),"pending","estimated")</f>
        <v>pending</v>
      </c>
      <c r="P278" s="38"/>
    </row>
    <row r="279" customFormat="false" ht="15" hidden="false" customHeight="true" outlineLevel="0" collapsed="false">
      <c r="B279" s="38" t="n">
        <v>155</v>
      </c>
      <c r="C279" s="38" t="s">
        <v>1163</v>
      </c>
      <c r="D279" s="38" t="s">
        <v>128</v>
      </c>
      <c r="E279" s="38" t="s">
        <v>1175</v>
      </c>
      <c r="F279" s="38" t="s">
        <v>1176</v>
      </c>
      <c r="G279" s="38" t="s">
        <v>208</v>
      </c>
      <c r="H279" s="38" t="s">
        <v>415</v>
      </c>
      <c r="I279" s="38" t="s">
        <v>1179</v>
      </c>
      <c r="J279" s="38" t="s">
        <v>1180</v>
      </c>
      <c r="K279" s="38" t="s">
        <v>453</v>
      </c>
      <c r="L279" s="38"/>
      <c r="M279" s="38"/>
      <c r="N279" s="38" t="s">
        <v>454</v>
      </c>
      <c r="O279" s="39" t="str">
        <f aca="false">IF(ISBLANK(L279),"pending","estimated")</f>
        <v>pending</v>
      </c>
      <c r="P279" s="38"/>
    </row>
    <row r="280" customFormat="false" ht="15" hidden="false" customHeight="true" outlineLevel="0" collapsed="false">
      <c r="B280" s="38" t="n">
        <v>156</v>
      </c>
      <c r="C280" s="38" t="s">
        <v>1181</v>
      </c>
      <c r="D280" s="38" t="s">
        <v>1181</v>
      </c>
      <c r="E280" s="38" t="s">
        <v>1182</v>
      </c>
      <c r="F280" s="38" t="s">
        <v>1183</v>
      </c>
      <c r="G280" s="38" t="s">
        <v>208</v>
      </c>
      <c r="H280" s="38" t="s">
        <v>450</v>
      </c>
      <c r="I280" s="38" t="s">
        <v>1184</v>
      </c>
      <c r="J280" s="38" t="s">
        <v>1185</v>
      </c>
      <c r="K280" s="38" t="s">
        <v>453</v>
      </c>
      <c r="L280" s="38"/>
      <c r="M280" s="38"/>
      <c r="N280" s="38" t="s">
        <v>454</v>
      </c>
      <c r="O280" s="39" t="str">
        <f aca="false">IF(ISBLANK(L280),"pending","estimated")</f>
        <v>pending</v>
      </c>
      <c r="P280" s="38"/>
    </row>
    <row r="281" customFormat="false" ht="15" hidden="false" customHeight="true" outlineLevel="0" collapsed="false">
      <c r="B281" s="38" t="n">
        <v>157</v>
      </c>
      <c r="C281" s="38" t="s">
        <v>1181</v>
      </c>
      <c r="D281" s="38" t="s">
        <v>1181</v>
      </c>
      <c r="E281" s="38" t="s">
        <v>1186</v>
      </c>
      <c r="F281" s="38" t="s">
        <v>1187</v>
      </c>
      <c r="G281" s="38" t="s">
        <v>208</v>
      </c>
      <c r="H281" s="38" t="s">
        <v>450</v>
      </c>
      <c r="I281" s="38" t="s">
        <v>1188</v>
      </c>
      <c r="J281" s="38" t="s">
        <v>1189</v>
      </c>
      <c r="K281" s="38" t="s">
        <v>453</v>
      </c>
      <c r="L281" s="38"/>
      <c r="M281" s="38"/>
      <c r="N281" s="38" t="s">
        <v>454</v>
      </c>
      <c r="O281" s="39" t="str">
        <f aca="false">IF(ISBLANK(L281),"pending","estimated")</f>
        <v>pending</v>
      </c>
      <c r="P281" s="38"/>
    </row>
    <row r="282" customFormat="false" ht="15" hidden="false" customHeight="true" outlineLevel="0" collapsed="false">
      <c r="B282" s="38" t="n">
        <v>157</v>
      </c>
      <c r="C282" s="38" t="s">
        <v>1181</v>
      </c>
      <c r="D282" s="38" t="s">
        <v>1181</v>
      </c>
      <c r="E282" s="38" t="s">
        <v>1186</v>
      </c>
      <c r="F282" s="38" t="s">
        <v>1187</v>
      </c>
      <c r="G282" s="38" t="s">
        <v>208</v>
      </c>
      <c r="H282" s="38" t="s">
        <v>415</v>
      </c>
      <c r="I282" s="38" t="s">
        <v>1190</v>
      </c>
      <c r="J282" s="38" t="s">
        <v>1191</v>
      </c>
      <c r="K282" s="38" t="s">
        <v>453</v>
      </c>
      <c r="L282" s="38"/>
      <c r="M282" s="38"/>
      <c r="N282" s="38" t="s">
        <v>454</v>
      </c>
      <c r="O282" s="39" t="str">
        <f aca="false">IF(ISBLANK(L282),"pending","estimated")</f>
        <v>pending</v>
      </c>
      <c r="P282" s="38"/>
    </row>
    <row r="283" customFormat="false" ht="15" hidden="false" customHeight="true" outlineLevel="0" collapsed="false">
      <c r="B283" s="38" t="n">
        <v>158</v>
      </c>
      <c r="C283" s="38" t="s">
        <v>1181</v>
      </c>
      <c r="D283" s="38" t="s">
        <v>1181</v>
      </c>
      <c r="E283" s="38" t="s">
        <v>806</v>
      </c>
      <c r="F283" s="38" t="s">
        <v>807</v>
      </c>
      <c r="G283" s="38" t="s">
        <v>208</v>
      </c>
      <c r="H283" s="38" t="s">
        <v>450</v>
      </c>
      <c r="I283" s="38" t="s">
        <v>808</v>
      </c>
      <c r="J283" s="38" t="s">
        <v>809</v>
      </c>
      <c r="K283" s="38" t="s">
        <v>453</v>
      </c>
      <c r="L283" s="38"/>
      <c r="M283" s="38"/>
      <c r="N283" s="38" t="s">
        <v>454</v>
      </c>
      <c r="O283" s="39" t="str">
        <f aca="false">IF(ISBLANK(L283),"pending","estimated")</f>
        <v>pending</v>
      </c>
      <c r="P283" s="38"/>
    </row>
    <row r="284" customFormat="false" ht="15" hidden="false" customHeight="true" outlineLevel="0" collapsed="false">
      <c r="B284" s="38" t="n">
        <v>160</v>
      </c>
      <c r="C284" s="38" t="s">
        <v>1192</v>
      </c>
      <c r="D284" s="38" t="s">
        <v>1192</v>
      </c>
      <c r="E284" s="38" t="s">
        <v>1193</v>
      </c>
      <c r="F284" s="38" t="s">
        <v>1194</v>
      </c>
      <c r="G284" s="38" t="s">
        <v>208</v>
      </c>
      <c r="H284" s="38" t="s">
        <v>450</v>
      </c>
      <c r="I284" s="38" t="s">
        <v>1195</v>
      </c>
      <c r="J284" s="38" t="s">
        <v>1196</v>
      </c>
      <c r="K284" s="38" t="s">
        <v>453</v>
      </c>
      <c r="L284" s="38"/>
      <c r="M284" s="38"/>
      <c r="N284" s="38" t="s">
        <v>454</v>
      </c>
      <c r="O284" s="39" t="str">
        <f aca="false">IF(ISBLANK(L284),"pending","estimated")</f>
        <v>pending</v>
      </c>
      <c r="P284" s="38"/>
    </row>
    <row r="285" customFormat="false" ht="15" hidden="false" customHeight="true" outlineLevel="0" collapsed="false">
      <c r="B285" s="38" t="n">
        <v>160</v>
      </c>
      <c r="C285" s="38" t="s">
        <v>1192</v>
      </c>
      <c r="D285" s="38" t="s">
        <v>1192</v>
      </c>
      <c r="E285" s="38" t="s">
        <v>1193</v>
      </c>
      <c r="F285" s="38" t="s">
        <v>1194</v>
      </c>
      <c r="G285" s="38" t="s">
        <v>208</v>
      </c>
      <c r="H285" s="38" t="s">
        <v>415</v>
      </c>
      <c r="I285" s="38" t="s">
        <v>1197</v>
      </c>
      <c r="J285" s="38" t="s">
        <v>1198</v>
      </c>
      <c r="K285" s="38" t="s">
        <v>453</v>
      </c>
      <c r="L285" s="38"/>
      <c r="M285" s="38"/>
      <c r="N285" s="38" t="s">
        <v>454</v>
      </c>
      <c r="O285" s="39" t="str">
        <f aca="false">IF(ISBLANK(L285),"pending","estimated")</f>
        <v>pending</v>
      </c>
      <c r="P285" s="38"/>
    </row>
    <row r="286" customFormat="false" ht="15" hidden="false" customHeight="true" outlineLevel="0" collapsed="false">
      <c r="B286" s="38" t="n">
        <v>161</v>
      </c>
      <c r="C286" s="38" t="s">
        <v>1192</v>
      </c>
      <c r="D286" s="38" t="s">
        <v>1192</v>
      </c>
      <c r="E286" s="38" t="s">
        <v>1199</v>
      </c>
      <c r="F286" s="38" t="s">
        <v>1200</v>
      </c>
      <c r="G286" s="38" t="s">
        <v>208</v>
      </c>
      <c r="H286" s="38" t="s">
        <v>450</v>
      </c>
      <c r="I286" s="38" t="s">
        <v>1201</v>
      </c>
      <c r="J286" s="38" t="s">
        <v>1202</v>
      </c>
      <c r="K286" s="38" t="s">
        <v>453</v>
      </c>
      <c r="L286" s="38"/>
      <c r="M286" s="38"/>
      <c r="N286" s="38" t="s">
        <v>454</v>
      </c>
      <c r="O286" s="39" t="str">
        <f aca="false">IF(ISBLANK(L286),"pending","estimated")</f>
        <v>pending</v>
      </c>
      <c r="P286" s="38"/>
    </row>
    <row r="287" customFormat="false" ht="15" hidden="false" customHeight="true" outlineLevel="0" collapsed="false">
      <c r="B287" s="38" t="n">
        <v>162</v>
      </c>
      <c r="C287" s="38" t="s">
        <v>1192</v>
      </c>
      <c r="D287" s="38" t="s">
        <v>1192</v>
      </c>
      <c r="E287" s="38" t="s">
        <v>1203</v>
      </c>
      <c r="F287" s="38" t="s">
        <v>1204</v>
      </c>
      <c r="G287" s="38" t="s">
        <v>208</v>
      </c>
      <c r="H287" s="38" t="s">
        <v>450</v>
      </c>
      <c r="I287" s="38" t="s">
        <v>1205</v>
      </c>
      <c r="J287" s="38" t="s">
        <v>1206</v>
      </c>
      <c r="K287" s="38" t="s">
        <v>453</v>
      </c>
      <c r="L287" s="38"/>
      <c r="M287" s="38"/>
      <c r="N287" s="38" t="s">
        <v>454</v>
      </c>
      <c r="O287" s="39" t="str">
        <f aca="false">IF(ISBLANK(L287),"pending","estimated")</f>
        <v>pending</v>
      </c>
      <c r="P287" s="38"/>
    </row>
    <row r="288" customFormat="false" ht="15" hidden="false" customHeight="true" outlineLevel="0" collapsed="false">
      <c r="B288" s="38" t="n">
        <v>162</v>
      </c>
      <c r="C288" s="38" t="s">
        <v>1192</v>
      </c>
      <c r="D288" s="38" t="s">
        <v>1192</v>
      </c>
      <c r="E288" s="38" t="s">
        <v>1203</v>
      </c>
      <c r="F288" s="38" t="s">
        <v>1204</v>
      </c>
      <c r="G288" s="38" t="s">
        <v>208</v>
      </c>
      <c r="H288" s="38" t="s">
        <v>370</v>
      </c>
      <c r="I288" s="38" t="s">
        <v>1207</v>
      </c>
      <c r="J288" s="38" t="s">
        <v>1208</v>
      </c>
      <c r="K288" s="38" t="s">
        <v>453</v>
      </c>
      <c r="L288" s="38"/>
      <c r="M288" s="38"/>
      <c r="N288" s="38" t="s">
        <v>454</v>
      </c>
      <c r="O288" s="39" t="str">
        <f aca="false">IF(ISBLANK(L288),"pending","estimated")</f>
        <v>pending</v>
      </c>
      <c r="P288" s="38"/>
    </row>
    <row r="289" customFormat="false" ht="15" hidden="false" customHeight="true" outlineLevel="0" collapsed="false">
      <c r="B289" s="38" t="n">
        <v>163</v>
      </c>
      <c r="C289" s="38" t="s">
        <v>1192</v>
      </c>
      <c r="D289" s="38" t="s">
        <v>1192</v>
      </c>
      <c r="E289" s="38" t="s">
        <v>1209</v>
      </c>
      <c r="F289" s="38" t="s">
        <v>1210</v>
      </c>
      <c r="G289" s="38" t="s">
        <v>208</v>
      </c>
      <c r="H289" s="38" t="s">
        <v>450</v>
      </c>
      <c r="I289" s="38" t="s">
        <v>1211</v>
      </c>
      <c r="J289" s="38" t="s">
        <v>1212</v>
      </c>
      <c r="K289" s="38" t="s">
        <v>453</v>
      </c>
      <c r="L289" s="38"/>
      <c r="M289" s="38"/>
      <c r="N289" s="38" t="s">
        <v>454</v>
      </c>
      <c r="O289" s="39" t="str">
        <f aca="false">IF(ISBLANK(L289),"pending","estimated")</f>
        <v>pending</v>
      </c>
      <c r="P289" s="38"/>
    </row>
    <row r="290" customFormat="false" ht="15" hidden="false" customHeight="true" outlineLevel="0" collapsed="false">
      <c r="B290" s="38" t="n">
        <v>164</v>
      </c>
      <c r="C290" s="38" t="s">
        <v>1192</v>
      </c>
      <c r="D290" s="38" t="s">
        <v>1192</v>
      </c>
      <c r="E290" s="38" t="s">
        <v>1213</v>
      </c>
      <c r="F290" s="38" t="s">
        <v>1213</v>
      </c>
      <c r="G290" s="38" t="s">
        <v>208</v>
      </c>
      <c r="H290" s="38" t="s">
        <v>450</v>
      </c>
      <c r="I290" s="38" t="s">
        <v>1214</v>
      </c>
      <c r="J290" s="38" t="s">
        <v>1215</v>
      </c>
      <c r="K290" s="38" t="s">
        <v>453</v>
      </c>
      <c r="L290" s="38"/>
      <c r="M290" s="38"/>
      <c r="N290" s="38" t="s">
        <v>454</v>
      </c>
      <c r="O290" s="39" t="str">
        <f aca="false">IF(ISBLANK(L290),"pending","estimated")</f>
        <v>pending</v>
      </c>
      <c r="P290" s="38"/>
    </row>
    <row r="291" customFormat="false" ht="15" hidden="false" customHeight="true" outlineLevel="0" collapsed="false">
      <c r="B291" s="38" t="n">
        <v>166</v>
      </c>
      <c r="C291" s="38" t="s">
        <v>1216</v>
      </c>
      <c r="D291" s="38" t="s">
        <v>1217</v>
      </c>
      <c r="E291" s="38" t="s">
        <v>1218</v>
      </c>
      <c r="F291" s="38" t="s">
        <v>1219</v>
      </c>
      <c r="G291" s="38" t="s">
        <v>208</v>
      </c>
      <c r="H291" s="38" t="s">
        <v>450</v>
      </c>
      <c r="I291" s="38" t="s">
        <v>1220</v>
      </c>
      <c r="J291" s="38" t="s">
        <v>1221</v>
      </c>
      <c r="K291" s="38" t="s">
        <v>453</v>
      </c>
      <c r="L291" s="38"/>
      <c r="M291" s="38"/>
      <c r="N291" s="38" t="s">
        <v>454</v>
      </c>
      <c r="O291" s="39" t="str">
        <f aca="false">IF(ISBLANK(L291),"pending","estimated")</f>
        <v>pending</v>
      </c>
      <c r="P291" s="38"/>
    </row>
    <row r="292" customFormat="false" ht="15" hidden="false" customHeight="true" outlineLevel="0" collapsed="false">
      <c r="B292" s="38" t="n">
        <v>166</v>
      </c>
      <c r="C292" s="38" t="s">
        <v>1216</v>
      </c>
      <c r="D292" s="38" t="s">
        <v>1217</v>
      </c>
      <c r="E292" s="38" t="s">
        <v>1218</v>
      </c>
      <c r="F292" s="38" t="s">
        <v>1219</v>
      </c>
      <c r="G292" s="38" t="s">
        <v>208</v>
      </c>
      <c r="H292" s="38" t="s">
        <v>415</v>
      </c>
      <c r="I292" s="38" t="s">
        <v>1222</v>
      </c>
      <c r="J292" s="38" t="s">
        <v>1223</v>
      </c>
      <c r="K292" s="38" t="s">
        <v>453</v>
      </c>
      <c r="L292" s="38"/>
      <c r="M292" s="38"/>
      <c r="N292" s="38" t="s">
        <v>454</v>
      </c>
      <c r="O292" s="39" t="str">
        <f aca="false">IF(ISBLANK(L292),"pending","estimated")</f>
        <v>pending</v>
      </c>
      <c r="P292" s="38"/>
    </row>
    <row r="293" customFormat="false" ht="15" hidden="false" customHeight="true" outlineLevel="0" collapsed="false">
      <c r="B293" s="38" t="n">
        <v>166</v>
      </c>
      <c r="C293" s="38" t="s">
        <v>1216</v>
      </c>
      <c r="D293" s="38" t="s">
        <v>1217</v>
      </c>
      <c r="E293" s="38" t="s">
        <v>1218</v>
      </c>
      <c r="F293" s="38" t="s">
        <v>1219</v>
      </c>
      <c r="G293" s="38" t="s">
        <v>208</v>
      </c>
      <c r="H293" s="38" t="s">
        <v>599</v>
      </c>
      <c r="I293" s="38" t="s">
        <v>1224</v>
      </c>
      <c r="J293" s="38" t="s">
        <v>1225</v>
      </c>
      <c r="K293" s="38" t="s">
        <v>602</v>
      </c>
      <c r="L293" s="38"/>
      <c r="M293" s="38"/>
      <c r="N293" s="38" t="s">
        <v>454</v>
      </c>
      <c r="O293" s="39" t="str">
        <f aca="false">IF(ISBLANK(L293),"pending","estimated")</f>
        <v>pending</v>
      </c>
      <c r="P293" s="38"/>
    </row>
    <row r="294" customFormat="false" ht="15" hidden="false" customHeight="true" outlineLevel="0" collapsed="false">
      <c r="B294" s="38" t="n">
        <v>167</v>
      </c>
      <c r="C294" s="38" t="s">
        <v>1216</v>
      </c>
      <c r="D294" s="38" t="s">
        <v>1217</v>
      </c>
      <c r="E294" s="38" t="s">
        <v>1226</v>
      </c>
      <c r="F294" s="38" t="s">
        <v>1227</v>
      </c>
      <c r="G294" s="38" t="s">
        <v>208</v>
      </c>
      <c r="H294" s="38" t="s">
        <v>450</v>
      </c>
      <c r="I294" s="38" t="s">
        <v>1228</v>
      </c>
      <c r="J294" s="38" t="s">
        <v>1229</v>
      </c>
      <c r="K294" s="38" t="s">
        <v>453</v>
      </c>
      <c r="L294" s="38"/>
      <c r="M294" s="38"/>
      <c r="N294" s="38" t="s">
        <v>454</v>
      </c>
      <c r="O294" s="39" t="str">
        <f aca="false">IF(ISBLANK(L294),"pending","estimated")</f>
        <v>pending</v>
      </c>
      <c r="P294" s="38"/>
    </row>
    <row r="295" customFormat="false" ht="15" hidden="false" customHeight="true" outlineLevel="0" collapsed="false">
      <c r="B295" s="38" t="n">
        <v>167</v>
      </c>
      <c r="C295" s="38" t="s">
        <v>1216</v>
      </c>
      <c r="D295" s="38" t="s">
        <v>1217</v>
      </c>
      <c r="E295" s="38" t="s">
        <v>1226</v>
      </c>
      <c r="F295" s="38" t="s">
        <v>1227</v>
      </c>
      <c r="G295" s="38" t="s">
        <v>208</v>
      </c>
      <c r="H295" s="38" t="s">
        <v>415</v>
      </c>
      <c r="I295" s="38" t="s">
        <v>1226</v>
      </c>
      <c r="J295" s="38" t="s">
        <v>1230</v>
      </c>
      <c r="K295" s="38" t="s">
        <v>453</v>
      </c>
      <c r="L295" s="38"/>
      <c r="M295" s="38"/>
      <c r="N295" s="38" t="s">
        <v>454</v>
      </c>
      <c r="O295" s="39" t="str">
        <f aca="false">IF(ISBLANK(L295),"pending","estimated")</f>
        <v>pending</v>
      </c>
      <c r="P295" s="38"/>
    </row>
    <row r="296" customFormat="false" ht="15" hidden="false" customHeight="true" outlineLevel="0" collapsed="false">
      <c r="B296" s="38" t="n">
        <v>168</v>
      </c>
      <c r="C296" s="38" t="s">
        <v>1216</v>
      </c>
      <c r="D296" s="38" t="s">
        <v>1217</v>
      </c>
      <c r="E296" s="38" t="s">
        <v>1231</v>
      </c>
      <c r="F296" s="38" t="s">
        <v>1232</v>
      </c>
      <c r="G296" s="38" t="s">
        <v>208</v>
      </c>
      <c r="H296" s="38" t="s">
        <v>450</v>
      </c>
      <c r="I296" s="38" t="s">
        <v>1233</v>
      </c>
      <c r="J296" s="38" t="s">
        <v>1234</v>
      </c>
      <c r="K296" s="38" t="s">
        <v>453</v>
      </c>
      <c r="L296" s="38"/>
      <c r="M296" s="38"/>
      <c r="N296" s="38" t="s">
        <v>454</v>
      </c>
      <c r="O296" s="39" t="str">
        <f aca="false">IF(ISBLANK(L296),"pending","estimated")</f>
        <v>pending</v>
      </c>
      <c r="P296" s="38"/>
    </row>
    <row r="297" customFormat="false" ht="15" hidden="false" customHeight="true" outlineLevel="0" collapsed="false">
      <c r="B297" s="38" t="n">
        <v>169</v>
      </c>
      <c r="C297" s="38" t="s">
        <v>1216</v>
      </c>
      <c r="D297" s="38" t="s">
        <v>1217</v>
      </c>
      <c r="E297" s="38" t="s">
        <v>1235</v>
      </c>
      <c r="F297" s="38" t="s">
        <v>1236</v>
      </c>
      <c r="G297" s="38" t="s">
        <v>208</v>
      </c>
      <c r="H297" s="38" t="s">
        <v>450</v>
      </c>
      <c r="I297" s="38" t="s">
        <v>1237</v>
      </c>
      <c r="J297" s="38" t="s">
        <v>1238</v>
      </c>
      <c r="K297" s="38" t="s">
        <v>453</v>
      </c>
      <c r="L297" s="38"/>
      <c r="M297" s="38"/>
      <c r="N297" s="38" t="s">
        <v>454</v>
      </c>
      <c r="O297" s="39" t="str">
        <f aca="false">IF(ISBLANK(L297),"pending","estimated")</f>
        <v>pending</v>
      </c>
      <c r="P297" s="38"/>
    </row>
    <row r="298" customFormat="false" ht="15" hidden="false" customHeight="true" outlineLevel="0" collapsed="false">
      <c r="B298" s="38" t="n">
        <v>169</v>
      </c>
      <c r="C298" s="38" t="s">
        <v>1216</v>
      </c>
      <c r="D298" s="38" t="s">
        <v>1217</v>
      </c>
      <c r="E298" s="38" t="s">
        <v>1235</v>
      </c>
      <c r="F298" s="38" t="s">
        <v>1236</v>
      </c>
      <c r="G298" s="38" t="s">
        <v>208</v>
      </c>
      <c r="H298" s="38" t="s">
        <v>415</v>
      </c>
      <c r="I298" s="38" t="s">
        <v>1239</v>
      </c>
      <c r="J298" s="38" t="s">
        <v>1240</v>
      </c>
      <c r="K298" s="38" t="s">
        <v>453</v>
      </c>
      <c r="L298" s="38"/>
      <c r="M298" s="38"/>
      <c r="N298" s="38" t="s">
        <v>454</v>
      </c>
      <c r="O298" s="39" t="str">
        <f aca="false">IF(ISBLANK(L298),"pending","estimated")</f>
        <v>pending</v>
      </c>
      <c r="P298" s="38"/>
    </row>
    <row r="299" customFormat="false" ht="15" hidden="false" customHeight="true" outlineLevel="0" collapsed="false">
      <c r="B299" s="38" t="n">
        <v>171</v>
      </c>
      <c r="C299" s="38" t="s">
        <v>1216</v>
      </c>
      <c r="D299" s="38" t="s">
        <v>1217</v>
      </c>
      <c r="E299" s="38" t="s">
        <v>1241</v>
      </c>
      <c r="F299" s="38" t="s">
        <v>1242</v>
      </c>
      <c r="G299" s="38" t="s">
        <v>208</v>
      </c>
      <c r="H299" s="38" t="s">
        <v>450</v>
      </c>
      <c r="I299" s="38" t="s">
        <v>1243</v>
      </c>
      <c r="J299" s="38" t="s">
        <v>1244</v>
      </c>
      <c r="K299" s="38" t="s">
        <v>453</v>
      </c>
      <c r="L299" s="38"/>
      <c r="M299" s="38"/>
      <c r="N299" s="38" t="s">
        <v>454</v>
      </c>
      <c r="O299" s="39" t="str">
        <f aca="false">IF(ISBLANK(L299),"pending","estimated")</f>
        <v>pending</v>
      </c>
      <c r="P299" s="38"/>
    </row>
    <row r="300" customFormat="false" ht="15" hidden="false" customHeight="true" outlineLevel="0" collapsed="false">
      <c r="B300" s="38" t="n">
        <v>171</v>
      </c>
      <c r="C300" s="38" t="s">
        <v>1216</v>
      </c>
      <c r="D300" s="38" t="s">
        <v>1217</v>
      </c>
      <c r="E300" s="38" t="s">
        <v>1241</v>
      </c>
      <c r="F300" s="38" t="s">
        <v>1242</v>
      </c>
      <c r="G300" s="38" t="s">
        <v>208</v>
      </c>
      <c r="H300" s="38" t="s">
        <v>370</v>
      </c>
      <c r="I300" s="38" t="s">
        <v>1243</v>
      </c>
      <c r="J300" s="38" t="s">
        <v>1245</v>
      </c>
      <c r="K300" s="38" t="s">
        <v>453</v>
      </c>
      <c r="L300" s="38"/>
      <c r="M300" s="38"/>
      <c r="N300" s="38" t="s">
        <v>454</v>
      </c>
      <c r="O300" s="39" t="str">
        <f aca="false">IF(ISBLANK(L300),"pending","estimated")</f>
        <v>pending</v>
      </c>
      <c r="P300" s="38"/>
    </row>
    <row r="301" customFormat="false" ht="15" hidden="false" customHeight="true" outlineLevel="0" collapsed="false">
      <c r="B301" s="38" t="n">
        <v>172</v>
      </c>
      <c r="C301" s="38" t="s">
        <v>1246</v>
      </c>
      <c r="D301" s="38" t="s">
        <v>128</v>
      </c>
      <c r="E301" s="38" t="s">
        <v>1247</v>
      </c>
      <c r="F301" s="38" t="s">
        <v>1248</v>
      </c>
      <c r="G301" s="38" t="s">
        <v>208</v>
      </c>
      <c r="H301" s="38" t="s">
        <v>450</v>
      </c>
      <c r="I301" s="38" t="s">
        <v>1249</v>
      </c>
      <c r="J301" s="38" t="s">
        <v>1250</v>
      </c>
      <c r="K301" s="38" t="s">
        <v>453</v>
      </c>
      <c r="L301" s="38"/>
      <c r="M301" s="38"/>
      <c r="N301" s="38" t="s">
        <v>454</v>
      </c>
      <c r="O301" s="39" t="str">
        <f aca="false">IF(ISBLANK(L301),"pending","estimated")</f>
        <v>pending</v>
      </c>
      <c r="P301" s="38"/>
    </row>
    <row r="302" customFormat="false" ht="15" hidden="false" customHeight="true" outlineLevel="0" collapsed="false">
      <c r="B302" s="38" t="n">
        <v>172</v>
      </c>
      <c r="C302" s="38" t="s">
        <v>1246</v>
      </c>
      <c r="D302" s="38" t="s">
        <v>128</v>
      </c>
      <c r="E302" s="38" t="s">
        <v>1247</v>
      </c>
      <c r="F302" s="38" t="s">
        <v>1248</v>
      </c>
      <c r="G302" s="38" t="s">
        <v>208</v>
      </c>
      <c r="H302" s="38" t="s">
        <v>370</v>
      </c>
      <c r="I302" s="38" t="s">
        <v>1251</v>
      </c>
      <c r="J302" s="38" t="s">
        <v>1252</v>
      </c>
      <c r="K302" s="38" t="s">
        <v>453</v>
      </c>
      <c r="L302" s="38"/>
      <c r="M302" s="38"/>
      <c r="N302" s="38" t="s">
        <v>454</v>
      </c>
      <c r="O302" s="39" t="str">
        <f aca="false">IF(ISBLANK(L302),"pending","estimated")</f>
        <v>pending</v>
      </c>
      <c r="P302" s="38"/>
    </row>
    <row r="303" customFormat="false" ht="15" hidden="false" customHeight="true" outlineLevel="0" collapsed="false">
      <c r="B303" s="38" t="n">
        <v>172</v>
      </c>
      <c r="C303" s="38" t="s">
        <v>1246</v>
      </c>
      <c r="D303" s="38" t="s">
        <v>128</v>
      </c>
      <c r="E303" s="38" t="s">
        <v>1247</v>
      </c>
      <c r="F303" s="38" t="s">
        <v>1248</v>
      </c>
      <c r="G303" s="38" t="s">
        <v>208</v>
      </c>
      <c r="H303" s="38" t="s">
        <v>415</v>
      </c>
      <c r="I303" s="38" t="s">
        <v>1251</v>
      </c>
      <c r="J303" s="38" t="s">
        <v>1253</v>
      </c>
      <c r="K303" s="38" t="s">
        <v>453</v>
      </c>
      <c r="L303" s="38"/>
      <c r="M303" s="38"/>
      <c r="N303" s="38" t="s">
        <v>454</v>
      </c>
      <c r="O303" s="39" t="str">
        <f aca="false">IF(ISBLANK(L303),"pending","estimated")</f>
        <v>pending</v>
      </c>
      <c r="P303" s="38"/>
    </row>
    <row r="304" customFormat="false" ht="15" hidden="false" customHeight="true" outlineLevel="0" collapsed="false">
      <c r="B304" s="38" t="n">
        <v>172</v>
      </c>
      <c r="C304" s="38" t="s">
        <v>1246</v>
      </c>
      <c r="D304" s="38" t="s">
        <v>128</v>
      </c>
      <c r="E304" s="38" t="s">
        <v>1247</v>
      </c>
      <c r="F304" s="38" t="s">
        <v>1248</v>
      </c>
      <c r="G304" s="38" t="s">
        <v>208</v>
      </c>
      <c r="H304" s="38" t="s">
        <v>399</v>
      </c>
      <c r="I304" s="38" t="s">
        <v>1254</v>
      </c>
      <c r="J304" s="38" t="s">
        <v>1255</v>
      </c>
      <c r="K304" s="38" t="s">
        <v>464</v>
      </c>
      <c r="L304" s="38"/>
      <c r="M304" s="38"/>
      <c r="N304" s="38" t="s">
        <v>454</v>
      </c>
      <c r="O304" s="39" t="str">
        <f aca="false">IF(ISBLANK(L304),"pending","estimated")</f>
        <v>pending</v>
      </c>
      <c r="P304" s="38"/>
    </row>
    <row r="305" customFormat="false" ht="15" hidden="false" customHeight="true" outlineLevel="0" collapsed="false">
      <c r="B305" s="38" t="n">
        <v>172</v>
      </c>
      <c r="C305" s="38" t="s">
        <v>1246</v>
      </c>
      <c r="D305" s="38" t="s">
        <v>128</v>
      </c>
      <c r="E305" s="38" t="s">
        <v>1247</v>
      </c>
      <c r="F305" s="38" t="s">
        <v>1248</v>
      </c>
      <c r="G305" s="38" t="s">
        <v>208</v>
      </c>
      <c r="H305" s="38" t="s">
        <v>389</v>
      </c>
      <c r="I305" s="38" t="s">
        <v>1256</v>
      </c>
      <c r="J305" s="38" t="s">
        <v>1257</v>
      </c>
      <c r="K305" s="38" t="s">
        <v>453</v>
      </c>
      <c r="L305" s="38"/>
      <c r="M305" s="38"/>
      <c r="N305" s="38" t="s">
        <v>454</v>
      </c>
      <c r="O305" s="39" t="str">
        <f aca="false">IF(ISBLANK(L305),"pending","estimated")</f>
        <v>pending</v>
      </c>
      <c r="P305" s="38"/>
    </row>
    <row r="306" customFormat="false" ht="15" hidden="false" customHeight="true" outlineLevel="0" collapsed="false">
      <c r="B306" s="38" t="n">
        <v>177</v>
      </c>
      <c r="C306" s="38" t="s">
        <v>1258</v>
      </c>
      <c r="D306" s="38" t="s">
        <v>128</v>
      </c>
      <c r="E306" s="38" t="s">
        <v>1259</v>
      </c>
      <c r="F306" s="38" t="s">
        <v>1260</v>
      </c>
      <c r="G306" s="38" t="s">
        <v>208</v>
      </c>
      <c r="H306" s="38" t="s">
        <v>599</v>
      </c>
      <c r="I306" s="38" t="s">
        <v>1261</v>
      </c>
      <c r="J306" s="38" t="s">
        <v>1262</v>
      </c>
      <c r="K306" s="38" t="s">
        <v>602</v>
      </c>
      <c r="L306" s="38"/>
      <c r="M306" s="38"/>
      <c r="N306" s="38" t="s">
        <v>454</v>
      </c>
      <c r="O306" s="39" t="str">
        <f aca="false">IF(ISBLANK(L306),"pending","estimated")</f>
        <v>pending</v>
      </c>
      <c r="P306" s="38"/>
    </row>
    <row r="307" customFormat="false" ht="15" hidden="false" customHeight="true" outlineLevel="0" collapsed="false">
      <c r="B307" s="38" t="n">
        <v>178</v>
      </c>
      <c r="C307" s="38" t="s">
        <v>1258</v>
      </c>
      <c r="D307" s="38" t="s">
        <v>128</v>
      </c>
      <c r="E307" s="38" t="s">
        <v>1263</v>
      </c>
      <c r="F307" s="38" t="s">
        <v>1264</v>
      </c>
      <c r="G307" s="38" t="s">
        <v>208</v>
      </c>
      <c r="H307" s="38" t="s">
        <v>399</v>
      </c>
      <c r="I307" s="38" t="s">
        <v>1265</v>
      </c>
      <c r="J307" s="38" t="s">
        <v>1266</v>
      </c>
      <c r="K307" s="38" t="s">
        <v>464</v>
      </c>
      <c r="L307" s="38"/>
      <c r="M307" s="38"/>
      <c r="N307" s="38" t="s">
        <v>454</v>
      </c>
      <c r="O307" s="39" t="str">
        <f aca="false">IF(ISBLANK(L307),"pending","estimated")</f>
        <v>pending</v>
      </c>
      <c r="P307" s="38"/>
    </row>
    <row r="308" customFormat="false" ht="15" hidden="false" customHeight="true" outlineLevel="0" collapsed="false">
      <c r="B308" s="38" t="n">
        <v>178</v>
      </c>
      <c r="C308" s="38" t="s">
        <v>1258</v>
      </c>
      <c r="D308" s="38" t="s">
        <v>128</v>
      </c>
      <c r="E308" s="38" t="s">
        <v>1263</v>
      </c>
      <c r="F308" s="38" t="s">
        <v>1264</v>
      </c>
      <c r="G308" s="38" t="s">
        <v>208</v>
      </c>
      <c r="H308" s="38" t="s">
        <v>599</v>
      </c>
      <c r="I308" s="38" t="s">
        <v>1267</v>
      </c>
      <c r="J308" s="38" t="s">
        <v>1268</v>
      </c>
      <c r="K308" s="38" t="s">
        <v>602</v>
      </c>
      <c r="L308" s="38"/>
      <c r="M308" s="38"/>
      <c r="N308" s="38" t="s">
        <v>454</v>
      </c>
      <c r="O308" s="39" t="str">
        <f aca="false">IF(ISBLANK(L308),"pending","estimated")</f>
        <v>pending</v>
      </c>
      <c r="P308" s="38"/>
    </row>
    <row r="310" customFormat="false" ht="3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customFormat="false" ht="15.75" hidden="false" customHeight="true" outlineLevel="0" collapsed="false">
      <c r="B311" s="31" t="s">
        <v>132</v>
      </c>
      <c r="C311" s="31"/>
      <c r="D311" s="31"/>
      <c r="E311" s="31"/>
      <c r="F311" s="31"/>
      <c r="G311" s="31"/>
      <c r="H311" s="31"/>
      <c r="I311" s="31"/>
      <c r="J311" s="31"/>
    </row>
  </sheetData>
  <autoFilter ref="B4:P308"/>
  <mergeCells count="3">
    <mergeCell ref="B2:P2"/>
    <mergeCell ref="B3:P3"/>
    <mergeCell ref="B311:J3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3" min="3" style="1" width="42"/>
    <col collapsed="false" customWidth="true" hidden="false" outlineLevel="0" max="4" min="4" style="1" width="24"/>
    <col collapsed="false" customWidth="true" hidden="false" outlineLevel="0" max="5" min="5" style="1" width="42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</row>
    <row r="2" customFormat="false" ht="27.75" hidden="false" customHeight="true" outlineLevel="0" collapsed="false">
      <c r="B2" s="23" t="s">
        <v>1269</v>
      </c>
      <c r="C2" s="23"/>
      <c r="D2" s="23"/>
      <c r="E2" s="23"/>
    </row>
    <row r="3" customFormat="false" ht="18" hidden="false" customHeight="true" outlineLevel="0" collapsed="false">
      <c r="B3" s="24" t="s">
        <v>1270</v>
      </c>
      <c r="C3" s="24"/>
      <c r="D3" s="24"/>
      <c r="E3" s="24"/>
    </row>
    <row r="4" customFormat="false" ht="3" hidden="false" customHeight="true" outlineLevel="0" collapsed="false">
      <c r="B4" s="2"/>
      <c r="C4" s="2"/>
      <c r="D4" s="2"/>
      <c r="E4" s="2"/>
      <c r="F4" s="2"/>
    </row>
    <row r="5" customFormat="false" ht="15" hidden="false" customHeight="true" outlineLevel="0" collapsed="false">
      <c r="B5" s="25" t="s">
        <v>1271</v>
      </c>
      <c r="C5" s="25"/>
      <c r="D5" s="25"/>
      <c r="E5" s="25"/>
    </row>
    <row r="6" customFormat="false" ht="15" hidden="false" customHeight="true" outlineLevel="0" collapsed="false">
      <c r="B6" s="26" t="s">
        <v>1272</v>
      </c>
      <c r="C6" s="26" t="s">
        <v>1273</v>
      </c>
      <c r="D6" s="26" t="s">
        <v>1274</v>
      </c>
      <c r="E6" s="26" t="s">
        <v>1275</v>
      </c>
    </row>
    <row r="7" customFormat="false" ht="23.25" hidden="false" customHeight="true" outlineLevel="0" collapsed="false">
      <c r="B7" s="36" t="s">
        <v>1276</v>
      </c>
      <c r="C7" s="36" t="s">
        <v>1277</v>
      </c>
      <c r="D7" s="36" t="s">
        <v>1278</v>
      </c>
      <c r="E7" s="36" t="s">
        <v>1279</v>
      </c>
    </row>
    <row r="8" customFormat="false" ht="23.25" hidden="false" customHeight="true" outlineLevel="0" collapsed="false">
      <c r="B8" s="36" t="s">
        <v>1280</v>
      </c>
      <c r="C8" s="36" t="s">
        <v>1281</v>
      </c>
      <c r="D8" s="36" t="s">
        <v>1278</v>
      </c>
      <c r="E8" s="36" t="s">
        <v>1279</v>
      </c>
    </row>
    <row r="9" customFormat="false" ht="23.25" hidden="false" customHeight="true" outlineLevel="0" collapsed="false">
      <c r="B9" s="36" t="s">
        <v>1282</v>
      </c>
      <c r="C9" s="36" t="s">
        <v>1283</v>
      </c>
      <c r="D9" s="36" t="s">
        <v>1284</v>
      </c>
      <c r="E9" s="36" t="s">
        <v>1285</v>
      </c>
    </row>
    <row r="10" customFormat="false" ht="23.25" hidden="false" customHeight="true" outlineLevel="0" collapsed="false">
      <c r="B10" s="36" t="s">
        <v>1286</v>
      </c>
      <c r="C10" s="36" t="s">
        <v>1287</v>
      </c>
      <c r="D10" s="36" t="s">
        <v>1288</v>
      </c>
      <c r="E10" s="36" t="s">
        <v>1289</v>
      </c>
    </row>
    <row r="12" customFormat="false" ht="15" hidden="false" customHeight="true" outlineLevel="0" collapsed="false">
      <c r="B12" s="25" t="s">
        <v>1290</v>
      </c>
      <c r="C12" s="25"/>
      <c r="D12" s="25"/>
      <c r="E12" s="25"/>
    </row>
    <row r="13" customFormat="false" ht="15" hidden="false" customHeight="true" outlineLevel="0" collapsed="false">
      <c r="B13" s="40" t="s">
        <v>1291</v>
      </c>
      <c r="C13" s="17" t="s">
        <v>1292</v>
      </c>
      <c r="D13" s="17"/>
      <c r="E13" s="17"/>
    </row>
    <row r="14" customFormat="false" ht="15" hidden="false" customHeight="true" outlineLevel="0" collapsed="false">
      <c r="B14" s="40" t="s">
        <v>1293</v>
      </c>
      <c r="C14" s="17" t="s">
        <v>1294</v>
      </c>
      <c r="D14" s="17"/>
      <c r="E14" s="17"/>
    </row>
    <row r="15" customFormat="false" ht="15" hidden="false" customHeight="true" outlineLevel="0" collapsed="false">
      <c r="B15" s="40" t="s">
        <v>1295</v>
      </c>
      <c r="C15" s="17" t="s">
        <v>1296</v>
      </c>
      <c r="D15" s="17"/>
      <c r="E15" s="17"/>
    </row>
    <row r="16" customFormat="false" ht="15" hidden="false" customHeight="true" outlineLevel="0" collapsed="false">
      <c r="B16" s="40" t="s">
        <v>1297</v>
      </c>
      <c r="C16" s="17" t="s">
        <v>1298</v>
      </c>
      <c r="D16" s="17"/>
      <c r="E16" s="17"/>
    </row>
    <row r="17" customFormat="false" ht="15" hidden="false" customHeight="true" outlineLevel="0" collapsed="false">
      <c r="B17" s="40" t="s">
        <v>1299</v>
      </c>
      <c r="C17" s="17" t="s">
        <v>1300</v>
      </c>
      <c r="D17" s="17"/>
      <c r="E17" s="17"/>
    </row>
    <row r="19" customFormat="false" ht="15" hidden="false" customHeight="true" outlineLevel="0" collapsed="false">
      <c r="B19" s="37" t="s">
        <v>1301</v>
      </c>
      <c r="C19" s="37"/>
      <c r="D19" s="37"/>
      <c r="E19" s="37"/>
    </row>
    <row r="21" customFormat="false" ht="3.75" hidden="false" customHeight="true" outlineLevel="0" collapsed="false">
      <c r="A21" s="2"/>
      <c r="B21" s="2"/>
      <c r="C21" s="2"/>
      <c r="D21" s="2"/>
      <c r="E21" s="2"/>
      <c r="F21" s="2"/>
    </row>
    <row r="22" customFormat="false" ht="15.75" hidden="false" customHeight="true" outlineLevel="0" collapsed="false">
      <c r="B22" s="31" t="s">
        <v>132</v>
      </c>
      <c r="C22" s="31"/>
      <c r="D22" s="31"/>
      <c r="E22" s="31"/>
      <c r="F22" s="31"/>
    </row>
  </sheetData>
  <mergeCells count="11">
    <mergeCell ref="B2:E2"/>
    <mergeCell ref="B3:E3"/>
    <mergeCell ref="B5:E5"/>
    <mergeCell ref="B12:E12"/>
    <mergeCell ref="C13:E13"/>
    <mergeCell ref="C14:E14"/>
    <mergeCell ref="C15:E15"/>
    <mergeCell ref="C16:E16"/>
    <mergeCell ref="C17:E17"/>
    <mergeCell ref="B19:E19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6" min="5" style="1" width="22"/>
    <col collapsed="false" customWidth="true" hidden="false" outlineLevel="0" max="7" min="7" style="1" width="16"/>
    <col collapsed="false" customWidth="true" hidden="false" outlineLevel="0" max="9" min="8" style="1" width="12"/>
    <col collapsed="false" customWidth="true" hidden="false" outlineLevel="0" max="58" min="10" style="1" width="14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27.75" hidden="false" customHeight="true" outlineLevel="0" collapsed="false">
      <c r="B2" s="23" t="s">
        <v>1302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41"/>
      <c r="V2" s="41"/>
      <c r="W2" s="41"/>
      <c r="X2" s="41"/>
    </row>
    <row r="3" customFormat="false" ht="18" hidden="false" customHeight="true" outlineLevel="0" collapsed="false">
      <c r="B3" s="24" t="s">
        <v>1303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customFormat="false" ht="15" hidden="false" customHeight="true" outlineLevel="0" collapsed="false">
      <c r="B4" s="42" t="s">
        <v>1304</v>
      </c>
      <c r="C4" s="42"/>
      <c r="D4" s="42"/>
      <c r="E4" s="42"/>
      <c r="F4" s="42"/>
      <c r="G4" s="42"/>
      <c r="H4" s="42"/>
      <c r="I4" s="42"/>
      <c r="J4" s="11" t="s">
        <v>1305</v>
      </c>
      <c r="K4" s="11"/>
      <c r="L4" s="11"/>
      <c r="M4" s="11"/>
      <c r="N4" s="11"/>
      <c r="O4" s="11"/>
      <c r="P4" s="11"/>
      <c r="Q4" s="11"/>
      <c r="R4" s="11"/>
      <c r="S4" s="11"/>
      <c r="T4" s="11" t="s">
        <v>1306</v>
      </c>
      <c r="U4" s="11"/>
      <c r="V4" s="11"/>
      <c r="W4" s="11"/>
      <c r="X4" s="11" t="s">
        <v>1307</v>
      </c>
      <c r="Y4" s="11"/>
      <c r="Z4" s="11"/>
      <c r="AA4" s="11" t="s">
        <v>1308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 t="s">
        <v>1309</v>
      </c>
      <c r="AN4" s="11"/>
      <c r="AO4" s="11"/>
      <c r="AP4" s="11"/>
      <c r="AQ4" s="11"/>
      <c r="AR4" s="11"/>
      <c r="AS4" s="11"/>
      <c r="AT4" s="11" t="s">
        <v>1310</v>
      </c>
      <c r="AU4" s="11"/>
      <c r="AV4" s="11"/>
      <c r="AW4" s="11"/>
      <c r="AX4" s="11"/>
      <c r="AY4" s="11" t="s">
        <v>1311</v>
      </c>
      <c r="AZ4" s="11"/>
      <c r="BA4" s="11"/>
      <c r="BB4" s="11"/>
      <c r="BC4" s="11"/>
      <c r="BD4" s="11"/>
      <c r="BE4" s="11"/>
    </row>
    <row r="5" customFormat="false" ht="33.75" hidden="false" customHeight="true" outlineLevel="0" collapsed="false">
      <c r="A5" s="43"/>
      <c r="B5" s="44" t="s">
        <v>1312</v>
      </c>
      <c r="C5" s="44" t="s">
        <v>437</v>
      </c>
      <c r="D5" s="44" t="s">
        <v>439</v>
      </c>
      <c r="E5" s="44" t="s">
        <v>435</v>
      </c>
      <c r="F5" s="44" t="s">
        <v>436</v>
      </c>
      <c r="G5" s="44" t="s">
        <v>1313</v>
      </c>
      <c r="H5" s="44" t="s">
        <v>1314</v>
      </c>
      <c r="I5" s="26" t="s">
        <v>137</v>
      </c>
      <c r="J5" s="26" t="s">
        <v>1315</v>
      </c>
      <c r="K5" s="26" t="s">
        <v>1316</v>
      </c>
      <c r="L5" s="26" t="s">
        <v>1317</v>
      </c>
      <c r="M5" s="26" t="s">
        <v>1318</v>
      </c>
      <c r="N5" s="26" t="s">
        <v>1319</v>
      </c>
      <c r="O5" s="26" t="s">
        <v>1320</v>
      </c>
      <c r="P5" s="26" t="s">
        <v>1321</v>
      </c>
      <c r="Q5" s="26" t="s">
        <v>1322</v>
      </c>
      <c r="R5" s="26" t="s">
        <v>1323</v>
      </c>
      <c r="S5" s="26" t="s">
        <v>1324</v>
      </c>
      <c r="T5" s="26" t="s">
        <v>1325</v>
      </c>
      <c r="U5" s="26" t="s">
        <v>1326</v>
      </c>
      <c r="V5" s="26" t="s">
        <v>1327</v>
      </c>
      <c r="W5" s="26" t="s">
        <v>1328</v>
      </c>
      <c r="X5" s="26" t="s">
        <v>71</v>
      </c>
      <c r="Y5" s="26" t="s">
        <v>1329</v>
      </c>
      <c r="Z5" s="26" t="s">
        <v>1330</v>
      </c>
      <c r="AA5" s="26" t="s">
        <v>438</v>
      </c>
      <c r="AB5" s="26" t="s">
        <v>424</v>
      </c>
      <c r="AC5" s="26" t="s">
        <v>370</v>
      </c>
      <c r="AD5" s="26" t="s">
        <v>415</v>
      </c>
      <c r="AE5" s="26" t="s">
        <v>399</v>
      </c>
      <c r="AF5" s="26" t="s">
        <v>389</v>
      </c>
      <c r="AG5" s="26" t="s">
        <v>609</v>
      </c>
      <c r="AH5" s="26" t="s">
        <v>599</v>
      </c>
      <c r="AI5" s="26" t="s">
        <v>253</v>
      </c>
      <c r="AJ5" s="26" t="s">
        <v>1331</v>
      </c>
      <c r="AK5" s="26" t="s">
        <v>1332</v>
      </c>
      <c r="AL5" s="26" t="s">
        <v>1333</v>
      </c>
      <c r="AM5" s="26" t="s">
        <v>1334</v>
      </c>
      <c r="AN5" s="26" t="s">
        <v>1335</v>
      </c>
      <c r="AO5" s="26" t="s">
        <v>1336</v>
      </c>
      <c r="AP5" s="26" t="s">
        <v>1337</v>
      </c>
      <c r="AQ5" s="26" t="s">
        <v>1338</v>
      </c>
      <c r="AR5" s="26" t="s">
        <v>1339</v>
      </c>
      <c r="AS5" s="26" t="s">
        <v>1340</v>
      </c>
      <c r="AT5" s="26" t="s">
        <v>1341</v>
      </c>
      <c r="AU5" s="26" t="s">
        <v>1342</v>
      </c>
      <c r="AV5" s="26" t="s">
        <v>1343</v>
      </c>
      <c r="AW5" s="26" t="s">
        <v>1344</v>
      </c>
      <c r="AX5" s="26" t="s">
        <v>1345</v>
      </c>
      <c r="AY5" s="26" t="s">
        <v>1346</v>
      </c>
      <c r="AZ5" s="26" t="s">
        <v>1347</v>
      </c>
      <c r="BA5" s="26" t="s">
        <v>1348</v>
      </c>
      <c r="BB5" s="26" t="s">
        <v>1349</v>
      </c>
      <c r="BC5" s="26" t="s">
        <v>1350</v>
      </c>
      <c r="BD5" s="26" t="s">
        <v>1351</v>
      </c>
      <c r="BE5" s="26" t="s">
        <v>1352</v>
      </c>
    </row>
    <row r="6" customFormat="false" ht="15" hidden="false" customHeight="true" outlineLevel="0" collapsed="false">
      <c r="B6" s="45" t="n">
        <f aca="false">IF($C6="","",COUNTA($C$6:C6))</f>
        <v>1</v>
      </c>
      <c r="C6" s="45" t="s">
        <v>1353</v>
      </c>
      <c r="D6" s="45" t="s">
        <v>1354</v>
      </c>
      <c r="E6" s="45" t="s">
        <v>1355</v>
      </c>
      <c r="F6" s="45" t="s">
        <v>1355</v>
      </c>
      <c r="G6" s="45" t="s">
        <v>1356</v>
      </c>
      <c r="H6" s="45" t="n">
        <v>6</v>
      </c>
      <c r="I6" s="46" t="s">
        <v>1357</v>
      </c>
      <c r="J6" s="47" t="n">
        <v>11000</v>
      </c>
      <c r="K6" s="47" t="n">
        <v>4600</v>
      </c>
      <c r="L6" s="48" t="n">
        <f aca="false">IF(J6="","",ROUND(J6*0.17,0))</f>
        <v>1870</v>
      </c>
      <c r="M6" s="47" t="n">
        <v>8600</v>
      </c>
      <c r="N6" s="47" t="n">
        <v>3500</v>
      </c>
      <c r="O6" s="47" t="n">
        <v>2200</v>
      </c>
      <c r="P6" s="47" t="n">
        <v>2200</v>
      </c>
      <c r="Q6" s="47" t="n">
        <v>15950</v>
      </c>
      <c r="R6" s="47" t="n">
        <v>7150</v>
      </c>
      <c r="S6" s="48" t="n">
        <f aca="false">IF(J6="","",ROUND(J6*2.2,0))</f>
        <v>24200</v>
      </c>
      <c r="T6" s="47" t="n">
        <v>3850</v>
      </c>
      <c r="U6" s="47" t="n">
        <v>3300</v>
      </c>
      <c r="V6" s="47" t="n">
        <v>2000</v>
      </c>
      <c r="W6" s="47" t="n">
        <v>1650</v>
      </c>
      <c r="X6" s="45" t="s">
        <v>1358</v>
      </c>
      <c r="Y6" s="49" t="n">
        <v>0.3</v>
      </c>
      <c r="Z6" s="49" t="n">
        <v>1</v>
      </c>
      <c r="AA6" s="50" t="s">
        <v>1359</v>
      </c>
      <c r="AB6" s="50" t="s">
        <v>1360</v>
      </c>
      <c r="AC6" s="50" t="s">
        <v>1361</v>
      </c>
      <c r="AD6" s="50" t="s">
        <v>1362</v>
      </c>
      <c r="AE6" s="50" t="s">
        <v>1363</v>
      </c>
      <c r="AF6" s="50" t="s">
        <v>1364</v>
      </c>
      <c r="AG6" s="50" t="s">
        <v>1365</v>
      </c>
      <c r="AH6" s="50"/>
      <c r="AI6" s="50" t="s">
        <v>1366</v>
      </c>
      <c r="AJ6" s="50" t="s">
        <v>1367</v>
      </c>
      <c r="AK6" s="50"/>
      <c r="AL6" s="50"/>
      <c r="AM6" s="50"/>
      <c r="AN6" s="50"/>
      <c r="AO6" s="50"/>
      <c r="AP6" s="50"/>
      <c r="AQ6" s="50"/>
      <c r="AR6" s="50"/>
      <c r="AS6" s="50"/>
      <c r="AT6" s="50" t="str">
        <f aca="false">IFERROR(IF(AND(AN6&gt;0,J6&gt;0),ROUND(J6*1000/(AN6*0.2),0),""),"")</f>
        <v/>
      </c>
      <c r="AU6" s="50" t="str">
        <f aca="false">IFERROR(IF(AND(AQ6&gt;0,M6&gt;0),ROUND(M6*1000/(AQ6*0.3),0),""),"")</f>
        <v/>
      </c>
      <c r="AV6" s="50" t="str">
        <f aca="false">IFERROR(IF(AND(AM6&gt;0,O6&gt;0),ROUND(O6*1000/(AM6*0.1),0),""),"")</f>
        <v/>
      </c>
      <c r="AW6" s="50" t="str">
        <f aca="false">IFERROR(IF(AND(AP6&gt;0,N6&gt;0),ROUND(N6*1000/(AP6*0.25),0),""),"")</f>
        <v/>
      </c>
      <c r="AX6" s="50" t="str">
        <f aca="false">IFERROR(IF(AND(AO6&gt;0,Q6&gt;0),ROUND(Q6*1000/(AO6*1),0),""),"")</f>
        <v/>
      </c>
      <c r="AY6" s="51" t="n">
        <f aca="false">IFERROR(ifs(I6="Tier S",0.65,I6="Tier 1",0.55,I6="Tier 2",0.45,I6="Tier 3",0.35,I6="Tier 4",0.25),0.35)</f>
        <v>0.35</v>
      </c>
      <c r="AZ6" s="52" t="n">
        <v>1</v>
      </c>
      <c r="BA6" s="52" t="n">
        <v>1</v>
      </c>
      <c r="BB6" s="52" t="n">
        <v>1</v>
      </c>
      <c r="BC6" s="53" t="n">
        <f aca="false">IFERROR(ROUND(S6*AY6*BA6*BB6*AZ6,0),0)</f>
        <v>8470</v>
      </c>
      <c r="BD6" s="39" t="str">
        <f aca="false">IF(COUNT(AM6,AN6,AO6,AP6,AQ6,AR6,AS6)&gt;0,"estimated","pending")</f>
        <v>pending</v>
      </c>
      <c r="BE6" s="50"/>
    </row>
    <row r="7" customFormat="false" ht="15" hidden="false" customHeight="true" outlineLevel="0" collapsed="false">
      <c r="B7" s="45" t="n">
        <f aca="false">IF($C7="","",COUNTA($C$6:C7))</f>
        <v>2</v>
      </c>
      <c r="C7" s="45" t="s">
        <v>1368</v>
      </c>
      <c r="D7" s="45" t="s">
        <v>1354</v>
      </c>
      <c r="E7" s="45" t="s">
        <v>1355</v>
      </c>
      <c r="F7" s="45" t="s">
        <v>1355</v>
      </c>
      <c r="G7" s="45" t="s">
        <v>1356</v>
      </c>
      <c r="H7" s="45" t="n">
        <v>4</v>
      </c>
      <c r="I7" s="46" t="s">
        <v>1357</v>
      </c>
      <c r="J7" s="47" t="n">
        <v>8100</v>
      </c>
      <c r="K7" s="47" t="n">
        <v>3200</v>
      </c>
      <c r="L7" s="48" t="n">
        <f aca="false">IF(J7="","",ROUND(J7*0.17,0))</f>
        <v>1377</v>
      </c>
      <c r="M7" s="47" t="n">
        <v>6350</v>
      </c>
      <c r="N7" s="47" t="n">
        <v>2600</v>
      </c>
      <c r="O7" s="47" t="n">
        <v>1600</v>
      </c>
      <c r="P7" s="47" t="n">
        <v>1600</v>
      </c>
      <c r="Q7" s="47" t="n">
        <v>11800</v>
      </c>
      <c r="R7" s="47" t="n">
        <v>5300</v>
      </c>
      <c r="S7" s="48" t="n">
        <f aca="false">IF(J7="","",ROUND(J7*2.2,0))</f>
        <v>17820</v>
      </c>
      <c r="T7" s="47" t="n">
        <v>2850</v>
      </c>
      <c r="U7" s="47" t="n">
        <v>2450</v>
      </c>
      <c r="V7" s="47" t="n">
        <v>1450</v>
      </c>
      <c r="W7" s="47" t="n">
        <v>1215</v>
      </c>
      <c r="X7" s="45" t="s">
        <v>1369</v>
      </c>
      <c r="Y7" s="49" t="n">
        <v>0.3</v>
      </c>
      <c r="Z7" s="49" t="n">
        <v>1</v>
      </c>
      <c r="AA7" s="50" t="s">
        <v>1370</v>
      </c>
      <c r="AB7" s="50" t="s">
        <v>1371</v>
      </c>
      <c r="AC7" s="50" t="s">
        <v>1372</v>
      </c>
      <c r="AD7" s="50" t="s">
        <v>1373</v>
      </c>
      <c r="AE7" s="50" t="s">
        <v>1374</v>
      </c>
      <c r="AF7" s="50"/>
      <c r="AG7" s="50"/>
      <c r="AH7" s="50"/>
      <c r="AI7" s="50"/>
      <c r="AJ7" s="50" t="s">
        <v>1375</v>
      </c>
      <c r="AK7" s="50"/>
      <c r="AL7" s="50"/>
      <c r="AM7" s="50"/>
      <c r="AN7" s="50"/>
      <c r="AO7" s="50"/>
      <c r="AP7" s="50"/>
      <c r="AQ7" s="50"/>
      <c r="AR7" s="50"/>
      <c r="AS7" s="50"/>
      <c r="AT7" s="50" t="str">
        <f aca="false">IFERROR(IF(AND(AN7&gt;0,J7&gt;0),ROUND(J7*1000/(AN7*0.2),0),""),"")</f>
        <v/>
      </c>
      <c r="AU7" s="50" t="str">
        <f aca="false">IFERROR(IF(AND(AQ7&gt;0,M7&gt;0),ROUND(M7*1000/(AQ7*0.3),0),""),"")</f>
        <v/>
      </c>
      <c r="AV7" s="50" t="str">
        <f aca="false">IFERROR(IF(AND(AM7&gt;0,O7&gt;0),ROUND(O7*1000/(AM7*0.1),0),""),"")</f>
        <v/>
      </c>
      <c r="AW7" s="50" t="str">
        <f aca="false">IFERROR(IF(AND(AP7&gt;0,N7&gt;0),ROUND(N7*1000/(AP7*0.25),0),""),"")</f>
        <v/>
      </c>
      <c r="AX7" s="50" t="str">
        <f aca="false">IFERROR(IF(AND(AO7&gt;0,Q7&gt;0),ROUND(Q7*1000/(AO7*1),0),""),"")</f>
        <v/>
      </c>
      <c r="AY7" s="51" t="n">
        <f aca="false">IFERROR(ifs(I7="Tier S",0.65,I7="Tier 1",0.55,I7="Tier 2",0.45,I7="Tier 3",0.35,I7="Tier 4",0.25),0.35)</f>
        <v>0.35</v>
      </c>
      <c r="AZ7" s="52" t="n">
        <v>1</v>
      </c>
      <c r="BA7" s="52" t="n">
        <v>1</v>
      </c>
      <c r="BB7" s="52" t="n">
        <v>1</v>
      </c>
      <c r="BC7" s="53" t="n">
        <f aca="false">IFERROR(ROUND(S7*AY7*BA7*BB7*AZ7,0),0)</f>
        <v>6237</v>
      </c>
      <c r="BD7" s="39" t="str">
        <f aca="false">IF(COUNT(AM7,AN7,AO7,AP7,AQ7,AR7,AS7)&gt;0,"estimated","pending")</f>
        <v>pending</v>
      </c>
      <c r="BE7" s="50"/>
    </row>
    <row r="8" customFormat="false" ht="15" hidden="false" customHeight="true" outlineLevel="0" collapsed="false">
      <c r="B8" s="45" t="n">
        <f aca="false">IF($C8="","",COUNTA($C$6:C8))</f>
        <v>3</v>
      </c>
      <c r="C8" s="45" t="s">
        <v>1376</v>
      </c>
      <c r="D8" s="45" t="s">
        <v>1354</v>
      </c>
      <c r="E8" s="45" t="s">
        <v>1355</v>
      </c>
      <c r="F8" s="45" t="s">
        <v>1355</v>
      </c>
      <c r="G8" s="45" t="s">
        <v>1356</v>
      </c>
      <c r="H8" s="45" t="n">
        <v>4</v>
      </c>
      <c r="I8" s="46" t="s">
        <v>1357</v>
      </c>
      <c r="J8" s="47" t="n">
        <v>7450</v>
      </c>
      <c r="K8" s="47" t="n">
        <v>3150</v>
      </c>
      <c r="L8" s="48" t="n">
        <f aca="false">IF(J8="","",ROUND(J8*0.17,0))</f>
        <v>1267</v>
      </c>
      <c r="M8" s="47" t="n">
        <v>5850</v>
      </c>
      <c r="N8" s="47" t="n">
        <v>2400</v>
      </c>
      <c r="O8" s="47" t="n">
        <v>1500</v>
      </c>
      <c r="P8" s="47" t="n">
        <v>1500</v>
      </c>
      <c r="Q8" s="47" t="n">
        <v>10850</v>
      </c>
      <c r="R8" s="47" t="n">
        <v>4850</v>
      </c>
      <c r="S8" s="48" t="n">
        <f aca="false">IF(J8="","",ROUND(J8*2.2,0))</f>
        <v>16390</v>
      </c>
      <c r="T8" s="47" t="n">
        <v>2600</v>
      </c>
      <c r="U8" s="47" t="n">
        <v>2250</v>
      </c>
      <c r="V8" s="47" t="n">
        <v>1350</v>
      </c>
      <c r="W8" s="47" t="n">
        <v>1118</v>
      </c>
      <c r="X8" s="45" t="s">
        <v>1369</v>
      </c>
      <c r="Y8" s="49" t="n">
        <v>0.3</v>
      </c>
      <c r="Z8" s="49" t="n">
        <v>1</v>
      </c>
      <c r="AA8" s="50" t="s">
        <v>1377</v>
      </c>
      <c r="AB8" s="50" t="s">
        <v>1378</v>
      </c>
      <c r="AC8" s="50" t="s">
        <v>1379</v>
      </c>
      <c r="AD8" s="50" t="s">
        <v>1380</v>
      </c>
      <c r="AE8" s="50"/>
      <c r="AF8" s="50"/>
      <c r="AG8" s="50" t="s">
        <v>1381</v>
      </c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 t="str">
        <f aca="false">IFERROR(IF(AND(AN8&gt;0,J8&gt;0),ROUND(J8*1000/(AN8*0.2),0),""),"")</f>
        <v/>
      </c>
      <c r="AU8" s="50" t="str">
        <f aca="false">IFERROR(IF(AND(AQ8&gt;0,M8&gt;0),ROUND(M8*1000/(AQ8*0.3),0),""),"")</f>
        <v/>
      </c>
      <c r="AV8" s="50" t="str">
        <f aca="false">IFERROR(IF(AND(AM8&gt;0,O8&gt;0),ROUND(O8*1000/(AM8*0.1),0),""),"")</f>
        <v/>
      </c>
      <c r="AW8" s="50" t="str">
        <f aca="false">IFERROR(IF(AND(AP8&gt;0,N8&gt;0),ROUND(N8*1000/(AP8*0.25),0),""),"")</f>
        <v/>
      </c>
      <c r="AX8" s="50" t="str">
        <f aca="false">IFERROR(IF(AND(AO8&gt;0,Q8&gt;0),ROUND(Q8*1000/(AO8*1),0),""),"")</f>
        <v/>
      </c>
      <c r="AY8" s="51" t="n">
        <f aca="false">IFERROR(ifs(I8="Tier S",0.65,I8="Tier 1",0.55,I8="Tier 2",0.45,I8="Tier 3",0.35,I8="Tier 4",0.25),0.35)</f>
        <v>0.35</v>
      </c>
      <c r="AZ8" s="52" t="n">
        <v>1</v>
      </c>
      <c r="BA8" s="52" t="n">
        <v>1</v>
      </c>
      <c r="BB8" s="52" t="n">
        <v>1</v>
      </c>
      <c r="BC8" s="53" t="n">
        <f aca="false">IFERROR(ROUND(S8*AY8*BA8*BB8*AZ8,0),0)</f>
        <v>5737</v>
      </c>
      <c r="BD8" s="39" t="str">
        <f aca="false">IF(COUNT(AM8,AN8,AO8,AP8,AQ8,AR8,AS8)&gt;0,"estimated","pending")</f>
        <v>pending</v>
      </c>
      <c r="BE8" s="50"/>
    </row>
    <row r="9" customFormat="false" ht="15" hidden="false" customHeight="true" outlineLevel="0" collapsed="false">
      <c r="B9" s="45" t="n">
        <f aca="false">IF($C9="","",COUNTA($C$6:C9))</f>
        <v>4</v>
      </c>
      <c r="C9" s="45" t="s">
        <v>1382</v>
      </c>
      <c r="D9" s="45" t="s">
        <v>1354</v>
      </c>
      <c r="E9" s="45" t="s">
        <v>1355</v>
      </c>
      <c r="F9" s="45" t="s">
        <v>1355</v>
      </c>
      <c r="G9" s="45" t="s">
        <v>1356</v>
      </c>
      <c r="H9" s="45" t="n">
        <v>3</v>
      </c>
      <c r="I9" s="46" t="s">
        <v>1357</v>
      </c>
      <c r="J9" s="47" t="n">
        <v>5200</v>
      </c>
      <c r="K9" s="47" t="n">
        <v>2200</v>
      </c>
      <c r="L9" s="48" t="n">
        <f aca="false">IF(J9="","",ROUND(J9*0.17,0))</f>
        <v>884</v>
      </c>
      <c r="M9" s="47" t="n">
        <v>4050</v>
      </c>
      <c r="N9" s="47" t="n">
        <v>1650</v>
      </c>
      <c r="O9" s="47" t="n">
        <v>1050</v>
      </c>
      <c r="P9" s="47" t="n">
        <v>1050</v>
      </c>
      <c r="Q9" s="47" t="n">
        <v>7550</v>
      </c>
      <c r="R9" s="47" t="n">
        <v>3400</v>
      </c>
      <c r="S9" s="48" t="n">
        <f aca="false">IF(J9="","",ROUND(J9*2.2,0))</f>
        <v>11440</v>
      </c>
      <c r="T9" s="47" t="n">
        <v>1800</v>
      </c>
      <c r="U9" s="47" t="n">
        <v>1550</v>
      </c>
      <c r="V9" s="47" t="n">
        <v>950</v>
      </c>
      <c r="W9" s="47" t="n">
        <v>780</v>
      </c>
      <c r="X9" s="45" t="s">
        <v>1383</v>
      </c>
      <c r="Y9" s="49" t="n">
        <v>0.3</v>
      </c>
      <c r="Z9" s="49" t="n">
        <v>1</v>
      </c>
      <c r="AA9" s="50" t="s">
        <v>1384</v>
      </c>
      <c r="AB9" s="50" t="s">
        <v>1385</v>
      </c>
      <c r="AC9" s="50"/>
      <c r="AD9" s="50" t="s">
        <v>1386</v>
      </c>
      <c r="AE9" s="50"/>
      <c r="AF9" s="50"/>
      <c r="AG9" s="50" t="s">
        <v>1387</v>
      </c>
      <c r="AH9" s="50" t="s">
        <v>1388</v>
      </c>
      <c r="AI9" s="50" t="s">
        <v>1389</v>
      </c>
      <c r="AJ9" s="50" t="s">
        <v>1390</v>
      </c>
      <c r="AK9" s="50"/>
      <c r="AL9" s="50"/>
      <c r="AM9" s="50"/>
      <c r="AN9" s="50"/>
      <c r="AO9" s="50"/>
      <c r="AP9" s="50"/>
      <c r="AQ9" s="50"/>
      <c r="AR9" s="50"/>
      <c r="AS9" s="50"/>
      <c r="AT9" s="50" t="str">
        <f aca="false">IFERROR(IF(AND(AN9&gt;0,J9&gt;0),ROUND(J9*1000/(AN9*0.2),0),""),"")</f>
        <v/>
      </c>
      <c r="AU9" s="50" t="str">
        <f aca="false">IFERROR(IF(AND(AQ9&gt;0,M9&gt;0),ROUND(M9*1000/(AQ9*0.3),0),""),"")</f>
        <v/>
      </c>
      <c r="AV9" s="50" t="str">
        <f aca="false">IFERROR(IF(AND(AM9&gt;0,O9&gt;0),ROUND(O9*1000/(AM9*0.1),0),""),"")</f>
        <v/>
      </c>
      <c r="AW9" s="50" t="str">
        <f aca="false">IFERROR(IF(AND(AP9&gt;0,N9&gt;0),ROUND(N9*1000/(AP9*0.25),0),""),"")</f>
        <v/>
      </c>
      <c r="AX9" s="50" t="str">
        <f aca="false">IFERROR(IF(AND(AO9&gt;0,Q9&gt;0),ROUND(Q9*1000/(AO9*1),0),""),"")</f>
        <v/>
      </c>
      <c r="AY9" s="51" t="n">
        <f aca="false">IFERROR(ifs(I9="Tier S",0.65,I9="Tier 1",0.55,I9="Tier 2",0.45,I9="Tier 3",0.35,I9="Tier 4",0.25),0.35)</f>
        <v>0.35</v>
      </c>
      <c r="AZ9" s="52" t="n">
        <v>1</v>
      </c>
      <c r="BA9" s="52" t="n">
        <v>1</v>
      </c>
      <c r="BB9" s="52" t="n">
        <v>1</v>
      </c>
      <c r="BC9" s="53" t="n">
        <f aca="false">IFERROR(ROUND(S9*AY9*BA9*BB9*AZ9,0),0)</f>
        <v>4004</v>
      </c>
      <c r="BD9" s="39" t="str">
        <f aca="false">IF(COUNT(AM9,AN9,AO9,AP9,AQ9,AR9,AS9)&gt;0,"estimated","pending")</f>
        <v>pending</v>
      </c>
      <c r="BE9" s="50"/>
    </row>
    <row r="10" customFormat="false" ht="15" hidden="false" customHeight="true" outlineLevel="0" collapsed="false">
      <c r="B10" s="45" t="n">
        <f aca="false">IF($C10="","",COUNTA($C$6:C10))</f>
        <v>5</v>
      </c>
      <c r="C10" s="45" t="s">
        <v>1391</v>
      </c>
      <c r="D10" s="45" t="s">
        <v>1354</v>
      </c>
      <c r="E10" s="45" t="s">
        <v>1355</v>
      </c>
      <c r="F10" s="45" t="s">
        <v>1355</v>
      </c>
      <c r="G10" s="45" t="s">
        <v>1392</v>
      </c>
      <c r="H10" s="45" t="n">
        <v>5</v>
      </c>
      <c r="I10" s="46" t="s">
        <v>1357</v>
      </c>
      <c r="J10" s="47" t="n">
        <v>8100</v>
      </c>
      <c r="K10" s="47" t="n">
        <v>3400</v>
      </c>
      <c r="L10" s="48" t="n">
        <f aca="false">IF(J10="","",ROUND(J10*0.17,0))</f>
        <v>1377</v>
      </c>
      <c r="M10" s="47" t="n">
        <v>6350</v>
      </c>
      <c r="N10" s="47" t="n">
        <v>2600</v>
      </c>
      <c r="O10" s="47" t="n">
        <v>1600</v>
      </c>
      <c r="P10" s="47" t="n">
        <v>1600</v>
      </c>
      <c r="Q10" s="47" t="n">
        <v>11800</v>
      </c>
      <c r="R10" s="47" t="n">
        <v>5300</v>
      </c>
      <c r="S10" s="48" t="n">
        <f aca="false">IF(J10="","",ROUND(J10*2.2,0))</f>
        <v>17820</v>
      </c>
      <c r="T10" s="47" t="n">
        <v>2850</v>
      </c>
      <c r="U10" s="47" t="n">
        <v>2450</v>
      </c>
      <c r="V10" s="47" t="n">
        <v>1450</v>
      </c>
      <c r="W10" s="47" t="n">
        <v>1215</v>
      </c>
      <c r="X10" s="45" t="s">
        <v>1393</v>
      </c>
      <c r="Y10" s="49" t="n">
        <v>0.3</v>
      </c>
      <c r="Z10" s="49" t="n">
        <v>1</v>
      </c>
      <c r="AA10" s="50" t="s">
        <v>1394</v>
      </c>
      <c r="AB10" s="50" t="s">
        <v>1395</v>
      </c>
      <c r="AC10" s="50" t="s">
        <v>1396</v>
      </c>
      <c r="AD10" s="50" t="s">
        <v>1397</v>
      </c>
      <c r="AE10" s="50" t="s">
        <v>1398</v>
      </c>
      <c r="AF10" s="50" t="s">
        <v>1399</v>
      </c>
      <c r="AG10" s="50"/>
      <c r="AH10" s="50"/>
      <c r="AI10" s="50"/>
      <c r="AJ10" s="50" t="s">
        <v>1400</v>
      </c>
      <c r="AK10" s="50"/>
      <c r="AL10" s="50"/>
      <c r="AM10" s="50"/>
      <c r="AN10" s="50"/>
      <c r="AO10" s="50"/>
      <c r="AP10" s="50"/>
      <c r="AQ10" s="50"/>
      <c r="AR10" s="50"/>
      <c r="AS10" s="50"/>
      <c r="AT10" s="50" t="str">
        <f aca="false">IFERROR(IF(AND(AN10&gt;0,J10&gt;0),ROUND(J10*1000/(AN10*0.2),0),""),"")</f>
        <v/>
      </c>
      <c r="AU10" s="50" t="str">
        <f aca="false">IFERROR(IF(AND(AQ10&gt;0,M10&gt;0),ROUND(M10*1000/(AQ10*0.3),0),""),"")</f>
        <v/>
      </c>
      <c r="AV10" s="50" t="str">
        <f aca="false">IFERROR(IF(AND(AM10&gt;0,O10&gt;0),ROUND(O10*1000/(AM10*0.1),0),""),"")</f>
        <v/>
      </c>
      <c r="AW10" s="50" t="str">
        <f aca="false">IFERROR(IF(AND(AP10&gt;0,N10&gt;0),ROUND(N10*1000/(AP10*0.25),0),""),"")</f>
        <v/>
      </c>
      <c r="AX10" s="50" t="str">
        <f aca="false">IFERROR(IF(AND(AO10&gt;0,Q10&gt;0),ROUND(Q10*1000/(AO10*1),0),""),"")</f>
        <v/>
      </c>
      <c r="AY10" s="51" t="n">
        <f aca="false">IFERROR(ifs(I10="Tier S",0.65,I10="Tier 1",0.55,I10="Tier 2",0.45,I10="Tier 3",0.35,I10="Tier 4",0.25),0.35)</f>
        <v>0.35</v>
      </c>
      <c r="AZ10" s="52" t="n">
        <v>1</v>
      </c>
      <c r="BA10" s="52" t="n">
        <v>1</v>
      </c>
      <c r="BB10" s="52" t="n">
        <v>1</v>
      </c>
      <c r="BC10" s="53" t="n">
        <f aca="false">IFERROR(ROUND(S10*AY10*BA10*BB10*AZ10,0),0)</f>
        <v>6237</v>
      </c>
      <c r="BD10" s="39" t="str">
        <f aca="false">IF(COUNT(AM10,AN10,AO10,AP10,AQ10,AR10,AS10)&gt;0,"estimated","pending")</f>
        <v>pending</v>
      </c>
      <c r="BE10" s="50"/>
    </row>
    <row r="11" customFormat="false" ht="15" hidden="false" customHeight="true" outlineLevel="0" collapsed="false">
      <c r="B11" s="45" t="n">
        <f aca="false">IF($C11="","",COUNTA($C$6:C11))</f>
        <v>6</v>
      </c>
      <c r="C11" s="45" t="s">
        <v>1401</v>
      </c>
      <c r="D11" s="45" t="s">
        <v>1354</v>
      </c>
      <c r="E11" s="45" t="s">
        <v>1355</v>
      </c>
      <c r="F11" s="45" t="s">
        <v>1355</v>
      </c>
      <c r="G11" s="45" t="s">
        <v>1356</v>
      </c>
      <c r="H11" s="45" t="n">
        <v>5</v>
      </c>
      <c r="I11" s="46" t="s">
        <v>1357</v>
      </c>
      <c r="J11" s="47" t="n">
        <v>7450</v>
      </c>
      <c r="K11" s="47" t="n">
        <v>3150</v>
      </c>
      <c r="L11" s="48" t="n">
        <f aca="false">IF(J11="","",ROUND(J11*0.17,0))</f>
        <v>1267</v>
      </c>
      <c r="M11" s="47" t="n">
        <v>5850</v>
      </c>
      <c r="N11" s="47" t="n">
        <v>2400</v>
      </c>
      <c r="O11" s="47" t="n">
        <v>1500</v>
      </c>
      <c r="P11" s="47" t="n">
        <v>1500</v>
      </c>
      <c r="Q11" s="47" t="n">
        <v>10850</v>
      </c>
      <c r="R11" s="47" t="n">
        <v>4850</v>
      </c>
      <c r="S11" s="48" t="n">
        <f aca="false">IF(J11="","",ROUND(J11*2.2,0))</f>
        <v>16390</v>
      </c>
      <c r="T11" s="47" t="n">
        <v>2600</v>
      </c>
      <c r="U11" s="47" t="n">
        <v>2250</v>
      </c>
      <c r="V11" s="47" t="n">
        <v>1350</v>
      </c>
      <c r="W11" s="47" t="n">
        <v>1118</v>
      </c>
      <c r="X11" s="45" t="s">
        <v>1393</v>
      </c>
      <c r="Y11" s="49" t="n">
        <v>0.3</v>
      </c>
      <c r="Z11" s="49" t="n">
        <v>1</v>
      </c>
      <c r="AA11" s="50" t="s">
        <v>1402</v>
      </c>
      <c r="AB11" s="50" t="s">
        <v>1403</v>
      </c>
      <c r="AC11" s="50" t="s">
        <v>1404</v>
      </c>
      <c r="AD11" s="50"/>
      <c r="AE11" s="50" t="s">
        <v>1405</v>
      </c>
      <c r="AF11" s="50" t="s">
        <v>1406</v>
      </c>
      <c r="AG11" s="50" t="s">
        <v>1407</v>
      </c>
      <c r="AH11" s="50"/>
      <c r="AI11" s="50" t="s">
        <v>1408</v>
      </c>
      <c r="AJ11" s="50" t="s">
        <v>1409</v>
      </c>
      <c r="AK11" s="50"/>
      <c r="AL11" s="50"/>
      <c r="AM11" s="50"/>
      <c r="AN11" s="50"/>
      <c r="AO11" s="50"/>
      <c r="AP11" s="50"/>
      <c r="AQ11" s="50"/>
      <c r="AR11" s="50"/>
      <c r="AS11" s="50"/>
      <c r="AT11" s="50" t="str">
        <f aca="false">IFERROR(IF(AND(AN11&gt;0,J11&gt;0),ROUND(J11*1000/(AN11*0.2),0),""),"")</f>
        <v/>
      </c>
      <c r="AU11" s="50" t="str">
        <f aca="false">IFERROR(IF(AND(AQ11&gt;0,M11&gt;0),ROUND(M11*1000/(AQ11*0.3),0),""),"")</f>
        <v/>
      </c>
      <c r="AV11" s="50" t="str">
        <f aca="false">IFERROR(IF(AND(AM11&gt;0,O11&gt;0),ROUND(O11*1000/(AM11*0.1),0),""),"")</f>
        <v/>
      </c>
      <c r="AW11" s="50" t="str">
        <f aca="false">IFERROR(IF(AND(AP11&gt;0,N11&gt;0),ROUND(N11*1000/(AP11*0.25),0),""),"")</f>
        <v/>
      </c>
      <c r="AX11" s="50" t="str">
        <f aca="false">IFERROR(IF(AND(AO11&gt;0,Q11&gt;0),ROUND(Q11*1000/(AO11*1),0),""),"")</f>
        <v/>
      </c>
      <c r="AY11" s="51" t="n">
        <f aca="false">IFERROR(ifs(I11="Tier S",0.65,I11="Tier 1",0.55,I11="Tier 2",0.45,I11="Tier 3",0.35,I11="Tier 4",0.25),0.35)</f>
        <v>0.35</v>
      </c>
      <c r="AZ11" s="52" t="n">
        <v>1</v>
      </c>
      <c r="BA11" s="52" t="n">
        <v>1</v>
      </c>
      <c r="BB11" s="52" t="n">
        <v>1</v>
      </c>
      <c r="BC11" s="53" t="n">
        <f aca="false">IFERROR(ROUND(S11*AY11*BA11*BB11*AZ11,0),0)</f>
        <v>5737</v>
      </c>
      <c r="BD11" s="39" t="str">
        <f aca="false">IF(COUNT(AM11,AN11,AO11,AP11,AQ11,AR11,AS11)&gt;0,"estimated","pending")</f>
        <v>pending</v>
      </c>
      <c r="BE11" s="50"/>
    </row>
    <row r="12" customFormat="false" ht="15" hidden="false" customHeight="true" outlineLevel="0" collapsed="false">
      <c r="B12" s="45" t="n">
        <f aca="false">IF($C12="","",COUNTA($C$6:C12))</f>
        <v>7</v>
      </c>
      <c r="C12" s="45" t="s">
        <v>1410</v>
      </c>
      <c r="D12" s="45" t="s">
        <v>1354</v>
      </c>
      <c r="E12" s="45" t="s">
        <v>1355</v>
      </c>
      <c r="F12" s="45" t="s">
        <v>1355</v>
      </c>
      <c r="G12" s="45" t="s">
        <v>1356</v>
      </c>
      <c r="H12" s="45" t="n">
        <v>5</v>
      </c>
      <c r="I12" s="46" t="s">
        <v>337</v>
      </c>
      <c r="J12" s="47" t="n">
        <v>6500</v>
      </c>
      <c r="K12" s="47" t="n">
        <v>5300</v>
      </c>
      <c r="L12" s="48" t="n">
        <f aca="false">IF(J12="","",ROUND(J12*0.17,0))</f>
        <v>1105</v>
      </c>
      <c r="M12" s="47" t="n">
        <v>3400</v>
      </c>
      <c r="N12" s="47" t="n">
        <v>4050</v>
      </c>
      <c r="O12" s="47" t="n">
        <v>2500</v>
      </c>
      <c r="P12" s="47" t="n">
        <v>2500</v>
      </c>
      <c r="Q12" s="47" t="n">
        <v>15950</v>
      </c>
      <c r="R12" s="47" t="n">
        <v>8200</v>
      </c>
      <c r="S12" s="48" t="n">
        <f aca="false">IF(J12="","",ROUND(J12*2.2,0))</f>
        <v>14300</v>
      </c>
      <c r="T12" s="47" t="n">
        <v>3800</v>
      </c>
      <c r="U12" s="47" t="n">
        <v>1900</v>
      </c>
      <c r="V12" s="47" t="n">
        <v>3150</v>
      </c>
      <c r="W12" s="47" t="n">
        <v>1250</v>
      </c>
      <c r="X12" s="45" t="s">
        <v>1393</v>
      </c>
      <c r="Y12" s="49" t="n">
        <v>0.3</v>
      </c>
      <c r="Z12" s="49" t="n">
        <v>1</v>
      </c>
      <c r="AA12" s="50" t="s">
        <v>1411</v>
      </c>
      <c r="AB12" s="50" t="s">
        <v>1412</v>
      </c>
      <c r="AC12" s="50" t="s">
        <v>1413</v>
      </c>
      <c r="AD12" s="50"/>
      <c r="AE12" s="50" t="s">
        <v>1414</v>
      </c>
      <c r="AF12" s="50" t="s">
        <v>1415</v>
      </c>
      <c r="AG12" s="50" t="s">
        <v>1416</v>
      </c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 t="str">
        <f aca="false">IFERROR(IF(AND(AN12&gt;0,J12&gt;0),ROUND(J12*1000/(AN12*0.2),0),""),"")</f>
        <v/>
      </c>
      <c r="AU12" s="50" t="str">
        <f aca="false">IFERROR(IF(AND(AQ12&gt;0,M12&gt;0),ROUND(M12*1000/(AQ12*0.3),0),""),"")</f>
        <v/>
      </c>
      <c r="AV12" s="50" t="str">
        <f aca="false">IFERROR(IF(AND(AM12&gt;0,O12&gt;0),ROUND(O12*1000/(AM12*0.1),0),""),"")</f>
        <v/>
      </c>
      <c r="AW12" s="50" t="str">
        <f aca="false">IFERROR(IF(AND(AP12&gt;0,N12&gt;0),ROUND(N12*1000/(AP12*0.25),0),""),"")</f>
        <v/>
      </c>
      <c r="AX12" s="50" t="str">
        <f aca="false">IFERROR(IF(AND(AO12&gt;0,Q12&gt;0),ROUND(Q12*1000/(AO12*1),0),""),"")</f>
        <v/>
      </c>
      <c r="AY12" s="51" t="n">
        <f aca="false">IFERROR(ifs(I12="Tier S",0.65,I12="Tier 1",0.55,I12="Tier 2",0.45,I12="Tier 3",0.35,I12="Tier 4",0.25),0.35)</f>
        <v>0.35</v>
      </c>
      <c r="AZ12" s="52" t="n">
        <v>1</v>
      </c>
      <c r="BA12" s="52" t="n">
        <v>1</v>
      </c>
      <c r="BB12" s="52" t="n">
        <v>1</v>
      </c>
      <c r="BC12" s="53" t="n">
        <f aca="false">IFERROR(ROUND(S12*AY12*BA12*BB12*AZ12,0),0)</f>
        <v>5005</v>
      </c>
      <c r="BD12" s="39" t="str">
        <f aca="false">IF(COUNT(AM12,AN12,AO12,AP12,AQ12,AR12,AS12)&gt;0,"estimated","pending")</f>
        <v>pending</v>
      </c>
      <c r="BE12" s="50"/>
    </row>
    <row r="13" customFormat="false" ht="15" hidden="false" customHeight="true" outlineLevel="0" collapsed="false">
      <c r="B13" s="45" t="n">
        <f aca="false">IF($C13="","",COUNTA($C$6:C13))</f>
        <v>8</v>
      </c>
      <c r="C13" s="45" t="s">
        <v>1417</v>
      </c>
      <c r="D13" s="45" t="s">
        <v>1354</v>
      </c>
      <c r="E13" s="45" t="s">
        <v>1355</v>
      </c>
      <c r="F13" s="45" t="s">
        <v>1355</v>
      </c>
      <c r="G13" s="45" t="s">
        <v>1356</v>
      </c>
      <c r="H13" s="45" t="n">
        <v>5</v>
      </c>
      <c r="I13" s="46" t="s">
        <v>1357</v>
      </c>
      <c r="J13" s="47" t="n">
        <v>7450</v>
      </c>
      <c r="K13" s="47" t="n">
        <v>3150</v>
      </c>
      <c r="L13" s="48" t="n">
        <f aca="false">IF(J13="","",ROUND(J13*0.17,0))</f>
        <v>1267</v>
      </c>
      <c r="M13" s="47" t="n">
        <v>5800</v>
      </c>
      <c r="N13" s="47" t="n">
        <v>2400</v>
      </c>
      <c r="O13" s="47" t="n">
        <v>1500</v>
      </c>
      <c r="P13" s="47" t="n">
        <v>1500</v>
      </c>
      <c r="Q13" s="47" t="n">
        <v>7500</v>
      </c>
      <c r="R13" s="47" t="n">
        <v>4850</v>
      </c>
      <c r="S13" s="48" t="n">
        <f aca="false">IF(J13="","",ROUND(J13*2.2,0))</f>
        <v>16390</v>
      </c>
      <c r="T13" s="47" t="n">
        <v>2250</v>
      </c>
      <c r="U13" s="47" t="n">
        <v>1100</v>
      </c>
      <c r="V13" s="47" t="n">
        <v>1850</v>
      </c>
      <c r="W13" s="47" t="n">
        <v>750</v>
      </c>
      <c r="X13" s="45" t="s">
        <v>1393</v>
      </c>
      <c r="Y13" s="49" t="n">
        <v>0.3</v>
      </c>
      <c r="Z13" s="49" t="n">
        <v>1</v>
      </c>
      <c r="AA13" s="50" t="s">
        <v>1418</v>
      </c>
      <c r="AB13" s="50" t="s">
        <v>1419</v>
      </c>
      <c r="AC13" s="50" t="s">
        <v>1420</v>
      </c>
      <c r="AD13" s="50"/>
      <c r="AE13" s="50"/>
      <c r="AF13" s="50" t="s">
        <v>1421</v>
      </c>
      <c r="AG13" s="50" t="s">
        <v>1422</v>
      </c>
      <c r="AH13" s="50" t="s">
        <v>1423</v>
      </c>
      <c r="AI13" s="50"/>
      <c r="AJ13" s="50"/>
      <c r="AK13" s="50" t="s">
        <v>1424</v>
      </c>
      <c r="AL13" s="50"/>
      <c r="AM13" s="50"/>
      <c r="AN13" s="50"/>
      <c r="AO13" s="50"/>
      <c r="AP13" s="50"/>
      <c r="AQ13" s="50"/>
      <c r="AR13" s="50"/>
      <c r="AS13" s="50"/>
      <c r="AT13" s="50" t="str">
        <f aca="false">IFERROR(IF(AND(AN13&gt;0,J13&gt;0),ROUND(J13*1000/(AN13*0.2),0),""),"")</f>
        <v/>
      </c>
      <c r="AU13" s="50" t="str">
        <f aca="false">IFERROR(IF(AND(AQ13&gt;0,M13&gt;0),ROUND(M13*1000/(AQ13*0.3),0),""),"")</f>
        <v/>
      </c>
      <c r="AV13" s="50" t="str">
        <f aca="false">IFERROR(IF(AND(AM13&gt;0,O13&gt;0),ROUND(O13*1000/(AM13*0.1),0),""),"")</f>
        <v/>
      </c>
      <c r="AW13" s="50" t="str">
        <f aca="false">IFERROR(IF(AND(AP13&gt;0,N13&gt;0),ROUND(N13*1000/(AP13*0.25),0),""),"")</f>
        <v/>
      </c>
      <c r="AX13" s="50" t="str">
        <f aca="false">IFERROR(IF(AND(AO13&gt;0,Q13&gt;0),ROUND(Q13*1000/(AO13*1),0),""),"")</f>
        <v/>
      </c>
      <c r="AY13" s="51" t="n">
        <f aca="false">IFERROR(ifs(I13="Tier S",0.65,I13="Tier 1",0.55,I13="Tier 2",0.45,I13="Tier 3",0.35,I13="Tier 4",0.25),0.35)</f>
        <v>0.35</v>
      </c>
      <c r="AZ13" s="52" t="n">
        <v>1</v>
      </c>
      <c r="BA13" s="52" t="n">
        <v>1</v>
      </c>
      <c r="BB13" s="52" t="n">
        <v>1</v>
      </c>
      <c r="BC13" s="53" t="n">
        <f aca="false">IFERROR(ROUND(S13*AY13*BA13*BB13*AZ13,0),0)</f>
        <v>5737</v>
      </c>
      <c r="BD13" s="39" t="str">
        <f aca="false">IF(COUNT(AM13,AN13,AO13,AP13,AQ13,AR13,AS13)&gt;0,"estimated","pending")</f>
        <v>pending</v>
      </c>
      <c r="BE13" s="50"/>
    </row>
    <row r="14" customFormat="false" ht="15" hidden="false" customHeight="true" outlineLevel="0" collapsed="false">
      <c r="B14" s="54" t="n">
        <f aca="false">IF($C14="","",COUNTA($C$6:C14))</f>
        <v>9</v>
      </c>
      <c r="C14" s="54" t="s">
        <v>474</v>
      </c>
      <c r="D14" s="54" t="s">
        <v>208</v>
      </c>
      <c r="E14" s="54" t="s">
        <v>472</v>
      </c>
      <c r="F14" s="54" t="s">
        <v>473</v>
      </c>
      <c r="G14" s="54" t="s">
        <v>1425</v>
      </c>
      <c r="H14" s="54" t="n">
        <v>3</v>
      </c>
      <c r="I14" s="55" t="s">
        <v>337</v>
      </c>
      <c r="J14" s="56" t="n">
        <v>11250</v>
      </c>
      <c r="K14" s="56" t="n">
        <v>4500</v>
      </c>
      <c r="L14" s="57" t="n">
        <f aca="false">IF(J14="","",ROUND(J14*0.17,0))</f>
        <v>1913</v>
      </c>
      <c r="M14" s="56" t="n">
        <v>8000</v>
      </c>
      <c r="N14" s="56" t="n">
        <v>3500</v>
      </c>
      <c r="O14" s="56" t="n">
        <v>2000</v>
      </c>
      <c r="P14" s="56" t="n">
        <v>2000</v>
      </c>
      <c r="Q14" s="56" t="n">
        <v>13500</v>
      </c>
      <c r="R14" s="56" t="n">
        <v>6075</v>
      </c>
      <c r="S14" s="57" t="n">
        <f aca="false">IF(J14="","",ROUND(J14*2.2,0))</f>
        <v>24750</v>
      </c>
      <c r="T14" s="56" t="n">
        <v>4638</v>
      </c>
      <c r="U14" s="56" t="n">
        <v>4063</v>
      </c>
      <c r="V14" s="56" t="n">
        <v>2438</v>
      </c>
      <c r="W14" s="56" t="n">
        <v>2400</v>
      </c>
      <c r="X14" s="54" t="s">
        <v>1383</v>
      </c>
      <c r="Y14" s="49" t="n">
        <v>0.3</v>
      </c>
      <c r="Z14" s="49" t="n">
        <v>1</v>
      </c>
      <c r="AA14" s="50" t="s">
        <v>475</v>
      </c>
      <c r="AB14" s="50" t="s">
        <v>476</v>
      </c>
      <c r="AC14" s="50" t="s">
        <v>478</v>
      </c>
      <c r="AD14" s="50" t="s">
        <v>479</v>
      </c>
      <c r="AE14" s="50"/>
      <c r="AF14" s="50"/>
      <c r="AG14" s="50"/>
      <c r="AH14" s="50"/>
      <c r="AI14" s="50"/>
      <c r="AJ14" s="50"/>
      <c r="AK14" s="50" t="s">
        <v>1426</v>
      </c>
      <c r="AL14" s="50" t="s">
        <v>1427</v>
      </c>
      <c r="AM14" s="50"/>
      <c r="AN14" s="50"/>
      <c r="AO14" s="50"/>
      <c r="AP14" s="50"/>
      <c r="AQ14" s="50"/>
      <c r="AR14" s="50"/>
      <c r="AS14" s="50"/>
      <c r="AT14" s="50" t="str">
        <f aca="false">IFERROR(IF(AND(AN14&gt;0,J14&gt;0),ROUND(J14*1000/(AN14*0.2),0),""),"")</f>
        <v/>
      </c>
      <c r="AU14" s="50" t="str">
        <f aca="false">IFERROR(IF(AND(AQ14&gt;0,M14&gt;0),ROUND(M14*1000/(AQ14*0.3),0),""),"")</f>
        <v/>
      </c>
      <c r="AV14" s="50" t="str">
        <f aca="false">IFERROR(IF(AND(AM14&gt;0,O14&gt;0),ROUND(O14*1000/(AM14*0.1),0),""),"")</f>
        <v/>
      </c>
      <c r="AW14" s="50" t="str">
        <f aca="false">IFERROR(IF(AND(AP14&gt;0,N14&gt;0),ROUND(N14*1000/(AP14*0.25),0),""),"")</f>
        <v/>
      </c>
      <c r="AX14" s="50" t="str">
        <f aca="false">IFERROR(IF(AND(AO14&gt;0,Q14&gt;0),ROUND(Q14*1000/(AO14*1),0),""),"")</f>
        <v/>
      </c>
      <c r="AY14" s="51" t="n">
        <f aca="false">IFERROR(ifs(I14="Tier S",0.65,I14="Tier 1",0.55,I14="Tier 2",0.45,I14="Tier 3",0.35,I14="Tier 4",0.25),0.35)</f>
        <v>0.35</v>
      </c>
      <c r="AZ14" s="52" t="n">
        <v>1</v>
      </c>
      <c r="BA14" s="52" t="n">
        <v>1</v>
      </c>
      <c r="BB14" s="52" t="n">
        <v>1</v>
      </c>
      <c r="BC14" s="53" t="n">
        <f aca="false">IFERROR(ROUND(S14*AY14*BA14*BB14*AZ14,0),0)</f>
        <v>8663</v>
      </c>
      <c r="BD14" s="39" t="str">
        <f aca="false">IF(COUNT(AM14,AN14,AO14,AP14,AQ14,AR14,AS14)&gt;0,"estimated","pending")</f>
        <v>pending</v>
      </c>
      <c r="BE14" s="50"/>
    </row>
    <row r="15" customFormat="false" ht="15" hidden="false" customHeight="true" outlineLevel="0" collapsed="false">
      <c r="B15" s="54" t="n">
        <f aca="false">IF($C15="","",COUNTA($C$6:C15))</f>
        <v>10</v>
      </c>
      <c r="C15" s="54" t="s">
        <v>480</v>
      </c>
      <c r="D15" s="54" t="s">
        <v>208</v>
      </c>
      <c r="E15" s="54" t="s">
        <v>472</v>
      </c>
      <c r="F15" s="54" t="s">
        <v>473</v>
      </c>
      <c r="G15" s="54" t="s">
        <v>1356</v>
      </c>
      <c r="H15" s="54" t="n">
        <v>2</v>
      </c>
      <c r="I15" s="55" t="s">
        <v>337</v>
      </c>
      <c r="J15" s="56" t="n">
        <v>11000</v>
      </c>
      <c r="K15" s="56" t="n">
        <v>4600</v>
      </c>
      <c r="L15" s="57" t="n">
        <f aca="false">IF(J15="","",ROUND(J15*0.17,0))</f>
        <v>1870</v>
      </c>
      <c r="M15" s="56" t="n">
        <v>8600</v>
      </c>
      <c r="N15" s="56" t="n">
        <v>3500</v>
      </c>
      <c r="O15" s="56" t="n">
        <v>2200</v>
      </c>
      <c r="P15" s="56" t="n">
        <v>2200</v>
      </c>
      <c r="Q15" s="56" t="n">
        <v>15950</v>
      </c>
      <c r="R15" s="56" t="n">
        <v>7150</v>
      </c>
      <c r="S15" s="57" t="n">
        <f aca="false">IF(J15="","",ROUND(J15*2.2,0))</f>
        <v>24200</v>
      </c>
      <c r="T15" s="56" t="n">
        <v>3850</v>
      </c>
      <c r="U15" s="56" t="n">
        <v>3300</v>
      </c>
      <c r="V15" s="56" t="n">
        <v>2000</v>
      </c>
      <c r="W15" s="56" t="n">
        <v>2400</v>
      </c>
      <c r="X15" s="54" t="s">
        <v>1428</v>
      </c>
      <c r="Y15" s="49" t="n">
        <v>0.3</v>
      </c>
      <c r="Z15" s="49" t="n">
        <v>1</v>
      </c>
      <c r="AA15" s="50" t="s">
        <v>481</v>
      </c>
      <c r="AB15" s="50" t="s">
        <v>483</v>
      </c>
      <c r="AC15" s="50"/>
      <c r="AD15" s="50" t="s">
        <v>485</v>
      </c>
      <c r="AE15" s="50"/>
      <c r="AF15" s="50"/>
      <c r="AG15" s="50"/>
      <c r="AH15" s="50"/>
      <c r="AI15" s="50"/>
      <c r="AJ15" s="50"/>
      <c r="AK15" s="50" t="s">
        <v>1429</v>
      </c>
      <c r="AL15" s="50" t="s">
        <v>1430</v>
      </c>
      <c r="AM15" s="50"/>
      <c r="AN15" s="50"/>
      <c r="AO15" s="50"/>
      <c r="AP15" s="50"/>
      <c r="AQ15" s="50"/>
      <c r="AR15" s="50"/>
      <c r="AS15" s="50"/>
      <c r="AT15" s="50" t="str">
        <f aca="false">IFERROR(IF(AND(AN15&gt;0,J15&gt;0),ROUND(J15*1000/(AN15*0.2),0),""),"")</f>
        <v/>
      </c>
      <c r="AU15" s="50" t="str">
        <f aca="false">IFERROR(IF(AND(AQ15&gt;0,M15&gt;0),ROUND(M15*1000/(AQ15*0.3),0),""),"")</f>
        <v/>
      </c>
      <c r="AV15" s="50" t="str">
        <f aca="false">IFERROR(IF(AND(AM15&gt;0,O15&gt;0),ROUND(O15*1000/(AM15*0.1),0),""),"")</f>
        <v/>
      </c>
      <c r="AW15" s="50" t="str">
        <f aca="false">IFERROR(IF(AND(AP15&gt;0,N15&gt;0),ROUND(N15*1000/(AP15*0.25),0),""),"")</f>
        <v/>
      </c>
      <c r="AX15" s="50" t="str">
        <f aca="false">IFERROR(IF(AND(AO15&gt;0,Q15&gt;0),ROUND(Q15*1000/(AO15*1),0),""),"")</f>
        <v/>
      </c>
      <c r="AY15" s="51" t="n">
        <f aca="false">IFERROR(ifs(I15="Tier S",0.65,I15="Tier 1",0.55,I15="Tier 2",0.45,I15="Tier 3",0.35,I15="Tier 4",0.25),0.35)</f>
        <v>0.35</v>
      </c>
      <c r="AZ15" s="52" t="n">
        <v>1</v>
      </c>
      <c r="BA15" s="52" t="n">
        <v>1</v>
      </c>
      <c r="BB15" s="52" t="n">
        <v>1</v>
      </c>
      <c r="BC15" s="53" t="n">
        <f aca="false">IFERROR(ROUND(S15*AY15*BA15*BB15*AZ15,0),0)</f>
        <v>8470</v>
      </c>
      <c r="BD15" s="39" t="str">
        <f aca="false">IF(COUNT(AM15,AN15,AO15,AP15,AQ15,AR15,AS15)&gt;0,"estimated","pending")</f>
        <v>pending</v>
      </c>
      <c r="BE15" s="50"/>
    </row>
    <row r="16" customFormat="false" ht="15" hidden="false" customHeight="true" outlineLevel="0" collapsed="false">
      <c r="B16" s="54" t="n">
        <f aca="false">IF($C16="","",COUNTA($C$6:C16))</f>
        <v>11</v>
      </c>
      <c r="C16" s="54" t="s">
        <v>486</v>
      </c>
      <c r="D16" s="54" t="s">
        <v>208</v>
      </c>
      <c r="E16" s="54" t="s">
        <v>472</v>
      </c>
      <c r="F16" s="54" t="s">
        <v>473</v>
      </c>
      <c r="G16" s="54" t="s">
        <v>1425</v>
      </c>
      <c r="H16" s="54" t="n">
        <v>3</v>
      </c>
      <c r="I16" s="55" t="s">
        <v>337</v>
      </c>
      <c r="J16" s="56" t="n">
        <v>12100</v>
      </c>
      <c r="K16" s="56" t="n">
        <v>5100</v>
      </c>
      <c r="L16" s="57" t="n">
        <f aca="false">IF(J16="","",ROUND(J16*0.17,0))</f>
        <v>2057</v>
      </c>
      <c r="M16" s="56" t="n">
        <v>9450</v>
      </c>
      <c r="N16" s="56" t="n">
        <v>3850</v>
      </c>
      <c r="O16" s="56" t="n">
        <v>2400</v>
      </c>
      <c r="P16" s="56" t="n">
        <v>2400</v>
      </c>
      <c r="Q16" s="56" t="n">
        <v>17550</v>
      </c>
      <c r="R16" s="56" t="n">
        <v>7850</v>
      </c>
      <c r="S16" s="57" t="n">
        <f aca="false">IF(J16="","",ROUND(J16*2.2,0))</f>
        <v>26620</v>
      </c>
      <c r="T16" s="56" t="n">
        <v>4250</v>
      </c>
      <c r="U16" s="56" t="n">
        <v>3650</v>
      </c>
      <c r="V16" s="56" t="n">
        <v>2200</v>
      </c>
      <c r="W16" s="56" t="n">
        <v>2400</v>
      </c>
      <c r="X16" s="54" t="s">
        <v>1383</v>
      </c>
      <c r="Y16" s="49" t="n">
        <v>0.3</v>
      </c>
      <c r="Z16" s="49" t="n">
        <v>1</v>
      </c>
      <c r="AA16" s="50" t="s">
        <v>487</v>
      </c>
      <c r="AB16" s="50" t="s">
        <v>489</v>
      </c>
      <c r="AC16" s="50" t="s">
        <v>491</v>
      </c>
      <c r="AD16" s="50" t="s">
        <v>492</v>
      </c>
      <c r="AE16" s="50"/>
      <c r="AF16" s="50"/>
      <c r="AG16" s="50"/>
      <c r="AH16" s="50"/>
      <c r="AI16" s="50"/>
      <c r="AJ16" s="50"/>
      <c r="AK16" s="50" t="s">
        <v>1431</v>
      </c>
      <c r="AL16" s="50" t="s">
        <v>1432</v>
      </c>
      <c r="AM16" s="50"/>
      <c r="AN16" s="50"/>
      <c r="AO16" s="50"/>
      <c r="AP16" s="50"/>
      <c r="AQ16" s="50"/>
      <c r="AR16" s="50"/>
      <c r="AS16" s="50"/>
      <c r="AT16" s="50" t="str">
        <f aca="false">IFERROR(IF(AND(AN16&gt;0,J16&gt;0),ROUND(J16*1000/(AN16*0.2),0),""),"")</f>
        <v/>
      </c>
      <c r="AU16" s="50" t="str">
        <f aca="false">IFERROR(IF(AND(AQ16&gt;0,M16&gt;0),ROUND(M16*1000/(AQ16*0.3),0),""),"")</f>
        <v/>
      </c>
      <c r="AV16" s="50" t="str">
        <f aca="false">IFERROR(IF(AND(AM16&gt;0,O16&gt;0),ROUND(O16*1000/(AM16*0.1),0),""),"")</f>
        <v/>
      </c>
      <c r="AW16" s="50" t="str">
        <f aca="false">IFERROR(IF(AND(AP16&gt;0,N16&gt;0),ROUND(N16*1000/(AP16*0.25),0),""),"")</f>
        <v/>
      </c>
      <c r="AX16" s="50" t="str">
        <f aca="false">IFERROR(IF(AND(AO16&gt;0,Q16&gt;0),ROUND(Q16*1000/(AO16*1),0),""),"")</f>
        <v/>
      </c>
      <c r="AY16" s="51" t="n">
        <f aca="false">IFERROR(ifs(I16="Tier S",0.65,I16="Tier 1",0.55,I16="Tier 2",0.45,I16="Tier 3",0.35,I16="Tier 4",0.25),0.35)</f>
        <v>0.35</v>
      </c>
      <c r="AZ16" s="52" t="n">
        <v>1</v>
      </c>
      <c r="BA16" s="52" t="n">
        <v>1</v>
      </c>
      <c r="BB16" s="52" t="n">
        <v>1</v>
      </c>
      <c r="BC16" s="53" t="n">
        <f aca="false">IFERROR(ROUND(S16*AY16*BA16*BB16*AZ16,0),0)</f>
        <v>9317</v>
      </c>
      <c r="BD16" s="39" t="str">
        <f aca="false">IF(COUNT(AM16,AN16,AO16,AP16,AQ16,AR16,AS16)&gt;0,"estimated","pending")</f>
        <v>pending</v>
      </c>
      <c r="BE16" s="50"/>
    </row>
    <row r="17" customFormat="false" ht="15" hidden="false" customHeight="true" outlineLevel="0" collapsed="false">
      <c r="B17" s="54" t="n">
        <f aca="false">IF($C17="","",COUNTA($C$6:C17))</f>
        <v>12</v>
      </c>
      <c r="C17" s="54" t="s">
        <v>493</v>
      </c>
      <c r="D17" s="54" t="s">
        <v>208</v>
      </c>
      <c r="E17" s="54" t="s">
        <v>472</v>
      </c>
      <c r="F17" s="54" t="s">
        <v>473</v>
      </c>
      <c r="G17" s="54" t="s">
        <v>1425</v>
      </c>
      <c r="H17" s="54" t="n">
        <v>3</v>
      </c>
      <c r="I17" s="55" t="s">
        <v>337</v>
      </c>
      <c r="J17" s="56" t="n">
        <v>11000</v>
      </c>
      <c r="K17" s="56" t="n">
        <v>4600</v>
      </c>
      <c r="L17" s="57" t="n">
        <f aca="false">IF(J17="","",ROUND(J17*0.17,0))</f>
        <v>1870</v>
      </c>
      <c r="M17" s="56" t="n">
        <v>8600</v>
      </c>
      <c r="N17" s="56" t="n">
        <v>3500</v>
      </c>
      <c r="O17" s="56" t="n">
        <v>2200</v>
      </c>
      <c r="P17" s="56" t="n">
        <v>2200</v>
      </c>
      <c r="Q17" s="56" t="n">
        <v>15950</v>
      </c>
      <c r="R17" s="56" t="n">
        <v>7150</v>
      </c>
      <c r="S17" s="57" t="n">
        <f aca="false">IF(J17="","",ROUND(J17*2.2,0))</f>
        <v>24200</v>
      </c>
      <c r="T17" s="56" t="n">
        <v>3850</v>
      </c>
      <c r="U17" s="56" t="n">
        <v>3300</v>
      </c>
      <c r="V17" s="56" t="n">
        <v>2000</v>
      </c>
      <c r="W17" s="56" t="n">
        <v>2400</v>
      </c>
      <c r="X17" s="54" t="s">
        <v>1383</v>
      </c>
      <c r="Y17" s="49" t="n">
        <v>0.3</v>
      </c>
      <c r="Z17" s="49" t="n">
        <v>1</v>
      </c>
      <c r="AA17" s="50" t="s">
        <v>494</v>
      </c>
      <c r="AB17" s="50" t="s">
        <v>495</v>
      </c>
      <c r="AC17" s="50" t="s">
        <v>497</v>
      </c>
      <c r="AD17" s="50" t="s">
        <v>499</v>
      </c>
      <c r="AE17" s="50"/>
      <c r="AF17" s="50"/>
      <c r="AG17" s="50"/>
      <c r="AH17" s="50"/>
      <c r="AI17" s="50"/>
      <c r="AJ17" s="50"/>
      <c r="AK17" s="50" t="s">
        <v>1433</v>
      </c>
      <c r="AL17" s="50" t="s">
        <v>1430</v>
      </c>
      <c r="AM17" s="50"/>
      <c r="AN17" s="50"/>
      <c r="AO17" s="50"/>
      <c r="AP17" s="50"/>
      <c r="AQ17" s="50"/>
      <c r="AR17" s="50"/>
      <c r="AS17" s="50"/>
      <c r="AT17" s="50" t="str">
        <f aca="false">IFERROR(IF(AND(AN17&gt;0,J17&gt;0),ROUND(J17*1000/(AN17*0.2),0),""),"")</f>
        <v/>
      </c>
      <c r="AU17" s="50" t="str">
        <f aca="false">IFERROR(IF(AND(AQ17&gt;0,M17&gt;0),ROUND(M17*1000/(AQ17*0.3),0),""),"")</f>
        <v/>
      </c>
      <c r="AV17" s="50" t="str">
        <f aca="false">IFERROR(IF(AND(AM17&gt;0,O17&gt;0),ROUND(O17*1000/(AM17*0.1),0),""),"")</f>
        <v/>
      </c>
      <c r="AW17" s="50" t="str">
        <f aca="false">IFERROR(IF(AND(AP17&gt;0,N17&gt;0),ROUND(N17*1000/(AP17*0.25),0),""),"")</f>
        <v/>
      </c>
      <c r="AX17" s="50" t="str">
        <f aca="false">IFERROR(IF(AND(AO17&gt;0,Q17&gt;0),ROUND(Q17*1000/(AO17*1),0),""),"")</f>
        <v/>
      </c>
      <c r="AY17" s="51" t="n">
        <f aca="false">IFERROR(ifs(I17="Tier S",0.65,I17="Tier 1",0.55,I17="Tier 2",0.45,I17="Tier 3",0.35,I17="Tier 4",0.25),0.35)</f>
        <v>0.35</v>
      </c>
      <c r="AZ17" s="52" t="n">
        <v>1</v>
      </c>
      <c r="BA17" s="52" t="n">
        <v>1</v>
      </c>
      <c r="BB17" s="52" t="n">
        <v>1</v>
      </c>
      <c r="BC17" s="53" t="n">
        <f aca="false">IFERROR(ROUND(S17*AY17*BA17*BB17*AZ17,0),0)</f>
        <v>8470</v>
      </c>
      <c r="BD17" s="39" t="str">
        <f aca="false">IF(COUNT(AM17,AN17,AO17,AP17,AQ17,AR17,AS17)&gt;0,"estimated","pending")</f>
        <v>pending</v>
      </c>
      <c r="BE17" s="50"/>
    </row>
    <row r="18" customFormat="false" ht="15" hidden="false" customHeight="true" outlineLevel="0" collapsed="false">
      <c r="B18" s="54" t="n">
        <f aca="false">IF($C18="","",COUNTA($C$6:C18))</f>
        <v>13</v>
      </c>
      <c r="C18" s="54" t="s">
        <v>547</v>
      </c>
      <c r="D18" s="54" t="s">
        <v>208</v>
      </c>
      <c r="E18" s="54" t="s">
        <v>472</v>
      </c>
      <c r="F18" s="54" t="s">
        <v>522</v>
      </c>
      <c r="G18" s="54" t="s">
        <v>1356</v>
      </c>
      <c r="H18" s="54" t="n">
        <v>1</v>
      </c>
      <c r="I18" s="55" t="s">
        <v>337</v>
      </c>
      <c r="J18" s="56" t="n">
        <v>11000</v>
      </c>
      <c r="K18" s="56" t="n">
        <v>4600</v>
      </c>
      <c r="L18" s="57" t="n">
        <f aca="false">IF(J18="","",ROUND(J18*0.17,0))</f>
        <v>1870</v>
      </c>
      <c r="M18" s="56" t="n">
        <v>8600</v>
      </c>
      <c r="N18" s="56" t="n">
        <v>3500</v>
      </c>
      <c r="O18" s="56" t="n">
        <v>2200</v>
      </c>
      <c r="P18" s="56" t="n">
        <v>2200</v>
      </c>
      <c r="Q18" s="56" t="n">
        <v>15950</v>
      </c>
      <c r="R18" s="56" t="n">
        <v>7150</v>
      </c>
      <c r="S18" s="57" t="n">
        <f aca="false">IF(J18="","",ROUND(J18*2.2,0))</f>
        <v>24200</v>
      </c>
      <c r="T18" s="56" t="n">
        <v>3850</v>
      </c>
      <c r="U18" s="56" t="n">
        <v>3300</v>
      </c>
      <c r="V18" s="56" t="n">
        <v>2000</v>
      </c>
      <c r="W18" s="56" t="n">
        <v>2400</v>
      </c>
      <c r="X18" s="54" t="s">
        <v>1434</v>
      </c>
      <c r="Y18" s="49" t="n">
        <v>0.3</v>
      </c>
      <c r="Z18" s="49" t="n">
        <v>1</v>
      </c>
      <c r="AA18" s="50" t="s">
        <v>548</v>
      </c>
      <c r="AB18" s="50" t="s">
        <v>550</v>
      </c>
      <c r="AC18" s="50"/>
      <c r="AD18" s="50"/>
      <c r="AE18" s="50"/>
      <c r="AF18" s="50"/>
      <c r="AG18" s="50"/>
      <c r="AH18" s="50"/>
      <c r="AI18" s="50"/>
      <c r="AJ18" s="50"/>
      <c r="AK18" s="50" t="s">
        <v>1435</v>
      </c>
      <c r="AL18" s="50" t="s">
        <v>1430</v>
      </c>
      <c r="AM18" s="50"/>
      <c r="AN18" s="50"/>
      <c r="AO18" s="50"/>
      <c r="AP18" s="50"/>
      <c r="AQ18" s="50"/>
      <c r="AR18" s="50"/>
      <c r="AS18" s="50"/>
      <c r="AT18" s="50" t="str">
        <f aca="false">IFERROR(IF(AND(AN18&gt;0,J18&gt;0),ROUND(J18*1000/(AN18*0.2),0),""),"")</f>
        <v/>
      </c>
      <c r="AU18" s="50" t="str">
        <f aca="false">IFERROR(IF(AND(AQ18&gt;0,M18&gt;0),ROUND(M18*1000/(AQ18*0.3),0),""),"")</f>
        <v/>
      </c>
      <c r="AV18" s="50" t="str">
        <f aca="false">IFERROR(IF(AND(AM18&gt;0,O18&gt;0),ROUND(O18*1000/(AM18*0.1),0),""),"")</f>
        <v/>
      </c>
      <c r="AW18" s="50" t="str">
        <f aca="false">IFERROR(IF(AND(AP18&gt;0,N18&gt;0),ROUND(N18*1000/(AP18*0.25),0),""),"")</f>
        <v/>
      </c>
      <c r="AX18" s="50" t="str">
        <f aca="false">IFERROR(IF(AND(AO18&gt;0,Q18&gt;0),ROUND(Q18*1000/(AO18*1),0),""),"")</f>
        <v/>
      </c>
      <c r="AY18" s="51" t="n">
        <f aca="false">IFERROR(ifs(I18="Tier S",0.65,I18="Tier 1",0.55,I18="Tier 2",0.45,I18="Tier 3",0.35,I18="Tier 4",0.25),0.35)</f>
        <v>0.35</v>
      </c>
      <c r="AZ18" s="52" t="n">
        <v>1</v>
      </c>
      <c r="BA18" s="52" t="n">
        <v>1</v>
      </c>
      <c r="BB18" s="52" t="n">
        <v>1</v>
      </c>
      <c r="BC18" s="53" t="n">
        <f aca="false">IFERROR(ROUND(S18*AY18*BA18*BB18*AZ18,0),0)</f>
        <v>8470</v>
      </c>
      <c r="BD18" s="39" t="str">
        <f aca="false">IF(COUNT(AM18,AN18,AO18,AP18,AQ18,AR18,AS18)&gt;0,"estimated","pending")</f>
        <v>pending</v>
      </c>
      <c r="BE18" s="50"/>
    </row>
    <row r="19" customFormat="false" ht="15" hidden="false" customHeight="true" outlineLevel="0" collapsed="false">
      <c r="B19" s="54" t="n">
        <f aca="false">IF($C19="","",COUNTA($C$6:C19))</f>
        <v>14</v>
      </c>
      <c r="C19" s="54" t="s">
        <v>509</v>
      </c>
      <c r="D19" s="54" t="s">
        <v>208</v>
      </c>
      <c r="E19" s="54" t="s">
        <v>472</v>
      </c>
      <c r="F19" s="54" t="s">
        <v>500</v>
      </c>
      <c r="G19" s="54" t="s">
        <v>1425</v>
      </c>
      <c r="H19" s="54" t="n">
        <v>3</v>
      </c>
      <c r="I19" s="55" t="s">
        <v>337</v>
      </c>
      <c r="J19" s="56" t="n">
        <v>12100</v>
      </c>
      <c r="K19" s="56" t="n">
        <v>5100</v>
      </c>
      <c r="L19" s="57" t="n">
        <f aca="false">IF(J19="","",ROUND(J19*0.17,0))</f>
        <v>2057</v>
      </c>
      <c r="M19" s="56" t="n">
        <v>9450</v>
      </c>
      <c r="N19" s="56" t="n">
        <v>3850</v>
      </c>
      <c r="O19" s="56" t="n">
        <v>2400</v>
      </c>
      <c r="P19" s="56" t="n">
        <v>2400</v>
      </c>
      <c r="Q19" s="56" t="n">
        <v>17550</v>
      </c>
      <c r="R19" s="56" t="n">
        <v>7850</v>
      </c>
      <c r="S19" s="57" t="n">
        <f aca="false">IF(J19="","",ROUND(J19*2.2,0))</f>
        <v>26620</v>
      </c>
      <c r="T19" s="56" t="n">
        <v>4250</v>
      </c>
      <c r="U19" s="56" t="n">
        <v>3650</v>
      </c>
      <c r="V19" s="56" t="n">
        <v>2200</v>
      </c>
      <c r="W19" s="56" t="n">
        <v>2400</v>
      </c>
      <c r="X19" s="54" t="s">
        <v>1383</v>
      </c>
      <c r="Y19" s="49" t="n">
        <v>0.3</v>
      </c>
      <c r="Z19" s="49" t="n">
        <v>1</v>
      </c>
      <c r="AA19" s="50" t="s">
        <v>510</v>
      </c>
      <c r="AB19" s="50" t="s">
        <v>511</v>
      </c>
      <c r="AC19" s="50" t="s">
        <v>513</v>
      </c>
      <c r="AD19" s="50" t="s">
        <v>515</v>
      </c>
      <c r="AE19" s="50"/>
      <c r="AF19" s="50"/>
      <c r="AG19" s="50"/>
      <c r="AH19" s="50"/>
      <c r="AI19" s="50"/>
      <c r="AJ19" s="50"/>
      <c r="AK19" s="50" t="s">
        <v>1436</v>
      </c>
      <c r="AL19" s="50" t="s">
        <v>1427</v>
      </c>
      <c r="AM19" s="50"/>
      <c r="AN19" s="50"/>
      <c r="AO19" s="50"/>
      <c r="AP19" s="50"/>
      <c r="AQ19" s="50"/>
      <c r="AR19" s="50"/>
      <c r="AS19" s="50"/>
      <c r="AT19" s="50" t="str">
        <f aca="false">IFERROR(IF(AND(AN19&gt;0,J19&gt;0),ROUND(J19*1000/(AN19*0.2),0),""),"")</f>
        <v/>
      </c>
      <c r="AU19" s="50" t="str">
        <f aca="false">IFERROR(IF(AND(AQ19&gt;0,M19&gt;0),ROUND(M19*1000/(AQ19*0.3),0),""),"")</f>
        <v/>
      </c>
      <c r="AV19" s="50" t="str">
        <f aca="false">IFERROR(IF(AND(AM19&gt;0,O19&gt;0),ROUND(O19*1000/(AM19*0.1),0),""),"")</f>
        <v/>
      </c>
      <c r="AW19" s="50" t="str">
        <f aca="false">IFERROR(IF(AND(AP19&gt;0,N19&gt;0),ROUND(N19*1000/(AP19*0.25),0),""),"")</f>
        <v/>
      </c>
      <c r="AX19" s="50" t="str">
        <f aca="false">IFERROR(IF(AND(AO19&gt;0,Q19&gt;0),ROUND(Q19*1000/(AO19*1),0),""),"")</f>
        <v/>
      </c>
      <c r="AY19" s="51" t="n">
        <f aca="false">IFERROR(ifs(I19="Tier S",0.65,I19="Tier 1",0.55,I19="Tier 2",0.45,I19="Tier 3",0.35,I19="Tier 4",0.25),0.35)</f>
        <v>0.35</v>
      </c>
      <c r="AZ19" s="52" t="n">
        <v>1</v>
      </c>
      <c r="BA19" s="52" t="n">
        <v>1</v>
      </c>
      <c r="BB19" s="52" t="n">
        <v>1</v>
      </c>
      <c r="BC19" s="53" t="n">
        <f aca="false">IFERROR(ROUND(S19*AY19*BA19*BB19*AZ19,0),0)</f>
        <v>9317</v>
      </c>
      <c r="BD19" s="39" t="str">
        <f aca="false">IF(COUNT(AM19,AN19,AO19,AP19,AQ19,AR19,AS19)&gt;0,"estimated","pending")</f>
        <v>pending</v>
      </c>
      <c r="BE19" s="50"/>
    </row>
    <row r="20" customFormat="false" ht="15" hidden="false" customHeight="true" outlineLevel="0" collapsed="false">
      <c r="B20" s="54" t="n">
        <f aca="false">IF($C20="","",COUNTA($C$6:C20))</f>
        <v>15</v>
      </c>
      <c r="C20" s="54" t="s">
        <v>516</v>
      </c>
      <c r="D20" s="54" t="s">
        <v>208</v>
      </c>
      <c r="E20" s="54" t="s">
        <v>472</v>
      </c>
      <c r="F20" s="54" t="s">
        <v>500</v>
      </c>
      <c r="G20" s="54" t="s">
        <v>1425</v>
      </c>
      <c r="H20" s="54" t="n">
        <v>2</v>
      </c>
      <c r="I20" s="55" t="s">
        <v>337</v>
      </c>
      <c r="J20" s="56" t="n">
        <v>11000</v>
      </c>
      <c r="K20" s="56" t="n">
        <v>4600</v>
      </c>
      <c r="L20" s="57" t="n">
        <f aca="false">IF(J20="","",ROUND(J20*0.17,0))</f>
        <v>1870</v>
      </c>
      <c r="M20" s="56" t="n">
        <v>8600</v>
      </c>
      <c r="N20" s="56" t="n">
        <v>3500</v>
      </c>
      <c r="O20" s="56" t="n">
        <v>2200</v>
      </c>
      <c r="P20" s="56" t="n">
        <v>2200</v>
      </c>
      <c r="Q20" s="56" t="n">
        <v>15950</v>
      </c>
      <c r="R20" s="56" t="n">
        <v>7150</v>
      </c>
      <c r="S20" s="57" t="n">
        <f aca="false">IF(J20="","",ROUND(J20*2.2,0))</f>
        <v>24200</v>
      </c>
      <c r="T20" s="56" t="n">
        <v>3850</v>
      </c>
      <c r="U20" s="56" t="n">
        <v>3300</v>
      </c>
      <c r="V20" s="56" t="n">
        <v>2000</v>
      </c>
      <c r="W20" s="56" t="n">
        <v>2400</v>
      </c>
      <c r="X20" s="54" t="s">
        <v>1428</v>
      </c>
      <c r="Y20" s="49" t="n">
        <v>0.3</v>
      </c>
      <c r="Z20" s="49" t="n">
        <v>1</v>
      </c>
      <c r="AA20" s="50" t="s">
        <v>517</v>
      </c>
      <c r="AB20" s="50" t="s">
        <v>519</v>
      </c>
      <c r="AC20" s="50"/>
      <c r="AD20" s="50" t="s">
        <v>521</v>
      </c>
      <c r="AE20" s="50"/>
      <c r="AF20" s="50"/>
      <c r="AG20" s="50"/>
      <c r="AH20" s="50"/>
      <c r="AI20" s="50"/>
      <c r="AJ20" s="50"/>
      <c r="AK20" s="50" t="s">
        <v>1437</v>
      </c>
      <c r="AL20" s="50" t="s">
        <v>1432</v>
      </c>
      <c r="AM20" s="50"/>
      <c r="AN20" s="50"/>
      <c r="AO20" s="50"/>
      <c r="AP20" s="50"/>
      <c r="AQ20" s="50"/>
      <c r="AR20" s="50"/>
      <c r="AS20" s="50"/>
      <c r="AT20" s="50" t="str">
        <f aca="false">IFERROR(IF(AND(AN20&gt;0,J20&gt;0),ROUND(J20*1000/(AN20*0.2),0),""),"")</f>
        <v/>
      </c>
      <c r="AU20" s="50" t="str">
        <f aca="false">IFERROR(IF(AND(AQ20&gt;0,M20&gt;0),ROUND(M20*1000/(AQ20*0.3),0),""),"")</f>
        <v/>
      </c>
      <c r="AV20" s="50" t="str">
        <f aca="false">IFERROR(IF(AND(AM20&gt;0,O20&gt;0),ROUND(O20*1000/(AM20*0.1),0),""),"")</f>
        <v/>
      </c>
      <c r="AW20" s="50" t="str">
        <f aca="false">IFERROR(IF(AND(AP20&gt;0,N20&gt;0),ROUND(N20*1000/(AP20*0.25),0),""),"")</f>
        <v/>
      </c>
      <c r="AX20" s="50" t="str">
        <f aca="false">IFERROR(IF(AND(AO20&gt;0,Q20&gt;0),ROUND(Q20*1000/(AO20*1),0),""),"")</f>
        <v/>
      </c>
      <c r="AY20" s="51" t="n">
        <f aca="false">IFERROR(ifs(I20="Tier S",0.65,I20="Tier 1",0.55,I20="Tier 2",0.45,I20="Tier 3",0.35,I20="Tier 4",0.25),0.35)</f>
        <v>0.35</v>
      </c>
      <c r="AZ20" s="52" t="n">
        <v>1</v>
      </c>
      <c r="BA20" s="52" t="n">
        <v>1</v>
      </c>
      <c r="BB20" s="52" t="n">
        <v>1</v>
      </c>
      <c r="BC20" s="53" t="n">
        <f aca="false">IFERROR(ROUND(S20*AY20*BA20*BB20*AZ20,0),0)</f>
        <v>8470</v>
      </c>
      <c r="BD20" s="39" t="str">
        <f aca="false">IF(COUNT(AM20,AN20,AO20,AP20,AQ20,AR20,AS20)&gt;0,"estimated","pending")</f>
        <v>pending</v>
      </c>
      <c r="BE20" s="50"/>
    </row>
    <row r="21" customFormat="false" ht="15" hidden="false" customHeight="true" outlineLevel="0" collapsed="false">
      <c r="B21" s="54" t="n">
        <f aca="false">IF($C21="","",COUNTA($C$6:C21))</f>
        <v>16</v>
      </c>
      <c r="C21" s="54" t="s">
        <v>553</v>
      </c>
      <c r="D21" s="54" t="s">
        <v>208</v>
      </c>
      <c r="E21" s="54" t="s">
        <v>551</v>
      </c>
      <c r="F21" s="54" t="s">
        <v>552</v>
      </c>
      <c r="G21" s="54" t="s">
        <v>1356</v>
      </c>
      <c r="H21" s="54" t="n">
        <v>2</v>
      </c>
      <c r="I21" s="55" t="s">
        <v>337</v>
      </c>
      <c r="J21" s="56" t="n">
        <v>11000</v>
      </c>
      <c r="K21" s="56" t="n">
        <v>4600</v>
      </c>
      <c r="L21" s="57" t="n">
        <f aca="false">IF(J21="","",ROUND(J21*0.17,0))</f>
        <v>1870</v>
      </c>
      <c r="M21" s="56" t="n">
        <v>8600</v>
      </c>
      <c r="N21" s="56" t="n">
        <v>3500</v>
      </c>
      <c r="O21" s="56" t="n">
        <v>2200</v>
      </c>
      <c r="P21" s="56" t="n">
        <v>2200</v>
      </c>
      <c r="Q21" s="56" t="n">
        <v>15950</v>
      </c>
      <c r="R21" s="56" t="n">
        <v>7150</v>
      </c>
      <c r="S21" s="57" t="n">
        <f aca="false">IF(J21="","",ROUND(J21*2.2,0))</f>
        <v>24200</v>
      </c>
      <c r="T21" s="56" t="n">
        <v>3850</v>
      </c>
      <c r="U21" s="56" t="n">
        <v>3300</v>
      </c>
      <c r="V21" s="56" t="n">
        <v>2000</v>
      </c>
      <c r="W21" s="56" t="n">
        <v>2400</v>
      </c>
      <c r="X21" s="54" t="s">
        <v>1428</v>
      </c>
      <c r="Y21" s="49" t="n">
        <v>0.3</v>
      </c>
      <c r="Z21" s="49" t="n">
        <v>1</v>
      </c>
      <c r="AA21" s="50" t="s">
        <v>554</v>
      </c>
      <c r="AB21" s="50" t="s">
        <v>556</v>
      </c>
      <c r="AC21" s="50"/>
      <c r="AD21" s="50" t="s">
        <v>558</v>
      </c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 t="str">
        <f aca="false">IFERROR(IF(AND(AN21&gt;0,J21&gt;0),ROUND(J21*1000/(AN21*0.2),0),""),"")</f>
        <v/>
      </c>
      <c r="AU21" s="50" t="str">
        <f aca="false">IFERROR(IF(AND(AQ21&gt;0,M21&gt;0),ROUND(M21*1000/(AQ21*0.3),0),""),"")</f>
        <v/>
      </c>
      <c r="AV21" s="50" t="str">
        <f aca="false">IFERROR(IF(AND(AM21&gt;0,O21&gt;0),ROUND(O21*1000/(AM21*0.1),0),""),"")</f>
        <v/>
      </c>
      <c r="AW21" s="50" t="str">
        <f aca="false">IFERROR(IF(AND(AP21&gt;0,N21&gt;0),ROUND(N21*1000/(AP21*0.25),0),""),"")</f>
        <v/>
      </c>
      <c r="AX21" s="50" t="str">
        <f aca="false">IFERROR(IF(AND(AO21&gt;0,Q21&gt;0),ROUND(Q21*1000/(AO21*1),0),""),"")</f>
        <v/>
      </c>
      <c r="AY21" s="51" t="n">
        <f aca="false">IFERROR(ifs(I21="Tier S",0.65,I21="Tier 1",0.55,I21="Tier 2",0.45,I21="Tier 3",0.35,I21="Tier 4",0.25),0.35)</f>
        <v>0.35</v>
      </c>
      <c r="AZ21" s="52" t="n">
        <v>1</v>
      </c>
      <c r="BA21" s="52" t="n">
        <v>1</v>
      </c>
      <c r="BB21" s="52" t="n">
        <v>1</v>
      </c>
      <c r="BC21" s="53" t="n">
        <f aca="false">IFERROR(ROUND(S21*AY21*BA21*BB21*AZ21,0),0)</f>
        <v>8470</v>
      </c>
      <c r="BD21" s="39" t="str">
        <f aca="false">IF(COUNT(AM21,AN21,AO21,AP21,AQ21,AR21,AS21)&gt;0,"estimated","pending")</f>
        <v>pending</v>
      </c>
      <c r="BE21" s="50"/>
    </row>
    <row r="22" customFormat="false" ht="15" hidden="false" customHeight="true" outlineLevel="0" collapsed="false">
      <c r="B22" s="54" t="n">
        <f aca="false">IF($C22="","",COUNTA($C$6:C22))</f>
        <v>17</v>
      </c>
      <c r="C22" s="54" t="s">
        <v>559</v>
      </c>
      <c r="D22" s="54" t="s">
        <v>208</v>
      </c>
      <c r="E22" s="54" t="s">
        <v>551</v>
      </c>
      <c r="F22" s="54" t="s">
        <v>552</v>
      </c>
      <c r="G22" s="54" t="s">
        <v>1356</v>
      </c>
      <c r="H22" s="54" t="n">
        <v>4</v>
      </c>
      <c r="I22" s="55" t="s">
        <v>269</v>
      </c>
      <c r="J22" s="56" t="n">
        <v>12100</v>
      </c>
      <c r="K22" s="56" t="n">
        <v>5100</v>
      </c>
      <c r="L22" s="57" t="n">
        <f aca="false">IF(J22="","",ROUND(J22*0.17,0))</f>
        <v>2057</v>
      </c>
      <c r="M22" s="56" t="n">
        <v>9450</v>
      </c>
      <c r="N22" s="56" t="n">
        <v>3850</v>
      </c>
      <c r="O22" s="56" t="n">
        <v>2400</v>
      </c>
      <c r="P22" s="56" t="n">
        <v>2400</v>
      </c>
      <c r="Q22" s="56" t="n">
        <v>17550</v>
      </c>
      <c r="R22" s="56" t="n">
        <v>7850</v>
      </c>
      <c r="S22" s="57" t="n">
        <f aca="false">IF(J22="","",ROUND(J22*2.2,0))</f>
        <v>26620</v>
      </c>
      <c r="T22" s="56" t="n">
        <v>4250</v>
      </c>
      <c r="U22" s="56" t="n">
        <v>3650</v>
      </c>
      <c r="V22" s="56" t="n">
        <v>2200</v>
      </c>
      <c r="W22" s="56" t="n">
        <v>2400</v>
      </c>
      <c r="X22" s="54" t="s">
        <v>1369</v>
      </c>
      <c r="Y22" s="49" t="n">
        <v>0.3</v>
      </c>
      <c r="Z22" s="49" t="n">
        <v>1</v>
      </c>
      <c r="AA22" s="50" t="s">
        <v>560</v>
      </c>
      <c r="AB22" s="50" t="s">
        <v>562</v>
      </c>
      <c r="AC22" s="50" t="s">
        <v>563</v>
      </c>
      <c r="AD22" s="50" t="s">
        <v>565</v>
      </c>
      <c r="AE22" s="50" t="s">
        <v>567</v>
      </c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 t="str">
        <f aca="false">IFERROR(IF(AND(AN22&gt;0,J22&gt;0),ROUND(J22*1000/(AN22*0.2),0),""),"")</f>
        <v/>
      </c>
      <c r="AU22" s="50" t="str">
        <f aca="false">IFERROR(IF(AND(AQ22&gt;0,M22&gt;0),ROUND(M22*1000/(AQ22*0.3),0),""),"")</f>
        <v/>
      </c>
      <c r="AV22" s="50" t="str">
        <f aca="false">IFERROR(IF(AND(AM22&gt;0,O22&gt;0),ROUND(O22*1000/(AM22*0.1),0),""),"")</f>
        <v/>
      </c>
      <c r="AW22" s="50" t="str">
        <f aca="false">IFERROR(IF(AND(AP22&gt;0,N22&gt;0),ROUND(N22*1000/(AP22*0.25),0),""),"")</f>
        <v/>
      </c>
      <c r="AX22" s="50" t="str">
        <f aca="false">IFERROR(IF(AND(AO22&gt;0,Q22&gt;0),ROUND(Q22*1000/(AO22*1),0),""),"")</f>
        <v/>
      </c>
      <c r="AY22" s="51" t="n">
        <f aca="false">IFERROR(ifs(I22="Tier S",0.65,I22="Tier 1",0.55,I22="Tier 2",0.45,I22="Tier 3",0.35,I22="Tier 4",0.25),0.35)</f>
        <v>0.35</v>
      </c>
      <c r="AZ22" s="52" t="n">
        <v>1</v>
      </c>
      <c r="BA22" s="52" t="n">
        <v>1</v>
      </c>
      <c r="BB22" s="52" t="n">
        <v>1</v>
      </c>
      <c r="BC22" s="53" t="n">
        <f aca="false">IFERROR(ROUND(S22*AY22*BA22*BB22*AZ22,0),0)</f>
        <v>9317</v>
      </c>
      <c r="BD22" s="39" t="str">
        <f aca="false">IF(COUNT(AM22,AN22,AO22,AP22,AQ22,AR22,AS22)&gt;0,"estimated","pending")</f>
        <v>pending</v>
      </c>
      <c r="BE22" s="50"/>
    </row>
    <row r="23" customFormat="false" ht="15" hidden="false" customHeight="true" outlineLevel="0" collapsed="false">
      <c r="B23" s="58" t="n">
        <f aca="false">IF($C23="","",COUNTA($C$6:C23))</f>
        <v>18</v>
      </c>
      <c r="C23" s="58" t="s">
        <v>1438</v>
      </c>
      <c r="D23" s="58" t="s">
        <v>1439</v>
      </c>
      <c r="E23" s="58" t="s">
        <v>551</v>
      </c>
      <c r="F23" s="58" t="s">
        <v>128</v>
      </c>
      <c r="G23" s="58" t="s">
        <v>1425</v>
      </c>
      <c r="H23" s="58" t="n">
        <v>1</v>
      </c>
      <c r="I23" s="59" t="s">
        <v>1357</v>
      </c>
      <c r="J23" s="60" t="n">
        <v>22750</v>
      </c>
      <c r="K23" s="60" t="n">
        <v>9550</v>
      </c>
      <c r="L23" s="61" t="n">
        <f aca="false">IF(J23="","",ROUND(J23*0.17,0))</f>
        <v>3868</v>
      </c>
      <c r="M23" s="60" t="n">
        <v>17750</v>
      </c>
      <c r="N23" s="60" t="n">
        <v>7300</v>
      </c>
      <c r="O23" s="60" t="n">
        <v>4550</v>
      </c>
      <c r="P23" s="60" t="n">
        <v>0</v>
      </c>
      <c r="Q23" s="60" t="n">
        <v>33000</v>
      </c>
      <c r="R23" s="60" t="n">
        <v>14800</v>
      </c>
      <c r="S23" s="61" t="n">
        <f aca="false">IF(J23="","",ROUND(J23*2.2,0))</f>
        <v>50050</v>
      </c>
      <c r="T23" s="60" t="n">
        <v>7950</v>
      </c>
      <c r="U23" s="60" t="n">
        <v>6850</v>
      </c>
      <c r="V23" s="60" t="n">
        <v>4100</v>
      </c>
      <c r="W23" s="60" t="n">
        <v>0</v>
      </c>
      <c r="X23" s="58" t="s">
        <v>1434</v>
      </c>
      <c r="Y23" s="49" t="n">
        <v>0.3</v>
      </c>
      <c r="Z23" s="49" t="n">
        <v>1</v>
      </c>
      <c r="AA23" s="50" t="s">
        <v>1440</v>
      </c>
      <c r="AB23" s="50" t="s">
        <v>1441</v>
      </c>
      <c r="AC23" s="50"/>
      <c r="AD23" s="50"/>
      <c r="AE23" s="50"/>
      <c r="AF23" s="50"/>
      <c r="AG23" s="50"/>
      <c r="AH23" s="50"/>
      <c r="AI23" s="50"/>
      <c r="AJ23" s="50"/>
      <c r="AK23" s="50" t="s">
        <v>1442</v>
      </c>
      <c r="AL23" s="50"/>
      <c r="AM23" s="50"/>
      <c r="AN23" s="50"/>
      <c r="AO23" s="50"/>
      <c r="AP23" s="50"/>
      <c r="AQ23" s="50"/>
      <c r="AR23" s="50"/>
      <c r="AS23" s="50"/>
      <c r="AT23" s="50" t="str">
        <f aca="false">IFERROR(IF(AND(AN23&gt;0,J23&gt;0),ROUND(J23*1000/(AN23*0.2),0),""),"")</f>
        <v/>
      </c>
      <c r="AU23" s="50" t="str">
        <f aca="false">IFERROR(IF(AND(AQ23&gt;0,M23&gt;0),ROUND(M23*1000/(AQ23*0.3),0),""),"")</f>
        <v/>
      </c>
      <c r="AV23" s="50" t="str">
        <f aca="false">IFERROR(IF(AND(AM23&gt;0,O23&gt;0),ROUND(O23*1000/(AM23*0.1),0),""),"")</f>
        <v/>
      </c>
      <c r="AW23" s="50" t="str">
        <f aca="false">IFERROR(IF(AND(AP23&gt;0,N23&gt;0),ROUND(N23*1000/(AP23*0.25),0),""),"")</f>
        <v/>
      </c>
      <c r="AX23" s="50" t="str">
        <f aca="false">IFERROR(IF(AND(AO23&gt;0,Q23&gt;0),ROUND(Q23*1000/(AO23*1),0),""),"")</f>
        <v/>
      </c>
      <c r="AY23" s="51" t="n">
        <f aca="false">IFERROR(ifs(I23="Tier S",0.65,I23="Tier 1",0.55,I23="Tier 2",0.45,I23="Tier 3",0.35,I23="Tier 4",0.25),0.35)</f>
        <v>0.35</v>
      </c>
      <c r="AZ23" s="52" t="n">
        <v>1</v>
      </c>
      <c r="BA23" s="52" t="n">
        <v>1</v>
      </c>
      <c r="BB23" s="52" t="n">
        <v>1</v>
      </c>
      <c r="BC23" s="53" t="n">
        <f aca="false">IFERROR(ROUND(S23*AY23*BA23*BB23*AZ23,0),0)</f>
        <v>17518</v>
      </c>
      <c r="BD23" s="39" t="str">
        <f aca="false">IF(COUNT(AM23,AN23,AO23,AP23,AQ23,AR23,AS23)&gt;0,"estimated","pending")</f>
        <v>pending</v>
      </c>
      <c r="BE23" s="50"/>
    </row>
    <row r="24" customFormat="false" ht="15" hidden="false" customHeight="true" outlineLevel="0" collapsed="false">
      <c r="B24" s="54" t="n">
        <f aca="false">IF($C24="","",COUNTA($C$6:C24))</f>
        <v>19</v>
      </c>
      <c r="C24" s="54" t="s">
        <v>568</v>
      </c>
      <c r="D24" s="54" t="s">
        <v>208</v>
      </c>
      <c r="E24" s="54" t="s">
        <v>551</v>
      </c>
      <c r="F24" s="54" t="s">
        <v>128</v>
      </c>
      <c r="G24" s="54" t="s">
        <v>1425</v>
      </c>
      <c r="H24" s="54" t="n">
        <v>2</v>
      </c>
      <c r="I24" s="55" t="s">
        <v>1357</v>
      </c>
      <c r="J24" s="56" t="n">
        <v>20700</v>
      </c>
      <c r="K24" s="56" t="n">
        <v>8700</v>
      </c>
      <c r="L24" s="57" t="n">
        <f aca="false">IF(J24="","",ROUND(J24*0.17,0))</f>
        <v>3519</v>
      </c>
      <c r="M24" s="56" t="n">
        <v>16150</v>
      </c>
      <c r="N24" s="56" t="n">
        <v>6600</v>
      </c>
      <c r="O24" s="56" t="n">
        <v>4150</v>
      </c>
      <c r="P24" s="56" t="n">
        <v>4150</v>
      </c>
      <c r="Q24" s="56" t="n">
        <v>30000</v>
      </c>
      <c r="R24" s="56" t="n">
        <v>13450</v>
      </c>
      <c r="S24" s="57" t="n">
        <f aca="false">IF(J24="","",ROUND(J24*2.2,0))</f>
        <v>45540</v>
      </c>
      <c r="T24" s="56" t="n">
        <v>7250</v>
      </c>
      <c r="U24" s="56" t="n">
        <v>6200</v>
      </c>
      <c r="V24" s="56" t="n">
        <v>3750</v>
      </c>
      <c r="W24" s="56" t="n">
        <v>2400</v>
      </c>
      <c r="X24" s="54" t="s">
        <v>1428</v>
      </c>
      <c r="Y24" s="49" t="n">
        <v>0.2</v>
      </c>
      <c r="Z24" s="49" t="n">
        <v>1</v>
      </c>
      <c r="AA24" s="50" t="s">
        <v>569</v>
      </c>
      <c r="AB24" s="50" t="s">
        <v>571</v>
      </c>
      <c r="AC24" s="50"/>
      <c r="AD24" s="50" t="s">
        <v>573</v>
      </c>
      <c r="AE24" s="50"/>
      <c r="AF24" s="50"/>
      <c r="AG24" s="50"/>
      <c r="AH24" s="50"/>
      <c r="AI24" s="50"/>
      <c r="AJ24" s="50"/>
      <c r="AK24" s="50" t="s">
        <v>1443</v>
      </c>
      <c r="AL24" s="50"/>
      <c r="AM24" s="50"/>
      <c r="AN24" s="50"/>
      <c r="AO24" s="50"/>
      <c r="AP24" s="50"/>
      <c r="AQ24" s="50"/>
      <c r="AR24" s="50"/>
      <c r="AS24" s="50"/>
      <c r="AT24" s="50" t="str">
        <f aca="false">IFERROR(IF(AND(AN24&gt;0,J24&gt;0),ROUND(J24*1000/(AN24*0.2),0),""),"")</f>
        <v/>
      </c>
      <c r="AU24" s="50" t="str">
        <f aca="false">IFERROR(IF(AND(AQ24&gt;0,M24&gt;0),ROUND(M24*1000/(AQ24*0.3),0),""),"")</f>
        <v/>
      </c>
      <c r="AV24" s="50" t="str">
        <f aca="false">IFERROR(IF(AND(AM24&gt;0,O24&gt;0),ROUND(O24*1000/(AM24*0.1),0),""),"")</f>
        <v/>
      </c>
      <c r="AW24" s="50" t="str">
        <f aca="false">IFERROR(IF(AND(AP24&gt;0,N24&gt;0),ROUND(N24*1000/(AP24*0.25),0),""),"")</f>
        <v/>
      </c>
      <c r="AX24" s="50" t="str">
        <f aca="false">IFERROR(IF(AND(AO24&gt;0,Q24&gt;0),ROUND(Q24*1000/(AO24*1),0),""),"")</f>
        <v/>
      </c>
      <c r="AY24" s="51" t="n">
        <f aca="false">IFERROR(ifs(I24="Tier S",0.65,I24="Tier 1",0.55,I24="Tier 2",0.45,I24="Tier 3",0.35,I24="Tier 4",0.25),0.35)</f>
        <v>0.35</v>
      </c>
      <c r="AZ24" s="52" t="n">
        <v>1</v>
      </c>
      <c r="BA24" s="52" t="n">
        <v>1</v>
      </c>
      <c r="BB24" s="52" t="n">
        <v>1</v>
      </c>
      <c r="BC24" s="53" t="n">
        <f aca="false">IFERROR(ROUND(S24*AY24*BA24*BB24*AZ24,0),0)</f>
        <v>15939</v>
      </c>
      <c r="BD24" s="39" t="str">
        <f aca="false">IF(COUNT(AM24,AN24,AO24,AP24,AQ24,AR24,AS24)&gt;0,"estimated","pending")</f>
        <v>pending</v>
      </c>
      <c r="BE24" s="50"/>
    </row>
    <row r="25" customFormat="false" ht="15" hidden="false" customHeight="true" outlineLevel="0" collapsed="false">
      <c r="B25" s="54" t="n">
        <f aca="false">IF($C25="","",COUNTA($C$6:C25))</f>
        <v>20</v>
      </c>
      <c r="C25" s="54" t="s">
        <v>574</v>
      </c>
      <c r="D25" s="54" t="s">
        <v>208</v>
      </c>
      <c r="E25" s="54" t="s">
        <v>551</v>
      </c>
      <c r="F25" s="54" t="s">
        <v>128</v>
      </c>
      <c r="G25" s="54" t="s">
        <v>1425</v>
      </c>
      <c r="H25" s="54" t="n">
        <v>2</v>
      </c>
      <c r="I25" s="55" t="s">
        <v>1357</v>
      </c>
      <c r="J25" s="56" t="n">
        <v>6500</v>
      </c>
      <c r="K25" s="56" t="n">
        <v>2750</v>
      </c>
      <c r="L25" s="57" t="n">
        <f aca="false">IF(J25="","",ROUND(J25*0.17,0))</f>
        <v>1105</v>
      </c>
      <c r="M25" s="56" t="n">
        <v>5050</v>
      </c>
      <c r="N25" s="56" t="n">
        <v>2100</v>
      </c>
      <c r="O25" s="56" t="n">
        <v>1300</v>
      </c>
      <c r="P25" s="56" t="n">
        <v>1300</v>
      </c>
      <c r="Q25" s="56" t="n">
        <v>9400</v>
      </c>
      <c r="R25" s="56" t="n">
        <v>4200</v>
      </c>
      <c r="S25" s="57" t="n">
        <f aca="false">IF(J25="","",ROUND(J25*2.2,0))</f>
        <v>14300</v>
      </c>
      <c r="T25" s="56" t="n">
        <v>2300</v>
      </c>
      <c r="U25" s="56" t="n">
        <v>1950</v>
      </c>
      <c r="V25" s="56" t="n">
        <v>1150</v>
      </c>
      <c r="W25" s="56" t="n">
        <v>2400</v>
      </c>
      <c r="X25" s="54" t="s">
        <v>1428</v>
      </c>
      <c r="Y25" s="49" t="n">
        <v>0.2</v>
      </c>
      <c r="Z25" s="49" t="n">
        <v>1</v>
      </c>
      <c r="AA25" s="50" t="s">
        <v>575</v>
      </c>
      <c r="AB25" s="50" t="s">
        <v>577</v>
      </c>
      <c r="AC25" s="50"/>
      <c r="AD25" s="50" t="s">
        <v>578</v>
      </c>
      <c r="AE25" s="50"/>
      <c r="AF25" s="50"/>
      <c r="AG25" s="50"/>
      <c r="AH25" s="50"/>
      <c r="AI25" s="50"/>
      <c r="AJ25" s="50"/>
      <c r="AK25" s="50" t="s">
        <v>1444</v>
      </c>
      <c r="AL25" s="50"/>
      <c r="AM25" s="50"/>
      <c r="AN25" s="50"/>
      <c r="AO25" s="50"/>
      <c r="AP25" s="50"/>
      <c r="AQ25" s="50"/>
      <c r="AR25" s="50"/>
      <c r="AS25" s="50"/>
      <c r="AT25" s="50" t="str">
        <f aca="false">IFERROR(IF(AND(AN25&gt;0,J25&gt;0),ROUND(J25*1000/(AN25*0.2),0),""),"")</f>
        <v/>
      </c>
      <c r="AU25" s="50" t="str">
        <f aca="false">IFERROR(IF(AND(AQ25&gt;0,M25&gt;0),ROUND(M25*1000/(AQ25*0.3),0),""),"")</f>
        <v/>
      </c>
      <c r="AV25" s="50" t="str">
        <f aca="false">IFERROR(IF(AND(AM25&gt;0,O25&gt;0),ROUND(O25*1000/(AM25*0.1),0),""),"")</f>
        <v/>
      </c>
      <c r="AW25" s="50" t="str">
        <f aca="false">IFERROR(IF(AND(AP25&gt;0,N25&gt;0),ROUND(N25*1000/(AP25*0.25),0),""),"")</f>
        <v/>
      </c>
      <c r="AX25" s="50" t="str">
        <f aca="false">IFERROR(IF(AND(AO25&gt;0,Q25&gt;0),ROUND(Q25*1000/(AO25*1),0),""),"")</f>
        <v/>
      </c>
      <c r="AY25" s="51" t="n">
        <f aca="false">IFERROR(ifs(I25="Tier S",0.65,I25="Tier 1",0.55,I25="Tier 2",0.45,I25="Tier 3",0.35,I25="Tier 4",0.25),0.35)</f>
        <v>0.35</v>
      </c>
      <c r="AZ25" s="52" t="n">
        <v>1</v>
      </c>
      <c r="BA25" s="52" t="n">
        <v>1</v>
      </c>
      <c r="BB25" s="52" t="n">
        <v>1</v>
      </c>
      <c r="BC25" s="53" t="n">
        <f aca="false">IFERROR(ROUND(S25*AY25*BA25*BB25*AZ25,0),0)</f>
        <v>5005</v>
      </c>
      <c r="BD25" s="39" t="str">
        <f aca="false">IF(COUNT(AM25,AN25,AO25,AP25,AQ25,AR25,AS25)&gt;0,"estimated","pending")</f>
        <v>pending</v>
      </c>
      <c r="BE25" s="50"/>
    </row>
    <row r="26" customFormat="false" ht="15" hidden="false" customHeight="true" outlineLevel="0" collapsed="false">
      <c r="B26" s="54" t="n">
        <f aca="false">IF($C26="","",COUNTA($C$6:C26))</f>
        <v>21</v>
      </c>
      <c r="C26" s="54" t="s">
        <v>579</v>
      </c>
      <c r="D26" s="54" t="s">
        <v>208</v>
      </c>
      <c r="E26" s="54" t="s">
        <v>551</v>
      </c>
      <c r="F26" s="54" t="s">
        <v>128</v>
      </c>
      <c r="G26" s="54" t="s">
        <v>1445</v>
      </c>
      <c r="H26" s="54" t="n">
        <v>5</v>
      </c>
      <c r="I26" s="55" t="s">
        <v>269</v>
      </c>
      <c r="J26" s="56" t="n">
        <v>6500</v>
      </c>
      <c r="K26" s="56" t="n">
        <v>2750</v>
      </c>
      <c r="L26" s="57" t="n">
        <f aca="false">IF(J26="","",ROUND(J26*0.17,0))</f>
        <v>1105</v>
      </c>
      <c r="M26" s="56" t="n">
        <v>5050</v>
      </c>
      <c r="N26" s="56" t="n">
        <v>2100</v>
      </c>
      <c r="O26" s="56" t="n">
        <v>1300</v>
      </c>
      <c r="P26" s="56" t="n">
        <v>1300</v>
      </c>
      <c r="Q26" s="56" t="n">
        <v>9400</v>
      </c>
      <c r="R26" s="56" t="n">
        <v>4200</v>
      </c>
      <c r="S26" s="57" t="n">
        <f aca="false">IF(J26="","",ROUND(J26*2.2,0))</f>
        <v>14300</v>
      </c>
      <c r="T26" s="56" t="n">
        <v>2300</v>
      </c>
      <c r="U26" s="56" t="n">
        <v>1950</v>
      </c>
      <c r="V26" s="56" t="n">
        <v>1150</v>
      </c>
      <c r="W26" s="56" t="n">
        <v>2400</v>
      </c>
      <c r="X26" s="54" t="s">
        <v>1393</v>
      </c>
      <c r="Y26" s="49" t="n">
        <v>0.2</v>
      </c>
      <c r="Z26" s="49" t="n">
        <v>1</v>
      </c>
      <c r="AA26" s="50" t="s">
        <v>580</v>
      </c>
      <c r="AB26" s="50" t="s">
        <v>582</v>
      </c>
      <c r="AC26" s="50" t="s">
        <v>584</v>
      </c>
      <c r="AD26" s="50" t="s">
        <v>585</v>
      </c>
      <c r="AE26" s="50" t="s">
        <v>587</v>
      </c>
      <c r="AF26" s="50" t="s">
        <v>589</v>
      </c>
      <c r="AG26" s="50"/>
      <c r="AH26" s="50"/>
      <c r="AI26" s="50"/>
      <c r="AJ26" s="50"/>
      <c r="AK26" s="50" t="s">
        <v>1446</v>
      </c>
      <c r="AL26" s="50"/>
      <c r="AM26" s="50"/>
      <c r="AN26" s="50"/>
      <c r="AO26" s="50"/>
      <c r="AP26" s="50"/>
      <c r="AQ26" s="50"/>
      <c r="AR26" s="50"/>
      <c r="AS26" s="50"/>
      <c r="AT26" s="50" t="str">
        <f aca="false">IFERROR(IF(AND(AN26&gt;0,J26&gt;0),ROUND(J26*1000/(AN26*0.2),0),""),"")</f>
        <v/>
      </c>
      <c r="AU26" s="50" t="str">
        <f aca="false">IFERROR(IF(AND(AQ26&gt;0,M26&gt;0),ROUND(M26*1000/(AQ26*0.3),0),""),"")</f>
        <v/>
      </c>
      <c r="AV26" s="50" t="str">
        <f aca="false">IFERROR(IF(AND(AM26&gt;0,O26&gt;0),ROUND(O26*1000/(AM26*0.1),0),""),"")</f>
        <v/>
      </c>
      <c r="AW26" s="50" t="str">
        <f aca="false">IFERROR(IF(AND(AP26&gt;0,N26&gt;0),ROUND(N26*1000/(AP26*0.25),0),""),"")</f>
        <v/>
      </c>
      <c r="AX26" s="50" t="str">
        <f aca="false">IFERROR(IF(AND(AO26&gt;0,Q26&gt;0),ROUND(Q26*1000/(AO26*1),0),""),"")</f>
        <v/>
      </c>
      <c r="AY26" s="51" t="n">
        <f aca="false">IFERROR(ifs(I26="Tier S",0.65,I26="Tier 1",0.55,I26="Tier 2",0.45,I26="Tier 3",0.35,I26="Tier 4",0.25),0.35)</f>
        <v>0.35</v>
      </c>
      <c r="AZ26" s="52" t="n">
        <v>1</v>
      </c>
      <c r="BA26" s="52" t="n">
        <v>1</v>
      </c>
      <c r="BB26" s="52" t="n">
        <v>1</v>
      </c>
      <c r="BC26" s="53" t="n">
        <f aca="false">IFERROR(ROUND(S26*AY26*BA26*BB26*AZ26,0),0)</f>
        <v>5005</v>
      </c>
      <c r="BD26" s="39" t="str">
        <f aca="false">IF(COUNT(AM26,AN26,AO26,AP26,AQ26,AR26,AS26)&gt;0,"estimated","pending")</f>
        <v>pending</v>
      </c>
      <c r="BE26" s="50"/>
    </row>
    <row r="27" customFormat="false" ht="15" hidden="false" customHeight="true" outlineLevel="0" collapsed="false">
      <c r="B27" s="54" t="n">
        <f aca="false">IF($C27="","",COUNTA($C$6:C27))</f>
        <v>22</v>
      </c>
      <c r="C27" s="54" t="s">
        <v>591</v>
      </c>
      <c r="D27" s="54" t="s">
        <v>208</v>
      </c>
      <c r="E27" s="54" t="s">
        <v>590</v>
      </c>
      <c r="F27" s="54" t="s">
        <v>590</v>
      </c>
      <c r="G27" s="54" t="s">
        <v>1447</v>
      </c>
      <c r="H27" s="54" t="n">
        <v>5</v>
      </c>
      <c r="I27" s="55" t="s">
        <v>269</v>
      </c>
      <c r="J27" s="56" t="n">
        <v>20700</v>
      </c>
      <c r="K27" s="56" t="n">
        <v>8700</v>
      </c>
      <c r="L27" s="57" t="n">
        <f aca="false">IF(J27="","",ROUND(J27*0.17,0))</f>
        <v>3519</v>
      </c>
      <c r="M27" s="56" t="n">
        <v>16150</v>
      </c>
      <c r="N27" s="56" t="n">
        <v>6600</v>
      </c>
      <c r="O27" s="56" t="n">
        <v>4150</v>
      </c>
      <c r="P27" s="56" t="n">
        <v>4150</v>
      </c>
      <c r="Q27" s="56" t="n">
        <v>30000</v>
      </c>
      <c r="R27" s="56" t="n">
        <v>13450</v>
      </c>
      <c r="S27" s="57" t="n">
        <f aca="false">IF(J27="","",ROUND(J27*2.2,0))</f>
        <v>45540</v>
      </c>
      <c r="T27" s="56" t="n">
        <v>7250</v>
      </c>
      <c r="U27" s="56" t="n">
        <v>6200</v>
      </c>
      <c r="V27" s="56" t="n">
        <v>3750</v>
      </c>
      <c r="W27" s="56" t="n">
        <v>2400</v>
      </c>
      <c r="X27" s="54" t="s">
        <v>1393</v>
      </c>
      <c r="Y27" s="49" t="n">
        <v>0.5</v>
      </c>
      <c r="Z27" s="49" t="n">
        <v>1</v>
      </c>
      <c r="AA27" s="50" t="s">
        <v>591</v>
      </c>
      <c r="AB27" s="50" t="s">
        <v>593</v>
      </c>
      <c r="AC27" s="50" t="s">
        <v>595</v>
      </c>
      <c r="AD27" s="50" t="s">
        <v>596</v>
      </c>
      <c r="AE27" s="50" t="s">
        <v>598</v>
      </c>
      <c r="AF27" s="50"/>
      <c r="AG27" s="50"/>
      <c r="AH27" s="50" t="s">
        <v>601</v>
      </c>
      <c r="AI27" s="50"/>
      <c r="AJ27" s="50"/>
      <c r="AK27" s="50" t="s">
        <v>1448</v>
      </c>
      <c r="AL27" s="50"/>
      <c r="AM27" s="50"/>
      <c r="AN27" s="50"/>
      <c r="AO27" s="50"/>
      <c r="AP27" s="50"/>
      <c r="AQ27" s="50"/>
      <c r="AR27" s="50"/>
      <c r="AS27" s="50"/>
      <c r="AT27" s="50" t="str">
        <f aca="false">IFERROR(IF(AND(AN27&gt;0,J27&gt;0),ROUND(J27*1000/(AN27*0.2),0),""),"")</f>
        <v/>
      </c>
      <c r="AU27" s="50" t="str">
        <f aca="false">IFERROR(IF(AND(AQ27&gt;0,M27&gt;0),ROUND(M27*1000/(AQ27*0.3),0),""),"")</f>
        <v/>
      </c>
      <c r="AV27" s="50" t="str">
        <f aca="false">IFERROR(IF(AND(AM27&gt;0,O27&gt;0),ROUND(O27*1000/(AM27*0.1),0),""),"")</f>
        <v/>
      </c>
      <c r="AW27" s="50" t="str">
        <f aca="false">IFERROR(IF(AND(AP27&gt;0,N27&gt;0),ROUND(N27*1000/(AP27*0.25),0),""),"")</f>
        <v/>
      </c>
      <c r="AX27" s="50" t="str">
        <f aca="false">IFERROR(IF(AND(AO27&gt;0,Q27&gt;0),ROUND(Q27*1000/(AO27*1),0),""),"")</f>
        <v/>
      </c>
      <c r="AY27" s="51" t="n">
        <f aca="false">IFERROR(ifs(I27="Tier S",0.65,I27="Tier 1",0.55,I27="Tier 2",0.45,I27="Tier 3",0.35,I27="Tier 4",0.25),0.35)</f>
        <v>0.35</v>
      </c>
      <c r="AZ27" s="52" t="n">
        <v>1</v>
      </c>
      <c r="BA27" s="52" t="n">
        <v>1</v>
      </c>
      <c r="BB27" s="52" t="n">
        <v>1</v>
      </c>
      <c r="BC27" s="53" t="n">
        <f aca="false">IFERROR(ROUND(S27*AY27*BA27*BB27*AZ27,0),0)</f>
        <v>15939</v>
      </c>
      <c r="BD27" s="39" t="str">
        <f aca="false">IF(COUNT(AM27,AN27,AO27,AP27,AQ27,AR27,AS27)&gt;0,"estimated","pending")</f>
        <v>pending</v>
      </c>
      <c r="BE27" s="50"/>
    </row>
    <row r="28" customFormat="false" ht="15" hidden="false" customHeight="true" outlineLevel="0" collapsed="false">
      <c r="B28" s="54" t="n">
        <f aca="false">IF($C28="","",COUNTA($C$6:C28))</f>
        <v>23</v>
      </c>
      <c r="C28" s="54" t="s">
        <v>603</v>
      </c>
      <c r="D28" s="54" t="s">
        <v>208</v>
      </c>
      <c r="E28" s="54" t="s">
        <v>590</v>
      </c>
      <c r="F28" s="54" t="s">
        <v>590</v>
      </c>
      <c r="G28" s="54" t="s">
        <v>1425</v>
      </c>
      <c r="H28" s="54" t="n">
        <v>6</v>
      </c>
      <c r="I28" s="55" t="s">
        <v>269</v>
      </c>
      <c r="J28" s="56" t="n">
        <v>22500</v>
      </c>
      <c r="K28" s="56" t="n">
        <v>9450</v>
      </c>
      <c r="L28" s="57" t="n">
        <f aca="false">IF(J28="","",ROUND(J28*0.17,0))</f>
        <v>3825</v>
      </c>
      <c r="M28" s="56" t="n">
        <v>17550</v>
      </c>
      <c r="N28" s="56" t="n">
        <v>7200</v>
      </c>
      <c r="O28" s="56" t="n">
        <v>4500</v>
      </c>
      <c r="P28" s="56" t="n">
        <v>4500</v>
      </c>
      <c r="Q28" s="56" t="n">
        <v>32600</v>
      </c>
      <c r="R28" s="56" t="n">
        <v>14600</v>
      </c>
      <c r="S28" s="57" t="n">
        <f aca="false">IF(J28="","",ROUND(J28*2.2,0))</f>
        <v>49500</v>
      </c>
      <c r="T28" s="56" t="n">
        <v>7850</v>
      </c>
      <c r="U28" s="56" t="n">
        <v>6750</v>
      </c>
      <c r="V28" s="56" t="n">
        <v>4050</v>
      </c>
      <c r="W28" s="56" t="n">
        <v>2400</v>
      </c>
      <c r="X28" s="54" t="s">
        <v>1358</v>
      </c>
      <c r="Y28" s="49" t="n">
        <v>0.5</v>
      </c>
      <c r="Z28" s="49" t="n">
        <v>1</v>
      </c>
      <c r="AA28" s="50" t="s">
        <v>603</v>
      </c>
      <c r="AB28" s="50" t="s">
        <v>605</v>
      </c>
      <c r="AC28" s="50" t="s">
        <v>607</v>
      </c>
      <c r="AD28" s="50" t="s">
        <v>608</v>
      </c>
      <c r="AE28" s="50" t="s">
        <v>612</v>
      </c>
      <c r="AF28" s="50"/>
      <c r="AG28" s="50" t="s">
        <v>610</v>
      </c>
      <c r="AH28" s="50" t="s">
        <v>613</v>
      </c>
      <c r="AI28" s="50"/>
      <c r="AJ28" s="50"/>
      <c r="AK28" s="50" t="s">
        <v>1449</v>
      </c>
      <c r="AL28" s="50"/>
      <c r="AM28" s="50"/>
      <c r="AN28" s="50"/>
      <c r="AO28" s="50"/>
      <c r="AP28" s="50"/>
      <c r="AQ28" s="50"/>
      <c r="AR28" s="50"/>
      <c r="AS28" s="50"/>
      <c r="AT28" s="50" t="str">
        <f aca="false">IFERROR(IF(AND(AN28&gt;0,J28&gt;0),ROUND(J28*1000/(AN28*0.2),0),""),"")</f>
        <v/>
      </c>
      <c r="AU28" s="50" t="str">
        <f aca="false">IFERROR(IF(AND(AQ28&gt;0,M28&gt;0),ROUND(M28*1000/(AQ28*0.3),0),""),"")</f>
        <v/>
      </c>
      <c r="AV28" s="50" t="str">
        <f aca="false">IFERROR(IF(AND(AM28&gt;0,O28&gt;0),ROUND(O28*1000/(AM28*0.1),0),""),"")</f>
        <v/>
      </c>
      <c r="AW28" s="50" t="str">
        <f aca="false">IFERROR(IF(AND(AP28&gt;0,N28&gt;0),ROUND(N28*1000/(AP28*0.25),0),""),"")</f>
        <v/>
      </c>
      <c r="AX28" s="50" t="str">
        <f aca="false">IFERROR(IF(AND(AO28&gt;0,Q28&gt;0),ROUND(Q28*1000/(AO28*1),0),""),"")</f>
        <v/>
      </c>
      <c r="AY28" s="51" t="n">
        <f aca="false">IFERROR(ifs(I28="Tier S",0.65,I28="Tier 1",0.55,I28="Tier 2",0.45,I28="Tier 3",0.35,I28="Tier 4",0.25),0.35)</f>
        <v>0.35</v>
      </c>
      <c r="AZ28" s="52" t="n">
        <v>1</v>
      </c>
      <c r="BA28" s="52" t="n">
        <v>1</v>
      </c>
      <c r="BB28" s="52" t="n">
        <v>1</v>
      </c>
      <c r="BC28" s="53" t="n">
        <f aca="false">IFERROR(ROUND(S28*AY28*BA28*BB28*AZ28,0),0)</f>
        <v>17325</v>
      </c>
      <c r="BD28" s="39" t="str">
        <f aca="false">IF(COUNT(AM28,AN28,AO28,AP28,AQ28,AR28,AS28)&gt;0,"estimated","pending")</f>
        <v>pending</v>
      </c>
      <c r="BE28" s="50"/>
    </row>
    <row r="29" customFormat="false" ht="15" hidden="false" customHeight="true" outlineLevel="0" collapsed="false">
      <c r="B29" s="58" t="n">
        <f aca="false">IF($C29="","",COUNTA($C$6:C29))</f>
        <v>24</v>
      </c>
      <c r="C29" s="58" t="s">
        <v>1450</v>
      </c>
      <c r="D29" s="58" t="s">
        <v>1439</v>
      </c>
      <c r="E29" s="58" t="s">
        <v>590</v>
      </c>
      <c r="F29" s="58" t="s">
        <v>590</v>
      </c>
      <c r="G29" s="58"/>
      <c r="H29" s="58" t="n">
        <v>0</v>
      </c>
      <c r="I29" s="59" t="s">
        <v>1357</v>
      </c>
      <c r="J29" s="60" t="n">
        <v>22500</v>
      </c>
      <c r="K29" s="60" t="n">
        <v>9450</v>
      </c>
      <c r="L29" s="61" t="n">
        <f aca="false">IF(J29="","",ROUND(J29*0.17,0))</f>
        <v>3825</v>
      </c>
      <c r="M29" s="60" t="n">
        <v>17550</v>
      </c>
      <c r="N29" s="60" t="n">
        <v>7200</v>
      </c>
      <c r="O29" s="60" t="n">
        <v>4500</v>
      </c>
      <c r="P29" s="60" t="n">
        <v>0</v>
      </c>
      <c r="Q29" s="60" t="n">
        <v>32600</v>
      </c>
      <c r="R29" s="60" t="n">
        <v>14600</v>
      </c>
      <c r="S29" s="61" t="n">
        <f aca="false">IF(J29="","",ROUND(J29*2.2,0))</f>
        <v>49500</v>
      </c>
      <c r="T29" s="60" t="n">
        <v>7850</v>
      </c>
      <c r="U29" s="60" t="n">
        <v>6750</v>
      </c>
      <c r="V29" s="60" t="n">
        <v>4050</v>
      </c>
      <c r="W29" s="60" t="n">
        <v>0</v>
      </c>
      <c r="X29" s="58" t="s">
        <v>1451</v>
      </c>
      <c r="Y29" s="49" t="n">
        <v>0.3</v>
      </c>
      <c r="Z29" s="49" t="n">
        <v>1</v>
      </c>
      <c r="AA29" s="50" t="s">
        <v>1452</v>
      </c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 t="str">
        <f aca="false">IFERROR(IF(AND(AN29&gt;0,J29&gt;0),ROUND(J29*1000/(AN29*0.2),0),""),"")</f>
        <v/>
      </c>
      <c r="AU29" s="50" t="str">
        <f aca="false">IFERROR(IF(AND(AQ29&gt;0,M29&gt;0),ROUND(M29*1000/(AQ29*0.3),0),""),"")</f>
        <v/>
      </c>
      <c r="AV29" s="50" t="str">
        <f aca="false">IFERROR(IF(AND(AM29&gt;0,O29&gt;0),ROUND(O29*1000/(AM29*0.1),0),""),"")</f>
        <v/>
      </c>
      <c r="AW29" s="50" t="str">
        <f aca="false">IFERROR(IF(AND(AP29&gt;0,N29&gt;0),ROUND(N29*1000/(AP29*0.25),0),""),"")</f>
        <v/>
      </c>
      <c r="AX29" s="50" t="str">
        <f aca="false">IFERROR(IF(AND(AO29&gt;0,Q29&gt;0),ROUND(Q29*1000/(AO29*1),0),""),"")</f>
        <v/>
      </c>
      <c r="AY29" s="51" t="n">
        <f aca="false">IFERROR(ifs(I29="Tier S",0.65,I29="Tier 1",0.55,I29="Tier 2",0.45,I29="Tier 3",0.35,I29="Tier 4",0.25),0.35)</f>
        <v>0.35</v>
      </c>
      <c r="AZ29" s="52" t="n">
        <v>1</v>
      </c>
      <c r="BA29" s="52" t="n">
        <v>1</v>
      </c>
      <c r="BB29" s="52" t="n">
        <v>1</v>
      </c>
      <c r="BC29" s="53" t="n">
        <f aca="false">IFERROR(ROUND(S29*AY29*BA29*BB29*AZ29,0),0)</f>
        <v>17325</v>
      </c>
      <c r="BD29" s="39" t="str">
        <f aca="false">IF(COUNT(AM29,AN29,AO29,AP29,AQ29,AR29,AS29)&gt;0,"estimated","pending")</f>
        <v>pending</v>
      </c>
      <c r="BE29" s="50"/>
    </row>
    <row r="30" customFormat="false" ht="15" hidden="false" customHeight="true" outlineLevel="0" collapsed="false">
      <c r="B30" s="54" t="n">
        <f aca="false">IF($C30="","",COUNTA($C$6:C30))</f>
        <v>25</v>
      </c>
      <c r="C30" s="54" t="s">
        <v>615</v>
      </c>
      <c r="D30" s="54" t="s">
        <v>208</v>
      </c>
      <c r="E30" s="54" t="s">
        <v>614</v>
      </c>
      <c r="F30" s="54" t="s">
        <v>128</v>
      </c>
      <c r="G30" s="54" t="s">
        <v>1453</v>
      </c>
      <c r="H30" s="54" t="n">
        <v>3</v>
      </c>
      <c r="I30" s="55" t="s">
        <v>269</v>
      </c>
      <c r="J30" s="56" t="n">
        <v>15000</v>
      </c>
      <c r="K30" s="56" t="n">
        <v>6750</v>
      </c>
      <c r="L30" s="57" t="n">
        <f aca="false">IF(J30="","",ROUND(J30*0.17,0))</f>
        <v>2550</v>
      </c>
      <c r="M30" s="56" t="n">
        <v>11000</v>
      </c>
      <c r="N30" s="56" t="n">
        <v>5000</v>
      </c>
      <c r="O30" s="56" t="n">
        <v>3200</v>
      </c>
      <c r="P30" s="56" t="n">
        <v>3200</v>
      </c>
      <c r="Q30" s="56" t="n">
        <v>19500</v>
      </c>
      <c r="R30" s="56" t="n">
        <v>8775</v>
      </c>
      <c r="S30" s="57" t="n">
        <f aca="false">IF(J30="","",ROUND(J30*2.2,0))</f>
        <v>33000</v>
      </c>
      <c r="T30" s="56" t="n">
        <v>6800</v>
      </c>
      <c r="U30" s="56" t="n">
        <v>5950</v>
      </c>
      <c r="V30" s="56" t="n">
        <v>3570</v>
      </c>
      <c r="W30" s="56" t="n">
        <v>2400</v>
      </c>
      <c r="X30" s="54" t="s">
        <v>1383</v>
      </c>
      <c r="Y30" s="49" t="n">
        <v>0.75</v>
      </c>
      <c r="Z30" s="49" t="n">
        <v>1</v>
      </c>
      <c r="AA30" s="50" t="s">
        <v>616</v>
      </c>
      <c r="AB30" s="50" t="s">
        <v>618</v>
      </c>
      <c r="AC30" s="50" t="s">
        <v>620</v>
      </c>
      <c r="AD30" s="50" t="s">
        <v>622</v>
      </c>
      <c r="AE30" s="50"/>
      <c r="AF30" s="50"/>
      <c r="AG30" s="50"/>
      <c r="AH30" s="50"/>
      <c r="AI30" s="50"/>
      <c r="AJ30" s="50"/>
      <c r="AK30" s="50" t="s">
        <v>1454</v>
      </c>
      <c r="AL30" s="50" t="s">
        <v>1455</v>
      </c>
      <c r="AM30" s="50"/>
      <c r="AN30" s="50"/>
      <c r="AO30" s="50"/>
      <c r="AP30" s="50"/>
      <c r="AQ30" s="50"/>
      <c r="AR30" s="50"/>
      <c r="AS30" s="50"/>
      <c r="AT30" s="50" t="str">
        <f aca="false">IFERROR(IF(AND(AN30&gt;0,J30&gt;0),ROUND(J30*1000/(AN30*0.2),0),""),"")</f>
        <v/>
      </c>
      <c r="AU30" s="50" t="str">
        <f aca="false">IFERROR(IF(AND(AQ30&gt;0,M30&gt;0),ROUND(M30*1000/(AQ30*0.3),0),""),"")</f>
        <v/>
      </c>
      <c r="AV30" s="50" t="str">
        <f aca="false">IFERROR(IF(AND(AM30&gt;0,O30&gt;0),ROUND(O30*1000/(AM30*0.1),0),""),"")</f>
        <v/>
      </c>
      <c r="AW30" s="50" t="str">
        <f aca="false">IFERROR(IF(AND(AP30&gt;0,N30&gt;0),ROUND(N30*1000/(AP30*0.25),0),""),"")</f>
        <v/>
      </c>
      <c r="AX30" s="50" t="str">
        <f aca="false">IFERROR(IF(AND(AO30&gt;0,Q30&gt;0),ROUND(Q30*1000/(AO30*1),0),""),"")</f>
        <v/>
      </c>
      <c r="AY30" s="51" t="n">
        <f aca="false">IFERROR(ifs(I30="Tier S",0.65,I30="Tier 1",0.55,I30="Tier 2",0.45,I30="Tier 3",0.35,I30="Tier 4",0.25),0.35)</f>
        <v>0.35</v>
      </c>
      <c r="AZ30" s="52" t="n">
        <v>1</v>
      </c>
      <c r="BA30" s="52" t="n">
        <v>1</v>
      </c>
      <c r="BB30" s="52" t="n">
        <v>1</v>
      </c>
      <c r="BC30" s="53" t="n">
        <f aca="false">IFERROR(ROUND(S30*AY30*BA30*BB30*AZ30,0),0)</f>
        <v>11550</v>
      </c>
      <c r="BD30" s="39" t="str">
        <f aca="false">IF(COUNT(AM30,AN30,AO30,AP30,AQ30,AR30,AS30)&gt;0,"estimated","pending")</f>
        <v>pending</v>
      </c>
      <c r="BE30" s="50"/>
    </row>
    <row r="31" customFormat="false" ht="15" hidden="false" customHeight="true" outlineLevel="0" collapsed="false">
      <c r="B31" s="54" t="n">
        <f aca="false">IF($C31="","",COUNTA($C$6:C31))</f>
        <v>26</v>
      </c>
      <c r="C31" s="54" t="s">
        <v>623</v>
      </c>
      <c r="D31" s="54" t="s">
        <v>208</v>
      </c>
      <c r="E31" s="54" t="s">
        <v>614</v>
      </c>
      <c r="F31" s="54" t="s">
        <v>128</v>
      </c>
      <c r="G31" s="54" t="s">
        <v>1456</v>
      </c>
      <c r="H31" s="54" t="n">
        <v>2</v>
      </c>
      <c r="I31" s="55" t="s">
        <v>269</v>
      </c>
      <c r="J31" s="56" t="n">
        <v>22500</v>
      </c>
      <c r="K31" s="56" t="n">
        <v>9450</v>
      </c>
      <c r="L31" s="57" t="n">
        <f aca="false">IF(J31="","",ROUND(J31*0.17,0))</f>
        <v>3825</v>
      </c>
      <c r="M31" s="56" t="n">
        <v>17550</v>
      </c>
      <c r="N31" s="56" t="n">
        <v>7200</v>
      </c>
      <c r="O31" s="56" t="n">
        <v>4500</v>
      </c>
      <c r="P31" s="56" t="n">
        <v>4500</v>
      </c>
      <c r="Q31" s="56" t="n">
        <v>32600</v>
      </c>
      <c r="R31" s="56" t="n">
        <v>14600</v>
      </c>
      <c r="S31" s="57" t="n">
        <f aca="false">IF(J31="","",ROUND(J31*2.2,0))</f>
        <v>49500</v>
      </c>
      <c r="T31" s="56" t="n">
        <v>7850</v>
      </c>
      <c r="U31" s="56" t="n">
        <v>6750</v>
      </c>
      <c r="V31" s="56" t="n">
        <v>4050</v>
      </c>
      <c r="W31" s="56" t="n">
        <v>2400</v>
      </c>
      <c r="X31" s="54" t="s">
        <v>1428</v>
      </c>
      <c r="Y31" s="49" t="n">
        <v>0.75</v>
      </c>
      <c r="Z31" s="49" t="n">
        <v>1</v>
      </c>
      <c r="AA31" s="50" t="s">
        <v>624</v>
      </c>
      <c r="AB31" s="50" t="s">
        <v>626</v>
      </c>
      <c r="AC31" s="50" t="s">
        <v>627</v>
      </c>
      <c r="AD31" s="50"/>
      <c r="AE31" s="50"/>
      <c r="AF31" s="50"/>
      <c r="AG31" s="50"/>
      <c r="AH31" s="50"/>
      <c r="AI31" s="50"/>
      <c r="AJ31" s="50"/>
      <c r="AK31" s="50" t="s">
        <v>1457</v>
      </c>
      <c r="AL31" s="50" t="s">
        <v>1458</v>
      </c>
      <c r="AM31" s="50"/>
      <c r="AN31" s="50"/>
      <c r="AO31" s="50"/>
      <c r="AP31" s="50"/>
      <c r="AQ31" s="50"/>
      <c r="AR31" s="50"/>
      <c r="AS31" s="50"/>
      <c r="AT31" s="50" t="str">
        <f aca="false">IFERROR(IF(AND(AN31&gt;0,J31&gt;0),ROUND(J31*1000/(AN31*0.2),0),""),"")</f>
        <v/>
      </c>
      <c r="AU31" s="50" t="str">
        <f aca="false">IFERROR(IF(AND(AQ31&gt;0,M31&gt;0),ROUND(M31*1000/(AQ31*0.3),0),""),"")</f>
        <v/>
      </c>
      <c r="AV31" s="50" t="str">
        <f aca="false">IFERROR(IF(AND(AM31&gt;0,O31&gt;0),ROUND(O31*1000/(AM31*0.1),0),""),"")</f>
        <v/>
      </c>
      <c r="AW31" s="50" t="str">
        <f aca="false">IFERROR(IF(AND(AP31&gt;0,N31&gt;0),ROUND(N31*1000/(AP31*0.25),0),""),"")</f>
        <v/>
      </c>
      <c r="AX31" s="50" t="str">
        <f aca="false">IFERROR(IF(AND(AO31&gt;0,Q31&gt;0),ROUND(Q31*1000/(AO31*1),0),""),"")</f>
        <v/>
      </c>
      <c r="AY31" s="51" t="n">
        <f aca="false">IFERROR(ifs(I31="Tier S",0.65,I31="Tier 1",0.55,I31="Tier 2",0.45,I31="Tier 3",0.35,I31="Tier 4",0.25),0.35)</f>
        <v>0.35</v>
      </c>
      <c r="AZ31" s="52" t="n">
        <v>1</v>
      </c>
      <c r="BA31" s="52" t="n">
        <v>1</v>
      </c>
      <c r="BB31" s="52" t="n">
        <v>1</v>
      </c>
      <c r="BC31" s="53" t="n">
        <f aca="false">IFERROR(ROUND(S31*AY31*BA31*BB31*AZ31,0),0)</f>
        <v>17325</v>
      </c>
      <c r="BD31" s="39" t="str">
        <f aca="false">IF(COUNT(AM31,AN31,AO31,AP31,AQ31,AR31,AS31)&gt;0,"estimated","pending")</f>
        <v>pending</v>
      </c>
      <c r="BE31" s="50"/>
    </row>
    <row r="32" customFormat="false" ht="15" hidden="false" customHeight="true" outlineLevel="0" collapsed="false">
      <c r="B32" s="54" t="n">
        <f aca="false">IF($C32="","",COUNTA($C$6:C32))</f>
        <v>27</v>
      </c>
      <c r="C32" s="54" t="s">
        <v>628</v>
      </c>
      <c r="D32" s="54" t="s">
        <v>208</v>
      </c>
      <c r="E32" s="54" t="s">
        <v>614</v>
      </c>
      <c r="F32" s="54" t="s">
        <v>128</v>
      </c>
      <c r="G32" s="54" t="s">
        <v>1453</v>
      </c>
      <c r="H32" s="54" t="n">
        <v>4</v>
      </c>
      <c r="I32" s="55" t="s">
        <v>269</v>
      </c>
      <c r="J32" s="56" t="n">
        <v>22500</v>
      </c>
      <c r="K32" s="56" t="n">
        <v>9450</v>
      </c>
      <c r="L32" s="57" t="n">
        <f aca="false">IF(J32="","",ROUND(J32*0.17,0))</f>
        <v>3825</v>
      </c>
      <c r="M32" s="56" t="n">
        <v>17550</v>
      </c>
      <c r="N32" s="56" t="n">
        <v>7200</v>
      </c>
      <c r="O32" s="56" t="n">
        <v>4500</v>
      </c>
      <c r="P32" s="56" t="n">
        <v>4500</v>
      </c>
      <c r="Q32" s="56" t="n">
        <v>32600</v>
      </c>
      <c r="R32" s="56" t="n">
        <v>14600</v>
      </c>
      <c r="S32" s="57" t="n">
        <f aca="false">IF(J32="","",ROUND(J32*2.2,0))</f>
        <v>49500</v>
      </c>
      <c r="T32" s="56" t="n">
        <v>7850</v>
      </c>
      <c r="U32" s="56" t="n">
        <v>6750</v>
      </c>
      <c r="V32" s="56" t="n">
        <v>4050</v>
      </c>
      <c r="W32" s="56" t="n">
        <v>2400</v>
      </c>
      <c r="X32" s="54" t="s">
        <v>1369</v>
      </c>
      <c r="Y32" s="49" t="n">
        <v>0.2</v>
      </c>
      <c r="Z32" s="49" t="n">
        <v>1</v>
      </c>
      <c r="AA32" s="50" t="s">
        <v>629</v>
      </c>
      <c r="AB32" s="50" t="s">
        <v>631</v>
      </c>
      <c r="AC32" s="50" t="s">
        <v>633</v>
      </c>
      <c r="AD32" s="50" t="s">
        <v>635</v>
      </c>
      <c r="AE32" s="50" t="s">
        <v>637</v>
      </c>
      <c r="AF32" s="50"/>
      <c r="AG32" s="50"/>
      <c r="AH32" s="50"/>
      <c r="AI32" s="50"/>
      <c r="AJ32" s="50"/>
      <c r="AK32" s="50" t="s">
        <v>1459</v>
      </c>
      <c r="AL32" s="50" t="s">
        <v>1460</v>
      </c>
      <c r="AM32" s="50"/>
      <c r="AN32" s="50"/>
      <c r="AO32" s="50"/>
      <c r="AP32" s="50"/>
      <c r="AQ32" s="50"/>
      <c r="AR32" s="50"/>
      <c r="AS32" s="50"/>
      <c r="AT32" s="50" t="str">
        <f aca="false">IFERROR(IF(AND(AN32&gt;0,J32&gt;0),ROUND(J32*1000/(AN32*0.2),0),""),"")</f>
        <v/>
      </c>
      <c r="AU32" s="50" t="str">
        <f aca="false">IFERROR(IF(AND(AQ32&gt;0,M32&gt;0),ROUND(M32*1000/(AQ32*0.3),0),""),"")</f>
        <v/>
      </c>
      <c r="AV32" s="50" t="str">
        <f aca="false">IFERROR(IF(AND(AM32&gt;0,O32&gt;0),ROUND(O32*1000/(AM32*0.1),0),""),"")</f>
        <v/>
      </c>
      <c r="AW32" s="50" t="str">
        <f aca="false">IFERROR(IF(AND(AP32&gt;0,N32&gt;0),ROUND(N32*1000/(AP32*0.25),0),""),"")</f>
        <v/>
      </c>
      <c r="AX32" s="50" t="str">
        <f aca="false">IFERROR(IF(AND(AO32&gt;0,Q32&gt;0),ROUND(Q32*1000/(AO32*1),0),""),"")</f>
        <v/>
      </c>
      <c r="AY32" s="51" t="n">
        <f aca="false">IFERROR(ifs(I32="Tier S",0.65,I32="Tier 1",0.55,I32="Tier 2",0.45,I32="Tier 3",0.35,I32="Tier 4",0.25),0.35)</f>
        <v>0.35</v>
      </c>
      <c r="AZ32" s="52" t="n">
        <v>1</v>
      </c>
      <c r="BA32" s="52" t="n">
        <v>1</v>
      </c>
      <c r="BB32" s="52" t="n">
        <v>1</v>
      </c>
      <c r="BC32" s="53" t="n">
        <f aca="false">IFERROR(ROUND(S32*AY32*BA32*BB32*AZ32,0),0)</f>
        <v>17325</v>
      </c>
      <c r="BD32" s="39" t="str">
        <f aca="false">IF(COUNT(AM32,AN32,AO32,AP32,AQ32,AR32,AS32)&gt;0,"estimated","pending")</f>
        <v>pending</v>
      </c>
      <c r="BE32" s="50"/>
    </row>
    <row r="33" customFormat="false" ht="15" hidden="false" customHeight="true" outlineLevel="0" collapsed="false">
      <c r="B33" s="54" t="n">
        <f aca="false">IF($C33="","",COUNTA($C$6:C33))</f>
        <v>28</v>
      </c>
      <c r="C33" s="54" t="s">
        <v>638</v>
      </c>
      <c r="D33" s="54" t="s">
        <v>208</v>
      </c>
      <c r="E33" s="54" t="s">
        <v>614</v>
      </c>
      <c r="F33" s="54" t="s">
        <v>128</v>
      </c>
      <c r="G33" s="54" t="s">
        <v>1461</v>
      </c>
      <c r="H33" s="54" t="n">
        <v>5</v>
      </c>
      <c r="I33" s="55" t="s">
        <v>269</v>
      </c>
      <c r="J33" s="56" t="n">
        <v>22500</v>
      </c>
      <c r="K33" s="56" t="n">
        <v>9450</v>
      </c>
      <c r="L33" s="57" t="n">
        <f aca="false">IF(J33="","",ROUND(J33*0.17,0))</f>
        <v>3825</v>
      </c>
      <c r="M33" s="56" t="n">
        <v>17550</v>
      </c>
      <c r="N33" s="56" t="n">
        <v>7200</v>
      </c>
      <c r="O33" s="56" t="n">
        <v>4500</v>
      </c>
      <c r="P33" s="56" t="n">
        <v>4500</v>
      </c>
      <c r="Q33" s="56" t="n">
        <v>32600</v>
      </c>
      <c r="R33" s="56" t="n">
        <v>14600</v>
      </c>
      <c r="S33" s="57" t="n">
        <f aca="false">IF(J33="","",ROUND(J33*2.2,0))</f>
        <v>49500</v>
      </c>
      <c r="T33" s="56" t="n">
        <v>7850</v>
      </c>
      <c r="U33" s="56" t="n">
        <v>6750</v>
      </c>
      <c r="V33" s="56" t="n">
        <v>4050</v>
      </c>
      <c r="W33" s="56" t="n">
        <v>2400</v>
      </c>
      <c r="X33" s="54" t="s">
        <v>1393</v>
      </c>
      <c r="Y33" s="49" t="n">
        <v>0.3</v>
      </c>
      <c r="Z33" s="49" t="n">
        <v>1</v>
      </c>
      <c r="AA33" s="50" t="s">
        <v>639</v>
      </c>
      <c r="AB33" s="50" t="s">
        <v>641</v>
      </c>
      <c r="AC33" s="50" t="s">
        <v>643</v>
      </c>
      <c r="AD33" s="50" t="s">
        <v>644</v>
      </c>
      <c r="AE33" s="50" t="s">
        <v>646</v>
      </c>
      <c r="AF33" s="50"/>
      <c r="AG33" s="50"/>
      <c r="AH33" s="50" t="s">
        <v>648</v>
      </c>
      <c r="AI33" s="50"/>
      <c r="AJ33" s="50"/>
      <c r="AK33" s="50" t="s">
        <v>1462</v>
      </c>
      <c r="AL33" s="50" t="s">
        <v>1455</v>
      </c>
      <c r="AM33" s="50"/>
      <c r="AN33" s="50"/>
      <c r="AO33" s="50"/>
      <c r="AP33" s="50"/>
      <c r="AQ33" s="50"/>
      <c r="AR33" s="50"/>
      <c r="AS33" s="50"/>
      <c r="AT33" s="50" t="str">
        <f aca="false">IFERROR(IF(AND(AN33&gt;0,J33&gt;0),ROUND(J33*1000/(AN33*0.2),0),""),"")</f>
        <v/>
      </c>
      <c r="AU33" s="50" t="str">
        <f aca="false">IFERROR(IF(AND(AQ33&gt;0,M33&gt;0),ROUND(M33*1000/(AQ33*0.3),0),""),"")</f>
        <v/>
      </c>
      <c r="AV33" s="50" t="str">
        <f aca="false">IFERROR(IF(AND(AM33&gt;0,O33&gt;0),ROUND(O33*1000/(AM33*0.1),0),""),"")</f>
        <v/>
      </c>
      <c r="AW33" s="50" t="str">
        <f aca="false">IFERROR(IF(AND(AP33&gt;0,N33&gt;0),ROUND(N33*1000/(AP33*0.25),0),""),"")</f>
        <v/>
      </c>
      <c r="AX33" s="50" t="str">
        <f aca="false">IFERROR(IF(AND(AO33&gt;0,Q33&gt;0),ROUND(Q33*1000/(AO33*1),0),""),"")</f>
        <v/>
      </c>
      <c r="AY33" s="51" t="n">
        <f aca="false">IFERROR(ifs(I33="Tier S",0.65,I33="Tier 1",0.55,I33="Tier 2",0.45,I33="Tier 3",0.35,I33="Tier 4",0.25),0.35)</f>
        <v>0.35</v>
      </c>
      <c r="AZ33" s="52" t="n">
        <v>1</v>
      </c>
      <c r="BA33" s="52" t="n">
        <v>1</v>
      </c>
      <c r="BB33" s="52" t="n">
        <v>1</v>
      </c>
      <c r="BC33" s="53" t="n">
        <f aca="false">IFERROR(ROUND(S33*AY33*BA33*BB33*AZ33,0),0)</f>
        <v>17325</v>
      </c>
      <c r="BD33" s="39" t="str">
        <f aca="false">IF(COUNT(AM33,AN33,AO33,AP33,AQ33,AR33,AS33)&gt;0,"estimated","pending")</f>
        <v>pending</v>
      </c>
      <c r="BE33" s="50"/>
    </row>
    <row r="34" customFormat="false" ht="15" hidden="false" customHeight="true" outlineLevel="0" collapsed="false">
      <c r="B34" s="58" t="n">
        <f aca="false">IF($C34="","",COUNTA($C$6:C34))</f>
        <v>29</v>
      </c>
      <c r="C34" s="58" t="s">
        <v>1463</v>
      </c>
      <c r="D34" s="58" t="s">
        <v>1439</v>
      </c>
      <c r="E34" s="58" t="s">
        <v>614</v>
      </c>
      <c r="F34" s="58" t="s">
        <v>128</v>
      </c>
      <c r="G34" s="58" t="s">
        <v>1464</v>
      </c>
      <c r="H34" s="58" t="n">
        <v>1</v>
      </c>
      <c r="I34" s="59" t="s">
        <v>1357</v>
      </c>
      <c r="J34" s="60" t="n">
        <v>22500</v>
      </c>
      <c r="K34" s="60" t="n">
        <v>9450</v>
      </c>
      <c r="L34" s="61" t="n">
        <f aca="false">IF(J34="","",ROUND(J34*0.17,0))</f>
        <v>3825</v>
      </c>
      <c r="M34" s="60" t="n">
        <v>17550</v>
      </c>
      <c r="N34" s="60" t="n">
        <v>7200</v>
      </c>
      <c r="O34" s="60" t="n">
        <v>4500</v>
      </c>
      <c r="P34" s="60" t="n">
        <v>0</v>
      </c>
      <c r="Q34" s="60" t="n">
        <v>32600</v>
      </c>
      <c r="R34" s="60" t="n">
        <v>14600</v>
      </c>
      <c r="S34" s="61" t="n">
        <f aca="false">IF(J34="","",ROUND(J34*2.2,0))</f>
        <v>49500</v>
      </c>
      <c r="T34" s="60" t="n">
        <v>7850</v>
      </c>
      <c r="U34" s="60" t="n">
        <v>6750</v>
      </c>
      <c r="V34" s="60" t="n">
        <v>4050</v>
      </c>
      <c r="W34" s="60" t="n">
        <v>0</v>
      </c>
      <c r="X34" s="58" t="s">
        <v>1434</v>
      </c>
      <c r="Y34" s="49" t="n">
        <v>0.3</v>
      </c>
      <c r="Z34" s="49" t="n">
        <v>1</v>
      </c>
      <c r="AA34" s="50" t="s">
        <v>1465</v>
      </c>
      <c r="AB34" s="50" t="s">
        <v>1466</v>
      </c>
      <c r="AC34" s="50"/>
      <c r="AD34" s="50"/>
      <c r="AE34" s="50"/>
      <c r="AF34" s="50"/>
      <c r="AG34" s="50"/>
      <c r="AH34" s="50"/>
      <c r="AI34" s="50"/>
      <c r="AJ34" s="50"/>
      <c r="AK34" s="50" t="s">
        <v>1467</v>
      </c>
      <c r="AL34" s="50"/>
      <c r="AM34" s="50"/>
      <c r="AN34" s="50"/>
      <c r="AO34" s="50"/>
      <c r="AP34" s="50"/>
      <c r="AQ34" s="50"/>
      <c r="AR34" s="50"/>
      <c r="AS34" s="50"/>
      <c r="AT34" s="50" t="str">
        <f aca="false">IFERROR(IF(AND(AN34&gt;0,J34&gt;0),ROUND(J34*1000/(AN34*0.2),0),""),"")</f>
        <v/>
      </c>
      <c r="AU34" s="50" t="str">
        <f aca="false">IFERROR(IF(AND(AQ34&gt;0,M34&gt;0),ROUND(M34*1000/(AQ34*0.3),0),""),"")</f>
        <v/>
      </c>
      <c r="AV34" s="50" t="str">
        <f aca="false">IFERROR(IF(AND(AM34&gt;0,O34&gt;0),ROUND(O34*1000/(AM34*0.1),0),""),"")</f>
        <v/>
      </c>
      <c r="AW34" s="50" t="str">
        <f aca="false">IFERROR(IF(AND(AP34&gt;0,N34&gt;0),ROUND(N34*1000/(AP34*0.25),0),""),"")</f>
        <v/>
      </c>
      <c r="AX34" s="50" t="str">
        <f aca="false">IFERROR(IF(AND(AO34&gt;0,Q34&gt;0),ROUND(Q34*1000/(AO34*1),0),""),"")</f>
        <v/>
      </c>
      <c r="AY34" s="51" t="n">
        <f aca="false">IFERROR(ifs(I34="Tier S",0.65,I34="Tier 1",0.55,I34="Tier 2",0.45,I34="Tier 3",0.35,I34="Tier 4",0.25),0.35)</f>
        <v>0.35</v>
      </c>
      <c r="AZ34" s="52" t="n">
        <v>1</v>
      </c>
      <c r="BA34" s="52" t="n">
        <v>1</v>
      </c>
      <c r="BB34" s="52" t="n">
        <v>1</v>
      </c>
      <c r="BC34" s="53" t="n">
        <f aca="false">IFERROR(ROUND(S34*AY34*BA34*BB34*AZ34,0),0)</f>
        <v>17325</v>
      </c>
      <c r="BD34" s="39" t="str">
        <f aca="false">IF(COUNT(AM34,AN34,AO34,AP34,AQ34,AR34,AS34)&gt;0,"estimated","pending")</f>
        <v>pending</v>
      </c>
      <c r="BE34" s="50"/>
    </row>
    <row r="35" customFormat="false" ht="15" hidden="false" customHeight="true" outlineLevel="0" collapsed="false">
      <c r="B35" s="54" t="n">
        <f aca="false">IF($C35="","",COUNTA($C$6:C35))</f>
        <v>30</v>
      </c>
      <c r="C35" s="54" t="s">
        <v>649</v>
      </c>
      <c r="D35" s="54" t="s">
        <v>208</v>
      </c>
      <c r="E35" s="54" t="s">
        <v>614</v>
      </c>
      <c r="F35" s="54" t="s">
        <v>128</v>
      </c>
      <c r="G35" s="54" t="s">
        <v>1468</v>
      </c>
      <c r="H35" s="54" t="n">
        <v>2</v>
      </c>
      <c r="I35" s="55" t="s">
        <v>337</v>
      </c>
      <c r="J35" s="56" t="n">
        <v>11250</v>
      </c>
      <c r="K35" s="56" t="n">
        <v>4500</v>
      </c>
      <c r="L35" s="57" t="n">
        <f aca="false">IF(J35="","",ROUND(J35*0.17,0))</f>
        <v>1913</v>
      </c>
      <c r="M35" s="56" t="n">
        <v>8000</v>
      </c>
      <c r="N35" s="56" t="n">
        <v>3500</v>
      </c>
      <c r="O35" s="56" t="n">
        <v>2000</v>
      </c>
      <c r="P35" s="56" t="n">
        <v>2000</v>
      </c>
      <c r="Q35" s="56" t="n">
        <v>13500</v>
      </c>
      <c r="R35" s="56" t="n">
        <v>6075</v>
      </c>
      <c r="S35" s="57" t="n">
        <f aca="false">IF(J35="","",ROUND(J35*2.2,0))</f>
        <v>24750</v>
      </c>
      <c r="T35" s="56" t="n">
        <v>4638</v>
      </c>
      <c r="U35" s="56" t="n">
        <v>4063</v>
      </c>
      <c r="V35" s="56" t="n">
        <v>2438</v>
      </c>
      <c r="W35" s="56" t="n">
        <v>2400</v>
      </c>
      <c r="X35" s="54" t="s">
        <v>1428</v>
      </c>
      <c r="Y35" s="49" t="n">
        <v>0.75</v>
      </c>
      <c r="Z35" s="49" t="n">
        <v>1</v>
      </c>
      <c r="AA35" s="50" t="s">
        <v>650</v>
      </c>
      <c r="AB35" s="50" t="s">
        <v>652</v>
      </c>
      <c r="AC35" s="50" t="s">
        <v>1469</v>
      </c>
      <c r="AD35" s="50" t="s">
        <v>656</v>
      </c>
      <c r="AE35" s="50"/>
      <c r="AF35" s="50"/>
      <c r="AG35" s="50"/>
      <c r="AH35" s="50"/>
      <c r="AI35" s="50"/>
      <c r="AJ35" s="50"/>
      <c r="AK35" s="50" t="s">
        <v>1470</v>
      </c>
      <c r="AL35" s="50" t="s">
        <v>1455</v>
      </c>
      <c r="AM35" s="50"/>
      <c r="AN35" s="50"/>
      <c r="AO35" s="50"/>
      <c r="AP35" s="50"/>
      <c r="AQ35" s="50"/>
      <c r="AR35" s="50"/>
      <c r="AS35" s="50"/>
      <c r="AT35" s="50" t="str">
        <f aca="false">IFERROR(IF(AND(AN35&gt;0,J35&gt;0),ROUND(J35*1000/(AN35*0.2),0),""),"")</f>
        <v/>
      </c>
      <c r="AU35" s="50" t="str">
        <f aca="false">IFERROR(IF(AND(AQ35&gt;0,M35&gt;0),ROUND(M35*1000/(AQ35*0.3),0),""),"")</f>
        <v/>
      </c>
      <c r="AV35" s="50" t="str">
        <f aca="false">IFERROR(IF(AND(AM35&gt;0,O35&gt;0),ROUND(O35*1000/(AM35*0.1),0),""),"")</f>
        <v/>
      </c>
      <c r="AW35" s="50" t="str">
        <f aca="false">IFERROR(IF(AND(AP35&gt;0,N35&gt;0),ROUND(N35*1000/(AP35*0.25),0),""),"")</f>
        <v/>
      </c>
      <c r="AX35" s="50" t="str">
        <f aca="false">IFERROR(IF(AND(AO35&gt;0,Q35&gt;0),ROUND(Q35*1000/(AO35*1),0),""),"")</f>
        <v/>
      </c>
      <c r="AY35" s="51" t="n">
        <f aca="false">IFERROR(ifs(I35="Tier S",0.65,I35="Tier 1",0.55,I35="Tier 2",0.45,I35="Tier 3",0.35,I35="Tier 4",0.25),0.35)</f>
        <v>0.35</v>
      </c>
      <c r="AZ35" s="52" t="n">
        <v>1</v>
      </c>
      <c r="BA35" s="52" t="n">
        <v>1</v>
      </c>
      <c r="BB35" s="52" t="n">
        <v>1</v>
      </c>
      <c r="BC35" s="53" t="n">
        <f aca="false">IFERROR(ROUND(S35*AY35*BA35*BB35*AZ35,0),0)</f>
        <v>8663</v>
      </c>
      <c r="BD35" s="39" t="str">
        <f aca="false">IF(COUNT(AM35,AN35,AO35,AP35,AQ35,AR35,AS35)&gt;0,"estimated","pending")</f>
        <v>pending</v>
      </c>
      <c r="BE35" s="50"/>
    </row>
    <row r="36" customFormat="false" ht="15" hidden="false" customHeight="true" outlineLevel="0" collapsed="false">
      <c r="B36" s="62" t="n">
        <f aca="false">IF($C36="","",COUNTA($C$6:C36))</f>
        <v>31</v>
      </c>
      <c r="C36" s="62" t="s">
        <v>1471</v>
      </c>
      <c r="D36" s="62" t="s">
        <v>1472</v>
      </c>
      <c r="E36" s="62" t="s">
        <v>614</v>
      </c>
      <c r="F36" s="62" t="s">
        <v>128</v>
      </c>
      <c r="G36" s="62" t="s">
        <v>1464</v>
      </c>
      <c r="H36" s="62" t="n">
        <v>2</v>
      </c>
      <c r="I36" s="63" t="s">
        <v>337</v>
      </c>
      <c r="J36" s="64" t="n">
        <v>11000</v>
      </c>
      <c r="K36" s="64" t="n">
        <v>4600</v>
      </c>
      <c r="L36" s="65" t="n">
        <f aca="false">IF(J36="","",ROUND(J36*0.17,0))</f>
        <v>1870</v>
      </c>
      <c r="M36" s="64" t="n">
        <v>8600</v>
      </c>
      <c r="N36" s="64" t="n">
        <v>3500</v>
      </c>
      <c r="O36" s="64" t="n">
        <v>2200</v>
      </c>
      <c r="P36" s="64" t="n">
        <v>0</v>
      </c>
      <c r="Q36" s="64" t="n">
        <v>15950</v>
      </c>
      <c r="R36" s="64" t="n">
        <v>7150</v>
      </c>
      <c r="S36" s="65" t="n">
        <f aca="false">IF(J36="","",ROUND(J36*2.2,0))</f>
        <v>24200</v>
      </c>
      <c r="T36" s="64" t="n">
        <v>3850</v>
      </c>
      <c r="U36" s="64" t="n">
        <v>3300</v>
      </c>
      <c r="V36" s="64" t="n">
        <v>2000</v>
      </c>
      <c r="W36" s="64" t="n">
        <v>0</v>
      </c>
      <c r="X36" s="62" t="s">
        <v>1428</v>
      </c>
      <c r="Y36" s="49" t="n">
        <v>0.5</v>
      </c>
      <c r="Z36" s="49" t="n">
        <v>1</v>
      </c>
      <c r="AA36" s="50" t="s">
        <v>1473</v>
      </c>
      <c r="AB36" s="50" t="s">
        <v>1474</v>
      </c>
      <c r="AC36" s="50" t="s">
        <v>1475</v>
      </c>
      <c r="AD36" s="50"/>
      <c r="AE36" s="50"/>
      <c r="AF36" s="50"/>
      <c r="AG36" s="50"/>
      <c r="AH36" s="50"/>
      <c r="AI36" s="50"/>
      <c r="AJ36" s="50"/>
      <c r="AK36" s="50" t="s">
        <v>1476</v>
      </c>
      <c r="AL36" s="50"/>
      <c r="AM36" s="50"/>
      <c r="AN36" s="50"/>
      <c r="AO36" s="50"/>
      <c r="AP36" s="50"/>
      <c r="AQ36" s="50"/>
      <c r="AR36" s="50"/>
      <c r="AS36" s="50"/>
      <c r="AT36" s="50" t="str">
        <f aca="false">IFERROR(IF(AND(AN36&gt;0,J36&gt;0),ROUND(J36*1000/(AN36*0.2),0),""),"")</f>
        <v/>
      </c>
      <c r="AU36" s="50" t="str">
        <f aca="false">IFERROR(IF(AND(AQ36&gt;0,M36&gt;0),ROUND(M36*1000/(AQ36*0.3),0),""),"")</f>
        <v/>
      </c>
      <c r="AV36" s="50" t="str">
        <f aca="false">IFERROR(IF(AND(AM36&gt;0,O36&gt;0),ROUND(O36*1000/(AM36*0.1),0),""),"")</f>
        <v/>
      </c>
      <c r="AW36" s="50" t="str">
        <f aca="false">IFERROR(IF(AND(AP36&gt;0,N36&gt;0),ROUND(N36*1000/(AP36*0.25),0),""),"")</f>
        <v/>
      </c>
      <c r="AX36" s="50" t="str">
        <f aca="false">IFERROR(IF(AND(AO36&gt;0,Q36&gt;0),ROUND(Q36*1000/(AO36*1),0),""),"")</f>
        <v/>
      </c>
      <c r="AY36" s="51" t="n">
        <f aca="false">IFERROR(ifs(I36="Tier S",0.65,I36="Tier 1",0.55,I36="Tier 2",0.45,I36="Tier 3",0.35,I36="Tier 4",0.25),0.35)</f>
        <v>0.35</v>
      </c>
      <c r="AZ36" s="52" t="n">
        <v>1</v>
      </c>
      <c r="BA36" s="52" t="n">
        <v>1</v>
      </c>
      <c r="BB36" s="52" t="n">
        <v>1</v>
      </c>
      <c r="BC36" s="53" t="n">
        <f aca="false">IFERROR(ROUND(S36*AY36*BA36*BB36*AZ36,0),0)</f>
        <v>8470</v>
      </c>
      <c r="BD36" s="39" t="str">
        <f aca="false">IF(COUNT(AM36,AN36,AO36,AP36,AQ36,AR36,AS36)&gt;0,"estimated","pending")</f>
        <v>pending</v>
      </c>
      <c r="BE36" s="50"/>
    </row>
    <row r="37" customFormat="false" ht="15" hidden="false" customHeight="true" outlineLevel="0" collapsed="false">
      <c r="B37" s="62" t="n">
        <f aca="false">IF($C37="","",COUNTA($C$6:C37))</f>
        <v>32</v>
      </c>
      <c r="C37" s="62" t="s">
        <v>1477</v>
      </c>
      <c r="D37" s="62" t="s">
        <v>1478</v>
      </c>
      <c r="E37" s="62" t="s">
        <v>614</v>
      </c>
      <c r="F37" s="62" t="s">
        <v>128</v>
      </c>
      <c r="G37" s="62" t="s">
        <v>1468</v>
      </c>
      <c r="H37" s="62" t="n">
        <v>2</v>
      </c>
      <c r="I37" s="63" t="s">
        <v>269</v>
      </c>
      <c r="J37" s="64" t="n">
        <v>0</v>
      </c>
      <c r="K37" s="64" t="n">
        <v>0</v>
      </c>
      <c r="L37" s="65" t="n">
        <f aca="false">IF(J37="","",ROUND(J37*0.17,0))</f>
        <v>0</v>
      </c>
      <c r="M37" s="64" t="n">
        <v>0</v>
      </c>
      <c r="N37" s="64" t="n">
        <v>0</v>
      </c>
      <c r="O37" s="64" t="n">
        <v>0</v>
      </c>
      <c r="P37" s="64" t="n">
        <v>0</v>
      </c>
      <c r="Q37" s="64" t="n">
        <v>0</v>
      </c>
      <c r="R37" s="64" t="n">
        <v>0</v>
      </c>
      <c r="S37" s="65" t="n">
        <f aca="false">IF(J37="","",ROUND(J37*2.2,0))</f>
        <v>0</v>
      </c>
      <c r="T37" s="64" t="n">
        <v>0</v>
      </c>
      <c r="U37" s="64" t="n">
        <v>0</v>
      </c>
      <c r="V37" s="64" t="n">
        <v>2000</v>
      </c>
      <c r="W37" s="64" t="n">
        <v>0</v>
      </c>
      <c r="X37" s="62" t="s">
        <v>1428</v>
      </c>
      <c r="Y37" s="49" t="n">
        <v>0.5</v>
      </c>
      <c r="Z37" s="49" t="n">
        <v>1</v>
      </c>
      <c r="AA37" s="50" t="s">
        <v>1479</v>
      </c>
      <c r="AB37" s="50" t="s">
        <v>1480</v>
      </c>
      <c r="AC37" s="50" t="s">
        <v>1481</v>
      </c>
      <c r="AD37" s="50" t="s">
        <v>1482</v>
      </c>
      <c r="AE37" s="50"/>
      <c r="AF37" s="50"/>
      <c r="AG37" s="50"/>
      <c r="AH37" s="50" t="s">
        <v>1483</v>
      </c>
      <c r="AI37" s="50"/>
      <c r="AJ37" s="50"/>
      <c r="AK37" s="50" t="s">
        <v>1484</v>
      </c>
      <c r="AL37" s="50"/>
      <c r="AM37" s="50"/>
      <c r="AN37" s="50"/>
      <c r="AO37" s="50"/>
      <c r="AP37" s="50"/>
      <c r="AQ37" s="50"/>
      <c r="AR37" s="50"/>
      <c r="AS37" s="50"/>
      <c r="AT37" s="50" t="str">
        <f aca="false">IFERROR(IF(AND(AN37&gt;0,J37&gt;0),ROUND(J37*1000/(AN37*0.2),0),""),"")</f>
        <v/>
      </c>
      <c r="AU37" s="50" t="str">
        <f aca="false">IFERROR(IF(AND(AQ37&gt;0,M37&gt;0),ROUND(M37*1000/(AQ37*0.3),0),""),"")</f>
        <v/>
      </c>
      <c r="AV37" s="50" t="str">
        <f aca="false">IFERROR(IF(AND(AM37&gt;0,O37&gt;0),ROUND(O37*1000/(AM37*0.1),0),""),"")</f>
        <v/>
      </c>
      <c r="AW37" s="50" t="str">
        <f aca="false">IFERROR(IF(AND(AP37&gt;0,N37&gt;0),ROUND(N37*1000/(AP37*0.25),0),""),"")</f>
        <v/>
      </c>
      <c r="AX37" s="50" t="str">
        <f aca="false">IFERROR(IF(AND(AO37&gt;0,Q37&gt;0),ROUND(Q37*1000/(AO37*1),0),""),"")</f>
        <v/>
      </c>
      <c r="AY37" s="51" t="n">
        <f aca="false">IFERROR(ifs(I37="Tier S",0.65,I37="Tier 1",0.55,I37="Tier 2",0.45,I37="Tier 3",0.35,I37="Tier 4",0.25),0.35)</f>
        <v>0.35</v>
      </c>
      <c r="AZ37" s="52" t="n">
        <v>1</v>
      </c>
      <c r="BA37" s="52" t="n">
        <v>1</v>
      </c>
      <c r="BB37" s="52" t="n">
        <v>1</v>
      </c>
      <c r="BC37" s="53" t="n">
        <f aca="false">IFERROR(ROUND(S37*AY37*BA37*BB37*AZ37,0),0)</f>
        <v>0</v>
      </c>
      <c r="BD37" s="39" t="str">
        <f aca="false">IF(COUNT(AM37,AN37,AO37,AP37,AQ37,AR37,AS37)&gt;0,"estimated","pending")</f>
        <v>pending</v>
      </c>
      <c r="BE37" s="50"/>
    </row>
    <row r="38" customFormat="false" ht="15" hidden="false" customHeight="true" outlineLevel="0" collapsed="false">
      <c r="B38" s="54" t="n">
        <f aca="false">IF($C38="","",COUNTA($C$6:C38))</f>
        <v>33</v>
      </c>
      <c r="C38" s="54" t="s">
        <v>663</v>
      </c>
      <c r="D38" s="54" t="s">
        <v>208</v>
      </c>
      <c r="E38" s="54" t="s">
        <v>614</v>
      </c>
      <c r="F38" s="54" t="s">
        <v>657</v>
      </c>
      <c r="G38" s="54" t="s">
        <v>1468</v>
      </c>
      <c r="H38" s="54" t="n">
        <v>1</v>
      </c>
      <c r="I38" s="55" t="s">
        <v>1357</v>
      </c>
      <c r="J38" s="56" t="n">
        <v>11000</v>
      </c>
      <c r="K38" s="56" t="n">
        <v>4600</v>
      </c>
      <c r="L38" s="57" t="n">
        <f aca="false">IF(J38="","",ROUND(J38*0.17,0))</f>
        <v>1870</v>
      </c>
      <c r="M38" s="56" t="n">
        <v>8600</v>
      </c>
      <c r="N38" s="56" t="n">
        <v>3500</v>
      </c>
      <c r="O38" s="56" t="n">
        <v>2200</v>
      </c>
      <c r="P38" s="56" t="n">
        <v>2200</v>
      </c>
      <c r="Q38" s="56" t="n">
        <v>15950</v>
      </c>
      <c r="R38" s="56" t="n">
        <v>7150</v>
      </c>
      <c r="S38" s="57" t="n">
        <f aca="false">IF(J38="","",ROUND(J38*2.2,0))</f>
        <v>24200</v>
      </c>
      <c r="T38" s="56" t="n">
        <v>3850</v>
      </c>
      <c r="U38" s="56" t="n">
        <v>3300</v>
      </c>
      <c r="V38" s="56" t="n">
        <v>2000</v>
      </c>
      <c r="W38" s="56" t="n">
        <v>2400</v>
      </c>
      <c r="X38" s="54" t="s">
        <v>1434</v>
      </c>
      <c r="Y38" s="49" t="n">
        <v>0.75</v>
      </c>
      <c r="Z38" s="49" t="n">
        <v>1</v>
      </c>
      <c r="AA38" s="50" t="s">
        <v>664</v>
      </c>
      <c r="AB38" s="50" t="s">
        <v>666</v>
      </c>
      <c r="AC38" s="50"/>
      <c r="AD38" s="50"/>
      <c r="AE38" s="50"/>
      <c r="AF38" s="50"/>
      <c r="AG38" s="50"/>
      <c r="AH38" s="50"/>
      <c r="AI38" s="50"/>
      <c r="AJ38" s="50"/>
      <c r="AK38" s="50" t="s">
        <v>1485</v>
      </c>
      <c r="AL38" s="50" t="s">
        <v>1455</v>
      </c>
      <c r="AM38" s="50"/>
      <c r="AN38" s="50"/>
      <c r="AO38" s="50"/>
      <c r="AP38" s="50"/>
      <c r="AQ38" s="50"/>
      <c r="AR38" s="50"/>
      <c r="AS38" s="50"/>
      <c r="AT38" s="50" t="str">
        <f aca="false">IFERROR(IF(AND(AN38&gt;0,J38&gt;0),ROUND(J38*1000/(AN38*0.2),0),""),"")</f>
        <v/>
      </c>
      <c r="AU38" s="50" t="str">
        <f aca="false">IFERROR(IF(AND(AQ38&gt;0,M38&gt;0),ROUND(M38*1000/(AQ38*0.3),0),""),"")</f>
        <v/>
      </c>
      <c r="AV38" s="50" t="str">
        <f aca="false">IFERROR(IF(AND(AM38&gt;0,O38&gt;0),ROUND(O38*1000/(AM38*0.1),0),""),"")</f>
        <v/>
      </c>
      <c r="AW38" s="50" t="str">
        <f aca="false">IFERROR(IF(AND(AP38&gt;0,N38&gt;0),ROUND(N38*1000/(AP38*0.25),0),""),"")</f>
        <v/>
      </c>
      <c r="AX38" s="50" t="str">
        <f aca="false">IFERROR(IF(AND(AO38&gt;0,Q38&gt;0),ROUND(Q38*1000/(AO38*1),0),""),"")</f>
        <v/>
      </c>
      <c r="AY38" s="51" t="n">
        <f aca="false">IFERROR(ifs(I38="Tier S",0.65,I38="Tier 1",0.55,I38="Tier 2",0.45,I38="Tier 3",0.35,I38="Tier 4",0.25),0.35)</f>
        <v>0.35</v>
      </c>
      <c r="AZ38" s="52" t="n">
        <v>1</v>
      </c>
      <c r="BA38" s="52" t="n">
        <v>1</v>
      </c>
      <c r="BB38" s="52" t="n">
        <v>1</v>
      </c>
      <c r="BC38" s="53" t="n">
        <f aca="false">IFERROR(ROUND(S38*AY38*BA38*BB38*AZ38,0),0)</f>
        <v>8470</v>
      </c>
      <c r="BD38" s="39" t="str">
        <f aca="false">IF(COUNT(AM38,AN38,AO38,AP38,AQ38,AR38,AS38)&gt;0,"estimated","pending")</f>
        <v>pending</v>
      </c>
      <c r="BE38" s="50"/>
    </row>
    <row r="39" customFormat="false" ht="15" hidden="false" customHeight="true" outlineLevel="0" collapsed="false">
      <c r="B39" s="54" t="n">
        <f aca="false">IF($C39="","",COUNTA($C$6:C39))</f>
        <v>34</v>
      </c>
      <c r="C39" s="54" t="s">
        <v>667</v>
      </c>
      <c r="D39" s="54" t="s">
        <v>208</v>
      </c>
      <c r="E39" s="54" t="s">
        <v>614</v>
      </c>
      <c r="F39" s="54" t="s">
        <v>657</v>
      </c>
      <c r="G39" s="54" t="s">
        <v>1486</v>
      </c>
      <c r="H39" s="54" t="n">
        <v>2</v>
      </c>
      <c r="I39" s="55" t="s">
        <v>337</v>
      </c>
      <c r="J39" s="56" t="n">
        <v>5200</v>
      </c>
      <c r="K39" s="56" t="n">
        <v>2200</v>
      </c>
      <c r="L39" s="57" t="n">
        <f aca="false">IF(J39="","",ROUND(J39*0.17,0))</f>
        <v>884</v>
      </c>
      <c r="M39" s="56" t="n">
        <v>4050</v>
      </c>
      <c r="N39" s="56" t="n">
        <v>1650</v>
      </c>
      <c r="O39" s="56" t="n">
        <v>1050</v>
      </c>
      <c r="P39" s="56" t="n">
        <v>1050</v>
      </c>
      <c r="Q39" s="56" t="n">
        <v>7550</v>
      </c>
      <c r="R39" s="56" t="n">
        <v>3400</v>
      </c>
      <c r="S39" s="57" t="n">
        <f aca="false">IF(J39="","",ROUND(J39*2.2,0))</f>
        <v>11440</v>
      </c>
      <c r="T39" s="56" t="n">
        <v>1800</v>
      </c>
      <c r="U39" s="56" t="n">
        <v>1550</v>
      </c>
      <c r="V39" s="56" t="n">
        <v>950</v>
      </c>
      <c r="W39" s="56" t="n">
        <v>2400</v>
      </c>
      <c r="X39" s="54" t="s">
        <v>1428</v>
      </c>
      <c r="Y39" s="49" t="n">
        <v>0.75</v>
      </c>
      <c r="Z39" s="49" t="n">
        <v>1</v>
      </c>
      <c r="AA39" s="50" t="s">
        <v>668</v>
      </c>
      <c r="AB39" s="50" t="s">
        <v>670</v>
      </c>
      <c r="AC39" s="50"/>
      <c r="AD39" s="50" t="s">
        <v>672</v>
      </c>
      <c r="AE39" s="50"/>
      <c r="AF39" s="50"/>
      <c r="AG39" s="50"/>
      <c r="AH39" s="50"/>
      <c r="AI39" s="50"/>
      <c r="AJ39" s="50"/>
      <c r="AK39" s="50" t="s">
        <v>1487</v>
      </c>
      <c r="AL39" s="50" t="s">
        <v>1488</v>
      </c>
      <c r="AM39" s="50"/>
      <c r="AN39" s="50"/>
      <c r="AO39" s="50"/>
      <c r="AP39" s="50"/>
      <c r="AQ39" s="50"/>
      <c r="AR39" s="50"/>
      <c r="AS39" s="50"/>
      <c r="AT39" s="50" t="str">
        <f aca="false">IFERROR(IF(AND(AN39&gt;0,J39&gt;0),ROUND(J39*1000/(AN39*0.2),0),""),"")</f>
        <v/>
      </c>
      <c r="AU39" s="50" t="str">
        <f aca="false">IFERROR(IF(AND(AQ39&gt;0,M39&gt;0),ROUND(M39*1000/(AQ39*0.3),0),""),"")</f>
        <v/>
      </c>
      <c r="AV39" s="50" t="str">
        <f aca="false">IFERROR(IF(AND(AM39&gt;0,O39&gt;0),ROUND(O39*1000/(AM39*0.1),0),""),"")</f>
        <v/>
      </c>
      <c r="AW39" s="50" t="str">
        <f aca="false">IFERROR(IF(AND(AP39&gt;0,N39&gt;0),ROUND(N39*1000/(AP39*0.25),0),""),"")</f>
        <v/>
      </c>
      <c r="AX39" s="50" t="str">
        <f aca="false">IFERROR(IF(AND(AO39&gt;0,Q39&gt;0),ROUND(Q39*1000/(AO39*1),0),""),"")</f>
        <v/>
      </c>
      <c r="AY39" s="51" t="n">
        <f aca="false">IFERROR(ifs(I39="Tier S",0.65,I39="Tier 1",0.55,I39="Tier 2",0.45,I39="Tier 3",0.35,I39="Tier 4",0.25),0.35)</f>
        <v>0.35</v>
      </c>
      <c r="AZ39" s="52" t="n">
        <v>1</v>
      </c>
      <c r="BA39" s="52" t="n">
        <v>1</v>
      </c>
      <c r="BB39" s="52" t="n">
        <v>1</v>
      </c>
      <c r="BC39" s="53" t="n">
        <f aca="false">IFERROR(ROUND(S39*AY39*BA39*BB39*AZ39,0),0)</f>
        <v>4004</v>
      </c>
      <c r="BD39" s="39" t="str">
        <f aca="false">IF(COUNT(AM39,AN39,AO39,AP39,AQ39,AR39,AS39)&gt;0,"estimated","pending")</f>
        <v>pending</v>
      </c>
      <c r="BE39" s="50"/>
    </row>
    <row r="40" customFormat="false" ht="15" hidden="false" customHeight="true" outlineLevel="0" collapsed="false">
      <c r="B40" s="54" t="n">
        <f aca="false">IF($C40="","",COUNTA($C$6:C40))</f>
        <v>35</v>
      </c>
      <c r="C40" s="54" t="s">
        <v>673</v>
      </c>
      <c r="D40" s="54" t="s">
        <v>208</v>
      </c>
      <c r="E40" s="54" t="s">
        <v>614</v>
      </c>
      <c r="F40" s="54" t="s">
        <v>657</v>
      </c>
      <c r="G40" s="54" t="s">
        <v>1489</v>
      </c>
      <c r="H40" s="54" t="n">
        <v>3</v>
      </c>
      <c r="I40" s="55" t="s">
        <v>337</v>
      </c>
      <c r="J40" s="56" t="n">
        <v>12100</v>
      </c>
      <c r="K40" s="56" t="n">
        <v>5100</v>
      </c>
      <c r="L40" s="57" t="n">
        <f aca="false">IF(J40="","",ROUND(J40*0.17,0))</f>
        <v>2057</v>
      </c>
      <c r="M40" s="56" t="n">
        <v>9450</v>
      </c>
      <c r="N40" s="56" t="n">
        <v>3850</v>
      </c>
      <c r="O40" s="56" t="n">
        <v>2400</v>
      </c>
      <c r="P40" s="56" t="n">
        <v>2400</v>
      </c>
      <c r="Q40" s="56" t="n">
        <v>17550</v>
      </c>
      <c r="R40" s="56" t="n">
        <v>7850</v>
      </c>
      <c r="S40" s="57" t="n">
        <f aca="false">IF(J40="","",ROUND(J40*2.2,0))</f>
        <v>26620</v>
      </c>
      <c r="T40" s="56" t="n">
        <v>4250</v>
      </c>
      <c r="U40" s="56" t="n">
        <v>3650</v>
      </c>
      <c r="V40" s="56" t="n">
        <v>2200</v>
      </c>
      <c r="W40" s="56" t="n">
        <v>2400</v>
      </c>
      <c r="X40" s="54" t="s">
        <v>1383</v>
      </c>
      <c r="Y40" s="49" t="n">
        <v>0.75</v>
      </c>
      <c r="Z40" s="49" t="n">
        <v>1</v>
      </c>
      <c r="AA40" s="50" t="s">
        <v>674</v>
      </c>
      <c r="AB40" s="50" t="s">
        <v>676</v>
      </c>
      <c r="AC40" s="50"/>
      <c r="AD40" s="50" t="s">
        <v>677</v>
      </c>
      <c r="AE40" s="50" t="s">
        <v>679</v>
      </c>
      <c r="AF40" s="50"/>
      <c r="AG40" s="50"/>
      <c r="AH40" s="50"/>
      <c r="AI40" s="50"/>
      <c r="AJ40" s="50"/>
      <c r="AK40" s="50" t="s">
        <v>1490</v>
      </c>
      <c r="AL40" s="50" t="s">
        <v>1455</v>
      </c>
      <c r="AM40" s="50"/>
      <c r="AN40" s="50"/>
      <c r="AO40" s="50"/>
      <c r="AP40" s="50"/>
      <c r="AQ40" s="50"/>
      <c r="AR40" s="50"/>
      <c r="AS40" s="50"/>
      <c r="AT40" s="50" t="str">
        <f aca="false">IFERROR(IF(AND(AN40&gt;0,J40&gt;0),ROUND(J40*1000/(AN40*0.2),0),""),"")</f>
        <v/>
      </c>
      <c r="AU40" s="50" t="str">
        <f aca="false">IFERROR(IF(AND(AQ40&gt;0,M40&gt;0),ROUND(M40*1000/(AQ40*0.3),0),""),"")</f>
        <v/>
      </c>
      <c r="AV40" s="50" t="str">
        <f aca="false">IFERROR(IF(AND(AM40&gt;0,O40&gt;0),ROUND(O40*1000/(AM40*0.1),0),""),"")</f>
        <v/>
      </c>
      <c r="AW40" s="50" t="str">
        <f aca="false">IFERROR(IF(AND(AP40&gt;0,N40&gt;0),ROUND(N40*1000/(AP40*0.25),0),""),"")</f>
        <v/>
      </c>
      <c r="AX40" s="50" t="str">
        <f aca="false">IFERROR(IF(AND(AO40&gt;0,Q40&gt;0),ROUND(Q40*1000/(AO40*1),0),""),"")</f>
        <v/>
      </c>
      <c r="AY40" s="51" t="n">
        <f aca="false">IFERROR(ifs(I40="Tier S",0.65,I40="Tier 1",0.55,I40="Tier 2",0.45,I40="Tier 3",0.35,I40="Tier 4",0.25),0.35)</f>
        <v>0.35</v>
      </c>
      <c r="AZ40" s="52" t="n">
        <v>1</v>
      </c>
      <c r="BA40" s="52" t="n">
        <v>1</v>
      </c>
      <c r="BB40" s="52" t="n">
        <v>1</v>
      </c>
      <c r="BC40" s="53" t="n">
        <f aca="false">IFERROR(ROUND(S40*AY40*BA40*BB40*AZ40,0),0)</f>
        <v>9317</v>
      </c>
      <c r="BD40" s="39" t="str">
        <f aca="false">IF(COUNT(AM40,AN40,AO40,AP40,AQ40,AR40,AS40)&gt;0,"estimated","pending")</f>
        <v>pending</v>
      </c>
      <c r="BE40" s="50"/>
    </row>
    <row r="41" customFormat="false" ht="15" hidden="false" customHeight="true" outlineLevel="0" collapsed="false">
      <c r="B41" s="62" t="n">
        <f aca="false">IF($C41="","",COUNTA($C$6:C41))</f>
        <v>36</v>
      </c>
      <c r="C41" s="62" t="s">
        <v>1491</v>
      </c>
      <c r="D41" s="62" t="s">
        <v>1478</v>
      </c>
      <c r="E41" s="62" t="s">
        <v>614</v>
      </c>
      <c r="F41" s="62" t="s">
        <v>657</v>
      </c>
      <c r="G41" s="62" t="s">
        <v>1468</v>
      </c>
      <c r="H41" s="62" t="n">
        <v>5</v>
      </c>
      <c r="I41" s="63" t="s">
        <v>337</v>
      </c>
      <c r="J41" s="64" t="n">
        <v>11000</v>
      </c>
      <c r="K41" s="64" t="n">
        <v>4600</v>
      </c>
      <c r="L41" s="65" t="n">
        <f aca="false">IF(J41="","",ROUND(J41*0.17,0))</f>
        <v>1870</v>
      </c>
      <c r="M41" s="64" t="n">
        <v>8600</v>
      </c>
      <c r="N41" s="64" t="n">
        <v>3500</v>
      </c>
      <c r="O41" s="64" t="n">
        <v>2200</v>
      </c>
      <c r="P41" s="64" t="n">
        <v>0</v>
      </c>
      <c r="Q41" s="64" t="n">
        <v>15950</v>
      </c>
      <c r="R41" s="64" t="n">
        <v>7150</v>
      </c>
      <c r="S41" s="65" t="n">
        <f aca="false">IF(J41="","",ROUND(J41*2.2,0))</f>
        <v>24200</v>
      </c>
      <c r="T41" s="64" t="n">
        <v>3850</v>
      </c>
      <c r="U41" s="64" t="n">
        <v>3300</v>
      </c>
      <c r="V41" s="64" t="n">
        <v>2000</v>
      </c>
      <c r="W41" s="64" t="n">
        <v>0</v>
      </c>
      <c r="X41" s="62" t="s">
        <v>1393</v>
      </c>
      <c r="Y41" s="49" t="n">
        <v>0.2</v>
      </c>
      <c r="Z41" s="49" t="n">
        <v>1</v>
      </c>
      <c r="AA41" s="50" t="s">
        <v>1492</v>
      </c>
      <c r="AB41" s="50" t="s">
        <v>1493</v>
      </c>
      <c r="AC41" s="50" t="s">
        <v>1494</v>
      </c>
      <c r="AD41" s="50" t="s">
        <v>1495</v>
      </c>
      <c r="AE41" s="50" t="s">
        <v>1496</v>
      </c>
      <c r="AF41" s="50"/>
      <c r="AG41" s="50"/>
      <c r="AH41" s="50"/>
      <c r="AI41" s="50"/>
      <c r="AJ41" s="50"/>
      <c r="AK41" s="50" t="s">
        <v>1497</v>
      </c>
      <c r="AL41" s="50"/>
      <c r="AM41" s="50"/>
      <c r="AN41" s="50"/>
      <c r="AO41" s="50"/>
      <c r="AP41" s="50"/>
      <c r="AQ41" s="50"/>
      <c r="AR41" s="50"/>
      <c r="AS41" s="50"/>
      <c r="AT41" s="50" t="str">
        <f aca="false">IFERROR(IF(AND(AN41&gt;0,J41&gt;0),ROUND(J41*1000/(AN41*0.2),0),""),"")</f>
        <v/>
      </c>
      <c r="AU41" s="50" t="str">
        <f aca="false">IFERROR(IF(AND(AQ41&gt;0,M41&gt;0),ROUND(M41*1000/(AQ41*0.3),0),""),"")</f>
        <v/>
      </c>
      <c r="AV41" s="50" t="str">
        <f aca="false">IFERROR(IF(AND(AM41&gt;0,O41&gt;0),ROUND(O41*1000/(AM41*0.1),0),""),"")</f>
        <v/>
      </c>
      <c r="AW41" s="50" t="str">
        <f aca="false">IFERROR(IF(AND(AP41&gt;0,N41&gt;0),ROUND(N41*1000/(AP41*0.25),0),""),"")</f>
        <v/>
      </c>
      <c r="AX41" s="50" t="str">
        <f aca="false">IFERROR(IF(AND(AO41&gt;0,Q41&gt;0),ROUND(Q41*1000/(AO41*1),0),""),"")</f>
        <v/>
      </c>
      <c r="AY41" s="51" t="n">
        <f aca="false">IFERROR(ifs(I41="Tier S",0.65,I41="Tier 1",0.55,I41="Tier 2",0.45,I41="Tier 3",0.35,I41="Tier 4",0.25),0.35)</f>
        <v>0.35</v>
      </c>
      <c r="AZ41" s="52" t="n">
        <v>1</v>
      </c>
      <c r="BA41" s="52" t="n">
        <v>1</v>
      </c>
      <c r="BB41" s="52" t="n">
        <v>1</v>
      </c>
      <c r="BC41" s="53" t="n">
        <f aca="false">IFERROR(ROUND(S41*AY41*BA41*BB41*AZ41,0),0)</f>
        <v>8470</v>
      </c>
      <c r="BD41" s="39" t="str">
        <f aca="false">IF(COUNT(AM41,AN41,AO41,AP41,AQ41,AR41,AS41)&gt;0,"estimated","pending")</f>
        <v>pending</v>
      </c>
      <c r="BE41" s="50"/>
    </row>
    <row r="42" customFormat="false" ht="15" hidden="false" customHeight="true" outlineLevel="0" collapsed="false">
      <c r="B42" s="58" t="n">
        <f aca="false">IF($C42="","",COUNTA($C$6:C42))</f>
        <v>37</v>
      </c>
      <c r="C42" s="58" t="s">
        <v>1498</v>
      </c>
      <c r="D42" s="58" t="s">
        <v>1439</v>
      </c>
      <c r="E42" s="58" t="s">
        <v>614</v>
      </c>
      <c r="F42" s="58" t="s">
        <v>657</v>
      </c>
      <c r="G42" s="58" t="s">
        <v>1464</v>
      </c>
      <c r="H42" s="58" t="n">
        <v>2</v>
      </c>
      <c r="I42" s="59" t="s">
        <v>337</v>
      </c>
      <c r="J42" s="60" t="n">
        <v>0</v>
      </c>
      <c r="K42" s="60" t="n">
        <v>0</v>
      </c>
      <c r="L42" s="61" t="n">
        <f aca="false">IF(J42="","",ROUND(J42*0.17,0))</f>
        <v>0</v>
      </c>
      <c r="M42" s="60" t="n">
        <v>0</v>
      </c>
      <c r="N42" s="60" t="n">
        <v>0</v>
      </c>
      <c r="O42" s="60" t="n">
        <v>0</v>
      </c>
      <c r="P42" s="60" t="n">
        <v>0</v>
      </c>
      <c r="Q42" s="60" t="n">
        <v>0</v>
      </c>
      <c r="R42" s="60" t="n">
        <v>0</v>
      </c>
      <c r="S42" s="61" t="n">
        <f aca="false">IF(J42="","",ROUND(J42*2.2,0))</f>
        <v>0</v>
      </c>
      <c r="T42" s="60" t="n">
        <v>0</v>
      </c>
      <c r="U42" s="60" t="n">
        <v>0</v>
      </c>
      <c r="V42" s="60" t="n">
        <v>1200</v>
      </c>
      <c r="W42" s="60" t="n">
        <v>0</v>
      </c>
      <c r="X42" s="58" t="s">
        <v>1428</v>
      </c>
      <c r="Y42" s="49" t="n">
        <v>0.2</v>
      </c>
      <c r="Z42" s="49" t="n">
        <v>1</v>
      </c>
      <c r="AA42" s="50" t="s">
        <v>1499</v>
      </c>
      <c r="AB42" s="50" t="s">
        <v>1500</v>
      </c>
      <c r="AC42" s="50" t="s">
        <v>1501</v>
      </c>
      <c r="AD42" s="50"/>
      <c r="AE42" s="50"/>
      <c r="AF42" s="50"/>
      <c r="AG42" s="50"/>
      <c r="AH42" s="50"/>
      <c r="AI42" s="50"/>
      <c r="AJ42" s="50"/>
      <c r="AK42" s="50" t="s">
        <v>1502</v>
      </c>
      <c r="AL42" s="50"/>
      <c r="AM42" s="50"/>
      <c r="AN42" s="50"/>
      <c r="AO42" s="50"/>
      <c r="AP42" s="50"/>
      <c r="AQ42" s="50"/>
      <c r="AR42" s="50"/>
      <c r="AS42" s="50"/>
      <c r="AT42" s="50" t="str">
        <f aca="false">IFERROR(IF(AND(AN42&gt;0,J42&gt;0),ROUND(J42*1000/(AN42*0.2),0),""),"")</f>
        <v/>
      </c>
      <c r="AU42" s="50" t="str">
        <f aca="false">IFERROR(IF(AND(AQ42&gt;0,M42&gt;0),ROUND(M42*1000/(AQ42*0.3),0),""),"")</f>
        <v/>
      </c>
      <c r="AV42" s="50" t="str">
        <f aca="false">IFERROR(IF(AND(AM42&gt;0,O42&gt;0),ROUND(O42*1000/(AM42*0.1),0),""),"")</f>
        <v/>
      </c>
      <c r="AW42" s="50" t="str">
        <f aca="false">IFERROR(IF(AND(AP42&gt;0,N42&gt;0),ROUND(N42*1000/(AP42*0.25),0),""),"")</f>
        <v/>
      </c>
      <c r="AX42" s="50" t="str">
        <f aca="false">IFERROR(IF(AND(AO42&gt;0,Q42&gt;0),ROUND(Q42*1000/(AO42*1),0),""),"")</f>
        <v/>
      </c>
      <c r="AY42" s="51" t="n">
        <f aca="false">IFERROR(ifs(I42="Tier S",0.65,I42="Tier 1",0.55,I42="Tier 2",0.45,I42="Tier 3",0.35,I42="Tier 4",0.25),0.35)</f>
        <v>0.35</v>
      </c>
      <c r="AZ42" s="52" t="n">
        <v>1</v>
      </c>
      <c r="BA42" s="52" t="n">
        <v>1</v>
      </c>
      <c r="BB42" s="52" t="n">
        <v>1</v>
      </c>
      <c r="BC42" s="53" t="n">
        <f aca="false">IFERROR(ROUND(S42*AY42*BA42*BB42*AZ42,0),0)</f>
        <v>0</v>
      </c>
      <c r="BD42" s="39" t="str">
        <f aca="false">IF(COUNT(AM42,AN42,AO42,AP42,AQ42,AR42,AS42)&gt;0,"estimated","pending")</f>
        <v>pending</v>
      </c>
      <c r="BE42" s="50"/>
    </row>
    <row r="43" customFormat="false" ht="15" hidden="false" customHeight="true" outlineLevel="0" collapsed="false">
      <c r="B43" s="54" t="n">
        <f aca="false">IF($C43="","",COUNTA($C$6:C43))</f>
        <v>38</v>
      </c>
      <c r="C43" s="54" t="s">
        <v>680</v>
      </c>
      <c r="D43" s="54" t="s">
        <v>208</v>
      </c>
      <c r="E43" s="54" t="s">
        <v>614</v>
      </c>
      <c r="F43" s="54" t="s">
        <v>657</v>
      </c>
      <c r="G43" s="54" t="s">
        <v>1503</v>
      </c>
      <c r="H43" s="54" t="n">
        <v>1</v>
      </c>
      <c r="I43" s="55" t="s">
        <v>1357</v>
      </c>
      <c r="J43" s="56" t="n">
        <v>8750</v>
      </c>
      <c r="K43" s="56" t="n">
        <v>3000</v>
      </c>
      <c r="L43" s="57" t="n">
        <f aca="false">IF(J43="","",ROUND(J43*0.17,0))</f>
        <v>1488</v>
      </c>
      <c r="M43" s="56" t="n">
        <v>6000</v>
      </c>
      <c r="N43" s="56" t="n">
        <v>2500</v>
      </c>
      <c r="O43" s="56" t="n">
        <v>1200</v>
      </c>
      <c r="P43" s="56" t="n">
        <v>1200</v>
      </c>
      <c r="Q43" s="56" t="n">
        <v>9000</v>
      </c>
      <c r="R43" s="56" t="n">
        <v>4050</v>
      </c>
      <c r="S43" s="57" t="n">
        <f aca="false">IF(J43="","",ROUND(J43*2.2,0))</f>
        <v>19250</v>
      </c>
      <c r="T43" s="56" t="n">
        <v>2200</v>
      </c>
      <c r="U43" s="56" t="n">
        <v>1925</v>
      </c>
      <c r="V43" s="56" t="n">
        <v>1155</v>
      </c>
      <c r="W43" s="56" t="n">
        <v>2400</v>
      </c>
      <c r="X43" s="54" t="s">
        <v>1434</v>
      </c>
      <c r="Y43" s="49" t="n">
        <v>0.75</v>
      </c>
      <c r="Z43" s="49" t="n">
        <v>1</v>
      </c>
      <c r="AA43" s="50" t="s">
        <v>681</v>
      </c>
      <c r="AB43" s="50" t="s">
        <v>683</v>
      </c>
      <c r="AC43" s="50"/>
      <c r="AD43" s="50"/>
      <c r="AE43" s="50"/>
      <c r="AF43" s="50"/>
      <c r="AG43" s="50"/>
      <c r="AH43" s="50"/>
      <c r="AI43" s="50"/>
      <c r="AJ43" s="50"/>
      <c r="AK43" s="50" t="s">
        <v>1504</v>
      </c>
      <c r="AL43" s="50" t="s">
        <v>1455</v>
      </c>
      <c r="AM43" s="50"/>
      <c r="AN43" s="50"/>
      <c r="AO43" s="50"/>
      <c r="AP43" s="50"/>
      <c r="AQ43" s="50"/>
      <c r="AR43" s="50"/>
      <c r="AS43" s="50"/>
      <c r="AT43" s="50" t="str">
        <f aca="false">IFERROR(IF(AND(AN43&gt;0,J43&gt;0),ROUND(J43*1000/(AN43*0.2),0),""),"")</f>
        <v/>
      </c>
      <c r="AU43" s="50" t="str">
        <f aca="false">IFERROR(IF(AND(AQ43&gt;0,M43&gt;0),ROUND(M43*1000/(AQ43*0.3),0),""),"")</f>
        <v/>
      </c>
      <c r="AV43" s="50" t="str">
        <f aca="false">IFERROR(IF(AND(AM43&gt;0,O43&gt;0),ROUND(O43*1000/(AM43*0.1),0),""),"")</f>
        <v/>
      </c>
      <c r="AW43" s="50" t="str">
        <f aca="false">IFERROR(IF(AND(AP43&gt;0,N43&gt;0),ROUND(N43*1000/(AP43*0.25),0),""),"")</f>
        <v/>
      </c>
      <c r="AX43" s="50" t="str">
        <f aca="false">IFERROR(IF(AND(AO43&gt;0,Q43&gt;0),ROUND(Q43*1000/(AO43*1),0),""),"")</f>
        <v/>
      </c>
      <c r="AY43" s="51" t="n">
        <f aca="false">IFERROR(ifs(I43="Tier S",0.65,I43="Tier 1",0.55,I43="Tier 2",0.45,I43="Tier 3",0.35,I43="Tier 4",0.25),0.35)</f>
        <v>0.35</v>
      </c>
      <c r="AZ43" s="52" t="n">
        <v>1</v>
      </c>
      <c r="BA43" s="52" t="n">
        <v>1</v>
      </c>
      <c r="BB43" s="52" t="n">
        <v>1</v>
      </c>
      <c r="BC43" s="53" t="n">
        <f aca="false">IFERROR(ROUND(S43*AY43*BA43*BB43*AZ43,0),0)</f>
        <v>6738</v>
      </c>
      <c r="BD43" s="39" t="str">
        <f aca="false">IF(COUNT(AM43,AN43,AO43,AP43,AQ43,AR43,AS43)&gt;0,"estimated","pending")</f>
        <v>pending</v>
      </c>
      <c r="BE43" s="50"/>
    </row>
    <row r="44" customFormat="false" ht="15" hidden="false" customHeight="true" outlineLevel="0" collapsed="false">
      <c r="B44" s="54" t="n">
        <f aca="false">IF($C44="","",COUNTA($C$6:C44))</f>
        <v>39</v>
      </c>
      <c r="C44" s="54" t="s">
        <v>685</v>
      </c>
      <c r="D44" s="54" t="s">
        <v>208</v>
      </c>
      <c r="E44" s="54" t="s">
        <v>684</v>
      </c>
      <c r="F44" s="54" t="s">
        <v>684</v>
      </c>
      <c r="G44" s="54" t="s">
        <v>1505</v>
      </c>
      <c r="H44" s="54" t="n">
        <v>2</v>
      </c>
      <c r="I44" s="55" t="s">
        <v>337</v>
      </c>
      <c r="J44" s="56" t="n">
        <v>5200</v>
      </c>
      <c r="K44" s="56" t="n">
        <v>2200</v>
      </c>
      <c r="L44" s="57" t="n">
        <f aca="false">IF(J44="","",ROUND(J44*0.17,0))</f>
        <v>884</v>
      </c>
      <c r="M44" s="56" t="n">
        <v>4050</v>
      </c>
      <c r="N44" s="56" t="n">
        <v>1650</v>
      </c>
      <c r="O44" s="56" t="n">
        <v>1050</v>
      </c>
      <c r="P44" s="56" t="n">
        <v>1050</v>
      </c>
      <c r="Q44" s="56" t="n">
        <v>7550</v>
      </c>
      <c r="R44" s="56" t="n">
        <v>3400</v>
      </c>
      <c r="S44" s="57" t="n">
        <f aca="false">IF(J44="","",ROUND(J44*2.2,0))</f>
        <v>11440</v>
      </c>
      <c r="T44" s="56" t="n">
        <v>1800</v>
      </c>
      <c r="U44" s="56" t="n">
        <v>1550</v>
      </c>
      <c r="V44" s="56" t="n">
        <v>950</v>
      </c>
      <c r="W44" s="56" t="n">
        <v>2400</v>
      </c>
      <c r="X44" s="54" t="s">
        <v>1428</v>
      </c>
      <c r="Y44" s="49" t="n">
        <v>0.75</v>
      </c>
      <c r="Z44" s="49" t="n">
        <v>1</v>
      </c>
      <c r="AA44" s="50" t="s">
        <v>1506</v>
      </c>
      <c r="AB44" s="50" t="s">
        <v>688</v>
      </c>
      <c r="AC44" s="50" t="s">
        <v>1507</v>
      </c>
      <c r="AD44" s="50"/>
      <c r="AE44" s="50"/>
      <c r="AF44" s="50"/>
      <c r="AG44" s="50"/>
      <c r="AH44" s="50" t="s">
        <v>691</v>
      </c>
      <c r="AI44" s="50"/>
      <c r="AJ44" s="50"/>
      <c r="AK44" s="50" t="s">
        <v>1508</v>
      </c>
      <c r="AL44" s="50"/>
      <c r="AM44" s="50"/>
      <c r="AN44" s="50"/>
      <c r="AO44" s="50"/>
      <c r="AP44" s="50"/>
      <c r="AQ44" s="50"/>
      <c r="AR44" s="50"/>
      <c r="AS44" s="50"/>
      <c r="AT44" s="50" t="str">
        <f aca="false">IFERROR(IF(AND(AN44&gt;0,J44&gt;0),ROUND(J44*1000/(AN44*0.2),0),""),"")</f>
        <v/>
      </c>
      <c r="AU44" s="50" t="str">
        <f aca="false">IFERROR(IF(AND(AQ44&gt;0,M44&gt;0),ROUND(M44*1000/(AQ44*0.3),0),""),"")</f>
        <v/>
      </c>
      <c r="AV44" s="50" t="str">
        <f aca="false">IFERROR(IF(AND(AM44&gt;0,O44&gt;0),ROUND(O44*1000/(AM44*0.1),0),""),"")</f>
        <v/>
      </c>
      <c r="AW44" s="50" t="str">
        <f aca="false">IFERROR(IF(AND(AP44&gt;0,N44&gt;0),ROUND(N44*1000/(AP44*0.25),0),""),"")</f>
        <v/>
      </c>
      <c r="AX44" s="50" t="str">
        <f aca="false">IFERROR(IF(AND(AO44&gt;0,Q44&gt;0),ROUND(Q44*1000/(AO44*1),0),""),"")</f>
        <v/>
      </c>
      <c r="AY44" s="51" t="n">
        <f aca="false">IFERROR(ifs(I44="Tier S",0.65,I44="Tier 1",0.55,I44="Tier 2",0.45,I44="Tier 3",0.35,I44="Tier 4",0.25),0.35)</f>
        <v>0.35</v>
      </c>
      <c r="AZ44" s="52" t="n">
        <v>1</v>
      </c>
      <c r="BA44" s="52" t="n">
        <v>1</v>
      </c>
      <c r="BB44" s="52" t="n">
        <v>1</v>
      </c>
      <c r="BC44" s="53" t="n">
        <f aca="false">IFERROR(ROUND(S44*AY44*BA44*BB44*AZ44,0),0)</f>
        <v>4004</v>
      </c>
      <c r="BD44" s="39" t="str">
        <f aca="false">IF(COUNT(AM44,AN44,AO44,AP44,AQ44,AR44,AS44)&gt;0,"estimated","pending")</f>
        <v>pending</v>
      </c>
      <c r="BE44" s="50"/>
    </row>
    <row r="45" customFormat="false" ht="15" hidden="false" customHeight="true" outlineLevel="0" collapsed="false">
      <c r="B45" s="54" t="n">
        <f aca="false">IF($C45="","",COUNTA($C$6:C45))</f>
        <v>40</v>
      </c>
      <c r="C45" s="54" t="s">
        <v>692</v>
      </c>
      <c r="D45" s="54" t="s">
        <v>208</v>
      </c>
      <c r="E45" s="54" t="s">
        <v>684</v>
      </c>
      <c r="F45" s="54" t="s">
        <v>684</v>
      </c>
      <c r="G45" s="54" t="s">
        <v>1453</v>
      </c>
      <c r="H45" s="54" t="n">
        <v>2</v>
      </c>
      <c r="I45" s="55" t="s">
        <v>337</v>
      </c>
      <c r="J45" s="56" t="n">
        <v>11000</v>
      </c>
      <c r="K45" s="56" t="n">
        <v>4600</v>
      </c>
      <c r="L45" s="57" t="n">
        <f aca="false">IF(J45="","",ROUND(J45*0.17,0))</f>
        <v>1870</v>
      </c>
      <c r="M45" s="56" t="n">
        <v>8600</v>
      </c>
      <c r="N45" s="56" t="n">
        <v>3500</v>
      </c>
      <c r="O45" s="56" t="n">
        <v>2200</v>
      </c>
      <c r="P45" s="56" t="n">
        <v>2200</v>
      </c>
      <c r="Q45" s="56" t="n">
        <v>15950</v>
      </c>
      <c r="R45" s="56" t="n">
        <v>7150</v>
      </c>
      <c r="S45" s="57" t="n">
        <f aca="false">IF(J45="","",ROUND(J45*2.2,0))</f>
        <v>24200</v>
      </c>
      <c r="T45" s="56" t="n">
        <v>3850</v>
      </c>
      <c r="U45" s="56" t="n">
        <v>3300</v>
      </c>
      <c r="V45" s="56" t="n">
        <v>2000</v>
      </c>
      <c r="W45" s="56" t="n">
        <v>2400</v>
      </c>
      <c r="X45" s="54" t="s">
        <v>1428</v>
      </c>
      <c r="Y45" s="49" t="n">
        <v>0.75</v>
      </c>
      <c r="Z45" s="49" t="n">
        <v>1</v>
      </c>
      <c r="AA45" s="50" t="s">
        <v>693</v>
      </c>
      <c r="AB45" s="50" t="s">
        <v>695</v>
      </c>
      <c r="AC45" s="50" t="s">
        <v>1509</v>
      </c>
      <c r="AD45" s="50" t="s">
        <v>698</v>
      </c>
      <c r="AE45" s="50"/>
      <c r="AF45" s="50"/>
      <c r="AG45" s="50"/>
      <c r="AH45" s="50"/>
      <c r="AI45" s="50"/>
      <c r="AJ45" s="50"/>
      <c r="AK45" s="50" t="s">
        <v>1510</v>
      </c>
      <c r="AL45" s="50"/>
      <c r="AM45" s="50"/>
      <c r="AN45" s="50"/>
      <c r="AO45" s="50"/>
      <c r="AP45" s="50"/>
      <c r="AQ45" s="50"/>
      <c r="AR45" s="50"/>
      <c r="AS45" s="50"/>
      <c r="AT45" s="50" t="str">
        <f aca="false">IFERROR(IF(AND(AN45&gt;0,J45&gt;0),ROUND(J45*1000/(AN45*0.2),0),""),"")</f>
        <v/>
      </c>
      <c r="AU45" s="50" t="str">
        <f aca="false">IFERROR(IF(AND(AQ45&gt;0,M45&gt;0),ROUND(M45*1000/(AQ45*0.3),0),""),"")</f>
        <v/>
      </c>
      <c r="AV45" s="50" t="str">
        <f aca="false">IFERROR(IF(AND(AM45&gt;0,O45&gt;0),ROUND(O45*1000/(AM45*0.1),0),""),"")</f>
        <v/>
      </c>
      <c r="AW45" s="50" t="str">
        <f aca="false">IFERROR(IF(AND(AP45&gt;0,N45&gt;0),ROUND(N45*1000/(AP45*0.25),0),""),"")</f>
        <v/>
      </c>
      <c r="AX45" s="50" t="str">
        <f aca="false">IFERROR(IF(AND(AO45&gt;0,Q45&gt;0),ROUND(Q45*1000/(AO45*1),0),""),"")</f>
        <v/>
      </c>
      <c r="AY45" s="51" t="n">
        <f aca="false">IFERROR(ifs(I45="Tier S",0.65,I45="Tier 1",0.55,I45="Tier 2",0.45,I45="Tier 3",0.35,I45="Tier 4",0.25),0.35)</f>
        <v>0.35</v>
      </c>
      <c r="AZ45" s="52" t="n">
        <v>1</v>
      </c>
      <c r="BA45" s="52" t="n">
        <v>1</v>
      </c>
      <c r="BB45" s="52" t="n">
        <v>1</v>
      </c>
      <c r="BC45" s="53" t="n">
        <f aca="false">IFERROR(ROUND(S45*AY45*BA45*BB45*AZ45,0),0)</f>
        <v>8470</v>
      </c>
      <c r="BD45" s="39" t="str">
        <f aca="false">IF(COUNT(AM45,AN45,AO45,AP45,AQ45,AR45,AS45)&gt;0,"estimated","pending")</f>
        <v>pending</v>
      </c>
      <c r="BE45" s="50"/>
    </row>
    <row r="46" customFormat="false" ht="15" hidden="false" customHeight="true" outlineLevel="0" collapsed="false">
      <c r="B46" s="54" t="n">
        <f aca="false">IF($C46="","",COUNTA($C$6:C46))</f>
        <v>41</v>
      </c>
      <c r="C46" s="54" t="s">
        <v>699</v>
      </c>
      <c r="D46" s="54" t="s">
        <v>208</v>
      </c>
      <c r="E46" s="54" t="s">
        <v>684</v>
      </c>
      <c r="F46" s="54" t="s">
        <v>684</v>
      </c>
      <c r="G46" s="54" t="s">
        <v>1511</v>
      </c>
      <c r="H46" s="54" t="n">
        <v>2</v>
      </c>
      <c r="I46" s="55" t="s">
        <v>337</v>
      </c>
      <c r="J46" s="56" t="n">
        <v>11000</v>
      </c>
      <c r="K46" s="56" t="n">
        <v>4600</v>
      </c>
      <c r="L46" s="57" t="n">
        <f aca="false">IF(J46="","",ROUND(J46*0.17,0))</f>
        <v>1870</v>
      </c>
      <c r="M46" s="56" t="n">
        <v>8600</v>
      </c>
      <c r="N46" s="56" t="n">
        <v>3500</v>
      </c>
      <c r="O46" s="56" t="n">
        <v>2200</v>
      </c>
      <c r="P46" s="56" t="n">
        <v>2200</v>
      </c>
      <c r="Q46" s="56" t="n">
        <v>15950</v>
      </c>
      <c r="R46" s="56" t="n">
        <v>7150</v>
      </c>
      <c r="S46" s="57" t="n">
        <f aca="false">IF(J46="","",ROUND(J46*2.2,0))</f>
        <v>24200</v>
      </c>
      <c r="T46" s="56" t="n">
        <v>3850</v>
      </c>
      <c r="U46" s="56" t="n">
        <v>3300</v>
      </c>
      <c r="V46" s="56" t="n">
        <v>2000</v>
      </c>
      <c r="W46" s="56" t="n">
        <v>2400</v>
      </c>
      <c r="X46" s="54" t="s">
        <v>1428</v>
      </c>
      <c r="Y46" s="49" t="n">
        <v>0.75</v>
      </c>
      <c r="Z46" s="49" t="n">
        <v>1</v>
      </c>
      <c r="AA46" s="50" t="s">
        <v>700</v>
      </c>
      <c r="AB46" s="50" t="s">
        <v>702</v>
      </c>
      <c r="AC46" s="50" t="s">
        <v>1512</v>
      </c>
      <c r="AD46" s="50" t="s">
        <v>706</v>
      </c>
      <c r="AE46" s="50"/>
      <c r="AF46" s="50"/>
      <c r="AG46" s="50"/>
      <c r="AH46" s="50"/>
      <c r="AI46" s="50"/>
      <c r="AJ46" s="50"/>
      <c r="AK46" s="50" t="s">
        <v>1513</v>
      </c>
      <c r="AL46" s="50"/>
      <c r="AM46" s="50"/>
      <c r="AN46" s="50"/>
      <c r="AO46" s="50"/>
      <c r="AP46" s="50"/>
      <c r="AQ46" s="50"/>
      <c r="AR46" s="50"/>
      <c r="AS46" s="50"/>
      <c r="AT46" s="50" t="str">
        <f aca="false">IFERROR(IF(AND(AN46&gt;0,J46&gt;0),ROUND(J46*1000/(AN46*0.2),0),""),"")</f>
        <v/>
      </c>
      <c r="AU46" s="50" t="str">
        <f aca="false">IFERROR(IF(AND(AQ46&gt;0,M46&gt;0),ROUND(M46*1000/(AQ46*0.3),0),""),"")</f>
        <v/>
      </c>
      <c r="AV46" s="50" t="str">
        <f aca="false">IFERROR(IF(AND(AM46&gt;0,O46&gt;0),ROUND(O46*1000/(AM46*0.1),0),""),"")</f>
        <v/>
      </c>
      <c r="AW46" s="50" t="str">
        <f aca="false">IFERROR(IF(AND(AP46&gt;0,N46&gt;0),ROUND(N46*1000/(AP46*0.25),0),""),"")</f>
        <v/>
      </c>
      <c r="AX46" s="50" t="str">
        <f aca="false">IFERROR(IF(AND(AO46&gt;0,Q46&gt;0),ROUND(Q46*1000/(AO46*1),0),""),"")</f>
        <v/>
      </c>
      <c r="AY46" s="51" t="n">
        <f aca="false">IFERROR(ifs(I46="Tier S",0.65,I46="Tier 1",0.55,I46="Tier 2",0.45,I46="Tier 3",0.35,I46="Tier 4",0.25),0.35)</f>
        <v>0.35</v>
      </c>
      <c r="AZ46" s="52" t="n">
        <v>1</v>
      </c>
      <c r="BA46" s="52" t="n">
        <v>1</v>
      </c>
      <c r="BB46" s="52" t="n">
        <v>1</v>
      </c>
      <c r="BC46" s="53" t="n">
        <f aca="false">IFERROR(ROUND(S46*AY46*BA46*BB46*AZ46,0),0)</f>
        <v>8470</v>
      </c>
      <c r="BD46" s="39" t="str">
        <f aca="false">IF(COUNT(AM46,AN46,AO46,AP46,AQ46,AR46,AS46)&gt;0,"estimated","pending")</f>
        <v>pending</v>
      </c>
      <c r="BE46" s="50"/>
    </row>
    <row r="47" customFormat="false" ht="15" hidden="false" customHeight="true" outlineLevel="0" collapsed="false">
      <c r="B47" s="54" t="n">
        <f aca="false">IF($C47="","",COUNTA($C$6:C47))</f>
        <v>42</v>
      </c>
      <c r="C47" s="54" t="s">
        <v>707</v>
      </c>
      <c r="D47" s="54" t="s">
        <v>208</v>
      </c>
      <c r="E47" s="54" t="s">
        <v>684</v>
      </c>
      <c r="F47" s="54" t="s">
        <v>684</v>
      </c>
      <c r="G47" s="54" t="s">
        <v>1468</v>
      </c>
      <c r="H47" s="54" t="n">
        <v>3</v>
      </c>
      <c r="I47" s="55" t="s">
        <v>269</v>
      </c>
      <c r="J47" s="56" t="n">
        <v>12100</v>
      </c>
      <c r="K47" s="56" t="n">
        <v>5100</v>
      </c>
      <c r="L47" s="57" t="n">
        <f aca="false">IF(J47="","",ROUND(J47*0.17,0))</f>
        <v>2057</v>
      </c>
      <c r="M47" s="56" t="n">
        <v>9450</v>
      </c>
      <c r="N47" s="56" t="n">
        <v>3850</v>
      </c>
      <c r="O47" s="56" t="n">
        <v>2400</v>
      </c>
      <c r="P47" s="56" t="n">
        <v>2400</v>
      </c>
      <c r="Q47" s="56" t="n">
        <v>17550</v>
      </c>
      <c r="R47" s="56" t="n">
        <v>7850</v>
      </c>
      <c r="S47" s="57" t="n">
        <f aca="false">IF(J47="","",ROUND(J47*2.2,0))</f>
        <v>26620</v>
      </c>
      <c r="T47" s="56" t="n">
        <v>4250</v>
      </c>
      <c r="U47" s="56" t="n">
        <v>3650</v>
      </c>
      <c r="V47" s="56" t="n">
        <v>2200</v>
      </c>
      <c r="W47" s="56" t="n">
        <v>2400</v>
      </c>
      <c r="X47" s="54" t="s">
        <v>1383</v>
      </c>
      <c r="Y47" s="49" t="n">
        <v>0.75</v>
      </c>
      <c r="Z47" s="49" t="n">
        <v>1</v>
      </c>
      <c r="AA47" s="50" t="s">
        <v>708</v>
      </c>
      <c r="AB47" s="50" t="s">
        <v>710</v>
      </c>
      <c r="AC47" s="50" t="s">
        <v>1514</v>
      </c>
      <c r="AD47" s="50" t="s">
        <v>714</v>
      </c>
      <c r="AE47" s="50" t="s">
        <v>1515</v>
      </c>
      <c r="AF47" s="50"/>
      <c r="AG47" s="50"/>
      <c r="AH47" s="50" t="s">
        <v>716</v>
      </c>
      <c r="AI47" s="50"/>
      <c r="AJ47" s="50"/>
      <c r="AK47" s="50" t="s">
        <v>1516</v>
      </c>
      <c r="AL47" s="50"/>
      <c r="AM47" s="50"/>
      <c r="AN47" s="50"/>
      <c r="AO47" s="50"/>
      <c r="AP47" s="50"/>
      <c r="AQ47" s="50"/>
      <c r="AR47" s="50"/>
      <c r="AS47" s="50"/>
      <c r="AT47" s="50" t="str">
        <f aca="false">IFERROR(IF(AND(AN47&gt;0,J47&gt;0),ROUND(J47*1000/(AN47*0.2),0),""),"")</f>
        <v/>
      </c>
      <c r="AU47" s="50" t="str">
        <f aca="false">IFERROR(IF(AND(AQ47&gt;0,M47&gt;0),ROUND(M47*1000/(AQ47*0.3),0),""),"")</f>
        <v/>
      </c>
      <c r="AV47" s="50" t="str">
        <f aca="false">IFERROR(IF(AND(AM47&gt;0,O47&gt;0),ROUND(O47*1000/(AM47*0.1),0),""),"")</f>
        <v/>
      </c>
      <c r="AW47" s="50" t="str">
        <f aca="false">IFERROR(IF(AND(AP47&gt;0,N47&gt;0),ROUND(N47*1000/(AP47*0.25),0),""),"")</f>
        <v/>
      </c>
      <c r="AX47" s="50" t="str">
        <f aca="false">IFERROR(IF(AND(AO47&gt;0,Q47&gt;0),ROUND(Q47*1000/(AO47*1),0),""),"")</f>
        <v/>
      </c>
      <c r="AY47" s="51" t="n">
        <f aca="false">IFERROR(ifs(I47="Tier S",0.65,I47="Tier 1",0.55,I47="Tier 2",0.45,I47="Tier 3",0.35,I47="Tier 4",0.25),0.35)</f>
        <v>0.35</v>
      </c>
      <c r="AZ47" s="52" t="n">
        <v>1</v>
      </c>
      <c r="BA47" s="52" t="n">
        <v>1</v>
      </c>
      <c r="BB47" s="52" t="n">
        <v>1</v>
      </c>
      <c r="BC47" s="53" t="n">
        <f aca="false">IFERROR(ROUND(S47*AY47*BA47*BB47*AZ47,0),0)</f>
        <v>9317</v>
      </c>
      <c r="BD47" s="39" t="str">
        <f aca="false">IF(COUNT(AM47,AN47,AO47,AP47,AQ47,AR47,AS47)&gt;0,"estimated","pending")</f>
        <v>pending</v>
      </c>
      <c r="BE47" s="50"/>
    </row>
    <row r="48" customFormat="false" ht="15" hidden="false" customHeight="true" outlineLevel="0" collapsed="false">
      <c r="B48" s="54" t="n">
        <f aca="false">IF($C48="","",COUNTA($C$6:C48))</f>
        <v>43</v>
      </c>
      <c r="C48" s="54" t="s">
        <v>717</v>
      </c>
      <c r="D48" s="54" t="s">
        <v>208</v>
      </c>
      <c r="E48" s="54" t="s">
        <v>684</v>
      </c>
      <c r="F48" s="54" t="s">
        <v>684</v>
      </c>
      <c r="G48" s="54" t="s">
        <v>1517</v>
      </c>
      <c r="H48" s="54" t="n">
        <v>2</v>
      </c>
      <c r="I48" s="55" t="s">
        <v>337</v>
      </c>
      <c r="J48" s="56" t="n">
        <v>20700</v>
      </c>
      <c r="K48" s="56" t="n">
        <v>8700</v>
      </c>
      <c r="L48" s="57" t="n">
        <f aca="false">IF(J48="","",ROUND(J48*0.17,0))</f>
        <v>3519</v>
      </c>
      <c r="M48" s="56" t="n">
        <v>16150</v>
      </c>
      <c r="N48" s="56" t="n">
        <v>6600</v>
      </c>
      <c r="O48" s="56" t="n">
        <v>4150</v>
      </c>
      <c r="P48" s="56" t="n">
        <v>4150</v>
      </c>
      <c r="Q48" s="56" t="n">
        <v>30000</v>
      </c>
      <c r="R48" s="56" t="n">
        <v>13450</v>
      </c>
      <c r="S48" s="57" t="n">
        <f aca="false">IF(J48="","",ROUND(J48*2.2,0))</f>
        <v>45540</v>
      </c>
      <c r="T48" s="56" t="n">
        <v>7250</v>
      </c>
      <c r="U48" s="56" t="n">
        <v>6200</v>
      </c>
      <c r="V48" s="56" t="n">
        <v>3750</v>
      </c>
      <c r="W48" s="56" t="n">
        <v>2400</v>
      </c>
      <c r="X48" s="54" t="s">
        <v>1428</v>
      </c>
      <c r="Y48" s="49" t="n">
        <v>0.75</v>
      </c>
      <c r="Z48" s="49" t="n">
        <v>1</v>
      </c>
      <c r="AA48" s="50" t="s">
        <v>718</v>
      </c>
      <c r="AB48" s="50" t="s">
        <v>720</v>
      </c>
      <c r="AC48" s="50"/>
      <c r="AD48" s="50" t="s">
        <v>722</v>
      </c>
      <c r="AE48" s="50"/>
      <c r="AF48" s="50"/>
      <c r="AG48" s="50"/>
      <c r="AH48" s="50"/>
      <c r="AI48" s="50"/>
      <c r="AJ48" s="50"/>
      <c r="AK48" s="50" t="s">
        <v>1518</v>
      </c>
      <c r="AL48" s="50"/>
      <c r="AM48" s="50"/>
      <c r="AN48" s="50"/>
      <c r="AO48" s="50"/>
      <c r="AP48" s="50"/>
      <c r="AQ48" s="50"/>
      <c r="AR48" s="50"/>
      <c r="AS48" s="50"/>
      <c r="AT48" s="50" t="str">
        <f aca="false">IFERROR(IF(AND(AN48&gt;0,J48&gt;0),ROUND(J48*1000/(AN48*0.2),0),""),"")</f>
        <v/>
      </c>
      <c r="AU48" s="50" t="str">
        <f aca="false">IFERROR(IF(AND(AQ48&gt;0,M48&gt;0),ROUND(M48*1000/(AQ48*0.3),0),""),"")</f>
        <v/>
      </c>
      <c r="AV48" s="50" t="str">
        <f aca="false">IFERROR(IF(AND(AM48&gt;0,O48&gt;0),ROUND(O48*1000/(AM48*0.1),0),""),"")</f>
        <v/>
      </c>
      <c r="AW48" s="50" t="str">
        <f aca="false">IFERROR(IF(AND(AP48&gt;0,N48&gt;0),ROUND(N48*1000/(AP48*0.25),0),""),"")</f>
        <v/>
      </c>
      <c r="AX48" s="50" t="str">
        <f aca="false">IFERROR(IF(AND(AO48&gt;0,Q48&gt;0),ROUND(Q48*1000/(AO48*1),0),""),"")</f>
        <v/>
      </c>
      <c r="AY48" s="51" t="n">
        <f aca="false">IFERROR(ifs(I48="Tier S",0.65,I48="Tier 1",0.55,I48="Tier 2",0.45,I48="Tier 3",0.35,I48="Tier 4",0.25),0.35)</f>
        <v>0.35</v>
      </c>
      <c r="AZ48" s="52" t="n">
        <v>1</v>
      </c>
      <c r="BA48" s="52" t="n">
        <v>1</v>
      </c>
      <c r="BB48" s="52" t="n">
        <v>1</v>
      </c>
      <c r="BC48" s="53" t="n">
        <f aca="false">IFERROR(ROUND(S48*AY48*BA48*BB48*AZ48,0),0)</f>
        <v>15939</v>
      </c>
      <c r="BD48" s="39" t="str">
        <f aca="false">IF(COUNT(AM48,AN48,AO48,AP48,AQ48,AR48,AS48)&gt;0,"estimated","pending")</f>
        <v>pending</v>
      </c>
      <c r="BE48" s="50"/>
    </row>
    <row r="49" customFormat="false" ht="15" hidden="false" customHeight="true" outlineLevel="0" collapsed="false">
      <c r="B49" s="62" t="n">
        <f aca="false">IF($C49="","",COUNTA($C$6:C49))</f>
        <v>44</v>
      </c>
      <c r="C49" s="62" t="s">
        <v>1519</v>
      </c>
      <c r="D49" s="62" t="s">
        <v>1478</v>
      </c>
      <c r="E49" s="62" t="s">
        <v>684</v>
      </c>
      <c r="F49" s="62" t="s">
        <v>684</v>
      </c>
      <c r="G49" s="62" t="s">
        <v>1520</v>
      </c>
      <c r="H49" s="62" t="n">
        <v>2</v>
      </c>
      <c r="I49" s="63" t="s">
        <v>337</v>
      </c>
      <c r="J49" s="64" t="n">
        <v>11000</v>
      </c>
      <c r="K49" s="64" t="n">
        <v>4600</v>
      </c>
      <c r="L49" s="65" t="n">
        <f aca="false">IF(J49="","",ROUND(J49*0.17,0))</f>
        <v>1870</v>
      </c>
      <c r="M49" s="64" t="n">
        <v>8600</v>
      </c>
      <c r="N49" s="64" t="n">
        <v>3500</v>
      </c>
      <c r="O49" s="64" t="n">
        <v>2200</v>
      </c>
      <c r="P49" s="64" t="n">
        <v>0</v>
      </c>
      <c r="Q49" s="64" t="n">
        <v>15950</v>
      </c>
      <c r="R49" s="64" t="n">
        <v>7150</v>
      </c>
      <c r="S49" s="65" t="n">
        <f aca="false">IF(J49="","",ROUND(J49*2.2,0))</f>
        <v>24200</v>
      </c>
      <c r="T49" s="64" t="n">
        <v>3850</v>
      </c>
      <c r="U49" s="64" t="n">
        <v>3300</v>
      </c>
      <c r="V49" s="64" t="n">
        <v>2000</v>
      </c>
      <c r="W49" s="64" t="n">
        <v>0</v>
      </c>
      <c r="X49" s="62" t="s">
        <v>1428</v>
      </c>
      <c r="Y49" s="49" t="n">
        <v>0.75</v>
      </c>
      <c r="Z49" s="49" t="n">
        <v>1</v>
      </c>
      <c r="AA49" s="50" t="s">
        <v>1521</v>
      </c>
      <c r="AB49" s="50" t="s">
        <v>1522</v>
      </c>
      <c r="AC49" s="50"/>
      <c r="AD49" s="50" t="s">
        <v>1523</v>
      </c>
      <c r="AE49" s="50" t="s">
        <v>1524</v>
      </c>
      <c r="AF49" s="50"/>
      <c r="AG49" s="50"/>
      <c r="AH49" s="50"/>
      <c r="AI49" s="50"/>
      <c r="AJ49" s="50"/>
      <c r="AK49" s="50" t="s">
        <v>1525</v>
      </c>
      <c r="AL49" s="50"/>
      <c r="AM49" s="50"/>
      <c r="AN49" s="50"/>
      <c r="AO49" s="50"/>
      <c r="AP49" s="50"/>
      <c r="AQ49" s="50"/>
      <c r="AR49" s="50"/>
      <c r="AS49" s="50"/>
      <c r="AT49" s="50" t="str">
        <f aca="false">IFERROR(IF(AND(AN49&gt;0,J49&gt;0),ROUND(J49*1000/(AN49*0.2),0),""),"")</f>
        <v/>
      </c>
      <c r="AU49" s="50" t="str">
        <f aca="false">IFERROR(IF(AND(AQ49&gt;0,M49&gt;0),ROUND(M49*1000/(AQ49*0.3),0),""),"")</f>
        <v/>
      </c>
      <c r="AV49" s="50" t="str">
        <f aca="false">IFERROR(IF(AND(AM49&gt;0,O49&gt;0),ROUND(O49*1000/(AM49*0.1),0),""),"")</f>
        <v/>
      </c>
      <c r="AW49" s="50" t="str">
        <f aca="false">IFERROR(IF(AND(AP49&gt;0,N49&gt;0),ROUND(N49*1000/(AP49*0.25),0),""),"")</f>
        <v/>
      </c>
      <c r="AX49" s="50" t="str">
        <f aca="false">IFERROR(IF(AND(AO49&gt;0,Q49&gt;0),ROUND(Q49*1000/(AO49*1),0),""),"")</f>
        <v/>
      </c>
      <c r="AY49" s="51" t="n">
        <f aca="false">IFERROR(ifs(I49="Tier S",0.65,I49="Tier 1",0.55,I49="Tier 2",0.45,I49="Tier 3",0.35,I49="Tier 4",0.25),0.35)</f>
        <v>0.35</v>
      </c>
      <c r="AZ49" s="52" t="n">
        <v>1</v>
      </c>
      <c r="BA49" s="52" t="n">
        <v>1</v>
      </c>
      <c r="BB49" s="52" t="n">
        <v>1</v>
      </c>
      <c r="BC49" s="53" t="n">
        <f aca="false">IFERROR(ROUND(S49*AY49*BA49*BB49*AZ49,0),0)</f>
        <v>8470</v>
      </c>
      <c r="BD49" s="39" t="str">
        <f aca="false">IF(COUNT(AM49,AN49,AO49,AP49,AQ49,AR49,AS49)&gt;0,"estimated","pending")</f>
        <v>pending</v>
      </c>
      <c r="BE49" s="50"/>
    </row>
    <row r="50" customFormat="false" ht="15" hidden="false" customHeight="true" outlineLevel="0" collapsed="false">
      <c r="B50" s="58" t="n">
        <f aca="false">IF($C50="","",COUNTA($C$6:C50))</f>
        <v>45</v>
      </c>
      <c r="C50" s="58" t="s">
        <v>1526</v>
      </c>
      <c r="D50" s="58" t="s">
        <v>1439</v>
      </c>
      <c r="E50" s="58" t="s">
        <v>684</v>
      </c>
      <c r="F50" s="58" t="s">
        <v>684</v>
      </c>
      <c r="G50" s="58" t="s">
        <v>1511</v>
      </c>
      <c r="H50" s="58" t="n">
        <v>3</v>
      </c>
      <c r="I50" s="59" t="s">
        <v>337</v>
      </c>
      <c r="J50" s="60" t="n">
        <v>0</v>
      </c>
      <c r="K50" s="60" t="n">
        <v>0</v>
      </c>
      <c r="L50" s="61" t="n">
        <f aca="false">IF(J50="","",ROUND(J50*0.17,0))</f>
        <v>0</v>
      </c>
      <c r="M50" s="60" t="n">
        <v>0</v>
      </c>
      <c r="N50" s="60" t="n">
        <v>0</v>
      </c>
      <c r="O50" s="60" t="n">
        <v>0</v>
      </c>
      <c r="P50" s="60" t="n">
        <v>0</v>
      </c>
      <c r="Q50" s="60" t="n">
        <v>0</v>
      </c>
      <c r="R50" s="60" t="n">
        <v>0</v>
      </c>
      <c r="S50" s="61" t="n">
        <f aca="false">IF(J50="","",ROUND(J50*2.2,0))</f>
        <v>0</v>
      </c>
      <c r="T50" s="60" t="n">
        <v>0</v>
      </c>
      <c r="U50" s="60" t="n">
        <v>0</v>
      </c>
      <c r="V50" s="60" t="n">
        <v>1200</v>
      </c>
      <c r="W50" s="60" t="n">
        <v>0</v>
      </c>
      <c r="X50" s="58" t="s">
        <v>1383</v>
      </c>
      <c r="Y50" s="49" t="n">
        <v>0.5</v>
      </c>
      <c r="Z50" s="49" t="n">
        <v>1</v>
      </c>
      <c r="AA50" s="50" t="s">
        <v>1527</v>
      </c>
      <c r="AB50" s="50" t="s">
        <v>1528</v>
      </c>
      <c r="AC50" s="50"/>
      <c r="AD50" s="50" t="s">
        <v>1529</v>
      </c>
      <c r="AE50" s="50"/>
      <c r="AF50" s="50"/>
      <c r="AG50" s="50"/>
      <c r="AH50" s="50" t="s">
        <v>1530</v>
      </c>
      <c r="AI50" s="50"/>
      <c r="AJ50" s="50"/>
      <c r="AK50" s="50" t="s">
        <v>1531</v>
      </c>
      <c r="AL50" s="50"/>
      <c r="AM50" s="50"/>
      <c r="AN50" s="50"/>
      <c r="AO50" s="50"/>
      <c r="AP50" s="50"/>
      <c r="AQ50" s="50"/>
      <c r="AR50" s="50"/>
      <c r="AS50" s="50"/>
      <c r="AT50" s="50" t="str">
        <f aca="false">IFERROR(IF(AND(AN50&gt;0,J50&gt;0),ROUND(J50*1000/(AN50*0.2),0),""),"")</f>
        <v/>
      </c>
      <c r="AU50" s="50" t="str">
        <f aca="false">IFERROR(IF(AND(AQ50&gt;0,M50&gt;0),ROUND(M50*1000/(AQ50*0.3),0),""),"")</f>
        <v/>
      </c>
      <c r="AV50" s="50" t="str">
        <f aca="false">IFERROR(IF(AND(AM50&gt;0,O50&gt;0),ROUND(O50*1000/(AM50*0.1),0),""),"")</f>
        <v/>
      </c>
      <c r="AW50" s="50" t="str">
        <f aca="false">IFERROR(IF(AND(AP50&gt;0,N50&gt;0),ROUND(N50*1000/(AP50*0.25),0),""),"")</f>
        <v/>
      </c>
      <c r="AX50" s="50" t="str">
        <f aca="false">IFERROR(IF(AND(AO50&gt;0,Q50&gt;0),ROUND(Q50*1000/(AO50*1),0),""),"")</f>
        <v/>
      </c>
      <c r="AY50" s="51" t="n">
        <f aca="false">IFERROR(ifs(I50="Tier S",0.65,I50="Tier 1",0.55,I50="Tier 2",0.45,I50="Tier 3",0.35,I50="Tier 4",0.25),0.35)</f>
        <v>0.35</v>
      </c>
      <c r="AZ50" s="52" t="n">
        <v>1</v>
      </c>
      <c r="BA50" s="52" t="n">
        <v>1</v>
      </c>
      <c r="BB50" s="52" t="n">
        <v>1</v>
      </c>
      <c r="BC50" s="53" t="n">
        <f aca="false">IFERROR(ROUND(S50*AY50*BA50*BB50*AZ50,0),0)</f>
        <v>0</v>
      </c>
      <c r="BD50" s="39" t="str">
        <f aca="false">IF(COUNT(AM50,AN50,AO50,AP50,AQ50,AR50,AS50)&gt;0,"estimated","pending")</f>
        <v>pending</v>
      </c>
      <c r="BE50" s="50"/>
    </row>
    <row r="51" customFormat="false" ht="15" hidden="false" customHeight="true" outlineLevel="0" collapsed="false">
      <c r="B51" s="66" t="n">
        <f aca="false">IF($C51="","",COUNTA($C$6:C51))</f>
        <v>46</v>
      </c>
      <c r="C51" s="66" t="s">
        <v>1532</v>
      </c>
      <c r="D51" s="66" t="s">
        <v>1533</v>
      </c>
      <c r="E51" s="66" t="s">
        <v>684</v>
      </c>
      <c r="F51" s="66" t="s">
        <v>684</v>
      </c>
      <c r="G51" s="66" t="s">
        <v>1534</v>
      </c>
      <c r="H51" s="66" t="n">
        <v>1</v>
      </c>
      <c r="I51" s="67" t="s">
        <v>1357</v>
      </c>
      <c r="J51" s="68" t="n">
        <v>0</v>
      </c>
      <c r="K51" s="68" t="n">
        <v>0</v>
      </c>
      <c r="L51" s="69" t="n">
        <f aca="false">IF(J51="","",ROUND(J51*0.17,0))</f>
        <v>0</v>
      </c>
      <c r="M51" s="68" t="n">
        <v>0</v>
      </c>
      <c r="N51" s="68" t="n">
        <v>0</v>
      </c>
      <c r="O51" s="68" t="n">
        <v>0</v>
      </c>
      <c r="P51" s="68" t="n">
        <v>0</v>
      </c>
      <c r="Q51" s="68" t="n">
        <v>0</v>
      </c>
      <c r="R51" s="68" t="n">
        <v>0</v>
      </c>
      <c r="S51" s="69" t="n">
        <f aca="false">IF(J51="","",ROUND(J51*2.2,0))</f>
        <v>0</v>
      </c>
      <c r="T51" s="68" t="n">
        <v>0</v>
      </c>
      <c r="U51" s="68" t="n">
        <v>0</v>
      </c>
      <c r="V51" s="68" t="n">
        <v>600</v>
      </c>
      <c r="W51" s="68" t="n">
        <v>0</v>
      </c>
      <c r="X51" s="66" t="s">
        <v>1434</v>
      </c>
      <c r="Y51" s="49" t="n">
        <v>0.5</v>
      </c>
      <c r="Z51" s="49" t="n">
        <v>1</v>
      </c>
      <c r="AA51" s="50" t="s">
        <v>1535</v>
      </c>
      <c r="AB51" s="50" t="s">
        <v>1536</v>
      </c>
      <c r="AC51" s="50"/>
      <c r="AD51" s="50"/>
      <c r="AE51" s="50"/>
      <c r="AF51" s="50"/>
      <c r="AG51" s="50"/>
      <c r="AH51" s="50"/>
      <c r="AI51" s="50"/>
      <c r="AJ51" s="50"/>
      <c r="AK51" s="50" t="s">
        <v>1537</v>
      </c>
      <c r="AL51" s="50"/>
      <c r="AM51" s="50"/>
      <c r="AN51" s="50"/>
      <c r="AO51" s="50"/>
      <c r="AP51" s="50"/>
      <c r="AQ51" s="50"/>
      <c r="AR51" s="50"/>
      <c r="AS51" s="50"/>
      <c r="AT51" s="50" t="str">
        <f aca="false">IFERROR(IF(AND(AN51&gt;0,J51&gt;0),ROUND(J51*1000/(AN51*0.2),0),""),"")</f>
        <v/>
      </c>
      <c r="AU51" s="50" t="str">
        <f aca="false">IFERROR(IF(AND(AQ51&gt;0,M51&gt;0),ROUND(M51*1000/(AQ51*0.3),0),""),"")</f>
        <v/>
      </c>
      <c r="AV51" s="50" t="str">
        <f aca="false">IFERROR(IF(AND(AM51&gt;0,O51&gt;0),ROUND(O51*1000/(AM51*0.1),0),""),"")</f>
        <v/>
      </c>
      <c r="AW51" s="50" t="str">
        <f aca="false">IFERROR(IF(AND(AP51&gt;0,N51&gt;0),ROUND(N51*1000/(AP51*0.25),0),""),"")</f>
        <v/>
      </c>
      <c r="AX51" s="50" t="str">
        <f aca="false">IFERROR(IF(AND(AO51&gt;0,Q51&gt;0),ROUND(Q51*1000/(AO51*1),0),""),"")</f>
        <v/>
      </c>
      <c r="AY51" s="51" t="n">
        <f aca="false">IFERROR(ifs(I51="Tier S",0.65,I51="Tier 1",0.55,I51="Tier 2",0.45,I51="Tier 3",0.35,I51="Tier 4",0.25),0.35)</f>
        <v>0.35</v>
      </c>
      <c r="AZ51" s="52" t="n">
        <v>1</v>
      </c>
      <c r="BA51" s="52" t="n">
        <v>1</v>
      </c>
      <c r="BB51" s="52" t="n">
        <v>1</v>
      </c>
      <c r="BC51" s="53" t="n">
        <f aca="false">IFERROR(ROUND(S51*AY51*BA51*BB51*AZ51,0),0)</f>
        <v>0</v>
      </c>
      <c r="BD51" s="39" t="str">
        <f aca="false">IF(COUNT(AM51,AN51,AO51,AP51,AQ51,AR51,AS51)&gt;0,"estimated","pending")</f>
        <v>pending</v>
      </c>
      <c r="BE51" s="50"/>
    </row>
    <row r="52" customFormat="false" ht="15" hidden="false" customHeight="true" outlineLevel="0" collapsed="false">
      <c r="B52" s="54" t="n">
        <f aca="false">IF($C52="","",COUNTA($C$6:C52))</f>
        <v>47</v>
      </c>
      <c r="C52" s="54" t="s">
        <v>725</v>
      </c>
      <c r="D52" s="54" t="s">
        <v>208</v>
      </c>
      <c r="E52" s="54" t="s">
        <v>723</v>
      </c>
      <c r="F52" s="54" t="s">
        <v>724</v>
      </c>
      <c r="G52" s="54" t="s">
        <v>1356</v>
      </c>
      <c r="H52" s="54" t="n">
        <v>2</v>
      </c>
      <c r="I52" s="55" t="s">
        <v>337</v>
      </c>
      <c r="J52" s="56" t="n">
        <v>11250</v>
      </c>
      <c r="K52" s="56" t="n">
        <v>4500</v>
      </c>
      <c r="L52" s="57" t="n">
        <f aca="false">IF(J52="","",ROUND(J52*0.17,0))</f>
        <v>1913</v>
      </c>
      <c r="M52" s="56" t="n">
        <v>8000</v>
      </c>
      <c r="N52" s="56" t="n">
        <v>3500</v>
      </c>
      <c r="O52" s="56" t="n">
        <v>2000</v>
      </c>
      <c r="P52" s="56" t="n">
        <v>2000</v>
      </c>
      <c r="Q52" s="56" t="n">
        <v>13500</v>
      </c>
      <c r="R52" s="56" t="n">
        <v>6075</v>
      </c>
      <c r="S52" s="57" t="n">
        <f aca="false">IF(J52="","",ROUND(J52*2.2,0))</f>
        <v>24750</v>
      </c>
      <c r="T52" s="56" t="n">
        <v>4638</v>
      </c>
      <c r="U52" s="56" t="n">
        <v>4063</v>
      </c>
      <c r="V52" s="56" t="n">
        <v>2438</v>
      </c>
      <c r="W52" s="56" t="n">
        <v>2400</v>
      </c>
      <c r="X52" s="54" t="s">
        <v>1428</v>
      </c>
      <c r="Y52" s="49" t="n">
        <v>0.3</v>
      </c>
      <c r="Z52" s="49" t="n">
        <v>1</v>
      </c>
      <c r="AA52" s="50" t="s">
        <v>726</v>
      </c>
      <c r="AB52" s="50" t="s">
        <v>728</v>
      </c>
      <c r="AC52" s="50"/>
      <c r="AD52" s="50" t="s">
        <v>730</v>
      </c>
      <c r="AE52" s="50"/>
      <c r="AF52" s="50"/>
      <c r="AG52" s="50"/>
      <c r="AH52" s="50"/>
      <c r="AI52" s="50"/>
      <c r="AJ52" s="50"/>
      <c r="AK52" s="50" t="s">
        <v>1538</v>
      </c>
      <c r="AL52" s="50"/>
      <c r="AM52" s="50"/>
      <c r="AN52" s="50"/>
      <c r="AO52" s="50"/>
      <c r="AP52" s="50"/>
      <c r="AQ52" s="50"/>
      <c r="AR52" s="50"/>
      <c r="AS52" s="50"/>
      <c r="AT52" s="50" t="str">
        <f aca="false">IFERROR(IF(AND(AN52&gt;0,J52&gt;0),ROUND(J52*1000/(AN52*0.2),0),""),"")</f>
        <v/>
      </c>
      <c r="AU52" s="50" t="str">
        <f aca="false">IFERROR(IF(AND(AQ52&gt;0,M52&gt;0),ROUND(M52*1000/(AQ52*0.3),0),""),"")</f>
        <v/>
      </c>
      <c r="AV52" s="50" t="str">
        <f aca="false">IFERROR(IF(AND(AM52&gt;0,O52&gt;0),ROUND(O52*1000/(AM52*0.1),0),""),"")</f>
        <v/>
      </c>
      <c r="AW52" s="50" t="str">
        <f aca="false">IFERROR(IF(AND(AP52&gt;0,N52&gt;0),ROUND(N52*1000/(AP52*0.25),0),""),"")</f>
        <v/>
      </c>
      <c r="AX52" s="50" t="str">
        <f aca="false">IFERROR(IF(AND(AO52&gt;0,Q52&gt;0),ROUND(Q52*1000/(AO52*1),0),""),"")</f>
        <v/>
      </c>
      <c r="AY52" s="51" t="n">
        <f aca="false">IFERROR(ifs(I52="Tier S",0.65,I52="Tier 1",0.55,I52="Tier 2",0.45,I52="Tier 3",0.35,I52="Tier 4",0.25),0.35)</f>
        <v>0.35</v>
      </c>
      <c r="AZ52" s="52" t="n">
        <v>1</v>
      </c>
      <c r="BA52" s="52" t="n">
        <v>1</v>
      </c>
      <c r="BB52" s="52" t="n">
        <v>1</v>
      </c>
      <c r="BC52" s="53" t="n">
        <f aca="false">IFERROR(ROUND(S52*AY52*BA52*BB52*AZ52,0),0)</f>
        <v>8663</v>
      </c>
      <c r="BD52" s="39" t="str">
        <f aca="false">IF(COUNT(AM52,AN52,AO52,AP52,AQ52,AR52,AS52)&gt;0,"estimated","pending")</f>
        <v>pending</v>
      </c>
      <c r="BE52" s="50"/>
    </row>
    <row r="53" customFormat="false" ht="15" hidden="false" customHeight="true" outlineLevel="0" collapsed="false">
      <c r="B53" s="62" t="n">
        <f aca="false">IF($C53="","",COUNTA($C$6:C53))</f>
        <v>48</v>
      </c>
      <c r="C53" s="62" t="s">
        <v>1539</v>
      </c>
      <c r="D53" s="62" t="s">
        <v>1540</v>
      </c>
      <c r="E53" s="62" t="s">
        <v>723</v>
      </c>
      <c r="F53" s="62" t="s">
        <v>724</v>
      </c>
      <c r="G53" s="62" t="s">
        <v>1356</v>
      </c>
      <c r="H53" s="62" t="n">
        <v>1</v>
      </c>
      <c r="I53" s="63" t="s">
        <v>1357</v>
      </c>
      <c r="J53" s="64" t="n">
        <v>12100</v>
      </c>
      <c r="K53" s="64" t="n">
        <v>5100</v>
      </c>
      <c r="L53" s="65" t="n">
        <f aca="false">IF(J53="","",ROUND(J53*0.17,0))</f>
        <v>2057</v>
      </c>
      <c r="M53" s="64" t="n">
        <v>9450</v>
      </c>
      <c r="N53" s="64" t="n">
        <v>3850</v>
      </c>
      <c r="O53" s="64" t="n">
        <v>2400</v>
      </c>
      <c r="P53" s="64" t="n">
        <v>0</v>
      </c>
      <c r="Q53" s="64" t="n">
        <v>17550</v>
      </c>
      <c r="R53" s="64" t="n">
        <v>7850</v>
      </c>
      <c r="S53" s="65" t="n">
        <f aca="false">IF(J53="","",ROUND(J53*2.2,0))</f>
        <v>26620</v>
      </c>
      <c r="T53" s="64" t="n">
        <v>4250</v>
      </c>
      <c r="U53" s="64" t="n">
        <v>3650</v>
      </c>
      <c r="V53" s="64" t="n">
        <v>2200</v>
      </c>
      <c r="W53" s="64" t="n">
        <v>0</v>
      </c>
      <c r="X53" s="62" t="s">
        <v>1434</v>
      </c>
      <c r="Y53" s="49" t="n">
        <v>0.3</v>
      </c>
      <c r="Z53" s="49" t="n">
        <v>1</v>
      </c>
      <c r="AA53" s="50" t="s">
        <v>1541</v>
      </c>
      <c r="AB53" s="50" t="s">
        <v>1542</v>
      </c>
      <c r="AC53" s="50"/>
      <c r="AD53" s="50"/>
      <c r="AE53" s="50"/>
      <c r="AF53" s="50"/>
      <c r="AG53" s="50"/>
      <c r="AH53" s="50"/>
      <c r="AI53" s="50"/>
      <c r="AJ53" s="50"/>
      <c r="AK53" s="50" t="s">
        <v>1543</v>
      </c>
      <c r="AL53" s="50"/>
      <c r="AM53" s="50"/>
      <c r="AN53" s="50"/>
      <c r="AO53" s="50"/>
      <c r="AP53" s="50"/>
      <c r="AQ53" s="50"/>
      <c r="AR53" s="50"/>
      <c r="AS53" s="50"/>
      <c r="AT53" s="50" t="str">
        <f aca="false">IFERROR(IF(AND(AN53&gt;0,J53&gt;0),ROUND(J53*1000/(AN53*0.2),0),""),"")</f>
        <v/>
      </c>
      <c r="AU53" s="50" t="str">
        <f aca="false">IFERROR(IF(AND(AQ53&gt;0,M53&gt;0),ROUND(M53*1000/(AQ53*0.3),0),""),"")</f>
        <v/>
      </c>
      <c r="AV53" s="50" t="str">
        <f aca="false">IFERROR(IF(AND(AM53&gt;0,O53&gt;0),ROUND(O53*1000/(AM53*0.1),0),""),"")</f>
        <v/>
      </c>
      <c r="AW53" s="50" t="str">
        <f aca="false">IFERROR(IF(AND(AP53&gt;0,N53&gt;0),ROUND(N53*1000/(AP53*0.25),0),""),"")</f>
        <v/>
      </c>
      <c r="AX53" s="50" t="str">
        <f aca="false">IFERROR(IF(AND(AO53&gt;0,Q53&gt;0),ROUND(Q53*1000/(AO53*1),0),""),"")</f>
        <v/>
      </c>
      <c r="AY53" s="51" t="n">
        <f aca="false">IFERROR(ifs(I53="Tier S",0.65,I53="Tier 1",0.55,I53="Tier 2",0.45,I53="Tier 3",0.35,I53="Tier 4",0.25),0.35)</f>
        <v>0.35</v>
      </c>
      <c r="AZ53" s="52" t="n">
        <v>1</v>
      </c>
      <c r="BA53" s="52" t="n">
        <v>1</v>
      </c>
      <c r="BB53" s="52" t="n">
        <v>1</v>
      </c>
      <c r="BC53" s="53" t="n">
        <f aca="false">IFERROR(ROUND(S53*AY53*BA53*BB53*AZ53,0),0)</f>
        <v>9317</v>
      </c>
      <c r="BD53" s="39" t="str">
        <f aca="false">IF(COUNT(AM53,AN53,AO53,AP53,AQ53,AR53,AS53)&gt;0,"estimated","pending")</f>
        <v>pending</v>
      </c>
      <c r="BE53" s="50"/>
    </row>
    <row r="54" customFormat="false" ht="15" hidden="false" customHeight="true" outlineLevel="0" collapsed="false">
      <c r="B54" s="62" t="n">
        <f aca="false">IF($C54="","",COUNTA($C$6:C54))</f>
        <v>49</v>
      </c>
      <c r="C54" s="62" t="s">
        <v>1544</v>
      </c>
      <c r="D54" s="62" t="s">
        <v>1540</v>
      </c>
      <c r="E54" s="62" t="s">
        <v>723</v>
      </c>
      <c r="F54" s="62" t="s">
        <v>724</v>
      </c>
      <c r="G54" s="62" t="s">
        <v>1545</v>
      </c>
      <c r="H54" s="62" t="n">
        <v>4</v>
      </c>
      <c r="I54" s="63" t="s">
        <v>269</v>
      </c>
      <c r="J54" s="64" t="n">
        <v>0</v>
      </c>
      <c r="K54" s="64" t="n">
        <v>0</v>
      </c>
      <c r="L54" s="65" t="n">
        <f aca="false">IF(J54="","",ROUND(J54*0.17,0))</f>
        <v>0</v>
      </c>
      <c r="M54" s="64" t="n">
        <v>0</v>
      </c>
      <c r="N54" s="64" t="n">
        <v>0</v>
      </c>
      <c r="O54" s="64" t="n">
        <v>0</v>
      </c>
      <c r="P54" s="64" t="n">
        <v>0</v>
      </c>
      <c r="Q54" s="64" t="n">
        <v>0</v>
      </c>
      <c r="R54" s="64" t="n">
        <v>0</v>
      </c>
      <c r="S54" s="65" t="n">
        <f aca="false">IF(J54="","",ROUND(J54*2.2,0))</f>
        <v>0</v>
      </c>
      <c r="T54" s="64" t="n">
        <v>0</v>
      </c>
      <c r="U54" s="64" t="n">
        <v>0</v>
      </c>
      <c r="V54" s="64" t="n">
        <v>2000</v>
      </c>
      <c r="W54" s="64" t="n">
        <v>0</v>
      </c>
      <c r="X54" s="62" t="s">
        <v>1369</v>
      </c>
      <c r="Y54" s="49" t="n">
        <v>0.3</v>
      </c>
      <c r="Z54" s="49" t="n">
        <v>1</v>
      </c>
      <c r="AA54" s="50" t="s">
        <v>1546</v>
      </c>
      <c r="AB54" s="50" t="s">
        <v>1547</v>
      </c>
      <c r="AC54" s="50" t="s">
        <v>1548</v>
      </c>
      <c r="AD54" s="50" t="s">
        <v>1549</v>
      </c>
      <c r="AE54" s="50" t="s">
        <v>1550</v>
      </c>
      <c r="AF54" s="50" t="s">
        <v>1551</v>
      </c>
      <c r="AG54" s="50"/>
      <c r="AH54" s="50"/>
      <c r="AI54" s="50"/>
      <c r="AJ54" s="50"/>
      <c r="AK54" s="50" t="s">
        <v>1552</v>
      </c>
      <c r="AL54" s="50"/>
      <c r="AM54" s="50"/>
      <c r="AN54" s="50"/>
      <c r="AO54" s="50"/>
      <c r="AP54" s="50"/>
      <c r="AQ54" s="50"/>
      <c r="AR54" s="50"/>
      <c r="AS54" s="50"/>
      <c r="AT54" s="50" t="str">
        <f aca="false">IFERROR(IF(AND(AN54&gt;0,J54&gt;0),ROUND(J54*1000/(AN54*0.2),0),""),"")</f>
        <v/>
      </c>
      <c r="AU54" s="50" t="str">
        <f aca="false">IFERROR(IF(AND(AQ54&gt;0,M54&gt;0),ROUND(M54*1000/(AQ54*0.3),0),""),"")</f>
        <v/>
      </c>
      <c r="AV54" s="50" t="str">
        <f aca="false">IFERROR(IF(AND(AM54&gt;0,O54&gt;0),ROUND(O54*1000/(AM54*0.1),0),""),"")</f>
        <v/>
      </c>
      <c r="AW54" s="50" t="str">
        <f aca="false">IFERROR(IF(AND(AP54&gt;0,N54&gt;0),ROUND(N54*1000/(AP54*0.25),0),""),"")</f>
        <v/>
      </c>
      <c r="AX54" s="50" t="str">
        <f aca="false">IFERROR(IF(AND(AO54&gt;0,Q54&gt;0),ROUND(Q54*1000/(AO54*1),0),""),"")</f>
        <v/>
      </c>
      <c r="AY54" s="51" t="n">
        <f aca="false">IFERROR(ifs(I54="Tier S",0.65,I54="Tier 1",0.55,I54="Tier 2",0.45,I54="Tier 3",0.35,I54="Tier 4",0.25),0.35)</f>
        <v>0.35</v>
      </c>
      <c r="AZ54" s="52" t="n">
        <v>1</v>
      </c>
      <c r="BA54" s="52" t="n">
        <v>1</v>
      </c>
      <c r="BB54" s="52" t="n">
        <v>1</v>
      </c>
      <c r="BC54" s="53" t="n">
        <f aca="false">IFERROR(ROUND(S54*AY54*BA54*BB54*AZ54,0),0)</f>
        <v>0</v>
      </c>
      <c r="BD54" s="39" t="str">
        <f aca="false">IF(COUNT(AM54,AN54,AO54,AP54,AQ54,AR54,AS54)&gt;0,"estimated","pending")</f>
        <v>pending</v>
      </c>
      <c r="BE54" s="50"/>
    </row>
    <row r="55" customFormat="false" ht="15" hidden="false" customHeight="true" outlineLevel="0" collapsed="false">
      <c r="B55" s="54" t="n">
        <f aca="false">IF($C55="","",COUNTA($C$6:C55))</f>
        <v>50</v>
      </c>
      <c r="C55" s="54" t="s">
        <v>731</v>
      </c>
      <c r="D55" s="54" t="s">
        <v>208</v>
      </c>
      <c r="E55" s="54" t="s">
        <v>723</v>
      </c>
      <c r="F55" s="54" t="s">
        <v>724</v>
      </c>
      <c r="G55" s="54" t="s">
        <v>1356</v>
      </c>
      <c r="H55" s="54" t="n">
        <v>1</v>
      </c>
      <c r="I55" s="55" t="s">
        <v>337</v>
      </c>
      <c r="J55" s="56" t="n">
        <v>11250</v>
      </c>
      <c r="K55" s="56" t="n">
        <v>4500</v>
      </c>
      <c r="L55" s="57" t="n">
        <f aca="false">IF(J55="","",ROUND(J55*0.17,0))</f>
        <v>1913</v>
      </c>
      <c r="M55" s="56" t="n">
        <v>8000</v>
      </c>
      <c r="N55" s="56" t="n">
        <v>3500</v>
      </c>
      <c r="O55" s="56" t="n">
        <v>2000</v>
      </c>
      <c r="P55" s="56" t="n">
        <v>2000</v>
      </c>
      <c r="Q55" s="56" t="n">
        <v>13500</v>
      </c>
      <c r="R55" s="56" t="n">
        <v>6075</v>
      </c>
      <c r="S55" s="57" t="n">
        <f aca="false">IF(J55="","",ROUND(J55*2.2,0))</f>
        <v>24750</v>
      </c>
      <c r="T55" s="56" t="n">
        <v>4638</v>
      </c>
      <c r="U55" s="56" t="n">
        <v>4063</v>
      </c>
      <c r="V55" s="56" t="n">
        <v>2438</v>
      </c>
      <c r="W55" s="56" t="n">
        <v>2400</v>
      </c>
      <c r="X55" s="54" t="s">
        <v>1434</v>
      </c>
      <c r="Y55" s="49" t="n">
        <v>0.3</v>
      </c>
      <c r="Z55" s="49" t="n">
        <v>1</v>
      </c>
      <c r="AA55" s="50" t="s">
        <v>732</v>
      </c>
      <c r="AB55" s="50" t="s">
        <v>734</v>
      </c>
      <c r="AC55" s="50" t="s">
        <v>1553</v>
      </c>
      <c r="AD55" s="50"/>
      <c r="AE55" s="50" t="s">
        <v>1554</v>
      </c>
      <c r="AF55" s="50"/>
      <c r="AG55" s="50"/>
      <c r="AH55" s="50"/>
      <c r="AI55" s="50"/>
      <c r="AJ55" s="50"/>
      <c r="AK55" s="50" t="s">
        <v>1555</v>
      </c>
      <c r="AL55" s="50"/>
      <c r="AM55" s="50"/>
      <c r="AN55" s="50"/>
      <c r="AO55" s="50"/>
      <c r="AP55" s="50"/>
      <c r="AQ55" s="50"/>
      <c r="AR55" s="50"/>
      <c r="AS55" s="50"/>
      <c r="AT55" s="50" t="str">
        <f aca="false">IFERROR(IF(AND(AN55&gt;0,J55&gt;0),ROUND(J55*1000/(AN55*0.2),0),""),"")</f>
        <v/>
      </c>
      <c r="AU55" s="50" t="str">
        <f aca="false">IFERROR(IF(AND(AQ55&gt;0,M55&gt;0),ROUND(M55*1000/(AQ55*0.3),0),""),"")</f>
        <v/>
      </c>
      <c r="AV55" s="50" t="str">
        <f aca="false">IFERROR(IF(AND(AM55&gt;0,O55&gt;0),ROUND(O55*1000/(AM55*0.1),0),""),"")</f>
        <v/>
      </c>
      <c r="AW55" s="50" t="str">
        <f aca="false">IFERROR(IF(AND(AP55&gt;0,N55&gt;0),ROUND(N55*1000/(AP55*0.25),0),""),"")</f>
        <v/>
      </c>
      <c r="AX55" s="50" t="str">
        <f aca="false">IFERROR(IF(AND(AO55&gt;0,Q55&gt;0),ROUND(Q55*1000/(AO55*1),0),""),"")</f>
        <v/>
      </c>
      <c r="AY55" s="51" t="n">
        <f aca="false">IFERROR(ifs(I55="Tier S",0.65,I55="Tier 1",0.55,I55="Tier 2",0.45,I55="Tier 3",0.35,I55="Tier 4",0.25),0.35)</f>
        <v>0.35</v>
      </c>
      <c r="AZ55" s="52" t="n">
        <v>1</v>
      </c>
      <c r="BA55" s="52" t="n">
        <v>1</v>
      </c>
      <c r="BB55" s="52" t="n">
        <v>1</v>
      </c>
      <c r="BC55" s="53" t="n">
        <f aca="false">IFERROR(ROUND(S55*AY55*BA55*BB55*AZ55,0),0)</f>
        <v>8663</v>
      </c>
      <c r="BD55" s="39" t="str">
        <f aca="false">IF(COUNT(AM55,AN55,AO55,AP55,AQ55,AR55,AS55)&gt;0,"estimated","pending")</f>
        <v>pending</v>
      </c>
      <c r="BE55" s="50"/>
    </row>
    <row r="56" customFormat="false" ht="15" hidden="false" customHeight="true" outlineLevel="0" collapsed="false">
      <c r="B56" s="54" t="n">
        <f aca="false">IF($C56="","",COUNTA($C$6:C56))</f>
        <v>51</v>
      </c>
      <c r="C56" s="54" t="s">
        <v>738</v>
      </c>
      <c r="D56" s="54" t="s">
        <v>208</v>
      </c>
      <c r="E56" s="54" t="s">
        <v>723</v>
      </c>
      <c r="F56" s="54" t="s">
        <v>724</v>
      </c>
      <c r="G56" s="54" t="s">
        <v>1468</v>
      </c>
      <c r="H56" s="54" t="n">
        <v>4</v>
      </c>
      <c r="I56" s="55" t="s">
        <v>269</v>
      </c>
      <c r="J56" s="56" t="n">
        <v>12100</v>
      </c>
      <c r="K56" s="56" t="n">
        <v>5100</v>
      </c>
      <c r="L56" s="57" t="n">
        <f aca="false">IF(J56="","",ROUND(J56*0.17,0))</f>
        <v>2057</v>
      </c>
      <c r="M56" s="56" t="n">
        <v>9450</v>
      </c>
      <c r="N56" s="56" t="n">
        <v>3850</v>
      </c>
      <c r="O56" s="56" t="n">
        <v>2400</v>
      </c>
      <c r="P56" s="56" t="n">
        <v>2400</v>
      </c>
      <c r="Q56" s="56" t="n">
        <v>17550</v>
      </c>
      <c r="R56" s="56" t="n">
        <v>7850</v>
      </c>
      <c r="S56" s="57" t="n">
        <f aca="false">IF(J56="","",ROUND(J56*2.2,0))</f>
        <v>26620</v>
      </c>
      <c r="T56" s="56" t="n">
        <v>4250</v>
      </c>
      <c r="U56" s="56" t="n">
        <v>3650</v>
      </c>
      <c r="V56" s="56" t="n">
        <v>2200</v>
      </c>
      <c r="W56" s="56" t="n">
        <v>2400</v>
      </c>
      <c r="X56" s="54" t="s">
        <v>1369</v>
      </c>
      <c r="Y56" s="49" t="n">
        <v>0.3</v>
      </c>
      <c r="Z56" s="49" t="n">
        <v>1</v>
      </c>
      <c r="AA56" s="50" t="s">
        <v>739</v>
      </c>
      <c r="AB56" s="50" t="s">
        <v>741</v>
      </c>
      <c r="AC56" s="50" t="s">
        <v>743</v>
      </c>
      <c r="AD56" s="50" t="s">
        <v>745</v>
      </c>
      <c r="AE56" s="50" t="s">
        <v>747</v>
      </c>
      <c r="AF56" s="50"/>
      <c r="AG56" s="50"/>
      <c r="AH56" s="50"/>
      <c r="AI56" s="50"/>
      <c r="AJ56" s="50"/>
      <c r="AK56" s="50" t="s">
        <v>1556</v>
      </c>
      <c r="AL56" s="50"/>
      <c r="AM56" s="50"/>
      <c r="AN56" s="50"/>
      <c r="AO56" s="50"/>
      <c r="AP56" s="50"/>
      <c r="AQ56" s="50"/>
      <c r="AR56" s="50"/>
      <c r="AS56" s="50"/>
      <c r="AT56" s="50" t="str">
        <f aca="false">IFERROR(IF(AND(AN56&gt;0,J56&gt;0),ROUND(J56*1000/(AN56*0.2),0),""),"")</f>
        <v/>
      </c>
      <c r="AU56" s="50" t="str">
        <f aca="false">IFERROR(IF(AND(AQ56&gt;0,M56&gt;0),ROUND(M56*1000/(AQ56*0.3),0),""),"")</f>
        <v/>
      </c>
      <c r="AV56" s="50" t="str">
        <f aca="false">IFERROR(IF(AND(AM56&gt;0,O56&gt;0),ROUND(O56*1000/(AM56*0.1),0),""),"")</f>
        <v/>
      </c>
      <c r="AW56" s="50" t="str">
        <f aca="false">IFERROR(IF(AND(AP56&gt;0,N56&gt;0),ROUND(N56*1000/(AP56*0.25),0),""),"")</f>
        <v/>
      </c>
      <c r="AX56" s="50" t="str">
        <f aca="false">IFERROR(IF(AND(AO56&gt;0,Q56&gt;0),ROUND(Q56*1000/(AO56*1),0),""),"")</f>
        <v/>
      </c>
      <c r="AY56" s="51" t="n">
        <f aca="false">IFERROR(ifs(I56="Tier S",0.65,I56="Tier 1",0.55,I56="Tier 2",0.45,I56="Tier 3",0.35,I56="Tier 4",0.25),0.35)</f>
        <v>0.35</v>
      </c>
      <c r="AZ56" s="52" t="n">
        <v>1</v>
      </c>
      <c r="BA56" s="52" t="n">
        <v>1</v>
      </c>
      <c r="BB56" s="52" t="n">
        <v>1</v>
      </c>
      <c r="BC56" s="53" t="n">
        <f aca="false">IFERROR(ROUND(S56*AY56*BA56*BB56*AZ56,0),0)</f>
        <v>9317</v>
      </c>
      <c r="BD56" s="39" t="str">
        <f aca="false">IF(COUNT(AM56,AN56,AO56,AP56,AQ56,AR56,AS56)&gt;0,"estimated","pending")</f>
        <v>pending</v>
      </c>
      <c r="BE56" s="50"/>
    </row>
    <row r="57" customFormat="false" ht="15" hidden="false" customHeight="true" outlineLevel="0" collapsed="false">
      <c r="B57" s="58" t="n">
        <f aca="false">IF($C57="","",COUNTA($C$6:C57))</f>
        <v>52</v>
      </c>
      <c r="C57" s="58" t="s">
        <v>1557</v>
      </c>
      <c r="D57" s="58" t="s">
        <v>1439</v>
      </c>
      <c r="E57" s="58" t="s">
        <v>723</v>
      </c>
      <c r="F57" s="58" t="s">
        <v>724</v>
      </c>
      <c r="G57" s="58" t="s">
        <v>1356</v>
      </c>
      <c r="H57" s="58" t="n">
        <v>0</v>
      </c>
      <c r="I57" s="59" t="s">
        <v>1357</v>
      </c>
      <c r="J57" s="60" t="n">
        <v>20700</v>
      </c>
      <c r="K57" s="60" t="n">
        <v>8700</v>
      </c>
      <c r="L57" s="61" t="n">
        <f aca="false">IF(J57="","",ROUND(J57*0.17,0))</f>
        <v>3519</v>
      </c>
      <c r="M57" s="60" t="n">
        <v>16150</v>
      </c>
      <c r="N57" s="60" t="n">
        <v>6600</v>
      </c>
      <c r="O57" s="60" t="n">
        <v>4150</v>
      </c>
      <c r="P57" s="60" t="n">
        <v>0</v>
      </c>
      <c r="Q57" s="60" t="n">
        <v>30000</v>
      </c>
      <c r="R57" s="60" t="n">
        <v>13450</v>
      </c>
      <c r="S57" s="61" t="n">
        <f aca="false">IF(J57="","",ROUND(J57*2.2,0))</f>
        <v>45540</v>
      </c>
      <c r="T57" s="60" t="n">
        <v>7250</v>
      </c>
      <c r="U57" s="60" t="n">
        <v>6200</v>
      </c>
      <c r="V57" s="60" t="n">
        <v>3750</v>
      </c>
      <c r="W57" s="60" t="n">
        <v>0</v>
      </c>
      <c r="X57" s="58" t="s">
        <v>1451</v>
      </c>
      <c r="Y57" s="49" t="n">
        <v>0.3</v>
      </c>
      <c r="Z57" s="49" t="n">
        <v>1</v>
      </c>
      <c r="AA57" s="50" t="s">
        <v>1558</v>
      </c>
      <c r="AB57" s="50"/>
      <c r="AC57" s="50"/>
      <c r="AD57" s="50"/>
      <c r="AE57" s="50"/>
      <c r="AF57" s="50"/>
      <c r="AG57" s="50"/>
      <c r="AH57" s="50"/>
      <c r="AI57" s="50"/>
      <c r="AJ57" s="50"/>
      <c r="AK57" s="50" t="s">
        <v>1559</v>
      </c>
      <c r="AL57" s="50"/>
      <c r="AM57" s="50"/>
      <c r="AN57" s="50"/>
      <c r="AO57" s="50"/>
      <c r="AP57" s="50"/>
      <c r="AQ57" s="50"/>
      <c r="AR57" s="50"/>
      <c r="AS57" s="50"/>
      <c r="AT57" s="50" t="str">
        <f aca="false">IFERROR(IF(AND(AN57&gt;0,J57&gt;0),ROUND(J57*1000/(AN57*0.2),0),""),"")</f>
        <v/>
      </c>
      <c r="AU57" s="50" t="str">
        <f aca="false">IFERROR(IF(AND(AQ57&gt;0,M57&gt;0),ROUND(M57*1000/(AQ57*0.3),0),""),"")</f>
        <v/>
      </c>
      <c r="AV57" s="50" t="str">
        <f aca="false">IFERROR(IF(AND(AM57&gt;0,O57&gt;0),ROUND(O57*1000/(AM57*0.1),0),""),"")</f>
        <v/>
      </c>
      <c r="AW57" s="50" t="str">
        <f aca="false">IFERROR(IF(AND(AP57&gt;0,N57&gt;0),ROUND(N57*1000/(AP57*0.25),0),""),"")</f>
        <v/>
      </c>
      <c r="AX57" s="50" t="str">
        <f aca="false">IFERROR(IF(AND(AO57&gt;0,Q57&gt;0),ROUND(Q57*1000/(AO57*1),0),""),"")</f>
        <v/>
      </c>
      <c r="AY57" s="51" t="n">
        <f aca="false">IFERROR(ifs(I57="Tier S",0.65,I57="Tier 1",0.55,I57="Tier 2",0.45,I57="Tier 3",0.35,I57="Tier 4",0.25),0.35)</f>
        <v>0.35</v>
      </c>
      <c r="AZ57" s="52" t="n">
        <v>1</v>
      </c>
      <c r="BA57" s="52" t="n">
        <v>1</v>
      </c>
      <c r="BB57" s="52" t="n">
        <v>1</v>
      </c>
      <c r="BC57" s="53" t="n">
        <f aca="false">IFERROR(ROUND(S57*AY57*BA57*BB57*AZ57,0),0)</f>
        <v>15939</v>
      </c>
      <c r="BD57" s="39" t="str">
        <f aca="false">IF(COUNT(AM57,AN57,AO57,AP57,AQ57,AR57,AS57)&gt;0,"estimated","pending")</f>
        <v>pending</v>
      </c>
      <c r="BE57" s="50"/>
    </row>
    <row r="58" customFormat="false" ht="15" hidden="false" customHeight="true" outlineLevel="0" collapsed="false">
      <c r="B58" s="54" t="n">
        <f aca="false">IF($C58="","",COUNTA($C$6:C58))</f>
        <v>53</v>
      </c>
      <c r="C58" s="54" t="s">
        <v>748</v>
      </c>
      <c r="D58" s="54" t="s">
        <v>208</v>
      </c>
      <c r="E58" s="54" t="s">
        <v>723</v>
      </c>
      <c r="F58" s="54" t="s">
        <v>724</v>
      </c>
      <c r="G58" s="54" t="s">
        <v>1356</v>
      </c>
      <c r="H58" s="54" t="n">
        <v>2</v>
      </c>
      <c r="I58" s="55" t="s">
        <v>337</v>
      </c>
      <c r="J58" s="56" t="n">
        <v>11250</v>
      </c>
      <c r="K58" s="56" t="n">
        <v>4500</v>
      </c>
      <c r="L58" s="57" t="n">
        <f aca="false">IF(J58="","",ROUND(J58*0.17,0))</f>
        <v>1913</v>
      </c>
      <c r="M58" s="56" t="n">
        <v>8000</v>
      </c>
      <c r="N58" s="56" t="n">
        <v>3500</v>
      </c>
      <c r="O58" s="56" t="n">
        <v>2000</v>
      </c>
      <c r="P58" s="56" t="n">
        <v>2000</v>
      </c>
      <c r="Q58" s="56" t="n">
        <v>13500</v>
      </c>
      <c r="R58" s="56" t="n">
        <v>6075</v>
      </c>
      <c r="S58" s="57" t="n">
        <f aca="false">IF(J58="","",ROUND(J58*2.2,0))</f>
        <v>24750</v>
      </c>
      <c r="T58" s="56" t="n">
        <v>4638</v>
      </c>
      <c r="U58" s="56" t="n">
        <v>4063</v>
      </c>
      <c r="V58" s="56" t="n">
        <v>2438</v>
      </c>
      <c r="W58" s="56" t="n">
        <v>2400</v>
      </c>
      <c r="X58" s="54" t="s">
        <v>1428</v>
      </c>
      <c r="Y58" s="49" t="n">
        <v>0.3</v>
      </c>
      <c r="Z58" s="49" t="n">
        <v>1</v>
      </c>
      <c r="AA58" s="50" t="s">
        <v>749</v>
      </c>
      <c r="AB58" s="50" t="s">
        <v>751</v>
      </c>
      <c r="AC58" s="50" t="s">
        <v>753</v>
      </c>
      <c r="AD58" s="50"/>
      <c r="AE58" s="50"/>
      <c r="AF58" s="50"/>
      <c r="AG58" s="50"/>
      <c r="AH58" s="50"/>
      <c r="AI58" s="50"/>
      <c r="AJ58" s="50"/>
      <c r="AK58" s="50" t="s">
        <v>1560</v>
      </c>
      <c r="AL58" s="50"/>
      <c r="AM58" s="50"/>
      <c r="AN58" s="50"/>
      <c r="AO58" s="50"/>
      <c r="AP58" s="50"/>
      <c r="AQ58" s="50"/>
      <c r="AR58" s="50"/>
      <c r="AS58" s="50"/>
      <c r="AT58" s="50" t="str">
        <f aca="false">IFERROR(IF(AND(AN58&gt;0,J58&gt;0),ROUND(J58*1000/(AN58*0.2),0),""),"")</f>
        <v/>
      </c>
      <c r="AU58" s="50" t="str">
        <f aca="false">IFERROR(IF(AND(AQ58&gt;0,M58&gt;0),ROUND(M58*1000/(AQ58*0.3),0),""),"")</f>
        <v/>
      </c>
      <c r="AV58" s="50" t="str">
        <f aca="false">IFERROR(IF(AND(AM58&gt;0,O58&gt;0),ROUND(O58*1000/(AM58*0.1),0),""),"")</f>
        <v/>
      </c>
      <c r="AW58" s="50" t="str">
        <f aca="false">IFERROR(IF(AND(AP58&gt;0,N58&gt;0),ROUND(N58*1000/(AP58*0.25),0),""),"")</f>
        <v/>
      </c>
      <c r="AX58" s="50" t="str">
        <f aca="false">IFERROR(IF(AND(AO58&gt;0,Q58&gt;0),ROUND(Q58*1000/(AO58*1),0),""),"")</f>
        <v/>
      </c>
      <c r="AY58" s="51" t="n">
        <f aca="false">IFERROR(ifs(I58="Tier S",0.65,I58="Tier 1",0.55,I58="Tier 2",0.45,I58="Tier 3",0.35,I58="Tier 4",0.25),0.35)</f>
        <v>0.35</v>
      </c>
      <c r="AZ58" s="52" t="n">
        <v>1</v>
      </c>
      <c r="BA58" s="52" t="n">
        <v>1</v>
      </c>
      <c r="BB58" s="52" t="n">
        <v>1</v>
      </c>
      <c r="BC58" s="53" t="n">
        <f aca="false">IFERROR(ROUND(S58*AY58*BA58*BB58*AZ58,0),0)</f>
        <v>8663</v>
      </c>
      <c r="BD58" s="39" t="str">
        <f aca="false">IF(COUNT(AM58,AN58,AO58,AP58,AQ58,AR58,AS58)&gt;0,"estimated","pending")</f>
        <v>pending</v>
      </c>
      <c r="BE58" s="50"/>
    </row>
    <row r="59" customFormat="false" ht="15" hidden="false" customHeight="true" outlineLevel="0" collapsed="false">
      <c r="B59" s="58" t="n">
        <f aca="false">IF($C59="","",COUNTA($C$6:C59))</f>
        <v>54</v>
      </c>
      <c r="C59" s="58" t="s">
        <v>1561</v>
      </c>
      <c r="D59" s="58" t="s">
        <v>1439</v>
      </c>
      <c r="E59" s="58" t="s">
        <v>810</v>
      </c>
      <c r="F59" s="58" t="s">
        <v>810</v>
      </c>
      <c r="G59" s="58" t="s">
        <v>1562</v>
      </c>
      <c r="H59" s="58" t="n">
        <v>0</v>
      </c>
      <c r="I59" s="59" t="s">
        <v>1357</v>
      </c>
      <c r="J59" s="60" t="n">
        <v>12100</v>
      </c>
      <c r="K59" s="60" t="n">
        <v>5100</v>
      </c>
      <c r="L59" s="61" t="n">
        <f aca="false">IF(J59="","",ROUND(J59*0.17,0))</f>
        <v>2057</v>
      </c>
      <c r="M59" s="60" t="n">
        <v>9450</v>
      </c>
      <c r="N59" s="60" t="n">
        <v>3850</v>
      </c>
      <c r="O59" s="60" t="n">
        <v>2400</v>
      </c>
      <c r="P59" s="60" t="n">
        <v>0</v>
      </c>
      <c r="Q59" s="60" t="n">
        <v>17550</v>
      </c>
      <c r="R59" s="60" t="n">
        <v>7850</v>
      </c>
      <c r="S59" s="61" t="n">
        <f aca="false">IF(J59="","",ROUND(J59*2.2,0))</f>
        <v>26620</v>
      </c>
      <c r="T59" s="60" t="n">
        <v>4250</v>
      </c>
      <c r="U59" s="60" t="n">
        <v>3650</v>
      </c>
      <c r="V59" s="60" t="n">
        <v>2200</v>
      </c>
      <c r="W59" s="60" t="n">
        <v>0</v>
      </c>
      <c r="X59" s="58" t="s">
        <v>1451</v>
      </c>
      <c r="Y59" s="49" t="n">
        <v>0.3</v>
      </c>
      <c r="Z59" s="49" t="n">
        <v>1</v>
      </c>
      <c r="AA59" s="50" t="s">
        <v>1563</v>
      </c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 t="str">
        <f aca="false">IFERROR(IF(AND(AN59&gt;0,J59&gt;0),ROUND(J59*1000/(AN59*0.2),0),""),"")</f>
        <v/>
      </c>
      <c r="AU59" s="50" t="str">
        <f aca="false">IFERROR(IF(AND(AQ59&gt;0,M59&gt;0),ROUND(M59*1000/(AQ59*0.3),0),""),"")</f>
        <v/>
      </c>
      <c r="AV59" s="50" t="str">
        <f aca="false">IFERROR(IF(AND(AM59&gt;0,O59&gt;0),ROUND(O59*1000/(AM59*0.1),0),""),"")</f>
        <v/>
      </c>
      <c r="AW59" s="50" t="str">
        <f aca="false">IFERROR(IF(AND(AP59&gt;0,N59&gt;0),ROUND(N59*1000/(AP59*0.25),0),""),"")</f>
        <v/>
      </c>
      <c r="AX59" s="50" t="str">
        <f aca="false">IFERROR(IF(AND(AO59&gt;0,Q59&gt;0),ROUND(Q59*1000/(AO59*1),0),""),"")</f>
        <v/>
      </c>
      <c r="AY59" s="51" t="n">
        <f aca="false">IFERROR(ifs(I59="Tier S",0.65,I59="Tier 1",0.55,I59="Tier 2",0.45,I59="Tier 3",0.35,I59="Tier 4",0.25),0.35)</f>
        <v>0.35</v>
      </c>
      <c r="AZ59" s="52" t="n">
        <v>1</v>
      </c>
      <c r="BA59" s="52" t="n">
        <v>1</v>
      </c>
      <c r="BB59" s="52" t="n">
        <v>1</v>
      </c>
      <c r="BC59" s="53" t="n">
        <f aca="false">IFERROR(ROUND(S59*AY59*BA59*BB59*AZ59,0),0)</f>
        <v>9317</v>
      </c>
      <c r="BD59" s="39" t="str">
        <f aca="false">IF(COUNT(AM59,AN59,AO59,AP59,AQ59,AR59,AS59)&gt;0,"estimated","pending")</f>
        <v>pending</v>
      </c>
      <c r="BE59" s="50"/>
    </row>
    <row r="60" customFormat="false" ht="15" hidden="false" customHeight="true" outlineLevel="0" collapsed="false">
      <c r="B60" s="54" t="n">
        <f aca="false">IF($C60="","",COUNTA($C$6:C60))</f>
        <v>55</v>
      </c>
      <c r="C60" s="54" t="s">
        <v>761</v>
      </c>
      <c r="D60" s="54" t="s">
        <v>208</v>
      </c>
      <c r="E60" s="54" t="s">
        <v>760</v>
      </c>
      <c r="F60" s="54" t="s">
        <v>760</v>
      </c>
      <c r="G60" s="54" t="s">
        <v>1562</v>
      </c>
      <c r="H60" s="54" t="n">
        <v>1</v>
      </c>
      <c r="I60" s="55" t="s">
        <v>1357</v>
      </c>
      <c r="J60" s="56" t="n">
        <v>8750</v>
      </c>
      <c r="K60" s="56" t="n">
        <v>3000</v>
      </c>
      <c r="L60" s="57" t="n">
        <f aca="false">IF(J60="","",ROUND(J60*0.17,0))</f>
        <v>1488</v>
      </c>
      <c r="M60" s="56" t="n">
        <v>6000</v>
      </c>
      <c r="N60" s="56" t="n">
        <v>2500</v>
      </c>
      <c r="O60" s="56" t="n">
        <v>1200</v>
      </c>
      <c r="P60" s="56" t="n">
        <v>1200</v>
      </c>
      <c r="Q60" s="56" t="n">
        <v>9000</v>
      </c>
      <c r="R60" s="56" t="n">
        <v>4050</v>
      </c>
      <c r="S60" s="57" t="n">
        <f aca="false">IF(J60="","",ROUND(J60*2.2,0))</f>
        <v>19250</v>
      </c>
      <c r="T60" s="56" t="n">
        <v>2200</v>
      </c>
      <c r="U60" s="56" t="n">
        <v>1925</v>
      </c>
      <c r="V60" s="56" t="n">
        <v>1155</v>
      </c>
      <c r="W60" s="56" t="n">
        <v>2400</v>
      </c>
      <c r="X60" s="54" t="s">
        <v>1434</v>
      </c>
      <c r="Y60" s="49" t="n">
        <v>0.3</v>
      </c>
      <c r="Z60" s="49" t="n">
        <v>1</v>
      </c>
      <c r="AA60" s="50" t="s">
        <v>762</v>
      </c>
      <c r="AB60" s="50" t="s">
        <v>764</v>
      </c>
      <c r="AC60" s="50"/>
      <c r="AD60" s="50"/>
      <c r="AE60" s="50"/>
      <c r="AF60" s="50"/>
      <c r="AG60" s="50"/>
      <c r="AH60" s="50"/>
      <c r="AI60" s="50"/>
      <c r="AJ60" s="50"/>
      <c r="AK60" s="50" t="s">
        <v>1564</v>
      </c>
      <c r="AL60" s="50"/>
      <c r="AM60" s="50"/>
      <c r="AN60" s="50"/>
      <c r="AO60" s="50"/>
      <c r="AP60" s="50"/>
      <c r="AQ60" s="50"/>
      <c r="AR60" s="50"/>
      <c r="AS60" s="50"/>
      <c r="AT60" s="50" t="str">
        <f aca="false">IFERROR(IF(AND(AN60&gt;0,J60&gt;0),ROUND(J60*1000/(AN60*0.2),0),""),"")</f>
        <v/>
      </c>
      <c r="AU60" s="50" t="str">
        <f aca="false">IFERROR(IF(AND(AQ60&gt;0,M60&gt;0),ROUND(M60*1000/(AQ60*0.3),0),""),"")</f>
        <v/>
      </c>
      <c r="AV60" s="50" t="str">
        <f aca="false">IFERROR(IF(AND(AM60&gt;0,O60&gt;0),ROUND(O60*1000/(AM60*0.1),0),""),"")</f>
        <v/>
      </c>
      <c r="AW60" s="50" t="str">
        <f aca="false">IFERROR(IF(AND(AP60&gt;0,N60&gt;0),ROUND(N60*1000/(AP60*0.25),0),""),"")</f>
        <v/>
      </c>
      <c r="AX60" s="50" t="str">
        <f aca="false">IFERROR(IF(AND(AO60&gt;0,Q60&gt;0),ROUND(Q60*1000/(AO60*1),0),""),"")</f>
        <v/>
      </c>
      <c r="AY60" s="51" t="n">
        <f aca="false">IFERROR(ifs(I60="Tier S",0.65,I60="Tier 1",0.55,I60="Tier 2",0.45,I60="Tier 3",0.35,I60="Tier 4",0.25),0.35)</f>
        <v>0.35</v>
      </c>
      <c r="AZ60" s="52" t="n">
        <v>1</v>
      </c>
      <c r="BA60" s="52" t="n">
        <v>1</v>
      </c>
      <c r="BB60" s="52" t="n">
        <v>1</v>
      </c>
      <c r="BC60" s="53" t="n">
        <f aca="false">IFERROR(ROUND(S60*AY60*BA60*BB60*AZ60,0),0)</f>
        <v>6738</v>
      </c>
      <c r="BD60" s="39" t="str">
        <f aca="false">IF(COUNT(AM60,AN60,AO60,AP60,AQ60,AR60,AS60)&gt;0,"estimated","pending")</f>
        <v>pending</v>
      </c>
      <c r="BE60" s="50"/>
    </row>
    <row r="61" customFormat="false" ht="15" hidden="false" customHeight="true" outlineLevel="0" collapsed="false">
      <c r="B61" s="54" t="n">
        <f aca="false">IF($C61="","",COUNTA($C$6:C61))</f>
        <v>56</v>
      </c>
      <c r="C61" s="54" t="s">
        <v>765</v>
      </c>
      <c r="D61" s="54" t="s">
        <v>208</v>
      </c>
      <c r="E61" s="54" t="s">
        <v>760</v>
      </c>
      <c r="F61" s="54" t="s">
        <v>760</v>
      </c>
      <c r="G61" s="54" t="s">
        <v>1565</v>
      </c>
      <c r="H61" s="54" t="n">
        <v>3</v>
      </c>
      <c r="I61" s="55" t="s">
        <v>337</v>
      </c>
      <c r="J61" s="56" t="n">
        <v>5700</v>
      </c>
      <c r="K61" s="56" t="n">
        <v>2400</v>
      </c>
      <c r="L61" s="57" t="n">
        <f aca="false">IF(J61="","",ROUND(J61*0.17,0))</f>
        <v>969</v>
      </c>
      <c r="M61" s="56" t="n">
        <v>4450</v>
      </c>
      <c r="N61" s="56" t="n">
        <v>1850</v>
      </c>
      <c r="O61" s="56" t="n">
        <v>1150</v>
      </c>
      <c r="P61" s="56" t="n">
        <v>1150</v>
      </c>
      <c r="Q61" s="56" t="n">
        <v>8300</v>
      </c>
      <c r="R61" s="56" t="n">
        <v>3700</v>
      </c>
      <c r="S61" s="57" t="n">
        <f aca="false">IF(J61="","",ROUND(J61*2.2,0))</f>
        <v>12540</v>
      </c>
      <c r="T61" s="56" t="n">
        <v>2000</v>
      </c>
      <c r="U61" s="56" t="n">
        <v>1700</v>
      </c>
      <c r="V61" s="56" t="n">
        <v>1050</v>
      </c>
      <c r="W61" s="56" t="n">
        <v>2400</v>
      </c>
      <c r="X61" s="54" t="s">
        <v>1383</v>
      </c>
      <c r="Y61" s="49" t="n">
        <v>0.1</v>
      </c>
      <c r="Z61" s="49" t="n">
        <v>1</v>
      </c>
      <c r="AA61" s="50" t="s">
        <v>766</v>
      </c>
      <c r="AB61" s="50" t="s">
        <v>768</v>
      </c>
      <c r="AC61" s="50" t="s">
        <v>770</v>
      </c>
      <c r="AD61" s="50"/>
      <c r="AE61" s="50"/>
      <c r="AF61" s="50"/>
      <c r="AG61" s="50"/>
      <c r="AH61" s="50" t="s">
        <v>772</v>
      </c>
      <c r="AI61" s="50"/>
      <c r="AJ61" s="50"/>
      <c r="AK61" s="50" t="s">
        <v>1566</v>
      </c>
      <c r="AL61" s="50"/>
      <c r="AM61" s="50"/>
      <c r="AN61" s="50"/>
      <c r="AO61" s="50"/>
      <c r="AP61" s="50"/>
      <c r="AQ61" s="50"/>
      <c r="AR61" s="50"/>
      <c r="AS61" s="50"/>
      <c r="AT61" s="50" t="str">
        <f aca="false">IFERROR(IF(AND(AN61&gt;0,J61&gt;0),ROUND(J61*1000/(AN61*0.2),0),""),"")</f>
        <v/>
      </c>
      <c r="AU61" s="50" t="str">
        <f aca="false">IFERROR(IF(AND(AQ61&gt;0,M61&gt;0),ROUND(M61*1000/(AQ61*0.3),0),""),"")</f>
        <v/>
      </c>
      <c r="AV61" s="50" t="str">
        <f aca="false">IFERROR(IF(AND(AM61&gt;0,O61&gt;0),ROUND(O61*1000/(AM61*0.1),0),""),"")</f>
        <v/>
      </c>
      <c r="AW61" s="50" t="str">
        <f aca="false">IFERROR(IF(AND(AP61&gt;0,N61&gt;0),ROUND(N61*1000/(AP61*0.25),0),""),"")</f>
        <v/>
      </c>
      <c r="AX61" s="50" t="str">
        <f aca="false">IFERROR(IF(AND(AO61&gt;0,Q61&gt;0),ROUND(Q61*1000/(AO61*1),0),""),"")</f>
        <v/>
      </c>
      <c r="AY61" s="51" t="n">
        <f aca="false">IFERROR(ifs(I61="Tier S",0.65,I61="Tier 1",0.55,I61="Tier 2",0.45,I61="Tier 3",0.35,I61="Tier 4",0.25),0.35)</f>
        <v>0.35</v>
      </c>
      <c r="AZ61" s="52" t="n">
        <v>1</v>
      </c>
      <c r="BA61" s="52" t="n">
        <v>1</v>
      </c>
      <c r="BB61" s="52" t="n">
        <v>1</v>
      </c>
      <c r="BC61" s="53" t="n">
        <f aca="false">IFERROR(ROUND(S61*AY61*BA61*BB61*AZ61,0),0)</f>
        <v>4389</v>
      </c>
      <c r="BD61" s="39" t="str">
        <f aca="false">IF(COUNT(AM61,AN61,AO61,AP61,AQ61,AR61,AS61)&gt;0,"estimated","pending")</f>
        <v>pending</v>
      </c>
      <c r="BE61" s="50"/>
    </row>
    <row r="62" customFormat="false" ht="15" hidden="false" customHeight="true" outlineLevel="0" collapsed="false">
      <c r="B62" s="58" t="n">
        <f aca="false">IF($C62="","",COUNTA($C$6:C62))</f>
        <v>57</v>
      </c>
      <c r="C62" s="58" t="s">
        <v>1567</v>
      </c>
      <c r="D62" s="58" t="s">
        <v>1439</v>
      </c>
      <c r="E62" s="58" t="s">
        <v>760</v>
      </c>
      <c r="F62" s="58" t="s">
        <v>760</v>
      </c>
      <c r="G62" s="58" t="s">
        <v>1568</v>
      </c>
      <c r="H62" s="58" t="n">
        <v>1</v>
      </c>
      <c r="I62" s="59" t="s">
        <v>1357</v>
      </c>
      <c r="J62" s="60" t="n">
        <v>11000</v>
      </c>
      <c r="K62" s="60" t="n">
        <v>4600</v>
      </c>
      <c r="L62" s="61" t="n">
        <f aca="false">IF(J62="","",ROUND(J62*0.17,0))</f>
        <v>1870</v>
      </c>
      <c r="M62" s="60" t="n">
        <v>8600</v>
      </c>
      <c r="N62" s="60" t="n">
        <v>3500</v>
      </c>
      <c r="O62" s="60" t="n">
        <v>2200</v>
      </c>
      <c r="P62" s="60" t="n">
        <v>0</v>
      </c>
      <c r="Q62" s="60" t="n">
        <v>15950</v>
      </c>
      <c r="R62" s="60" t="n">
        <v>7150</v>
      </c>
      <c r="S62" s="61" t="n">
        <f aca="false">IF(J62="","",ROUND(J62*2.2,0))</f>
        <v>24200</v>
      </c>
      <c r="T62" s="60" t="n">
        <v>3850</v>
      </c>
      <c r="U62" s="60" t="n">
        <v>3300</v>
      </c>
      <c r="V62" s="60" t="n">
        <v>2000</v>
      </c>
      <c r="W62" s="60" t="n">
        <v>0</v>
      </c>
      <c r="X62" s="58" t="s">
        <v>1434</v>
      </c>
      <c r="Y62" s="49" t="n">
        <v>0.5</v>
      </c>
      <c r="Z62" s="49" t="n">
        <v>1</v>
      </c>
      <c r="AA62" s="50" t="s">
        <v>1569</v>
      </c>
      <c r="AB62" s="50" t="s">
        <v>1570</v>
      </c>
      <c r="AC62" s="50"/>
      <c r="AD62" s="50"/>
      <c r="AE62" s="50"/>
      <c r="AF62" s="50"/>
      <c r="AG62" s="50"/>
      <c r="AH62" s="50"/>
      <c r="AI62" s="50"/>
      <c r="AJ62" s="50"/>
      <c r="AK62" s="50" t="s">
        <v>1571</v>
      </c>
      <c r="AL62" s="50"/>
      <c r="AM62" s="50"/>
      <c r="AN62" s="50"/>
      <c r="AO62" s="50"/>
      <c r="AP62" s="50"/>
      <c r="AQ62" s="50"/>
      <c r="AR62" s="50"/>
      <c r="AS62" s="50"/>
      <c r="AT62" s="50" t="str">
        <f aca="false">IFERROR(IF(AND(AN62&gt;0,J62&gt;0),ROUND(J62*1000/(AN62*0.2),0),""),"")</f>
        <v/>
      </c>
      <c r="AU62" s="50" t="str">
        <f aca="false">IFERROR(IF(AND(AQ62&gt;0,M62&gt;0),ROUND(M62*1000/(AQ62*0.3),0),""),"")</f>
        <v/>
      </c>
      <c r="AV62" s="50" t="str">
        <f aca="false">IFERROR(IF(AND(AM62&gt;0,O62&gt;0),ROUND(O62*1000/(AM62*0.1),0),""),"")</f>
        <v/>
      </c>
      <c r="AW62" s="50" t="str">
        <f aca="false">IFERROR(IF(AND(AP62&gt;0,N62&gt;0),ROUND(N62*1000/(AP62*0.25),0),""),"")</f>
        <v/>
      </c>
      <c r="AX62" s="50" t="str">
        <f aca="false">IFERROR(IF(AND(AO62&gt;0,Q62&gt;0),ROUND(Q62*1000/(AO62*1),0),""),"")</f>
        <v/>
      </c>
      <c r="AY62" s="51" t="n">
        <f aca="false">IFERROR(ifs(I62="Tier S",0.65,I62="Tier 1",0.55,I62="Tier 2",0.45,I62="Tier 3",0.35,I62="Tier 4",0.25),0.35)</f>
        <v>0.35</v>
      </c>
      <c r="AZ62" s="52" t="n">
        <v>1</v>
      </c>
      <c r="BA62" s="52" t="n">
        <v>1</v>
      </c>
      <c r="BB62" s="52" t="n">
        <v>1</v>
      </c>
      <c r="BC62" s="53" t="n">
        <f aca="false">IFERROR(ROUND(S62*AY62*BA62*BB62*AZ62,0),0)</f>
        <v>8470</v>
      </c>
      <c r="BD62" s="39" t="str">
        <f aca="false">IF(COUNT(AM62,AN62,AO62,AP62,AQ62,AR62,AS62)&gt;0,"estimated","pending")</f>
        <v>pending</v>
      </c>
      <c r="BE62" s="50"/>
    </row>
    <row r="63" customFormat="false" ht="15" hidden="false" customHeight="true" outlineLevel="0" collapsed="false">
      <c r="B63" s="54" t="n">
        <f aca="false">IF($C63="","",COUNTA($C$6:C63))</f>
        <v>58</v>
      </c>
      <c r="C63" s="54" t="s">
        <v>773</v>
      </c>
      <c r="D63" s="54" t="s">
        <v>208</v>
      </c>
      <c r="E63" s="54" t="s">
        <v>760</v>
      </c>
      <c r="F63" s="54" t="s">
        <v>760</v>
      </c>
      <c r="G63" s="54" t="s">
        <v>1572</v>
      </c>
      <c r="H63" s="54" t="n">
        <v>3</v>
      </c>
      <c r="I63" s="55" t="s">
        <v>337</v>
      </c>
      <c r="J63" s="56" t="n">
        <v>11250</v>
      </c>
      <c r="K63" s="56" t="n">
        <v>4500</v>
      </c>
      <c r="L63" s="57" t="n">
        <f aca="false">IF(J63="","",ROUND(J63*0.17,0))</f>
        <v>1913</v>
      </c>
      <c r="M63" s="56" t="n">
        <v>8000</v>
      </c>
      <c r="N63" s="56" t="n">
        <v>3500</v>
      </c>
      <c r="O63" s="56" t="n">
        <v>2000</v>
      </c>
      <c r="P63" s="56" t="n">
        <v>2000</v>
      </c>
      <c r="Q63" s="56" t="n">
        <v>13500</v>
      </c>
      <c r="R63" s="56" t="n">
        <v>6075</v>
      </c>
      <c r="S63" s="57" t="n">
        <f aca="false">IF(J63="","",ROUND(J63*2.2,0))</f>
        <v>24750</v>
      </c>
      <c r="T63" s="56" t="n">
        <v>4638</v>
      </c>
      <c r="U63" s="56" t="n">
        <v>4063</v>
      </c>
      <c r="V63" s="56" t="n">
        <v>2438</v>
      </c>
      <c r="W63" s="56" t="n">
        <v>2400</v>
      </c>
      <c r="X63" s="54" t="s">
        <v>1383</v>
      </c>
      <c r="Y63" s="49" t="n">
        <v>0.75</v>
      </c>
      <c r="Z63" s="49" t="n">
        <v>1</v>
      </c>
      <c r="AA63" s="50" t="s">
        <v>774</v>
      </c>
      <c r="AB63" s="50" t="s">
        <v>776</v>
      </c>
      <c r="AC63" s="50"/>
      <c r="AD63" s="50" t="s">
        <v>778</v>
      </c>
      <c r="AE63" s="50" t="s">
        <v>780</v>
      </c>
      <c r="AF63" s="50"/>
      <c r="AG63" s="50"/>
      <c r="AH63" s="50"/>
      <c r="AI63" s="50"/>
      <c r="AJ63" s="50"/>
      <c r="AK63" s="50" t="s">
        <v>1573</v>
      </c>
      <c r="AL63" s="50"/>
      <c r="AM63" s="50"/>
      <c r="AN63" s="50"/>
      <c r="AO63" s="50"/>
      <c r="AP63" s="50"/>
      <c r="AQ63" s="50"/>
      <c r="AR63" s="50"/>
      <c r="AS63" s="50"/>
      <c r="AT63" s="50" t="str">
        <f aca="false">IFERROR(IF(AND(AN63&gt;0,J63&gt;0),ROUND(J63*1000/(AN63*0.2),0),""),"")</f>
        <v/>
      </c>
      <c r="AU63" s="50" t="str">
        <f aca="false">IFERROR(IF(AND(AQ63&gt;0,M63&gt;0),ROUND(M63*1000/(AQ63*0.3),0),""),"")</f>
        <v/>
      </c>
      <c r="AV63" s="50" t="str">
        <f aca="false">IFERROR(IF(AND(AM63&gt;0,O63&gt;0),ROUND(O63*1000/(AM63*0.1),0),""),"")</f>
        <v/>
      </c>
      <c r="AW63" s="50" t="str">
        <f aca="false">IFERROR(IF(AND(AP63&gt;0,N63&gt;0),ROUND(N63*1000/(AP63*0.25),0),""),"")</f>
        <v/>
      </c>
      <c r="AX63" s="50" t="str">
        <f aca="false">IFERROR(IF(AND(AO63&gt;0,Q63&gt;0),ROUND(Q63*1000/(AO63*1),0),""),"")</f>
        <v/>
      </c>
      <c r="AY63" s="51" t="n">
        <f aca="false">IFERROR(ifs(I63="Tier S",0.65,I63="Tier 1",0.55,I63="Tier 2",0.45,I63="Tier 3",0.35,I63="Tier 4",0.25),0.35)</f>
        <v>0.35</v>
      </c>
      <c r="AZ63" s="52" t="n">
        <v>1</v>
      </c>
      <c r="BA63" s="52" t="n">
        <v>1</v>
      </c>
      <c r="BB63" s="52" t="n">
        <v>1</v>
      </c>
      <c r="BC63" s="53" t="n">
        <f aca="false">IFERROR(ROUND(S63*AY63*BA63*BB63*AZ63,0),0)</f>
        <v>8663</v>
      </c>
      <c r="BD63" s="39" t="str">
        <f aca="false">IF(COUNT(AM63,AN63,AO63,AP63,AQ63,AR63,AS63)&gt;0,"estimated","pending")</f>
        <v>pending</v>
      </c>
      <c r="BE63" s="50"/>
    </row>
    <row r="64" customFormat="false" ht="15" hidden="false" customHeight="true" outlineLevel="0" collapsed="false">
      <c r="B64" s="54" t="n">
        <f aca="false">IF($C64="","",COUNTA($C$6:C64))</f>
        <v>59</v>
      </c>
      <c r="C64" s="54" t="s">
        <v>781</v>
      </c>
      <c r="D64" s="54" t="s">
        <v>208</v>
      </c>
      <c r="E64" s="54" t="s">
        <v>760</v>
      </c>
      <c r="F64" s="54" t="s">
        <v>760</v>
      </c>
      <c r="G64" s="54" t="s">
        <v>1574</v>
      </c>
      <c r="H64" s="54" t="n">
        <v>2</v>
      </c>
      <c r="I64" s="55" t="s">
        <v>337</v>
      </c>
      <c r="J64" s="56" t="n">
        <v>11000</v>
      </c>
      <c r="K64" s="56" t="n">
        <v>4600</v>
      </c>
      <c r="L64" s="57" t="n">
        <f aca="false">IF(J64="","",ROUND(J64*0.17,0))</f>
        <v>1870</v>
      </c>
      <c r="M64" s="56" t="n">
        <v>8600</v>
      </c>
      <c r="N64" s="56" t="n">
        <v>3500</v>
      </c>
      <c r="O64" s="56" t="n">
        <v>2200</v>
      </c>
      <c r="P64" s="56" t="n">
        <v>2200</v>
      </c>
      <c r="Q64" s="56" t="n">
        <v>15950</v>
      </c>
      <c r="R64" s="56" t="n">
        <v>7150</v>
      </c>
      <c r="S64" s="57" t="n">
        <f aca="false">IF(J64="","",ROUND(J64*2.2,0))</f>
        <v>24200</v>
      </c>
      <c r="T64" s="56" t="n">
        <v>3850</v>
      </c>
      <c r="U64" s="56" t="n">
        <v>3300</v>
      </c>
      <c r="V64" s="56" t="n">
        <v>2000</v>
      </c>
      <c r="W64" s="56" t="n">
        <v>2400</v>
      </c>
      <c r="X64" s="54" t="s">
        <v>1428</v>
      </c>
      <c r="Y64" s="49" t="n">
        <v>0.75</v>
      </c>
      <c r="Z64" s="49" t="n">
        <v>1</v>
      </c>
      <c r="AA64" s="50" t="s">
        <v>782</v>
      </c>
      <c r="AB64" s="50" t="s">
        <v>784</v>
      </c>
      <c r="AC64" s="50"/>
      <c r="AD64" s="50"/>
      <c r="AE64" s="50" t="s">
        <v>786</v>
      </c>
      <c r="AF64" s="50"/>
      <c r="AG64" s="50"/>
      <c r="AH64" s="50"/>
      <c r="AI64" s="50"/>
      <c r="AJ64" s="50"/>
      <c r="AK64" s="50" t="s">
        <v>1575</v>
      </c>
      <c r="AL64" s="50"/>
      <c r="AM64" s="50"/>
      <c r="AN64" s="50"/>
      <c r="AO64" s="50"/>
      <c r="AP64" s="50"/>
      <c r="AQ64" s="50"/>
      <c r="AR64" s="50"/>
      <c r="AS64" s="50"/>
      <c r="AT64" s="50" t="str">
        <f aca="false">IFERROR(IF(AND(AN64&gt;0,J64&gt;0),ROUND(J64*1000/(AN64*0.2),0),""),"")</f>
        <v/>
      </c>
      <c r="AU64" s="50" t="str">
        <f aca="false">IFERROR(IF(AND(AQ64&gt;0,M64&gt;0),ROUND(M64*1000/(AQ64*0.3),0),""),"")</f>
        <v/>
      </c>
      <c r="AV64" s="50" t="str">
        <f aca="false">IFERROR(IF(AND(AM64&gt;0,O64&gt;0),ROUND(O64*1000/(AM64*0.1),0),""),"")</f>
        <v/>
      </c>
      <c r="AW64" s="50" t="str">
        <f aca="false">IFERROR(IF(AND(AP64&gt;0,N64&gt;0),ROUND(N64*1000/(AP64*0.25),0),""),"")</f>
        <v/>
      </c>
      <c r="AX64" s="50" t="str">
        <f aca="false">IFERROR(IF(AND(AO64&gt;0,Q64&gt;0),ROUND(Q64*1000/(AO64*1),0),""),"")</f>
        <v/>
      </c>
      <c r="AY64" s="51" t="n">
        <f aca="false">IFERROR(ifs(I64="Tier S",0.65,I64="Tier 1",0.55,I64="Tier 2",0.45,I64="Tier 3",0.35,I64="Tier 4",0.25),0.35)</f>
        <v>0.35</v>
      </c>
      <c r="AZ64" s="52" t="n">
        <v>1</v>
      </c>
      <c r="BA64" s="52" t="n">
        <v>1</v>
      </c>
      <c r="BB64" s="52" t="n">
        <v>1</v>
      </c>
      <c r="BC64" s="53" t="n">
        <f aca="false">IFERROR(ROUND(S64*AY64*BA64*BB64*AZ64,0),0)</f>
        <v>8470</v>
      </c>
      <c r="BD64" s="39" t="str">
        <f aca="false">IF(COUNT(AM64,AN64,AO64,AP64,AQ64,AR64,AS64)&gt;0,"estimated","pending")</f>
        <v>pending</v>
      </c>
      <c r="BE64" s="50"/>
    </row>
    <row r="65" customFormat="false" ht="15" hidden="false" customHeight="true" outlineLevel="0" collapsed="false">
      <c r="B65" s="54" t="n">
        <f aca="false">IF($C65="","",COUNTA($C$6:C65))</f>
        <v>60</v>
      </c>
      <c r="C65" s="54" t="s">
        <v>787</v>
      </c>
      <c r="D65" s="54" t="s">
        <v>208</v>
      </c>
      <c r="E65" s="54" t="s">
        <v>760</v>
      </c>
      <c r="F65" s="54" t="s">
        <v>760</v>
      </c>
      <c r="G65" s="54" t="s">
        <v>1562</v>
      </c>
      <c r="H65" s="54" t="n">
        <v>1</v>
      </c>
      <c r="I65" s="55" t="s">
        <v>1357</v>
      </c>
      <c r="J65" s="56" t="n">
        <v>11000</v>
      </c>
      <c r="K65" s="56" t="n">
        <v>4600</v>
      </c>
      <c r="L65" s="57" t="n">
        <f aca="false">IF(J65="","",ROUND(J65*0.17,0))</f>
        <v>1870</v>
      </c>
      <c r="M65" s="56" t="n">
        <v>8600</v>
      </c>
      <c r="N65" s="56" t="n">
        <v>3500</v>
      </c>
      <c r="O65" s="56" t="n">
        <v>2200</v>
      </c>
      <c r="P65" s="56" t="n">
        <v>2200</v>
      </c>
      <c r="Q65" s="56" t="n">
        <v>15950</v>
      </c>
      <c r="R65" s="56" t="n">
        <v>7150</v>
      </c>
      <c r="S65" s="57" t="n">
        <f aca="false">IF(J65="","",ROUND(J65*2.2,0))</f>
        <v>24200</v>
      </c>
      <c r="T65" s="56" t="n">
        <v>3850</v>
      </c>
      <c r="U65" s="56" t="n">
        <v>3300</v>
      </c>
      <c r="V65" s="56" t="n">
        <v>2000</v>
      </c>
      <c r="W65" s="56" t="n">
        <v>2400</v>
      </c>
      <c r="X65" s="54" t="s">
        <v>1434</v>
      </c>
      <c r="Y65" s="49" t="n">
        <v>0.3</v>
      </c>
      <c r="Z65" s="49" t="n">
        <v>1</v>
      </c>
      <c r="AA65" s="50" t="s">
        <v>788</v>
      </c>
      <c r="AB65" s="50" t="s">
        <v>790</v>
      </c>
      <c r="AC65" s="50"/>
      <c r="AD65" s="50"/>
      <c r="AE65" s="50"/>
      <c r="AF65" s="50"/>
      <c r="AG65" s="50"/>
      <c r="AH65" s="50"/>
      <c r="AI65" s="50"/>
      <c r="AJ65" s="50"/>
      <c r="AK65" s="50" t="s">
        <v>1576</v>
      </c>
      <c r="AL65" s="50"/>
      <c r="AM65" s="50"/>
      <c r="AN65" s="50"/>
      <c r="AO65" s="50"/>
      <c r="AP65" s="50"/>
      <c r="AQ65" s="50"/>
      <c r="AR65" s="50"/>
      <c r="AS65" s="50"/>
      <c r="AT65" s="50" t="str">
        <f aca="false">IFERROR(IF(AND(AN65&gt;0,J65&gt;0),ROUND(J65*1000/(AN65*0.2),0),""),"")</f>
        <v/>
      </c>
      <c r="AU65" s="50" t="str">
        <f aca="false">IFERROR(IF(AND(AQ65&gt;0,M65&gt;0),ROUND(M65*1000/(AQ65*0.3),0),""),"")</f>
        <v/>
      </c>
      <c r="AV65" s="50" t="str">
        <f aca="false">IFERROR(IF(AND(AM65&gt;0,O65&gt;0),ROUND(O65*1000/(AM65*0.1),0),""),"")</f>
        <v/>
      </c>
      <c r="AW65" s="50" t="str">
        <f aca="false">IFERROR(IF(AND(AP65&gt;0,N65&gt;0),ROUND(N65*1000/(AP65*0.25),0),""),"")</f>
        <v/>
      </c>
      <c r="AX65" s="50" t="str">
        <f aca="false">IFERROR(IF(AND(AO65&gt;0,Q65&gt;0),ROUND(Q65*1000/(AO65*1),0),""),"")</f>
        <v/>
      </c>
      <c r="AY65" s="51" t="n">
        <f aca="false">IFERROR(ifs(I65="Tier S",0.65,I65="Tier 1",0.55,I65="Tier 2",0.45,I65="Tier 3",0.35,I65="Tier 4",0.25),0.35)</f>
        <v>0.35</v>
      </c>
      <c r="AZ65" s="52" t="n">
        <v>1</v>
      </c>
      <c r="BA65" s="52" t="n">
        <v>1</v>
      </c>
      <c r="BB65" s="52" t="n">
        <v>1</v>
      </c>
      <c r="BC65" s="53" t="n">
        <f aca="false">IFERROR(ROUND(S65*AY65*BA65*BB65*AZ65,0),0)</f>
        <v>8470</v>
      </c>
      <c r="BD65" s="39" t="str">
        <f aca="false">IF(COUNT(AM65,AN65,AO65,AP65,AQ65,AR65,AS65)&gt;0,"estimated","pending")</f>
        <v>pending</v>
      </c>
      <c r="BE65" s="50"/>
    </row>
    <row r="66" customFormat="false" ht="15" hidden="false" customHeight="true" outlineLevel="0" collapsed="false">
      <c r="B66" s="54" t="n">
        <f aca="false">IF($C66="","",COUNTA($C$6:C66))</f>
        <v>61</v>
      </c>
      <c r="C66" s="54" t="s">
        <v>791</v>
      </c>
      <c r="D66" s="54" t="s">
        <v>208</v>
      </c>
      <c r="E66" s="54" t="s">
        <v>760</v>
      </c>
      <c r="F66" s="54" t="s">
        <v>760</v>
      </c>
      <c r="G66" s="54" t="s">
        <v>1577</v>
      </c>
      <c r="H66" s="54" t="n">
        <v>2</v>
      </c>
      <c r="I66" s="55" t="s">
        <v>337</v>
      </c>
      <c r="J66" s="56" t="n">
        <v>5700</v>
      </c>
      <c r="K66" s="56" t="n">
        <v>2400</v>
      </c>
      <c r="L66" s="57" t="n">
        <f aca="false">IF(J66="","",ROUND(J66*0.17,0))</f>
        <v>969</v>
      </c>
      <c r="M66" s="56" t="n">
        <v>4450</v>
      </c>
      <c r="N66" s="56" t="n">
        <v>1850</v>
      </c>
      <c r="O66" s="56" t="n">
        <v>1150</v>
      </c>
      <c r="P66" s="56" t="n">
        <v>1150</v>
      </c>
      <c r="Q66" s="56" t="n">
        <v>8300</v>
      </c>
      <c r="R66" s="56" t="n">
        <v>3700</v>
      </c>
      <c r="S66" s="57" t="n">
        <f aca="false">IF(J66="","",ROUND(J66*2.2,0))</f>
        <v>12540</v>
      </c>
      <c r="T66" s="56" t="n">
        <v>2000</v>
      </c>
      <c r="U66" s="56" t="n">
        <v>1700</v>
      </c>
      <c r="V66" s="56" t="n">
        <v>1050</v>
      </c>
      <c r="W66" s="56" t="n">
        <v>2400</v>
      </c>
      <c r="X66" s="54" t="s">
        <v>1428</v>
      </c>
      <c r="Y66" s="49" t="n">
        <v>0.75</v>
      </c>
      <c r="Z66" s="49" t="n">
        <v>1</v>
      </c>
      <c r="AA66" s="50" t="s">
        <v>792</v>
      </c>
      <c r="AB66" s="50" t="s">
        <v>794</v>
      </c>
      <c r="AC66" s="50"/>
      <c r="AD66" s="50" t="s">
        <v>796</v>
      </c>
      <c r="AE66" s="50"/>
      <c r="AF66" s="50"/>
      <c r="AG66" s="50"/>
      <c r="AH66" s="50"/>
      <c r="AI66" s="50"/>
      <c r="AJ66" s="50"/>
      <c r="AK66" s="50" t="s">
        <v>1578</v>
      </c>
      <c r="AL66" s="50"/>
      <c r="AM66" s="50"/>
      <c r="AN66" s="50"/>
      <c r="AO66" s="50"/>
      <c r="AP66" s="50"/>
      <c r="AQ66" s="50"/>
      <c r="AR66" s="50"/>
      <c r="AS66" s="50"/>
      <c r="AT66" s="50" t="str">
        <f aca="false">IFERROR(IF(AND(AN66&gt;0,J66&gt;0),ROUND(J66*1000/(AN66*0.2),0),""),"")</f>
        <v/>
      </c>
      <c r="AU66" s="50" t="str">
        <f aca="false">IFERROR(IF(AND(AQ66&gt;0,M66&gt;0),ROUND(M66*1000/(AQ66*0.3),0),""),"")</f>
        <v/>
      </c>
      <c r="AV66" s="50" t="str">
        <f aca="false">IFERROR(IF(AND(AM66&gt;0,O66&gt;0),ROUND(O66*1000/(AM66*0.1),0),""),"")</f>
        <v/>
      </c>
      <c r="AW66" s="50" t="str">
        <f aca="false">IFERROR(IF(AND(AP66&gt;0,N66&gt;0),ROUND(N66*1000/(AP66*0.25),0),""),"")</f>
        <v/>
      </c>
      <c r="AX66" s="50" t="str">
        <f aca="false">IFERROR(IF(AND(AO66&gt;0,Q66&gt;0),ROUND(Q66*1000/(AO66*1),0),""),"")</f>
        <v/>
      </c>
      <c r="AY66" s="51" t="n">
        <f aca="false">IFERROR(ifs(I66="Tier S",0.65,I66="Tier 1",0.55,I66="Tier 2",0.45,I66="Tier 3",0.35,I66="Tier 4",0.25),0.35)</f>
        <v>0.35</v>
      </c>
      <c r="AZ66" s="52" t="n">
        <v>1</v>
      </c>
      <c r="BA66" s="52" t="n">
        <v>1</v>
      </c>
      <c r="BB66" s="52" t="n">
        <v>1</v>
      </c>
      <c r="BC66" s="53" t="n">
        <f aca="false">IFERROR(ROUND(S66*AY66*BA66*BB66*AZ66,0),0)</f>
        <v>4389</v>
      </c>
      <c r="BD66" s="39" t="str">
        <f aca="false">IF(COUNT(AM66,AN66,AO66,AP66,AQ66,AR66,AS66)&gt;0,"estimated","pending")</f>
        <v>pending</v>
      </c>
      <c r="BE66" s="50"/>
    </row>
    <row r="67" customFormat="false" ht="15" hidden="false" customHeight="true" outlineLevel="0" collapsed="false">
      <c r="B67" s="54" t="n">
        <f aca="false">IF($C67="","",COUNTA($C$6:C67))</f>
        <v>62</v>
      </c>
      <c r="C67" s="54" t="s">
        <v>797</v>
      </c>
      <c r="D67" s="54" t="s">
        <v>208</v>
      </c>
      <c r="E67" s="54" t="s">
        <v>760</v>
      </c>
      <c r="F67" s="54" t="s">
        <v>760</v>
      </c>
      <c r="G67" s="54" t="s">
        <v>1577</v>
      </c>
      <c r="H67" s="54" t="n">
        <v>1</v>
      </c>
      <c r="I67" s="55" t="s">
        <v>1357</v>
      </c>
      <c r="J67" s="56" t="n">
        <v>11000</v>
      </c>
      <c r="K67" s="56" t="n">
        <v>4600</v>
      </c>
      <c r="L67" s="57" t="n">
        <f aca="false">IF(J67="","",ROUND(J67*0.17,0))</f>
        <v>1870</v>
      </c>
      <c r="M67" s="56" t="n">
        <v>8600</v>
      </c>
      <c r="N67" s="56" t="n">
        <v>3500</v>
      </c>
      <c r="O67" s="56" t="n">
        <v>2200</v>
      </c>
      <c r="P67" s="56" t="n">
        <v>2200</v>
      </c>
      <c r="Q67" s="56" t="n">
        <v>15950</v>
      </c>
      <c r="R67" s="56" t="n">
        <v>7150</v>
      </c>
      <c r="S67" s="57" t="n">
        <f aca="false">IF(J67="","",ROUND(J67*2.2,0))</f>
        <v>24200</v>
      </c>
      <c r="T67" s="56" t="n">
        <v>3850</v>
      </c>
      <c r="U67" s="56" t="n">
        <v>3300</v>
      </c>
      <c r="V67" s="56" t="n">
        <v>2000</v>
      </c>
      <c r="W67" s="56" t="n">
        <v>2400</v>
      </c>
      <c r="X67" s="54" t="s">
        <v>1434</v>
      </c>
      <c r="Y67" s="49" t="n">
        <v>0.75</v>
      </c>
      <c r="Z67" s="49" t="n">
        <v>1</v>
      </c>
      <c r="AA67" s="50" t="s">
        <v>798</v>
      </c>
      <c r="AB67" s="50" t="s">
        <v>799</v>
      </c>
      <c r="AC67" s="50"/>
      <c r="AD67" s="50"/>
      <c r="AE67" s="50"/>
      <c r="AF67" s="50"/>
      <c r="AG67" s="50"/>
      <c r="AH67" s="50"/>
      <c r="AI67" s="50"/>
      <c r="AJ67" s="50"/>
      <c r="AK67" s="50" t="s">
        <v>1579</v>
      </c>
      <c r="AL67" s="50"/>
      <c r="AM67" s="50"/>
      <c r="AN67" s="50"/>
      <c r="AO67" s="50"/>
      <c r="AP67" s="50"/>
      <c r="AQ67" s="50"/>
      <c r="AR67" s="50"/>
      <c r="AS67" s="50"/>
      <c r="AT67" s="50" t="str">
        <f aca="false">IFERROR(IF(AND(AN67&gt;0,J67&gt;0),ROUND(J67*1000/(AN67*0.2),0),""),"")</f>
        <v/>
      </c>
      <c r="AU67" s="50" t="str">
        <f aca="false">IFERROR(IF(AND(AQ67&gt;0,M67&gt;0),ROUND(M67*1000/(AQ67*0.3),0),""),"")</f>
        <v/>
      </c>
      <c r="AV67" s="50" t="str">
        <f aca="false">IFERROR(IF(AND(AM67&gt;0,O67&gt;0),ROUND(O67*1000/(AM67*0.1),0),""),"")</f>
        <v/>
      </c>
      <c r="AW67" s="50" t="str">
        <f aca="false">IFERROR(IF(AND(AP67&gt;0,N67&gt;0),ROUND(N67*1000/(AP67*0.25),0),""),"")</f>
        <v/>
      </c>
      <c r="AX67" s="50" t="str">
        <f aca="false">IFERROR(IF(AND(AO67&gt;0,Q67&gt;0),ROUND(Q67*1000/(AO67*1),0),""),"")</f>
        <v/>
      </c>
      <c r="AY67" s="51" t="n">
        <f aca="false">IFERROR(ifs(I67="Tier S",0.65,I67="Tier 1",0.55,I67="Tier 2",0.45,I67="Tier 3",0.35,I67="Tier 4",0.25),0.35)</f>
        <v>0.35</v>
      </c>
      <c r="AZ67" s="52" t="n">
        <v>1</v>
      </c>
      <c r="BA67" s="52" t="n">
        <v>1</v>
      </c>
      <c r="BB67" s="52" t="n">
        <v>1</v>
      </c>
      <c r="BC67" s="53" t="n">
        <f aca="false">IFERROR(ROUND(S67*AY67*BA67*BB67*AZ67,0),0)</f>
        <v>8470</v>
      </c>
      <c r="BD67" s="39" t="str">
        <f aca="false">IF(COUNT(AM67,AN67,AO67,AP67,AQ67,AR67,AS67)&gt;0,"estimated","pending")</f>
        <v>pending</v>
      </c>
      <c r="BE67" s="50"/>
    </row>
    <row r="68" customFormat="false" ht="15" hidden="false" customHeight="true" outlineLevel="0" collapsed="false">
      <c r="B68" s="54" t="n">
        <f aca="false">IF($C68="","",COUNTA($C$6:C68))</f>
        <v>63</v>
      </c>
      <c r="C68" s="54" t="s">
        <v>800</v>
      </c>
      <c r="D68" s="54" t="s">
        <v>208</v>
      </c>
      <c r="E68" s="54" t="s">
        <v>760</v>
      </c>
      <c r="F68" s="54" t="s">
        <v>760</v>
      </c>
      <c r="G68" s="54" t="s">
        <v>1580</v>
      </c>
      <c r="H68" s="54" t="n">
        <v>2</v>
      </c>
      <c r="I68" s="55" t="s">
        <v>337</v>
      </c>
      <c r="J68" s="56" t="n">
        <v>5200</v>
      </c>
      <c r="K68" s="56" t="n">
        <v>2200</v>
      </c>
      <c r="L68" s="57" t="n">
        <f aca="false">IF(J68="","",ROUND(J68*0.17,0))</f>
        <v>884</v>
      </c>
      <c r="M68" s="56" t="n">
        <v>4050</v>
      </c>
      <c r="N68" s="56" t="n">
        <v>1650</v>
      </c>
      <c r="O68" s="56" t="n">
        <v>1050</v>
      </c>
      <c r="P68" s="56" t="n">
        <v>1050</v>
      </c>
      <c r="Q68" s="56" t="n">
        <v>7550</v>
      </c>
      <c r="R68" s="56" t="n">
        <v>3400</v>
      </c>
      <c r="S68" s="57" t="n">
        <f aca="false">IF(J68="","",ROUND(J68*2.2,0))</f>
        <v>11440</v>
      </c>
      <c r="T68" s="56" t="n">
        <v>1800</v>
      </c>
      <c r="U68" s="56" t="n">
        <v>1550</v>
      </c>
      <c r="V68" s="56" t="n">
        <v>950</v>
      </c>
      <c r="W68" s="56" t="n">
        <v>2400</v>
      </c>
      <c r="X68" s="54" t="s">
        <v>1428</v>
      </c>
      <c r="Y68" s="49" t="n">
        <v>0.75</v>
      </c>
      <c r="Z68" s="49" t="n">
        <v>1</v>
      </c>
      <c r="AA68" s="50" t="s">
        <v>801</v>
      </c>
      <c r="AB68" s="50" t="s">
        <v>803</v>
      </c>
      <c r="AC68" s="50"/>
      <c r="AD68" s="50" t="s">
        <v>805</v>
      </c>
      <c r="AE68" s="50"/>
      <c r="AF68" s="50"/>
      <c r="AG68" s="50"/>
      <c r="AH68" s="50"/>
      <c r="AI68" s="50"/>
      <c r="AJ68" s="50"/>
      <c r="AK68" s="50" t="s">
        <v>1581</v>
      </c>
      <c r="AL68" s="50"/>
      <c r="AM68" s="50"/>
      <c r="AN68" s="50"/>
      <c r="AO68" s="50"/>
      <c r="AP68" s="50"/>
      <c r="AQ68" s="50"/>
      <c r="AR68" s="50"/>
      <c r="AS68" s="50"/>
      <c r="AT68" s="50" t="str">
        <f aca="false">IFERROR(IF(AND(AN68&gt;0,J68&gt;0),ROUND(J68*1000/(AN68*0.2),0),""),"")</f>
        <v/>
      </c>
      <c r="AU68" s="50" t="str">
        <f aca="false">IFERROR(IF(AND(AQ68&gt;0,M68&gt;0),ROUND(M68*1000/(AQ68*0.3),0),""),"")</f>
        <v/>
      </c>
      <c r="AV68" s="50" t="str">
        <f aca="false">IFERROR(IF(AND(AM68&gt;0,O68&gt;0),ROUND(O68*1000/(AM68*0.1),0),""),"")</f>
        <v/>
      </c>
      <c r="AW68" s="50" t="str">
        <f aca="false">IFERROR(IF(AND(AP68&gt;0,N68&gt;0),ROUND(N68*1000/(AP68*0.25),0),""),"")</f>
        <v/>
      </c>
      <c r="AX68" s="50" t="str">
        <f aca="false">IFERROR(IF(AND(AO68&gt;0,Q68&gt;0),ROUND(Q68*1000/(AO68*1),0),""),"")</f>
        <v/>
      </c>
      <c r="AY68" s="51" t="n">
        <f aca="false">IFERROR(ifs(I68="Tier S",0.65,I68="Tier 1",0.55,I68="Tier 2",0.45,I68="Tier 3",0.35,I68="Tier 4",0.25),0.35)</f>
        <v>0.35</v>
      </c>
      <c r="AZ68" s="52" t="n">
        <v>1</v>
      </c>
      <c r="BA68" s="52" t="n">
        <v>1</v>
      </c>
      <c r="BB68" s="52" t="n">
        <v>1</v>
      </c>
      <c r="BC68" s="53" t="n">
        <f aca="false">IFERROR(ROUND(S68*AY68*BA68*BB68*AZ68,0),0)</f>
        <v>4004</v>
      </c>
      <c r="BD68" s="39" t="str">
        <f aca="false">IF(COUNT(AM68,AN68,AO68,AP68,AQ68,AR68,AS68)&gt;0,"estimated","pending")</f>
        <v>pending</v>
      </c>
      <c r="BE68" s="50"/>
    </row>
    <row r="69" customFormat="false" ht="15" hidden="false" customHeight="true" outlineLevel="0" collapsed="false">
      <c r="B69" s="54" t="n">
        <f aca="false">IF($C69="","",COUNTA($C$6:C69))</f>
        <v>64</v>
      </c>
      <c r="C69" s="54" t="s">
        <v>806</v>
      </c>
      <c r="D69" s="54" t="s">
        <v>208</v>
      </c>
      <c r="E69" s="54" t="s">
        <v>760</v>
      </c>
      <c r="F69" s="54" t="s">
        <v>760</v>
      </c>
      <c r="G69" s="54" t="s">
        <v>1582</v>
      </c>
      <c r="H69" s="54" t="n">
        <v>1</v>
      </c>
      <c r="I69" s="55" t="s">
        <v>1357</v>
      </c>
      <c r="J69" s="56" t="n">
        <v>11000</v>
      </c>
      <c r="K69" s="56" t="n">
        <v>4600</v>
      </c>
      <c r="L69" s="57" t="n">
        <f aca="false">IF(J69="","",ROUND(J69*0.17,0))</f>
        <v>1870</v>
      </c>
      <c r="M69" s="56" t="n">
        <v>8600</v>
      </c>
      <c r="N69" s="56" t="n">
        <v>3500</v>
      </c>
      <c r="O69" s="56" t="n">
        <v>2200</v>
      </c>
      <c r="P69" s="56" t="n">
        <v>2200</v>
      </c>
      <c r="Q69" s="56" t="n">
        <v>15950</v>
      </c>
      <c r="R69" s="56" t="n">
        <v>7150</v>
      </c>
      <c r="S69" s="57" t="n">
        <f aca="false">IF(J69="","",ROUND(J69*2.2,0))</f>
        <v>24200</v>
      </c>
      <c r="T69" s="56" t="n">
        <v>3850</v>
      </c>
      <c r="U69" s="56" t="n">
        <v>3300</v>
      </c>
      <c r="V69" s="56" t="n">
        <v>2000</v>
      </c>
      <c r="W69" s="56" t="n">
        <v>2400</v>
      </c>
      <c r="X69" s="54" t="s">
        <v>1434</v>
      </c>
      <c r="Y69" s="49" t="n">
        <v>0.1</v>
      </c>
      <c r="Z69" s="49" t="n">
        <v>1</v>
      </c>
      <c r="AA69" s="50" t="s">
        <v>807</v>
      </c>
      <c r="AB69" s="50" t="s">
        <v>809</v>
      </c>
      <c r="AC69" s="50"/>
      <c r="AD69" s="50"/>
      <c r="AE69" s="50"/>
      <c r="AF69" s="50"/>
      <c r="AG69" s="50"/>
      <c r="AH69" s="50"/>
      <c r="AI69" s="50"/>
      <c r="AJ69" s="50"/>
      <c r="AK69" s="50" t="s">
        <v>1583</v>
      </c>
      <c r="AL69" s="50"/>
      <c r="AM69" s="50"/>
      <c r="AN69" s="50"/>
      <c r="AO69" s="50"/>
      <c r="AP69" s="50"/>
      <c r="AQ69" s="50"/>
      <c r="AR69" s="50"/>
      <c r="AS69" s="50"/>
      <c r="AT69" s="50" t="str">
        <f aca="false">IFERROR(IF(AND(AN69&gt;0,J69&gt;0),ROUND(J69*1000/(AN69*0.2),0),""),"")</f>
        <v/>
      </c>
      <c r="AU69" s="50" t="str">
        <f aca="false">IFERROR(IF(AND(AQ69&gt;0,M69&gt;0),ROUND(M69*1000/(AQ69*0.3),0),""),"")</f>
        <v/>
      </c>
      <c r="AV69" s="50" t="str">
        <f aca="false">IFERROR(IF(AND(AM69&gt;0,O69&gt;0),ROUND(O69*1000/(AM69*0.1),0),""),"")</f>
        <v/>
      </c>
      <c r="AW69" s="50" t="str">
        <f aca="false">IFERROR(IF(AND(AP69&gt;0,N69&gt;0),ROUND(N69*1000/(AP69*0.25),0),""),"")</f>
        <v/>
      </c>
      <c r="AX69" s="50" t="str">
        <f aca="false">IFERROR(IF(AND(AO69&gt;0,Q69&gt;0),ROUND(Q69*1000/(AO69*1),0),""),"")</f>
        <v/>
      </c>
      <c r="AY69" s="51" t="n">
        <f aca="false">IFERROR(ifs(I69="Tier S",0.65,I69="Tier 1",0.55,I69="Tier 2",0.45,I69="Tier 3",0.35,I69="Tier 4",0.25),0.35)</f>
        <v>0.35</v>
      </c>
      <c r="AZ69" s="52" t="n">
        <v>1</v>
      </c>
      <c r="BA69" s="52" t="n">
        <v>1</v>
      </c>
      <c r="BB69" s="52" t="n">
        <v>1</v>
      </c>
      <c r="BC69" s="53" t="n">
        <f aca="false">IFERROR(ROUND(S69*AY69*BA69*BB69*AZ69,0),0)</f>
        <v>8470</v>
      </c>
      <c r="BD69" s="39" t="str">
        <f aca="false">IF(COUNT(AM69,AN69,AO69,AP69,AQ69,AR69,AS69)&gt;0,"estimated","pending")</f>
        <v>pending</v>
      </c>
      <c r="BE69" s="50"/>
    </row>
    <row r="70" customFormat="false" ht="15" hidden="false" customHeight="true" outlineLevel="0" collapsed="false">
      <c r="B70" s="54" t="n">
        <f aca="false">IF($C70="","",COUNTA($C$6:C70))</f>
        <v>65</v>
      </c>
      <c r="C70" s="54" t="s">
        <v>811</v>
      </c>
      <c r="D70" s="54" t="s">
        <v>208</v>
      </c>
      <c r="E70" s="54" t="s">
        <v>810</v>
      </c>
      <c r="F70" s="54" t="s">
        <v>810</v>
      </c>
      <c r="G70" s="54" t="s">
        <v>1584</v>
      </c>
      <c r="H70" s="54" t="n">
        <v>3</v>
      </c>
      <c r="I70" s="55" t="s">
        <v>337</v>
      </c>
      <c r="J70" s="56" t="n">
        <v>11000</v>
      </c>
      <c r="K70" s="56" t="n">
        <v>4600</v>
      </c>
      <c r="L70" s="57" t="n">
        <f aca="false">IF(J70="","",ROUND(J70*0.17,0))</f>
        <v>1870</v>
      </c>
      <c r="M70" s="56" t="n">
        <v>8600</v>
      </c>
      <c r="N70" s="56" t="n">
        <v>3500</v>
      </c>
      <c r="O70" s="56" t="n">
        <v>2200</v>
      </c>
      <c r="P70" s="56" t="n">
        <v>2200</v>
      </c>
      <c r="Q70" s="56" t="n">
        <v>15950</v>
      </c>
      <c r="R70" s="56" t="n">
        <v>7150</v>
      </c>
      <c r="S70" s="57" t="n">
        <f aca="false">IF(J70="","",ROUND(J70*2.2,0))</f>
        <v>24200</v>
      </c>
      <c r="T70" s="56" t="n">
        <v>3850</v>
      </c>
      <c r="U70" s="56" t="n">
        <v>3300</v>
      </c>
      <c r="V70" s="56" t="n">
        <v>2000</v>
      </c>
      <c r="W70" s="56" t="n">
        <v>2400</v>
      </c>
      <c r="X70" s="54" t="s">
        <v>1383</v>
      </c>
      <c r="Y70" s="49" t="n">
        <v>0.5</v>
      </c>
      <c r="Z70" s="49" t="n">
        <v>1</v>
      </c>
      <c r="AA70" s="50" t="s">
        <v>812</v>
      </c>
      <c r="AB70" s="50" t="s">
        <v>814</v>
      </c>
      <c r="AC70" s="50"/>
      <c r="AD70" s="50" t="s">
        <v>816</v>
      </c>
      <c r="AE70" s="50" t="s">
        <v>818</v>
      </c>
      <c r="AF70" s="50"/>
      <c r="AG70" s="50"/>
      <c r="AH70" s="50"/>
      <c r="AI70" s="50"/>
      <c r="AJ70" s="50"/>
      <c r="AK70" s="50" t="s">
        <v>1585</v>
      </c>
      <c r="AL70" s="50"/>
      <c r="AM70" s="50"/>
      <c r="AN70" s="50"/>
      <c r="AO70" s="50"/>
      <c r="AP70" s="50"/>
      <c r="AQ70" s="50"/>
      <c r="AR70" s="50"/>
      <c r="AS70" s="50"/>
      <c r="AT70" s="50" t="str">
        <f aca="false">IFERROR(IF(AND(AN70&gt;0,J70&gt;0),ROUND(J70*1000/(AN70*0.2),0),""),"")</f>
        <v/>
      </c>
      <c r="AU70" s="50" t="str">
        <f aca="false">IFERROR(IF(AND(AQ70&gt;0,M70&gt;0),ROUND(M70*1000/(AQ70*0.3),0),""),"")</f>
        <v/>
      </c>
      <c r="AV70" s="50" t="str">
        <f aca="false">IFERROR(IF(AND(AM70&gt;0,O70&gt;0),ROUND(O70*1000/(AM70*0.1),0),""),"")</f>
        <v/>
      </c>
      <c r="AW70" s="50" t="str">
        <f aca="false">IFERROR(IF(AND(AP70&gt;0,N70&gt;0),ROUND(N70*1000/(AP70*0.25),0),""),"")</f>
        <v/>
      </c>
      <c r="AX70" s="50" t="str">
        <f aca="false">IFERROR(IF(AND(AO70&gt;0,Q70&gt;0),ROUND(Q70*1000/(AO70*1),0),""),"")</f>
        <v/>
      </c>
      <c r="AY70" s="51" t="n">
        <f aca="false">IFERROR(ifs(I70="Tier S",0.65,I70="Tier 1",0.55,I70="Tier 2",0.45,I70="Tier 3",0.35,I70="Tier 4",0.25),0.35)</f>
        <v>0.35</v>
      </c>
      <c r="AZ70" s="52" t="n">
        <v>1</v>
      </c>
      <c r="BA70" s="52" t="n">
        <v>1</v>
      </c>
      <c r="BB70" s="52" t="n">
        <v>1</v>
      </c>
      <c r="BC70" s="53" t="n">
        <f aca="false">IFERROR(ROUND(S70*AY70*BA70*BB70*AZ70,0),0)</f>
        <v>8470</v>
      </c>
      <c r="BD70" s="39" t="str">
        <f aca="false">IF(COUNT(AM70,AN70,AO70,AP70,AQ70,AR70,AS70)&gt;0,"estimated","pending")</f>
        <v>pending</v>
      </c>
      <c r="BE70" s="50"/>
    </row>
    <row r="71" customFormat="false" ht="15" hidden="false" customHeight="true" outlineLevel="0" collapsed="false">
      <c r="B71" s="54" t="n">
        <f aca="false">IF($C71="","",COUNTA($C$6:C71))</f>
        <v>66</v>
      </c>
      <c r="C71" s="54" t="s">
        <v>826</v>
      </c>
      <c r="D71" s="54" t="s">
        <v>208</v>
      </c>
      <c r="E71" s="54" t="s">
        <v>810</v>
      </c>
      <c r="F71" s="54" t="s">
        <v>810</v>
      </c>
      <c r="G71" s="54" t="s">
        <v>1562</v>
      </c>
      <c r="H71" s="54" t="n">
        <v>3</v>
      </c>
      <c r="I71" s="55" t="s">
        <v>337</v>
      </c>
      <c r="J71" s="56" t="n">
        <v>11000</v>
      </c>
      <c r="K71" s="56" t="n">
        <v>4600</v>
      </c>
      <c r="L71" s="57" t="n">
        <f aca="false">IF(J71="","",ROUND(J71*0.17,0))</f>
        <v>1870</v>
      </c>
      <c r="M71" s="56" t="n">
        <v>8600</v>
      </c>
      <c r="N71" s="56" t="n">
        <v>3500</v>
      </c>
      <c r="O71" s="56" t="n">
        <v>2200</v>
      </c>
      <c r="P71" s="56" t="n">
        <v>2200</v>
      </c>
      <c r="Q71" s="56" t="n">
        <v>15950</v>
      </c>
      <c r="R71" s="56" t="n">
        <v>7150</v>
      </c>
      <c r="S71" s="57" t="n">
        <f aca="false">IF(J71="","",ROUND(J71*2.2,0))</f>
        <v>24200</v>
      </c>
      <c r="T71" s="56" t="n">
        <v>3850</v>
      </c>
      <c r="U71" s="56" t="n">
        <v>3300</v>
      </c>
      <c r="V71" s="56" t="n">
        <v>2000</v>
      </c>
      <c r="W71" s="56" t="n">
        <v>2400</v>
      </c>
      <c r="X71" s="54" t="s">
        <v>1383</v>
      </c>
      <c r="Y71" s="49" t="n">
        <v>0.3</v>
      </c>
      <c r="Z71" s="49" t="n">
        <v>1</v>
      </c>
      <c r="AA71" s="50" t="s">
        <v>827</v>
      </c>
      <c r="AB71" s="50" t="s">
        <v>829</v>
      </c>
      <c r="AC71" s="50" t="s">
        <v>831</v>
      </c>
      <c r="AD71" s="50" t="s">
        <v>833</v>
      </c>
      <c r="AE71" s="50"/>
      <c r="AF71" s="50"/>
      <c r="AG71" s="50"/>
      <c r="AH71" s="50"/>
      <c r="AI71" s="50"/>
      <c r="AJ71" s="50"/>
      <c r="AK71" s="50" t="s">
        <v>1586</v>
      </c>
      <c r="AL71" s="50"/>
      <c r="AM71" s="50"/>
      <c r="AN71" s="50"/>
      <c r="AO71" s="50"/>
      <c r="AP71" s="50"/>
      <c r="AQ71" s="50"/>
      <c r="AR71" s="50"/>
      <c r="AS71" s="50"/>
      <c r="AT71" s="50" t="str">
        <f aca="false">IFERROR(IF(AND(AN71&gt;0,J71&gt;0),ROUND(J71*1000/(AN71*0.2),0),""),"")</f>
        <v/>
      </c>
      <c r="AU71" s="50" t="str">
        <f aca="false">IFERROR(IF(AND(AQ71&gt;0,M71&gt;0),ROUND(M71*1000/(AQ71*0.3),0),""),"")</f>
        <v/>
      </c>
      <c r="AV71" s="50" t="str">
        <f aca="false">IFERROR(IF(AND(AM71&gt;0,O71&gt;0),ROUND(O71*1000/(AM71*0.1),0),""),"")</f>
        <v/>
      </c>
      <c r="AW71" s="50" t="str">
        <f aca="false">IFERROR(IF(AND(AP71&gt;0,N71&gt;0),ROUND(N71*1000/(AP71*0.25),0),""),"")</f>
        <v/>
      </c>
      <c r="AX71" s="50" t="str">
        <f aca="false">IFERROR(IF(AND(AO71&gt;0,Q71&gt;0),ROUND(Q71*1000/(AO71*1),0),""),"")</f>
        <v/>
      </c>
      <c r="AY71" s="51" t="n">
        <f aca="false">IFERROR(ifs(I71="Tier S",0.65,I71="Tier 1",0.55,I71="Tier 2",0.45,I71="Tier 3",0.35,I71="Tier 4",0.25),0.35)</f>
        <v>0.35</v>
      </c>
      <c r="AZ71" s="52" t="n">
        <v>1</v>
      </c>
      <c r="BA71" s="52" t="n">
        <v>1</v>
      </c>
      <c r="BB71" s="52" t="n">
        <v>1</v>
      </c>
      <c r="BC71" s="53" t="n">
        <f aca="false">IFERROR(ROUND(S71*AY71*BA71*BB71*AZ71,0),0)</f>
        <v>8470</v>
      </c>
      <c r="BD71" s="39" t="str">
        <f aca="false">IF(COUNT(AM71,AN71,AO71,AP71,AQ71,AR71,AS71)&gt;0,"estimated","pending")</f>
        <v>pending</v>
      </c>
      <c r="BE71" s="50"/>
    </row>
    <row r="72" customFormat="false" ht="15" hidden="false" customHeight="true" outlineLevel="0" collapsed="false">
      <c r="B72" s="54" t="n">
        <f aca="false">IF($C72="","",COUNTA($C$6:C72))</f>
        <v>67</v>
      </c>
      <c r="C72" s="54" t="s">
        <v>523</v>
      </c>
      <c r="D72" s="54" t="s">
        <v>208</v>
      </c>
      <c r="E72" s="54" t="s">
        <v>472</v>
      </c>
      <c r="F72" s="54" t="s">
        <v>522</v>
      </c>
      <c r="G72" s="54" t="s">
        <v>1562</v>
      </c>
      <c r="H72" s="54" t="n">
        <v>4</v>
      </c>
      <c r="I72" s="55" t="s">
        <v>1357</v>
      </c>
      <c r="J72" s="56" t="n">
        <v>12100</v>
      </c>
      <c r="K72" s="56" t="n">
        <v>5100</v>
      </c>
      <c r="L72" s="57" t="n">
        <f aca="false">IF(J72="","",ROUND(J72*0.17,0))</f>
        <v>2057</v>
      </c>
      <c r="M72" s="56" t="n">
        <v>9450</v>
      </c>
      <c r="N72" s="56" t="n">
        <v>3850</v>
      </c>
      <c r="O72" s="56" t="n">
        <v>2400</v>
      </c>
      <c r="P72" s="56" t="n">
        <v>2400</v>
      </c>
      <c r="Q72" s="56" t="n">
        <v>17550</v>
      </c>
      <c r="R72" s="56" t="n">
        <v>7850</v>
      </c>
      <c r="S72" s="57" t="n">
        <f aca="false">IF(J72="","",ROUND(J72*2.2,0))</f>
        <v>26620</v>
      </c>
      <c r="T72" s="56" t="n">
        <v>4250</v>
      </c>
      <c r="U72" s="56" t="n">
        <v>3650</v>
      </c>
      <c r="V72" s="56" t="n">
        <v>2200</v>
      </c>
      <c r="W72" s="56" t="n">
        <v>2400</v>
      </c>
      <c r="X72" s="54" t="s">
        <v>1369</v>
      </c>
      <c r="Y72" s="49" t="n">
        <v>0.3</v>
      </c>
      <c r="Z72" s="49" t="n">
        <v>1</v>
      </c>
      <c r="AA72" s="50" t="s">
        <v>1587</v>
      </c>
      <c r="AB72" s="50" t="s">
        <v>526</v>
      </c>
      <c r="AC72" s="50" t="s">
        <v>528</v>
      </c>
      <c r="AD72" s="50" t="s">
        <v>530</v>
      </c>
      <c r="AE72" s="50" t="s">
        <v>532</v>
      </c>
      <c r="AF72" s="50"/>
      <c r="AG72" s="50"/>
      <c r="AH72" s="50"/>
      <c r="AI72" s="50"/>
      <c r="AJ72" s="50"/>
      <c r="AK72" s="50" t="s">
        <v>1588</v>
      </c>
      <c r="AL72" s="50"/>
      <c r="AM72" s="50"/>
      <c r="AN72" s="50"/>
      <c r="AO72" s="50"/>
      <c r="AP72" s="50"/>
      <c r="AQ72" s="50"/>
      <c r="AR72" s="50"/>
      <c r="AS72" s="50"/>
      <c r="AT72" s="50" t="str">
        <f aca="false">IFERROR(IF(AND(AN72&gt;0,J72&gt;0),ROUND(J72*1000/(AN72*0.2),0),""),"")</f>
        <v/>
      </c>
      <c r="AU72" s="50" t="str">
        <f aca="false">IFERROR(IF(AND(AQ72&gt;0,M72&gt;0),ROUND(M72*1000/(AQ72*0.3),0),""),"")</f>
        <v/>
      </c>
      <c r="AV72" s="50" t="str">
        <f aca="false">IFERROR(IF(AND(AM72&gt;0,O72&gt;0),ROUND(O72*1000/(AM72*0.1),0),""),"")</f>
        <v/>
      </c>
      <c r="AW72" s="50" t="str">
        <f aca="false">IFERROR(IF(AND(AP72&gt;0,N72&gt;0),ROUND(N72*1000/(AP72*0.25),0),""),"")</f>
        <v/>
      </c>
      <c r="AX72" s="50" t="str">
        <f aca="false">IFERROR(IF(AND(AO72&gt;0,Q72&gt;0),ROUND(Q72*1000/(AO72*1),0),""),"")</f>
        <v/>
      </c>
      <c r="AY72" s="51" t="n">
        <f aca="false">IFERROR(ifs(I72="Tier S",0.65,I72="Tier 1",0.55,I72="Tier 2",0.45,I72="Tier 3",0.35,I72="Tier 4",0.25),0.35)</f>
        <v>0.35</v>
      </c>
      <c r="AZ72" s="52" t="n">
        <v>1</v>
      </c>
      <c r="BA72" s="52" t="n">
        <v>1</v>
      </c>
      <c r="BB72" s="52" t="n">
        <v>1</v>
      </c>
      <c r="BC72" s="53" t="n">
        <f aca="false">IFERROR(ROUND(S72*AY72*BA72*BB72*AZ72,0),0)</f>
        <v>9317</v>
      </c>
      <c r="BD72" s="39" t="str">
        <f aca="false">IF(COUNT(AM72,AN72,AO72,AP72,AQ72,AR72,AS72)&gt;0,"estimated","pending")</f>
        <v>pending</v>
      </c>
      <c r="BE72" s="50"/>
    </row>
    <row r="73" customFormat="false" ht="15" hidden="false" customHeight="true" outlineLevel="0" collapsed="false">
      <c r="B73" s="54" t="n">
        <f aca="false">IF($C73="","",COUNTA($C$6:C73))</f>
        <v>68</v>
      </c>
      <c r="C73" s="54" t="s">
        <v>834</v>
      </c>
      <c r="D73" s="54" t="s">
        <v>208</v>
      </c>
      <c r="E73" s="54" t="s">
        <v>810</v>
      </c>
      <c r="F73" s="54" t="s">
        <v>810</v>
      </c>
      <c r="G73" s="54" t="s">
        <v>1562</v>
      </c>
      <c r="H73" s="54" t="n">
        <v>4</v>
      </c>
      <c r="I73" s="55" t="s">
        <v>1357</v>
      </c>
      <c r="J73" s="56" t="n">
        <v>5700</v>
      </c>
      <c r="K73" s="56" t="n">
        <v>2400</v>
      </c>
      <c r="L73" s="57" t="n">
        <f aca="false">IF(J73="","",ROUND(J73*0.17,0))</f>
        <v>969</v>
      </c>
      <c r="M73" s="56" t="n">
        <v>4450</v>
      </c>
      <c r="N73" s="56" t="n">
        <v>1850</v>
      </c>
      <c r="O73" s="56" t="n">
        <v>1150</v>
      </c>
      <c r="P73" s="56" t="n">
        <v>1150</v>
      </c>
      <c r="Q73" s="56" t="n">
        <v>8300</v>
      </c>
      <c r="R73" s="56" t="n">
        <v>3700</v>
      </c>
      <c r="S73" s="57" t="n">
        <f aca="false">IF(J73="","",ROUND(J73*2.2,0))</f>
        <v>12540</v>
      </c>
      <c r="T73" s="56" t="n">
        <v>2000</v>
      </c>
      <c r="U73" s="56" t="n">
        <v>1700</v>
      </c>
      <c r="V73" s="56" t="n">
        <v>1050</v>
      </c>
      <c r="W73" s="56" t="n">
        <v>2400</v>
      </c>
      <c r="X73" s="54" t="s">
        <v>1369</v>
      </c>
      <c r="Y73" s="49" t="n">
        <v>0.3</v>
      </c>
      <c r="Z73" s="49" t="n">
        <v>1</v>
      </c>
      <c r="AA73" s="50" t="s">
        <v>835</v>
      </c>
      <c r="AB73" s="50" t="s">
        <v>837</v>
      </c>
      <c r="AC73" s="50" t="s">
        <v>838</v>
      </c>
      <c r="AD73" s="50" t="s">
        <v>840</v>
      </c>
      <c r="AE73" s="50" t="s">
        <v>842</v>
      </c>
      <c r="AF73" s="50"/>
      <c r="AG73" s="50"/>
      <c r="AH73" s="50"/>
      <c r="AI73" s="50"/>
      <c r="AJ73" s="50"/>
      <c r="AK73" s="50" t="s">
        <v>1589</v>
      </c>
      <c r="AL73" s="50"/>
      <c r="AM73" s="50"/>
      <c r="AN73" s="50"/>
      <c r="AO73" s="50"/>
      <c r="AP73" s="50"/>
      <c r="AQ73" s="50"/>
      <c r="AR73" s="50"/>
      <c r="AS73" s="50"/>
      <c r="AT73" s="50" t="str">
        <f aca="false">IFERROR(IF(AND(AN73&gt;0,J73&gt;0),ROUND(J73*1000/(AN73*0.2),0),""),"")</f>
        <v/>
      </c>
      <c r="AU73" s="50" t="str">
        <f aca="false">IFERROR(IF(AND(AQ73&gt;0,M73&gt;0),ROUND(M73*1000/(AQ73*0.3),0),""),"")</f>
        <v/>
      </c>
      <c r="AV73" s="50" t="str">
        <f aca="false">IFERROR(IF(AND(AM73&gt;0,O73&gt;0),ROUND(O73*1000/(AM73*0.1),0),""),"")</f>
        <v/>
      </c>
      <c r="AW73" s="50" t="str">
        <f aca="false">IFERROR(IF(AND(AP73&gt;0,N73&gt;0),ROUND(N73*1000/(AP73*0.25),0),""),"")</f>
        <v/>
      </c>
      <c r="AX73" s="50" t="str">
        <f aca="false">IFERROR(IF(AND(AO73&gt;0,Q73&gt;0),ROUND(Q73*1000/(AO73*1),0),""),"")</f>
        <v/>
      </c>
      <c r="AY73" s="51" t="n">
        <f aca="false">IFERROR(ifs(I73="Tier S",0.65,I73="Tier 1",0.55,I73="Tier 2",0.45,I73="Tier 3",0.35,I73="Tier 4",0.25),0.35)</f>
        <v>0.35</v>
      </c>
      <c r="AZ73" s="52" t="n">
        <v>1</v>
      </c>
      <c r="BA73" s="52" t="n">
        <v>1</v>
      </c>
      <c r="BB73" s="52" t="n">
        <v>1</v>
      </c>
      <c r="BC73" s="53" t="n">
        <f aca="false">IFERROR(ROUND(S73*AY73*BA73*BB73*AZ73,0),0)</f>
        <v>4389</v>
      </c>
      <c r="BD73" s="39" t="str">
        <f aca="false">IF(COUNT(AM73,AN73,AO73,AP73,AQ73,AR73,AS73)&gt;0,"estimated","pending")</f>
        <v>pending</v>
      </c>
      <c r="BE73" s="50"/>
    </row>
    <row r="74" customFormat="false" ht="15" hidden="false" customHeight="true" outlineLevel="0" collapsed="false">
      <c r="B74" s="54" t="n">
        <f aca="false">IF($C74="","",COUNTA($C$6:C74))</f>
        <v>69</v>
      </c>
      <c r="C74" s="54" t="s">
        <v>843</v>
      </c>
      <c r="D74" s="54" t="s">
        <v>208</v>
      </c>
      <c r="E74" s="54" t="s">
        <v>810</v>
      </c>
      <c r="F74" s="54" t="s">
        <v>810</v>
      </c>
      <c r="G74" s="54" t="s">
        <v>1562</v>
      </c>
      <c r="H74" s="54" t="n">
        <v>4</v>
      </c>
      <c r="I74" s="55" t="s">
        <v>1357</v>
      </c>
      <c r="J74" s="56" t="n">
        <v>5700</v>
      </c>
      <c r="K74" s="56" t="n">
        <v>2400</v>
      </c>
      <c r="L74" s="57" t="n">
        <f aca="false">IF(J74="","",ROUND(J74*0.17,0))</f>
        <v>969</v>
      </c>
      <c r="M74" s="56" t="n">
        <v>4450</v>
      </c>
      <c r="N74" s="56" t="n">
        <v>1850</v>
      </c>
      <c r="O74" s="56" t="n">
        <v>1150</v>
      </c>
      <c r="P74" s="56" t="n">
        <v>1150</v>
      </c>
      <c r="Q74" s="56" t="n">
        <v>8300</v>
      </c>
      <c r="R74" s="56" t="n">
        <v>3700</v>
      </c>
      <c r="S74" s="57" t="n">
        <f aca="false">IF(J74="","",ROUND(J74*2.2,0))</f>
        <v>12540</v>
      </c>
      <c r="T74" s="56" t="n">
        <v>2000</v>
      </c>
      <c r="U74" s="56" t="n">
        <v>1700</v>
      </c>
      <c r="V74" s="56" t="n">
        <v>1050</v>
      </c>
      <c r="W74" s="56" t="n">
        <v>2400</v>
      </c>
      <c r="X74" s="54" t="s">
        <v>1369</v>
      </c>
      <c r="Y74" s="49" t="n">
        <v>0.3</v>
      </c>
      <c r="Z74" s="49" t="n">
        <v>1</v>
      </c>
      <c r="AA74" s="50" t="s">
        <v>844</v>
      </c>
      <c r="AB74" s="50" t="s">
        <v>846</v>
      </c>
      <c r="AC74" s="50" t="s">
        <v>847</v>
      </c>
      <c r="AD74" s="50" t="s">
        <v>848</v>
      </c>
      <c r="AE74" s="50" t="s">
        <v>850</v>
      </c>
      <c r="AF74" s="50"/>
      <c r="AG74" s="50"/>
      <c r="AH74" s="50"/>
      <c r="AI74" s="50"/>
      <c r="AJ74" s="50"/>
      <c r="AK74" s="50" t="s">
        <v>1590</v>
      </c>
      <c r="AL74" s="50"/>
      <c r="AM74" s="50"/>
      <c r="AN74" s="50"/>
      <c r="AO74" s="50"/>
      <c r="AP74" s="50"/>
      <c r="AQ74" s="50"/>
      <c r="AR74" s="50"/>
      <c r="AS74" s="50"/>
      <c r="AT74" s="50" t="str">
        <f aca="false">IFERROR(IF(AND(AN74&gt;0,J74&gt;0),ROUND(J74*1000/(AN74*0.2),0),""),"")</f>
        <v/>
      </c>
      <c r="AU74" s="50" t="str">
        <f aca="false">IFERROR(IF(AND(AQ74&gt;0,M74&gt;0),ROUND(M74*1000/(AQ74*0.3),0),""),"")</f>
        <v/>
      </c>
      <c r="AV74" s="50" t="str">
        <f aca="false">IFERROR(IF(AND(AM74&gt;0,O74&gt;0),ROUND(O74*1000/(AM74*0.1),0),""),"")</f>
        <v/>
      </c>
      <c r="AW74" s="50" t="str">
        <f aca="false">IFERROR(IF(AND(AP74&gt;0,N74&gt;0),ROUND(N74*1000/(AP74*0.25),0),""),"")</f>
        <v/>
      </c>
      <c r="AX74" s="50" t="str">
        <f aca="false">IFERROR(IF(AND(AO74&gt;0,Q74&gt;0),ROUND(Q74*1000/(AO74*1),0),""),"")</f>
        <v/>
      </c>
      <c r="AY74" s="51" t="n">
        <f aca="false">IFERROR(ifs(I74="Tier S",0.65,I74="Tier 1",0.55,I74="Tier 2",0.45,I74="Tier 3",0.35,I74="Tier 4",0.25),0.35)</f>
        <v>0.35</v>
      </c>
      <c r="AZ74" s="52" t="n">
        <v>1</v>
      </c>
      <c r="BA74" s="52" t="n">
        <v>1</v>
      </c>
      <c r="BB74" s="52" t="n">
        <v>1</v>
      </c>
      <c r="BC74" s="53" t="n">
        <f aca="false">IFERROR(ROUND(S74*AY74*BA74*BB74*AZ74,0),0)</f>
        <v>4389</v>
      </c>
      <c r="BD74" s="39" t="str">
        <f aca="false">IF(COUNT(AM74,AN74,AO74,AP74,AQ74,AR74,AS74)&gt;0,"estimated","pending")</f>
        <v>pending</v>
      </c>
      <c r="BE74" s="50"/>
    </row>
    <row r="75" customFormat="false" ht="15" hidden="false" customHeight="true" outlineLevel="0" collapsed="false">
      <c r="B75" s="54" t="n">
        <f aca="false">IF($C75="","",COUNTA($C$6:C75))</f>
        <v>70</v>
      </c>
      <c r="C75" s="54" t="s">
        <v>851</v>
      </c>
      <c r="D75" s="54" t="s">
        <v>208</v>
      </c>
      <c r="E75" s="54" t="s">
        <v>810</v>
      </c>
      <c r="F75" s="54" t="s">
        <v>810</v>
      </c>
      <c r="G75" s="54" t="s">
        <v>1562</v>
      </c>
      <c r="H75" s="54" t="n">
        <v>3</v>
      </c>
      <c r="I75" s="55" t="s">
        <v>1357</v>
      </c>
      <c r="J75" s="56" t="n">
        <v>5700</v>
      </c>
      <c r="K75" s="56" t="n">
        <v>2400</v>
      </c>
      <c r="L75" s="57" t="n">
        <f aca="false">IF(J75="","",ROUND(J75*0.17,0))</f>
        <v>969</v>
      </c>
      <c r="M75" s="56" t="n">
        <v>4450</v>
      </c>
      <c r="N75" s="56" t="n">
        <v>1850</v>
      </c>
      <c r="O75" s="56" t="n">
        <v>1150</v>
      </c>
      <c r="P75" s="56" t="n">
        <v>1150</v>
      </c>
      <c r="Q75" s="56" t="n">
        <v>8300</v>
      </c>
      <c r="R75" s="56" t="n">
        <v>3700</v>
      </c>
      <c r="S75" s="57" t="n">
        <f aca="false">IF(J75="","",ROUND(J75*2.2,0))</f>
        <v>12540</v>
      </c>
      <c r="T75" s="56" t="n">
        <v>2000</v>
      </c>
      <c r="U75" s="56" t="n">
        <v>1700</v>
      </c>
      <c r="V75" s="56" t="n">
        <v>1050</v>
      </c>
      <c r="W75" s="56" t="n">
        <v>2400</v>
      </c>
      <c r="X75" s="54" t="s">
        <v>1383</v>
      </c>
      <c r="Y75" s="49" t="n">
        <v>0.3</v>
      </c>
      <c r="Z75" s="49" t="n">
        <v>1</v>
      </c>
      <c r="AA75" s="50" t="s">
        <v>852</v>
      </c>
      <c r="AB75" s="50" t="s">
        <v>854</v>
      </c>
      <c r="AC75" s="50"/>
      <c r="AD75" s="50" t="s">
        <v>855</v>
      </c>
      <c r="AE75" s="50" t="s">
        <v>857</v>
      </c>
      <c r="AF75" s="50"/>
      <c r="AG75" s="50"/>
      <c r="AH75" s="50"/>
      <c r="AI75" s="50"/>
      <c r="AJ75" s="50"/>
      <c r="AK75" s="50" t="s">
        <v>1591</v>
      </c>
      <c r="AL75" s="50"/>
      <c r="AM75" s="50"/>
      <c r="AN75" s="50"/>
      <c r="AO75" s="50"/>
      <c r="AP75" s="50"/>
      <c r="AQ75" s="50"/>
      <c r="AR75" s="50"/>
      <c r="AS75" s="50"/>
      <c r="AT75" s="50" t="str">
        <f aca="false">IFERROR(IF(AND(AN75&gt;0,J75&gt;0),ROUND(J75*1000/(AN75*0.2),0),""),"")</f>
        <v/>
      </c>
      <c r="AU75" s="50" t="str">
        <f aca="false">IFERROR(IF(AND(AQ75&gt;0,M75&gt;0),ROUND(M75*1000/(AQ75*0.3),0),""),"")</f>
        <v/>
      </c>
      <c r="AV75" s="50" t="str">
        <f aca="false">IFERROR(IF(AND(AM75&gt;0,O75&gt;0),ROUND(O75*1000/(AM75*0.1),0),""),"")</f>
        <v/>
      </c>
      <c r="AW75" s="50" t="str">
        <f aca="false">IFERROR(IF(AND(AP75&gt;0,N75&gt;0),ROUND(N75*1000/(AP75*0.25),0),""),"")</f>
        <v/>
      </c>
      <c r="AX75" s="50" t="str">
        <f aca="false">IFERROR(IF(AND(AO75&gt;0,Q75&gt;0),ROUND(Q75*1000/(AO75*1),0),""),"")</f>
        <v/>
      </c>
      <c r="AY75" s="51" t="n">
        <f aca="false">IFERROR(ifs(I75="Tier S",0.65,I75="Tier 1",0.55,I75="Tier 2",0.45,I75="Tier 3",0.35,I75="Tier 4",0.25),0.35)</f>
        <v>0.35</v>
      </c>
      <c r="AZ75" s="52" t="n">
        <v>1</v>
      </c>
      <c r="BA75" s="52" t="n">
        <v>1</v>
      </c>
      <c r="BB75" s="52" t="n">
        <v>1</v>
      </c>
      <c r="BC75" s="53" t="n">
        <f aca="false">IFERROR(ROUND(S75*AY75*BA75*BB75*AZ75,0),0)</f>
        <v>4389</v>
      </c>
      <c r="BD75" s="39" t="str">
        <f aca="false">IF(COUNT(AM75,AN75,AO75,AP75,AQ75,AR75,AS75)&gt;0,"estimated","pending")</f>
        <v>pending</v>
      </c>
      <c r="BE75" s="50"/>
    </row>
    <row r="76" customFormat="false" ht="15" hidden="false" customHeight="true" outlineLevel="0" collapsed="false">
      <c r="B76" s="58" t="n">
        <f aca="false">IF($C76="","",COUNTA($C$6:C76))</f>
        <v>71</v>
      </c>
      <c r="C76" s="58" t="s">
        <v>1592</v>
      </c>
      <c r="D76" s="58" t="s">
        <v>1439</v>
      </c>
      <c r="E76" s="58" t="s">
        <v>810</v>
      </c>
      <c r="F76" s="58" t="s">
        <v>810</v>
      </c>
      <c r="G76" s="58" t="s">
        <v>1464</v>
      </c>
      <c r="H76" s="58" t="n">
        <v>0</v>
      </c>
      <c r="I76" s="59" t="s">
        <v>1357</v>
      </c>
      <c r="J76" s="60" t="n">
        <v>0</v>
      </c>
      <c r="K76" s="60" t="n">
        <v>0</v>
      </c>
      <c r="L76" s="61" t="n">
        <f aca="false">IF(J76="","",ROUND(J76*0.17,0))</f>
        <v>0</v>
      </c>
      <c r="M76" s="60" t="n">
        <v>0</v>
      </c>
      <c r="N76" s="60" t="n">
        <v>0</v>
      </c>
      <c r="O76" s="60" t="n">
        <v>0</v>
      </c>
      <c r="P76" s="60" t="n">
        <v>0</v>
      </c>
      <c r="Q76" s="60" t="n">
        <v>0</v>
      </c>
      <c r="R76" s="60" t="n">
        <v>0</v>
      </c>
      <c r="S76" s="61" t="n">
        <f aca="false">IF(J76="","",ROUND(J76*2.2,0))</f>
        <v>0</v>
      </c>
      <c r="T76" s="60" t="n">
        <v>0</v>
      </c>
      <c r="U76" s="60" t="n">
        <v>0</v>
      </c>
      <c r="V76" s="60" t="n">
        <v>600</v>
      </c>
      <c r="W76" s="60" t="n">
        <v>0</v>
      </c>
      <c r="X76" s="58" t="s">
        <v>1451</v>
      </c>
      <c r="Y76" s="49" t="n">
        <v>0.3</v>
      </c>
      <c r="Z76" s="49" t="n">
        <v>1</v>
      </c>
      <c r="AA76" s="50" t="s">
        <v>1593</v>
      </c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 t="str">
        <f aca="false">IFERROR(IF(AND(AN76&gt;0,J76&gt;0),ROUND(J76*1000/(AN76*0.2),0),""),"")</f>
        <v/>
      </c>
      <c r="AU76" s="50" t="str">
        <f aca="false">IFERROR(IF(AND(AQ76&gt;0,M76&gt;0),ROUND(M76*1000/(AQ76*0.3),0),""),"")</f>
        <v/>
      </c>
      <c r="AV76" s="50" t="str">
        <f aca="false">IFERROR(IF(AND(AM76&gt;0,O76&gt;0),ROUND(O76*1000/(AM76*0.1),0),""),"")</f>
        <v/>
      </c>
      <c r="AW76" s="50" t="str">
        <f aca="false">IFERROR(IF(AND(AP76&gt;0,N76&gt;0),ROUND(N76*1000/(AP76*0.25),0),""),"")</f>
        <v/>
      </c>
      <c r="AX76" s="50" t="str">
        <f aca="false">IFERROR(IF(AND(AO76&gt;0,Q76&gt;0),ROUND(Q76*1000/(AO76*1),0),""),"")</f>
        <v/>
      </c>
      <c r="AY76" s="51" t="n">
        <f aca="false">IFERROR(ifs(I76="Tier S",0.65,I76="Tier 1",0.55,I76="Tier 2",0.45,I76="Tier 3",0.35,I76="Tier 4",0.25),0.35)</f>
        <v>0.35</v>
      </c>
      <c r="AZ76" s="52" t="n">
        <v>1</v>
      </c>
      <c r="BA76" s="52" t="n">
        <v>1</v>
      </c>
      <c r="BB76" s="52" t="n">
        <v>1</v>
      </c>
      <c r="BC76" s="53" t="n">
        <f aca="false">IFERROR(ROUND(S76*AY76*BA76*BB76*AZ76,0),0)</f>
        <v>0</v>
      </c>
      <c r="BD76" s="39" t="str">
        <f aca="false">IF(COUNT(AM76,AN76,AO76,AP76,AQ76,AR76,AS76)&gt;0,"estimated","pending")</f>
        <v>pending</v>
      </c>
      <c r="BE76" s="50"/>
    </row>
    <row r="77" customFormat="false" ht="15" hidden="false" customHeight="true" outlineLevel="0" collapsed="false">
      <c r="B77" s="62" t="n">
        <f aca="false">IF($C77="","",COUNTA($C$6:C77))</f>
        <v>72</v>
      </c>
      <c r="C77" s="62" t="s">
        <v>1594</v>
      </c>
      <c r="D77" s="62" t="s">
        <v>1478</v>
      </c>
      <c r="E77" s="62" t="s">
        <v>858</v>
      </c>
      <c r="F77" s="62" t="s">
        <v>128</v>
      </c>
      <c r="G77" s="62" t="s">
        <v>1595</v>
      </c>
      <c r="H77" s="62" t="n">
        <v>2</v>
      </c>
      <c r="I77" s="63" t="s">
        <v>337</v>
      </c>
      <c r="J77" s="64" t="n">
        <v>0</v>
      </c>
      <c r="K77" s="64" t="n">
        <v>0</v>
      </c>
      <c r="L77" s="65" t="n">
        <f aca="false">IF(J77="","",ROUND(J77*0.17,0))</f>
        <v>0</v>
      </c>
      <c r="M77" s="64" t="n">
        <v>0</v>
      </c>
      <c r="N77" s="64" t="n">
        <v>0</v>
      </c>
      <c r="O77" s="64" t="n">
        <v>0</v>
      </c>
      <c r="P77" s="64" t="n">
        <v>0</v>
      </c>
      <c r="Q77" s="64" t="n">
        <v>0</v>
      </c>
      <c r="R77" s="64" t="n">
        <v>0</v>
      </c>
      <c r="S77" s="65" t="n">
        <f aca="false">IF(J77="","",ROUND(J77*2.2,0))</f>
        <v>0</v>
      </c>
      <c r="T77" s="64" t="n">
        <v>0</v>
      </c>
      <c r="U77" s="64" t="n">
        <v>0</v>
      </c>
      <c r="V77" s="64" t="n">
        <v>1200</v>
      </c>
      <c r="W77" s="64" t="n">
        <v>0</v>
      </c>
      <c r="X77" s="62" t="s">
        <v>1428</v>
      </c>
      <c r="Y77" s="49" t="n">
        <v>0.3</v>
      </c>
      <c r="Z77" s="49" t="n">
        <v>1</v>
      </c>
      <c r="AA77" s="50" t="s">
        <v>1596</v>
      </c>
      <c r="AB77" s="50"/>
      <c r="AC77" s="50" t="s">
        <v>1597</v>
      </c>
      <c r="AD77" s="50"/>
      <c r="AE77" s="50"/>
      <c r="AF77" s="50"/>
      <c r="AG77" s="50"/>
      <c r="AH77" s="50" t="s">
        <v>1598</v>
      </c>
      <c r="AI77" s="50"/>
      <c r="AJ77" s="50"/>
      <c r="AK77" s="50" t="s">
        <v>1599</v>
      </c>
      <c r="AL77" s="50"/>
      <c r="AM77" s="50"/>
      <c r="AN77" s="50"/>
      <c r="AO77" s="50"/>
      <c r="AP77" s="50"/>
      <c r="AQ77" s="50"/>
      <c r="AR77" s="50"/>
      <c r="AS77" s="50"/>
      <c r="AT77" s="50" t="str">
        <f aca="false">IFERROR(IF(AND(AN77&gt;0,J77&gt;0),ROUND(J77*1000/(AN77*0.2),0),""),"")</f>
        <v/>
      </c>
      <c r="AU77" s="50" t="str">
        <f aca="false">IFERROR(IF(AND(AQ77&gt;0,M77&gt;0),ROUND(M77*1000/(AQ77*0.3),0),""),"")</f>
        <v/>
      </c>
      <c r="AV77" s="50" t="str">
        <f aca="false">IFERROR(IF(AND(AM77&gt;0,O77&gt;0),ROUND(O77*1000/(AM77*0.1),0),""),"")</f>
        <v/>
      </c>
      <c r="AW77" s="50" t="str">
        <f aca="false">IFERROR(IF(AND(AP77&gt;0,N77&gt;0),ROUND(N77*1000/(AP77*0.25),0),""),"")</f>
        <v/>
      </c>
      <c r="AX77" s="50" t="str">
        <f aca="false">IFERROR(IF(AND(AO77&gt;0,Q77&gt;0),ROUND(Q77*1000/(AO77*1),0),""),"")</f>
        <v/>
      </c>
      <c r="AY77" s="51" t="n">
        <f aca="false">IFERROR(ifs(I77="Tier S",0.65,I77="Tier 1",0.55,I77="Tier 2",0.45,I77="Tier 3",0.35,I77="Tier 4",0.25),0.35)</f>
        <v>0.35</v>
      </c>
      <c r="AZ77" s="52" t="n">
        <v>1</v>
      </c>
      <c r="BA77" s="52" t="n">
        <v>1</v>
      </c>
      <c r="BB77" s="52" t="n">
        <v>1</v>
      </c>
      <c r="BC77" s="53" t="n">
        <f aca="false">IFERROR(ROUND(S77*AY77*BA77*BB77*AZ77,0),0)</f>
        <v>0</v>
      </c>
      <c r="BD77" s="39" t="str">
        <f aca="false">IF(COUNT(AM77,AN77,AO77,AP77,AQ77,AR77,AS77)&gt;0,"estimated","pending")</f>
        <v>pending</v>
      </c>
      <c r="BE77" s="50"/>
    </row>
    <row r="78" customFormat="false" ht="15" hidden="false" customHeight="true" outlineLevel="0" collapsed="false">
      <c r="B78" s="54" t="n">
        <f aca="false">IF($C78="","",COUNTA($C$6:C78))</f>
        <v>73</v>
      </c>
      <c r="C78" s="54" t="s">
        <v>859</v>
      </c>
      <c r="D78" s="54" t="s">
        <v>208</v>
      </c>
      <c r="E78" s="54" t="s">
        <v>858</v>
      </c>
      <c r="F78" s="54" t="s">
        <v>128</v>
      </c>
      <c r="G78" s="54" t="s">
        <v>1595</v>
      </c>
      <c r="H78" s="54" t="n">
        <v>2</v>
      </c>
      <c r="I78" s="55" t="s">
        <v>337</v>
      </c>
      <c r="J78" s="56" t="n">
        <v>11250</v>
      </c>
      <c r="K78" s="56" t="n">
        <v>4500</v>
      </c>
      <c r="L78" s="57" t="n">
        <f aca="false">IF(J78="","",ROUND(J78*0.17,0))</f>
        <v>1913</v>
      </c>
      <c r="M78" s="56" t="n">
        <v>8000</v>
      </c>
      <c r="N78" s="56" t="n">
        <v>3500</v>
      </c>
      <c r="O78" s="56" t="n">
        <v>2000</v>
      </c>
      <c r="P78" s="56" t="n">
        <v>2000</v>
      </c>
      <c r="Q78" s="56" t="n">
        <v>13500</v>
      </c>
      <c r="R78" s="56" t="n">
        <v>6075</v>
      </c>
      <c r="S78" s="57" t="n">
        <f aca="false">IF(J78="","",ROUND(J78*2.2,0))</f>
        <v>24750</v>
      </c>
      <c r="T78" s="56" t="n">
        <v>4638</v>
      </c>
      <c r="U78" s="56" t="n">
        <v>4063</v>
      </c>
      <c r="V78" s="56" t="n">
        <v>2438</v>
      </c>
      <c r="W78" s="56" t="n">
        <v>2400</v>
      </c>
      <c r="X78" s="54" t="s">
        <v>1428</v>
      </c>
      <c r="Y78" s="49" t="n">
        <v>0.3</v>
      </c>
      <c r="Z78" s="49" t="n">
        <v>1</v>
      </c>
      <c r="AA78" s="50" t="s">
        <v>860</v>
      </c>
      <c r="AB78" s="50"/>
      <c r="AC78" s="50" t="s">
        <v>862</v>
      </c>
      <c r="AD78" s="50"/>
      <c r="AE78" s="50"/>
      <c r="AF78" s="50"/>
      <c r="AG78" s="50"/>
      <c r="AH78" s="50" t="s">
        <v>864</v>
      </c>
      <c r="AI78" s="50"/>
      <c r="AJ78" s="50"/>
      <c r="AK78" s="50" t="s">
        <v>1600</v>
      </c>
      <c r="AL78" s="50"/>
      <c r="AM78" s="50"/>
      <c r="AN78" s="50"/>
      <c r="AO78" s="50"/>
      <c r="AP78" s="50"/>
      <c r="AQ78" s="50"/>
      <c r="AR78" s="50"/>
      <c r="AS78" s="50"/>
      <c r="AT78" s="50" t="str">
        <f aca="false">IFERROR(IF(AND(AN78&gt;0,J78&gt;0),ROUND(J78*1000/(AN78*0.2),0),""),"")</f>
        <v/>
      </c>
      <c r="AU78" s="50" t="str">
        <f aca="false">IFERROR(IF(AND(AQ78&gt;0,M78&gt;0),ROUND(M78*1000/(AQ78*0.3),0),""),"")</f>
        <v/>
      </c>
      <c r="AV78" s="50" t="str">
        <f aca="false">IFERROR(IF(AND(AM78&gt;0,O78&gt;0),ROUND(O78*1000/(AM78*0.1),0),""),"")</f>
        <v/>
      </c>
      <c r="AW78" s="50" t="str">
        <f aca="false">IFERROR(IF(AND(AP78&gt;0,N78&gt;0),ROUND(N78*1000/(AP78*0.25),0),""),"")</f>
        <v/>
      </c>
      <c r="AX78" s="50" t="str">
        <f aca="false">IFERROR(IF(AND(AO78&gt;0,Q78&gt;0),ROUND(Q78*1000/(AO78*1),0),""),"")</f>
        <v/>
      </c>
      <c r="AY78" s="51" t="n">
        <f aca="false">IFERROR(ifs(I78="Tier S",0.65,I78="Tier 1",0.55,I78="Tier 2",0.45,I78="Tier 3",0.35,I78="Tier 4",0.25),0.35)</f>
        <v>0.35</v>
      </c>
      <c r="AZ78" s="52" t="n">
        <v>1</v>
      </c>
      <c r="BA78" s="52" t="n">
        <v>1</v>
      </c>
      <c r="BB78" s="52" t="n">
        <v>1</v>
      </c>
      <c r="BC78" s="53" t="n">
        <f aca="false">IFERROR(ROUND(S78*AY78*BA78*BB78*AZ78,0),0)</f>
        <v>8663</v>
      </c>
      <c r="BD78" s="39" t="str">
        <f aca="false">IF(COUNT(AM78,AN78,AO78,AP78,AQ78,AR78,AS78)&gt;0,"estimated","pending")</f>
        <v>pending</v>
      </c>
      <c r="BE78" s="50"/>
    </row>
    <row r="79" customFormat="false" ht="15" hidden="false" customHeight="true" outlineLevel="0" collapsed="false">
      <c r="B79" s="54" t="n">
        <f aca="false">IF($C79="","",COUNTA($C$6:C79))</f>
        <v>74</v>
      </c>
      <c r="C79" s="54" t="s">
        <v>865</v>
      </c>
      <c r="D79" s="54" t="s">
        <v>208</v>
      </c>
      <c r="E79" s="54" t="s">
        <v>858</v>
      </c>
      <c r="F79" s="54" t="s">
        <v>128</v>
      </c>
      <c r="G79" s="54" t="s">
        <v>1595</v>
      </c>
      <c r="H79" s="54" t="n">
        <v>3</v>
      </c>
      <c r="I79" s="55" t="s">
        <v>337</v>
      </c>
      <c r="J79" s="56" t="n">
        <v>11000</v>
      </c>
      <c r="K79" s="56" t="n">
        <v>4600</v>
      </c>
      <c r="L79" s="57" t="n">
        <f aca="false">IF(J79="","",ROUND(J79*0.17,0))</f>
        <v>1870</v>
      </c>
      <c r="M79" s="56" t="n">
        <v>8600</v>
      </c>
      <c r="N79" s="56" t="n">
        <v>3500</v>
      </c>
      <c r="O79" s="56" t="n">
        <v>2200</v>
      </c>
      <c r="P79" s="56" t="n">
        <v>2200</v>
      </c>
      <c r="Q79" s="56" t="n">
        <v>15950</v>
      </c>
      <c r="R79" s="56" t="n">
        <v>7150</v>
      </c>
      <c r="S79" s="57" t="n">
        <f aca="false">IF(J79="","",ROUND(J79*2.2,0))</f>
        <v>24200</v>
      </c>
      <c r="T79" s="56" t="n">
        <v>3850</v>
      </c>
      <c r="U79" s="56" t="n">
        <v>3300</v>
      </c>
      <c r="V79" s="56" t="n">
        <v>2000</v>
      </c>
      <c r="W79" s="56" t="n">
        <v>2400</v>
      </c>
      <c r="X79" s="54" t="s">
        <v>1383</v>
      </c>
      <c r="Y79" s="49" t="n">
        <v>0.3</v>
      </c>
      <c r="Z79" s="49" t="n">
        <v>1</v>
      </c>
      <c r="AA79" s="50" t="s">
        <v>866</v>
      </c>
      <c r="AB79" s="50"/>
      <c r="AC79" s="50" t="s">
        <v>868</v>
      </c>
      <c r="AD79" s="50"/>
      <c r="AE79" s="50"/>
      <c r="AF79" s="50" t="s">
        <v>870</v>
      </c>
      <c r="AG79" s="50"/>
      <c r="AH79" s="50" t="s">
        <v>871</v>
      </c>
      <c r="AI79" s="50"/>
      <c r="AJ79" s="50"/>
      <c r="AK79" s="50" t="s">
        <v>1601</v>
      </c>
      <c r="AL79" s="50"/>
      <c r="AM79" s="50"/>
      <c r="AN79" s="50"/>
      <c r="AO79" s="50"/>
      <c r="AP79" s="50"/>
      <c r="AQ79" s="50"/>
      <c r="AR79" s="50"/>
      <c r="AS79" s="50"/>
      <c r="AT79" s="50" t="str">
        <f aca="false">IFERROR(IF(AND(AN79&gt;0,J79&gt;0),ROUND(J79*1000/(AN79*0.2),0),""),"")</f>
        <v/>
      </c>
      <c r="AU79" s="50" t="str">
        <f aca="false">IFERROR(IF(AND(AQ79&gt;0,M79&gt;0),ROUND(M79*1000/(AQ79*0.3),0),""),"")</f>
        <v/>
      </c>
      <c r="AV79" s="50" t="str">
        <f aca="false">IFERROR(IF(AND(AM79&gt;0,O79&gt;0),ROUND(O79*1000/(AM79*0.1),0),""),"")</f>
        <v/>
      </c>
      <c r="AW79" s="50" t="str">
        <f aca="false">IFERROR(IF(AND(AP79&gt;0,N79&gt;0),ROUND(N79*1000/(AP79*0.25),0),""),"")</f>
        <v/>
      </c>
      <c r="AX79" s="50" t="str">
        <f aca="false">IFERROR(IF(AND(AO79&gt;0,Q79&gt;0),ROUND(Q79*1000/(AO79*1),0),""),"")</f>
        <v/>
      </c>
      <c r="AY79" s="51" t="n">
        <f aca="false">IFERROR(ifs(I79="Tier S",0.65,I79="Tier 1",0.55,I79="Tier 2",0.45,I79="Tier 3",0.35,I79="Tier 4",0.25),0.35)</f>
        <v>0.35</v>
      </c>
      <c r="AZ79" s="52" t="n">
        <v>1</v>
      </c>
      <c r="BA79" s="52" t="n">
        <v>1</v>
      </c>
      <c r="BB79" s="52" t="n">
        <v>1</v>
      </c>
      <c r="BC79" s="53" t="n">
        <f aca="false">IFERROR(ROUND(S79*AY79*BA79*BB79*AZ79,0),0)</f>
        <v>8470</v>
      </c>
      <c r="BD79" s="39" t="str">
        <f aca="false">IF(COUNT(AM79,AN79,AO79,AP79,AQ79,AR79,AS79)&gt;0,"estimated","pending")</f>
        <v>pending</v>
      </c>
      <c r="BE79" s="50"/>
    </row>
    <row r="80" customFormat="false" ht="15" hidden="false" customHeight="true" outlineLevel="0" collapsed="false">
      <c r="B80" s="54" t="n">
        <f aca="false">IF($C80="","",COUNTA($C$6:C80))</f>
        <v>75</v>
      </c>
      <c r="C80" s="54" t="s">
        <v>1602</v>
      </c>
      <c r="D80" s="54" t="s">
        <v>208</v>
      </c>
      <c r="E80" s="54" t="s">
        <v>858</v>
      </c>
      <c r="F80" s="54" t="s">
        <v>128</v>
      </c>
      <c r="G80" s="54" t="s">
        <v>1595</v>
      </c>
      <c r="H80" s="54" t="n">
        <v>3</v>
      </c>
      <c r="I80" s="55" t="s">
        <v>337</v>
      </c>
      <c r="J80" s="56" t="n">
        <v>11000</v>
      </c>
      <c r="K80" s="56" t="n">
        <v>4600</v>
      </c>
      <c r="L80" s="57" t="n">
        <f aca="false">IF(J80="","",ROUND(J80*0.17,0))</f>
        <v>1870</v>
      </c>
      <c r="M80" s="56" t="n">
        <v>8600</v>
      </c>
      <c r="N80" s="56" t="n">
        <v>3500</v>
      </c>
      <c r="O80" s="56" t="n">
        <v>2200</v>
      </c>
      <c r="P80" s="56" t="n">
        <v>2200</v>
      </c>
      <c r="Q80" s="56" t="n">
        <v>15950</v>
      </c>
      <c r="R80" s="56" t="n">
        <v>7150</v>
      </c>
      <c r="S80" s="57" t="n">
        <f aca="false">IF(J80="","",ROUND(J80*2.2,0))</f>
        <v>24200</v>
      </c>
      <c r="T80" s="56" t="n">
        <v>3850</v>
      </c>
      <c r="U80" s="56" t="n">
        <v>3300</v>
      </c>
      <c r="V80" s="56" t="n">
        <v>2000</v>
      </c>
      <c r="W80" s="56" t="n">
        <v>2400</v>
      </c>
      <c r="X80" s="54" t="s">
        <v>1383</v>
      </c>
      <c r="Y80" s="49" t="n">
        <v>0.3</v>
      </c>
      <c r="Z80" s="49" t="n">
        <v>1</v>
      </c>
      <c r="AA80" s="50" t="s">
        <v>873</v>
      </c>
      <c r="AB80" s="50"/>
      <c r="AC80" s="50" t="s">
        <v>875</v>
      </c>
      <c r="AD80" s="50"/>
      <c r="AE80" s="50"/>
      <c r="AF80" s="50" t="s">
        <v>877</v>
      </c>
      <c r="AG80" s="50"/>
      <c r="AH80" s="50" t="s">
        <v>879</v>
      </c>
      <c r="AI80" s="50"/>
      <c r="AJ80" s="50"/>
      <c r="AK80" s="50" t="s">
        <v>1603</v>
      </c>
      <c r="AL80" s="50"/>
      <c r="AM80" s="50"/>
      <c r="AN80" s="50"/>
      <c r="AO80" s="50"/>
      <c r="AP80" s="50"/>
      <c r="AQ80" s="50"/>
      <c r="AR80" s="50"/>
      <c r="AS80" s="50"/>
      <c r="AT80" s="50" t="str">
        <f aca="false">IFERROR(IF(AND(AN80&gt;0,J80&gt;0),ROUND(J80*1000/(AN80*0.2),0),""),"")</f>
        <v/>
      </c>
      <c r="AU80" s="50" t="str">
        <f aca="false">IFERROR(IF(AND(AQ80&gt;0,M80&gt;0),ROUND(M80*1000/(AQ80*0.3),0),""),"")</f>
        <v/>
      </c>
      <c r="AV80" s="50" t="str">
        <f aca="false">IFERROR(IF(AND(AM80&gt;0,O80&gt;0),ROUND(O80*1000/(AM80*0.1),0),""),"")</f>
        <v/>
      </c>
      <c r="AW80" s="50" t="str">
        <f aca="false">IFERROR(IF(AND(AP80&gt;0,N80&gt;0),ROUND(N80*1000/(AP80*0.25),0),""),"")</f>
        <v/>
      </c>
      <c r="AX80" s="50" t="str">
        <f aca="false">IFERROR(IF(AND(AO80&gt;0,Q80&gt;0),ROUND(Q80*1000/(AO80*1),0),""),"")</f>
        <v/>
      </c>
      <c r="AY80" s="51" t="n">
        <f aca="false">IFERROR(ifs(I80="Tier S",0.65,I80="Tier 1",0.55,I80="Tier 2",0.45,I80="Tier 3",0.35,I80="Tier 4",0.25),0.35)</f>
        <v>0.35</v>
      </c>
      <c r="AZ80" s="52" t="n">
        <v>1</v>
      </c>
      <c r="BA80" s="52" t="n">
        <v>1</v>
      </c>
      <c r="BB80" s="52" t="n">
        <v>1</v>
      </c>
      <c r="BC80" s="53" t="n">
        <f aca="false">IFERROR(ROUND(S80*AY80*BA80*BB80*AZ80,0),0)</f>
        <v>8470</v>
      </c>
      <c r="BD80" s="39" t="str">
        <f aca="false">IF(COUNT(AM80,AN80,AO80,AP80,AQ80,AR80,AS80)&gt;0,"estimated","pending")</f>
        <v>pending</v>
      </c>
      <c r="BE80" s="50"/>
    </row>
    <row r="81" customFormat="false" ht="15" hidden="false" customHeight="true" outlineLevel="0" collapsed="false">
      <c r="B81" s="54" t="n">
        <f aca="false">IF($C81="","",COUNTA($C$6:C81))</f>
        <v>76</v>
      </c>
      <c r="C81" s="54" t="s">
        <v>880</v>
      </c>
      <c r="D81" s="54" t="s">
        <v>208</v>
      </c>
      <c r="E81" s="54" t="s">
        <v>858</v>
      </c>
      <c r="F81" s="54" t="s">
        <v>128</v>
      </c>
      <c r="G81" s="54" t="s">
        <v>1595</v>
      </c>
      <c r="H81" s="54" t="n">
        <v>3</v>
      </c>
      <c r="I81" s="55" t="s">
        <v>337</v>
      </c>
      <c r="J81" s="56" t="n">
        <v>11000</v>
      </c>
      <c r="K81" s="56" t="n">
        <v>4600</v>
      </c>
      <c r="L81" s="57" t="n">
        <f aca="false">IF(J81="","",ROUND(J81*0.17,0))</f>
        <v>1870</v>
      </c>
      <c r="M81" s="56" t="n">
        <v>8600</v>
      </c>
      <c r="N81" s="56" t="n">
        <v>3500</v>
      </c>
      <c r="O81" s="56" t="n">
        <v>2200</v>
      </c>
      <c r="P81" s="56" t="n">
        <v>2200</v>
      </c>
      <c r="Q81" s="56" t="n">
        <v>15950</v>
      </c>
      <c r="R81" s="56" t="n">
        <v>7150</v>
      </c>
      <c r="S81" s="57" t="n">
        <f aca="false">IF(J81="","",ROUND(J81*2.2,0))</f>
        <v>24200</v>
      </c>
      <c r="T81" s="56" t="n">
        <v>3850</v>
      </c>
      <c r="U81" s="56" t="n">
        <v>3300</v>
      </c>
      <c r="V81" s="56" t="n">
        <v>2000</v>
      </c>
      <c r="W81" s="56" t="n">
        <v>2400</v>
      </c>
      <c r="X81" s="54" t="s">
        <v>1383</v>
      </c>
      <c r="Y81" s="49" t="n">
        <v>0.3</v>
      </c>
      <c r="Z81" s="49" t="n">
        <v>1</v>
      </c>
      <c r="AA81" s="50" t="s">
        <v>881</v>
      </c>
      <c r="AB81" s="50"/>
      <c r="AC81" s="50" t="s">
        <v>883</v>
      </c>
      <c r="AD81" s="50"/>
      <c r="AE81" s="50"/>
      <c r="AF81" s="50" t="s">
        <v>885</v>
      </c>
      <c r="AG81" s="50"/>
      <c r="AH81" s="50" t="s">
        <v>886</v>
      </c>
      <c r="AI81" s="50"/>
      <c r="AJ81" s="50"/>
      <c r="AK81" s="50" t="s">
        <v>1604</v>
      </c>
      <c r="AL81" s="50"/>
      <c r="AM81" s="50"/>
      <c r="AN81" s="50"/>
      <c r="AO81" s="50"/>
      <c r="AP81" s="50"/>
      <c r="AQ81" s="50"/>
      <c r="AR81" s="50"/>
      <c r="AS81" s="50"/>
      <c r="AT81" s="50" t="str">
        <f aca="false">IFERROR(IF(AND(AN81&gt;0,J81&gt;0),ROUND(J81*1000/(AN81*0.2),0),""),"")</f>
        <v/>
      </c>
      <c r="AU81" s="50" t="str">
        <f aca="false">IFERROR(IF(AND(AQ81&gt;0,M81&gt;0),ROUND(M81*1000/(AQ81*0.3),0),""),"")</f>
        <v/>
      </c>
      <c r="AV81" s="50" t="str">
        <f aca="false">IFERROR(IF(AND(AM81&gt;0,O81&gt;0),ROUND(O81*1000/(AM81*0.1),0),""),"")</f>
        <v/>
      </c>
      <c r="AW81" s="50" t="str">
        <f aca="false">IFERROR(IF(AND(AP81&gt;0,N81&gt;0),ROUND(N81*1000/(AP81*0.25),0),""),"")</f>
        <v/>
      </c>
      <c r="AX81" s="50" t="str">
        <f aca="false">IFERROR(IF(AND(AO81&gt;0,Q81&gt;0),ROUND(Q81*1000/(AO81*1),0),""),"")</f>
        <v/>
      </c>
      <c r="AY81" s="51" t="n">
        <f aca="false">IFERROR(ifs(I81="Tier S",0.65,I81="Tier 1",0.55,I81="Tier 2",0.45,I81="Tier 3",0.35,I81="Tier 4",0.25),0.35)</f>
        <v>0.35</v>
      </c>
      <c r="AZ81" s="52" t="n">
        <v>1</v>
      </c>
      <c r="BA81" s="52" t="n">
        <v>1</v>
      </c>
      <c r="BB81" s="52" t="n">
        <v>1</v>
      </c>
      <c r="BC81" s="53" t="n">
        <f aca="false">IFERROR(ROUND(S81*AY81*BA81*BB81*AZ81,0),0)</f>
        <v>8470</v>
      </c>
      <c r="BD81" s="39" t="str">
        <f aca="false">IF(COUNT(AM81,AN81,AO81,AP81,AQ81,AR81,AS81)&gt;0,"estimated","pending")</f>
        <v>pending</v>
      </c>
      <c r="BE81" s="50"/>
    </row>
    <row r="82" customFormat="false" ht="15" hidden="false" customHeight="true" outlineLevel="0" collapsed="false">
      <c r="B82" s="54" t="n">
        <f aca="false">IF($C82="","",COUNTA($C$6:C82))</f>
        <v>77</v>
      </c>
      <c r="C82" s="54" t="s">
        <v>887</v>
      </c>
      <c r="D82" s="54" t="s">
        <v>208</v>
      </c>
      <c r="E82" s="54" t="s">
        <v>858</v>
      </c>
      <c r="F82" s="54" t="s">
        <v>128</v>
      </c>
      <c r="G82" s="54" t="s">
        <v>1595</v>
      </c>
      <c r="H82" s="54" t="n">
        <v>2</v>
      </c>
      <c r="I82" s="55" t="s">
        <v>337</v>
      </c>
      <c r="J82" s="56" t="n">
        <v>11000</v>
      </c>
      <c r="K82" s="56" t="n">
        <v>4600</v>
      </c>
      <c r="L82" s="57" t="n">
        <f aca="false">IF(J82="","",ROUND(J82*0.17,0))</f>
        <v>1870</v>
      </c>
      <c r="M82" s="56" t="n">
        <v>8600</v>
      </c>
      <c r="N82" s="56" t="n">
        <v>3500</v>
      </c>
      <c r="O82" s="56" t="n">
        <v>2200</v>
      </c>
      <c r="P82" s="56" t="n">
        <v>2200</v>
      </c>
      <c r="Q82" s="56" t="n">
        <v>15950</v>
      </c>
      <c r="R82" s="56" t="n">
        <v>7150</v>
      </c>
      <c r="S82" s="57" t="n">
        <f aca="false">IF(J82="","",ROUND(J82*2.2,0))</f>
        <v>24200</v>
      </c>
      <c r="T82" s="56" t="n">
        <v>3850</v>
      </c>
      <c r="U82" s="56" t="n">
        <v>3300</v>
      </c>
      <c r="V82" s="56" t="n">
        <v>2000</v>
      </c>
      <c r="W82" s="56" t="n">
        <v>2400</v>
      </c>
      <c r="X82" s="54" t="s">
        <v>1428</v>
      </c>
      <c r="Y82" s="49" t="n">
        <v>0.3</v>
      </c>
      <c r="Z82" s="49" t="n">
        <v>1</v>
      </c>
      <c r="AA82" s="50" t="s">
        <v>1605</v>
      </c>
      <c r="AB82" s="50"/>
      <c r="AC82" s="50" t="s">
        <v>890</v>
      </c>
      <c r="AD82" s="50"/>
      <c r="AE82" s="50"/>
      <c r="AF82" s="50" t="s">
        <v>892</v>
      </c>
      <c r="AG82" s="50"/>
      <c r="AH82" s="50"/>
      <c r="AI82" s="50"/>
      <c r="AJ82" s="50"/>
      <c r="AK82" s="50" t="s">
        <v>1606</v>
      </c>
      <c r="AL82" s="50"/>
      <c r="AM82" s="50"/>
      <c r="AN82" s="50"/>
      <c r="AO82" s="50"/>
      <c r="AP82" s="50"/>
      <c r="AQ82" s="50"/>
      <c r="AR82" s="50"/>
      <c r="AS82" s="50"/>
      <c r="AT82" s="50" t="str">
        <f aca="false">IFERROR(IF(AND(AN82&gt;0,J82&gt;0),ROUND(J82*1000/(AN82*0.2),0),""),"")</f>
        <v/>
      </c>
      <c r="AU82" s="50" t="str">
        <f aca="false">IFERROR(IF(AND(AQ82&gt;0,M82&gt;0),ROUND(M82*1000/(AQ82*0.3),0),""),"")</f>
        <v/>
      </c>
      <c r="AV82" s="50" t="str">
        <f aca="false">IFERROR(IF(AND(AM82&gt;0,O82&gt;0),ROUND(O82*1000/(AM82*0.1),0),""),"")</f>
        <v/>
      </c>
      <c r="AW82" s="50" t="str">
        <f aca="false">IFERROR(IF(AND(AP82&gt;0,N82&gt;0),ROUND(N82*1000/(AP82*0.25),0),""),"")</f>
        <v/>
      </c>
      <c r="AX82" s="50" t="str">
        <f aca="false">IFERROR(IF(AND(AO82&gt;0,Q82&gt;0),ROUND(Q82*1000/(AO82*1),0),""),"")</f>
        <v/>
      </c>
      <c r="AY82" s="51" t="n">
        <f aca="false">IFERROR(ifs(I82="Tier S",0.65,I82="Tier 1",0.55,I82="Tier 2",0.45,I82="Tier 3",0.35,I82="Tier 4",0.25),0.35)</f>
        <v>0.35</v>
      </c>
      <c r="AZ82" s="52" t="n">
        <v>1</v>
      </c>
      <c r="BA82" s="52" t="n">
        <v>1</v>
      </c>
      <c r="BB82" s="52" t="n">
        <v>1</v>
      </c>
      <c r="BC82" s="53" t="n">
        <f aca="false">IFERROR(ROUND(S82*AY82*BA82*BB82*AZ82,0),0)</f>
        <v>8470</v>
      </c>
      <c r="BD82" s="39" t="str">
        <f aca="false">IF(COUNT(AM82,AN82,AO82,AP82,AQ82,AR82,AS82)&gt;0,"estimated","pending")</f>
        <v>pending</v>
      </c>
      <c r="BE82" s="50"/>
    </row>
    <row r="83" customFormat="false" ht="15" hidden="false" customHeight="true" outlineLevel="0" collapsed="false">
      <c r="B83" s="54" t="n">
        <f aca="false">IF($C83="","",COUNTA($C$6:C83))</f>
        <v>78</v>
      </c>
      <c r="C83" s="54" t="s">
        <v>893</v>
      </c>
      <c r="D83" s="54" t="s">
        <v>208</v>
      </c>
      <c r="E83" s="54" t="s">
        <v>858</v>
      </c>
      <c r="F83" s="54" t="s">
        <v>128</v>
      </c>
      <c r="G83" s="54" t="s">
        <v>1595</v>
      </c>
      <c r="H83" s="54" t="n">
        <v>2</v>
      </c>
      <c r="I83" s="55" t="s">
        <v>337</v>
      </c>
      <c r="J83" s="56" t="n">
        <v>11000</v>
      </c>
      <c r="K83" s="56" t="n">
        <v>4600</v>
      </c>
      <c r="L83" s="57" t="n">
        <f aca="false">IF(J83="","",ROUND(J83*0.17,0))</f>
        <v>1870</v>
      </c>
      <c r="M83" s="56" t="n">
        <v>8600</v>
      </c>
      <c r="N83" s="56" t="n">
        <v>3500</v>
      </c>
      <c r="O83" s="56" t="n">
        <v>2200</v>
      </c>
      <c r="P83" s="56" t="n">
        <v>2200</v>
      </c>
      <c r="Q83" s="56" t="n">
        <v>15950</v>
      </c>
      <c r="R83" s="56" t="n">
        <v>7150</v>
      </c>
      <c r="S83" s="57" t="n">
        <f aca="false">IF(J83="","",ROUND(J83*2.2,0))</f>
        <v>24200</v>
      </c>
      <c r="T83" s="56" t="n">
        <v>3850</v>
      </c>
      <c r="U83" s="56" t="n">
        <v>3300</v>
      </c>
      <c r="V83" s="56" t="n">
        <v>2000</v>
      </c>
      <c r="W83" s="56" t="n">
        <v>2400</v>
      </c>
      <c r="X83" s="54" t="s">
        <v>1428</v>
      </c>
      <c r="Y83" s="49" t="n">
        <v>0.3</v>
      </c>
      <c r="Z83" s="49" t="n">
        <v>1</v>
      </c>
      <c r="AA83" s="50" t="s">
        <v>1607</v>
      </c>
      <c r="AB83" s="50"/>
      <c r="AC83" s="50" t="s">
        <v>896</v>
      </c>
      <c r="AD83" s="50"/>
      <c r="AE83" s="50"/>
      <c r="AF83" s="50"/>
      <c r="AG83" s="50"/>
      <c r="AH83" s="50" t="s">
        <v>898</v>
      </c>
      <c r="AI83" s="50"/>
      <c r="AJ83" s="50"/>
      <c r="AK83" s="50" t="s">
        <v>1608</v>
      </c>
      <c r="AL83" s="50"/>
      <c r="AM83" s="50"/>
      <c r="AN83" s="50"/>
      <c r="AO83" s="50"/>
      <c r="AP83" s="50"/>
      <c r="AQ83" s="50"/>
      <c r="AR83" s="50"/>
      <c r="AS83" s="50"/>
      <c r="AT83" s="50" t="str">
        <f aca="false">IFERROR(IF(AND(AN83&gt;0,J83&gt;0),ROUND(J83*1000/(AN83*0.2),0),""),"")</f>
        <v/>
      </c>
      <c r="AU83" s="50" t="str">
        <f aca="false">IFERROR(IF(AND(AQ83&gt;0,M83&gt;0),ROUND(M83*1000/(AQ83*0.3),0),""),"")</f>
        <v/>
      </c>
      <c r="AV83" s="50" t="str">
        <f aca="false">IFERROR(IF(AND(AM83&gt;0,O83&gt;0),ROUND(O83*1000/(AM83*0.1),0),""),"")</f>
        <v/>
      </c>
      <c r="AW83" s="50" t="str">
        <f aca="false">IFERROR(IF(AND(AP83&gt;0,N83&gt;0),ROUND(N83*1000/(AP83*0.25),0),""),"")</f>
        <v/>
      </c>
      <c r="AX83" s="50" t="str">
        <f aca="false">IFERROR(IF(AND(AO83&gt;0,Q83&gt;0),ROUND(Q83*1000/(AO83*1),0),""),"")</f>
        <v/>
      </c>
      <c r="AY83" s="51" t="n">
        <f aca="false">IFERROR(ifs(I83="Tier S",0.65,I83="Tier 1",0.55,I83="Tier 2",0.45,I83="Tier 3",0.35,I83="Tier 4",0.25),0.35)</f>
        <v>0.35</v>
      </c>
      <c r="AZ83" s="52" t="n">
        <v>1</v>
      </c>
      <c r="BA83" s="52" t="n">
        <v>1</v>
      </c>
      <c r="BB83" s="52" t="n">
        <v>1</v>
      </c>
      <c r="BC83" s="53" t="n">
        <f aca="false">IFERROR(ROUND(S83*AY83*BA83*BB83*AZ83,0),0)</f>
        <v>8470</v>
      </c>
      <c r="BD83" s="39" t="str">
        <f aca="false">IF(COUNT(AM83,AN83,AO83,AP83,AQ83,AR83,AS83)&gt;0,"estimated","pending")</f>
        <v>pending</v>
      </c>
      <c r="BE83" s="50"/>
    </row>
    <row r="84" customFormat="false" ht="15" hidden="false" customHeight="true" outlineLevel="0" collapsed="false">
      <c r="B84" s="58" t="n">
        <f aca="false">IF($C84="","",COUNTA($C$6:C84))</f>
        <v>79</v>
      </c>
      <c r="C84" s="58" t="s">
        <v>1609</v>
      </c>
      <c r="D84" s="58" t="s">
        <v>1439</v>
      </c>
      <c r="E84" s="58" t="s">
        <v>858</v>
      </c>
      <c r="F84" s="58" t="s">
        <v>128</v>
      </c>
      <c r="G84" s="58" t="s">
        <v>1595</v>
      </c>
      <c r="H84" s="58" t="n">
        <v>0</v>
      </c>
      <c r="I84" s="59" t="s">
        <v>1357</v>
      </c>
      <c r="J84" s="60" t="n">
        <v>11000</v>
      </c>
      <c r="K84" s="60" t="n">
        <v>4600</v>
      </c>
      <c r="L84" s="61" t="n">
        <f aca="false">IF(J84="","",ROUND(J84*0.17,0))</f>
        <v>1870</v>
      </c>
      <c r="M84" s="60" t="n">
        <v>8600</v>
      </c>
      <c r="N84" s="60" t="n">
        <v>3500</v>
      </c>
      <c r="O84" s="60" t="n">
        <v>2200</v>
      </c>
      <c r="P84" s="60" t="n">
        <v>0</v>
      </c>
      <c r="Q84" s="60" t="n">
        <v>15950</v>
      </c>
      <c r="R84" s="60" t="n">
        <v>7150</v>
      </c>
      <c r="S84" s="61" t="n">
        <f aca="false">IF(J84="","",ROUND(J84*2.2,0))</f>
        <v>24200</v>
      </c>
      <c r="T84" s="60" t="n">
        <v>3850</v>
      </c>
      <c r="U84" s="60" t="n">
        <v>3300</v>
      </c>
      <c r="V84" s="60" t="n">
        <v>2000</v>
      </c>
      <c r="W84" s="60" t="n">
        <v>0</v>
      </c>
      <c r="X84" s="58" t="s">
        <v>1451</v>
      </c>
      <c r="Y84" s="49" t="n">
        <v>0.3</v>
      </c>
      <c r="Z84" s="49" t="n">
        <v>1</v>
      </c>
      <c r="AA84" s="50" t="s">
        <v>1610</v>
      </c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 t="str">
        <f aca="false">IFERROR(IF(AND(AN84&gt;0,J84&gt;0),ROUND(J84*1000/(AN84*0.2),0),""),"")</f>
        <v/>
      </c>
      <c r="AU84" s="50" t="str">
        <f aca="false">IFERROR(IF(AND(AQ84&gt;0,M84&gt;0),ROUND(M84*1000/(AQ84*0.3),0),""),"")</f>
        <v/>
      </c>
      <c r="AV84" s="50" t="str">
        <f aca="false">IFERROR(IF(AND(AM84&gt;0,O84&gt;0),ROUND(O84*1000/(AM84*0.1),0),""),"")</f>
        <v/>
      </c>
      <c r="AW84" s="50" t="str">
        <f aca="false">IFERROR(IF(AND(AP84&gt;0,N84&gt;0),ROUND(N84*1000/(AP84*0.25),0),""),"")</f>
        <v/>
      </c>
      <c r="AX84" s="50" t="str">
        <f aca="false">IFERROR(IF(AND(AO84&gt;0,Q84&gt;0),ROUND(Q84*1000/(AO84*1),0),""),"")</f>
        <v/>
      </c>
      <c r="AY84" s="51" t="n">
        <f aca="false">IFERROR(ifs(I84="Tier S",0.65,I84="Tier 1",0.55,I84="Tier 2",0.45,I84="Tier 3",0.35,I84="Tier 4",0.25),0.35)</f>
        <v>0.35</v>
      </c>
      <c r="AZ84" s="52" t="n">
        <v>1</v>
      </c>
      <c r="BA84" s="52" t="n">
        <v>1</v>
      </c>
      <c r="BB84" s="52" t="n">
        <v>1</v>
      </c>
      <c r="BC84" s="53" t="n">
        <f aca="false">IFERROR(ROUND(S84*AY84*BA84*BB84*AZ84,0),0)</f>
        <v>8470</v>
      </c>
      <c r="BD84" s="39" t="str">
        <f aca="false">IF(COUNT(AM84,AN84,AO84,AP84,AQ84,AR84,AS84)&gt;0,"estimated","pending")</f>
        <v>pending</v>
      </c>
      <c r="BE84" s="50"/>
    </row>
    <row r="85" customFormat="false" ht="15" hidden="false" customHeight="true" outlineLevel="0" collapsed="false">
      <c r="B85" s="54" t="n">
        <f aca="false">IF($C85="","",COUNTA($C$6:C85))</f>
        <v>80</v>
      </c>
      <c r="C85" s="54" t="s">
        <v>900</v>
      </c>
      <c r="D85" s="54" t="s">
        <v>208</v>
      </c>
      <c r="E85" s="54" t="s">
        <v>899</v>
      </c>
      <c r="F85" s="54" t="s">
        <v>899</v>
      </c>
      <c r="G85" s="54" t="s">
        <v>1545</v>
      </c>
      <c r="H85" s="54" t="n">
        <v>3</v>
      </c>
      <c r="I85" s="55" t="s">
        <v>337</v>
      </c>
      <c r="J85" s="56" t="n">
        <v>11250</v>
      </c>
      <c r="K85" s="56" t="n">
        <v>4500</v>
      </c>
      <c r="L85" s="57" t="n">
        <f aca="false">IF(J85="","",ROUND(J85*0.17,0))</f>
        <v>1913</v>
      </c>
      <c r="M85" s="56" t="n">
        <v>8000</v>
      </c>
      <c r="N85" s="56" t="n">
        <v>3500</v>
      </c>
      <c r="O85" s="56" t="n">
        <v>2000</v>
      </c>
      <c r="P85" s="56" t="n">
        <v>2000</v>
      </c>
      <c r="Q85" s="56" t="n">
        <v>13500</v>
      </c>
      <c r="R85" s="56" t="n">
        <v>6075</v>
      </c>
      <c r="S85" s="57" t="n">
        <f aca="false">IF(J85="","",ROUND(J85*2.2,0))</f>
        <v>24750</v>
      </c>
      <c r="T85" s="56" t="n">
        <v>4638</v>
      </c>
      <c r="U85" s="56" t="n">
        <v>4063</v>
      </c>
      <c r="V85" s="56" t="n">
        <v>2438</v>
      </c>
      <c r="W85" s="56" t="n">
        <v>2400</v>
      </c>
      <c r="X85" s="54" t="s">
        <v>1383</v>
      </c>
      <c r="Y85" s="49" t="n">
        <v>0.75</v>
      </c>
      <c r="Z85" s="49" t="n">
        <v>1</v>
      </c>
      <c r="AA85" s="50" t="s">
        <v>900</v>
      </c>
      <c r="AB85" s="50" t="s">
        <v>902</v>
      </c>
      <c r="AC85" s="50" t="s">
        <v>904</v>
      </c>
      <c r="AD85" s="50" t="s">
        <v>905</v>
      </c>
      <c r="AE85" s="50"/>
      <c r="AF85" s="50"/>
      <c r="AG85" s="50"/>
      <c r="AH85" s="50"/>
      <c r="AI85" s="50"/>
      <c r="AJ85" s="50"/>
      <c r="AK85" s="50" t="s">
        <v>1611</v>
      </c>
      <c r="AL85" s="50" t="s">
        <v>1612</v>
      </c>
      <c r="AM85" s="50"/>
      <c r="AN85" s="50"/>
      <c r="AO85" s="50"/>
      <c r="AP85" s="50"/>
      <c r="AQ85" s="50"/>
      <c r="AR85" s="50"/>
      <c r="AS85" s="50"/>
      <c r="AT85" s="50" t="str">
        <f aca="false">IFERROR(IF(AND(AN85&gt;0,J85&gt;0),ROUND(J85*1000/(AN85*0.2),0),""),"")</f>
        <v/>
      </c>
      <c r="AU85" s="50" t="str">
        <f aca="false">IFERROR(IF(AND(AQ85&gt;0,M85&gt;0),ROUND(M85*1000/(AQ85*0.3),0),""),"")</f>
        <v/>
      </c>
      <c r="AV85" s="50" t="str">
        <f aca="false">IFERROR(IF(AND(AM85&gt;0,O85&gt;0),ROUND(O85*1000/(AM85*0.1),0),""),"")</f>
        <v/>
      </c>
      <c r="AW85" s="50" t="str">
        <f aca="false">IFERROR(IF(AND(AP85&gt;0,N85&gt;0),ROUND(N85*1000/(AP85*0.25),0),""),"")</f>
        <v/>
      </c>
      <c r="AX85" s="50" t="str">
        <f aca="false">IFERROR(IF(AND(AO85&gt;0,Q85&gt;0),ROUND(Q85*1000/(AO85*1),0),""),"")</f>
        <v/>
      </c>
      <c r="AY85" s="51" t="n">
        <f aca="false">IFERROR(ifs(I85="Tier S",0.65,I85="Tier 1",0.55,I85="Tier 2",0.45,I85="Tier 3",0.35,I85="Tier 4",0.25),0.35)</f>
        <v>0.35</v>
      </c>
      <c r="AZ85" s="52" t="n">
        <v>1</v>
      </c>
      <c r="BA85" s="52" t="n">
        <v>1</v>
      </c>
      <c r="BB85" s="52" t="n">
        <v>1</v>
      </c>
      <c r="BC85" s="53" t="n">
        <f aca="false">IFERROR(ROUND(S85*AY85*BA85*BB85*AZ85,0),0)</f>
        <v>8663</v>
      </c>
      <c r="BD85" s="39" t="str">
        <f aca="false">IF(COUNT(AM85,AN85,AO85,AP85,AQ85,AR85,AS85)&gt;0,"estimated","pending")</f>
        <v>pending</v>
      </c>
      <c r="BE85" s="50"/>
    </row>
    <row r="86" customFormat="false" ht="15" hidden="false" customHeight="true" outlineLevel="0" collapsed="false">
      <c r="B86" s="54" t="n">
        <f aca="false">IF($C86="","",COUNTA($C$6:C86))</f>
        <v>81</v>
      </c>
      <c r="C86" s="54" t="s">
        <v>906</v>
      </c>
      <c r="D86" s="54" t="s">
        <v>208</v>
      </c>
      <c r="E86" s="54" t="s">
        <v>899</v>
      </c>
      <c r="F86" s="54" t="s">
        <v>899</v>
      </c>
      <c r="G86" s="54" t="s">
        <v>1562</v>
      </c>
      <c r="H86" s="54" t="n">
        <v>2</v>
      </c>
      <c r="I86" s="55" t="s">
        <v>337</v>
      </c>
      <c r="J86" s="56" t="n">
        <v>11000</v>
      </c>
      <c r="K86" s="56" t="n">
        <v>4600</v>
      </c>
      <c r="L86" s="57" t="n">
        <f aca="false">IF(J86="","",ROUND(J86*0.17,0))</f>
        <v>1870</v>
      </c>
      <c r="M86" s="56" t="n">
        <v>8600</v>
      </c>
      <c r="N86" s="56" t="n">
        <v>3500</v>
      </c>
      <c r="O86" s="56" t="n">
        <v>2200</v>
      </c>
      <c r="P86" s="56" t="n">
        <v>2200</v>
      </c>
      <c r="Q86" s="56" t="n">
        <v>15950</v>
      </c>
      <c r="R86" s="56" t="n">
        <v>7150</v>
      </c>
      <c r="S86" s="57" t="n">
        <f aca="false">IF(J86="","",ROUND(J86*2.2,0))</f>
        <v>24200</v>
      </c>
      <c r="T86" s="56" t="n">
        <v>3850</v>
      </c>
      <c r="U86" s="56" t="n">
        <v>3300</v>
      </c>
      <c r="V86" s="56" t="n">
        <v>2000</v>
      </c>
      <c r="W86" s="56" t="n">
        <v>2400</v>
      </c>
      <c r="X86" s="54" t="s">
        <v>1428</v>
      </c>
      <c r="Y86" s="49" t="n">
        <v>0.3</v>
      </c>
      <c r="Z86" s="49" t="n">
        <v>1</v>
      </c>
      <c r="AA86" s="50" t="s">
        <v>906</v>
      </c>
      <c r="AB86" s="50" t="s">
        <v>908</v>
      </c>
      <c r="AC86" s="50" t="s">
        <v>910</v>
      </c>
      <c r="AD86" s="50"/>
      <c r="AE86" s="50"/>
      <c r="AF86" s="50"/>
      <c r="AG86" s="50"/>
      <c r="AH86" s="50"/>
      <c r="AI86" s="50"/>
      <c r="AJ86" s="50"/>
      <c r="AK86" s="50" t="s">
        <v>1613</v>
      </c>
      <c r="AL86" s="50" t="s">
        <v>1612</v>
      </c>
      <c r="AM86" s="50"/>
      <c r="AN86" s="50"/>
      <c r="AO86" s="50"/>
      <c r="AP86" s="50"/>
      <c r="AQ86" s="50"/>
      <c r="AR86" s="50"/>
      <c r="AS86" s="50"/>
      <c r="AT86" s="50" t="str">
        <f aca="false">IFERROR(IF(AND(AN86&gt;0,J86&gt;0),ROUND(J86*1000/(AN86*0.2),0),""),"")</f>
        <v/>
      </c>
      <c r="AU86" s="50" t="str">
        <f aca="false">IFERROR(IF(AND(AQ86&gt;0,M86&gt;0),ROUND(M86*1000/(AQ86*0.3),0),""),"")</f>
        <v/>
      </c>
      <c r="AV86" s="50" t="str">
        <f aca="false">IFERROR(IF(AND(AM86&gt;0,O86&gt;0),ROUND(O86*1000/(AM86*0.1),0),""),"")</f>
        <v/>
      </c>
      <c r="AW86" s="50" t="str">
        <f aca="false">IFERROR(IF(AND(AP86&gt;0,N86&gt;0),ROUND(N86*1000/(AP86*0.25),0),""),"")</f>
        <v/>
      </c>
      <c r="AX86" s="50" t="str">
        <f aca="false">IFERROR(IF(AND(AO86&gt;0,Q86&gt;0),ROUND(Q86*1000/(AO86*1),0),""),"")</f>
        <v/>
      </c>
      <c r="AY86" s="51" t="n">
        <f aca="false">IFERROR(ifs(I86="Tier S",0.65,I86="Tier 1",0.55,I86="Tier 2",0.45,I86="Tier 3",0.35,I86="Tier 4",0.25),0.35)</f>
        <v>0.35</v>
      </c>
      <c r="AZ86" s="52" t="n">
        <v>1</v>
      </c>
      <c r="BA86" s="52" t="n">
        <v>1</v>
      </c>
      <c r="BB86" s="52" t="n">
        <v>1</v>
      </c>
      <c r="BC86" s="53" t="n">
        <f aca="false">IFERROR(ROUND(S86*AY86*BA86*BB86*AZ86,0),0)</f>
        <v>8470</v>
      </c>
      <c r="BD86" s="39" t="str">
        <f aca="false">IF(COUNT(AM86,AN86,AO86,AP86,AQ86,AR86,AS86)&gt;0,"estimated","pending")</f>
        <v>pending</v>
      </c>
      <c r="BE86" s="50"/>
    </row>
    <row r="87" customFormat="false" ht="15" hidden="false" customHeight="true" outlineLevel="0" collapsed="false">
      <c r="B87" s="54" t="n">
        <f aca="false">IF($C87="","",COUNTA($C$6:C87))</f>
        <v>82</v>
      </c>
      <c r="C87" s="54" t="s">
        <v>911</v>
      </c>
      <c r="D87" s="54" t="s">
        <v>208</v>
      </c>
      <c r="E87" s="54" t="s">
        <v>899</v>
      </c>
      <c r="F87" s="54" t="s">
        <v>899</v>
      </c>
      <c r="G87" s="54" t="s">
        <v>1545</v>
      </c>
      <c r="H87" s="54" t="n">
        <v>2</v>
      </c>
      <c r="I87" s="55" t="s">
        <v>337</v>
      </c>
      <c r="J87" s="56" t="n">
        <v>12100</v>
      </c>
      <c r="K87" s="56" t="n">
        <v>5100</v>
      </c>
      <c r="L87" s="57" t="n">
        <f aca="false">IF(J87="","",ROUND(J87*0.17,0))</f>
        <v>2057</v>
      </c>
      <c r="M87" s="56" t="n">
        <v>9450</v>
      </c>
      <c r="N87" s="56" t="n">
        <v>3850</v>
      </c>
      <c r="O87" s="56" t="n">
        <v>2400</v>
      </c>
      <c r="P87" s="56" t="n">
        <v>2400</v>
      </c>
      <c r="Q87" s="56" t="n">
        <v>17550</v>
      </c>
      <c r="R87" s="56" t="n">
        <v>7850</v>
      </c>
      <c r="S87" s="57" t="n">
        <f aca="false">IF(J87="","",ROUND(J87*2.2,0))</f>
        <v>26620</v>
      </c>
      <c r="T87" s="56" t="n">
        <v>4250</v>
      </c>
      <c r="U87" s="56" t="n">
        <v>3650</v>
      </c>
      <c r="V87" s="56" t="n">
        <v>2200</v>
      </c>
      <c r="W87" s="56" t="n">
        <v>2400</v>
      </c>
      <c r="X87" s="54" t="s">
        <v>1428</v>
      </c>
      <c r="Y87" s="49" t="n">
        <v>0.75</v>
      </c>
      <c r="Z87" s="49" t="n">
        <v>1</v>
      </c>
      <c r="AA87" s="50" t="s">
        <v>911</v>
      </c>
      <c r="AB87" s="50" t="s">
        <v>913</v>
      </c>
      <c r="AC87" s="50" t="s">
        <v>915</v>
      </c>
      <c r="AD87" s="50"/>
      <c r="AE87" s="50"/>
      <c r="AF87" s="50"/>
      <c r="AG87" s="50"/>
      <c r="AH87" s="50"/>
      <c r="AI87" s="50"/>
      <c r="AJ87" s="50"/>
      <c r="AK87" s="50" t="s">
        <v>1614</v>
      </c>
      <c r="AL87" s="50" t="s">
        <v>1612</v>
      </c>
      <c r="AM87" s="50"/>
      <c r="AN87" s="50"/>
      <c r="AO87" s="50"/>
      <c r="AP87" s="50"/>
      <c r="AQ87" s="50"/>
      <c r="AR87" s="50"/>
      <c r="AS87" s="50"/>
      <c r="AT87" s="50" t="str">
        <f aca="false">IFERROR(IF(AND(AN87&gt;0,J87&gt;0),ROUND(J87*1000/(AN87*0.2),0),""),"")</f>
        <v/>
      </c>
      <c r="AU87" s="50" t="str">
        <f aca="false">IFERROR(IF(AND(AQ87&gt;0,M87&gt;0),ROUND(M87*1000/(AQ87*0.3),0),""),"")</f>
        <v/>
      </c>
      <c r="AV87" s="50" t="str">
        <f aca="false">IFERROR(IF(AND(AM87&gt;0,O87&gt;0),ROUND(O87*1000/(AM87*0.1),0),""),"")</f>
        <v/>
      </c>
      <c r="AW87" s="50" t="str">
        <f aca="false">IFERROR(IF(AND(AP87&gt;0,N87&gt;0),ROUND(N87*1000/(AP87*0.25),0),""),"")</f>
        <v/>
      </c>
      <c r="AX87" s="50" t="str">
        <f aca="false">IFERROR(IF(AND(AO87&gt;0,Q87&gt;0),ROUND(Q87*1000/(AO87*1),0),""),"")</f>
        <v/>
      </c>
      <c r="AY87" s="51" t="n">
        <f aca="false">IFERROR(ifs(I87="Tier S",0.65,I87="Tier 1",0.55,I87="Tier 2",0.45,I87="Tier 3",0.35,I87="Tier 4",0.25),0.35)</f>
        <v>0.35</v>
      </c>
      <c r="AZ87" s="52" t="n">
        <v>1</v>
      </c>
      <c r="BA87" s="52" t="n">
        <v>1</v>
      </c>
      <c r="BB87" s="52" t="n">
        <v>1</v>
      </c>
      <c r="BC87" s="53" t="n">
        <f aca="false">IFERROR(ROUND(S87*AY87*BA87*BB87*AZ87,0),0)</f>
        <v>9317</v>
      </c>
      <c r="BD87" s="39" t="str">
        <f aca="false">IF(COUNT(AM87,AN87,AO87,AP87,AQ87,AR87,AS87)&gt;0,"estimated","pending")</f>
        <v>pending</v>
      </c>
      <c r="BE87" s="50"/>
    </row>
    <row r="88" customFormat="false" ht="15" hidden="false" customHeight="true" outlineLevel="0" collapsed="false">
      <c r="B88" s="54" t="n">
        <f aca="false">IF($C88="","",COUNTA($C$6:C88))</f>
        <v>83</v>
      </c>
      <c r="C88" s="54" t="s">
        <v>916</v>
      </c>
      <c r="D88" s="54" t="s">
        <v>208</v>
      </c>
      <c r="E88" s="54" t="s">
        <v>899</v>
      </c>
      <c r="F88" s="54" t="s">
        <v>899</v>
      </c>
      <c r="G88" s="54" t="s">
        <v>1562</v>
      </c>
      <c r="H88" s="54" t="n">
        <v>2</v>
      </c>
      <c r="I88" s="55" t="s">
        <v>337</v>
      </c>
      <c r="J88" s="56" t="n">
        <v>11000</v>
      </c>
      <c r="K88" s="56" t="n">
        <v>4600</v>
      </c>
      <c r="L88" s="57" t="n">
        <f aca="false">IF(J88="","",ROUND(J88*0.17,0))</f>
        <v>1870</v>
      </c>
      <c r="M88" s="56" t="n">
        <v>8600</v>
      </c>
      <c r="N88" s="56" t="n">
        <v>3500</v>
      </c>
      <c r="O88" s="56" t="n">
        <v>2200</v>
      </c>
      <c r="P88" s="56" t="n">
        <v>2200</v>
      </c>
      <c r="Q88" s="56" t="n">
        <v>15950</v>
      </c>
      <c r="R88" s="56" t="n">
        <v>7150</v>
      </c>
      <c r="S88" s="57" t="n">
        <f aca="false">IF(J88="","",ROUND(J88*2.2,0))</f>
        <v>24200</v>
      </c>
      <c r="T88" s="56" t="n">
        <v>3850</v>
      </c>
      <c r="U88" s="56" t="n">
        <v>3300</v>
      </c>
      <c r="V88" s="56" t="n">
        <v>2000</v>
      </c>
      <c r="W88" s="56" t="n">
        <v>2400</v>
      </c>
      <c r="X88" s="54" t="s">
        <v>1428</v>
      </c>
      <c r="Y88" s="49" t="n">
        <v>0.3</v>
      </c>
      <c r="Z88" s="49" t="n">
        <v>1</v>
      </c>
      <c r="AA88" s="50" t="s">
        <v>916</v>
      </c>
      <c r="AB88" s="50" t="s">
        <v>918</v>
      </c>
      <c r="AC88" s="50" t="s">
        <v>920</v>
      </c>
      <c r="AD88" s="50"/>
      <c r="AE88" s="50"/>
      <c r="AF88" s="50"/>
      <c r="AG88" s="50"/>
      <c r="AH88" s="50"/>
      <c r="AI88" s="50"/>
      <c r="AJ88" s="50"/>
      <c r="AK88" s="50" t="s">
        <v>1615</v>
      </c>
      <c r="AL88" s="50" t="s">
        <v>1612</v>
      </c>
      <c r="AM88" s="50"/>
      <c r="AN88" s="50"/>
      <c r="AO88" s="50"/>
      <c r="AP88" s="50"/>
      <c r="AQ88" s="50"/>
      <c r="AR88" s="50"/>
      <c r="AS88" s="50"/>
      <c r="AT88" s="50" t="str">
        <f aca="false">IFERROR(IF(AND(AN88&gt;0,J88&gt;0),ROUND(J88*1000/(AN88*0.2),0),""),"")</f>
        <v/>
      </c>
      <c r="AU88" s="50" t="str">
        <f aca="false">IFERROR(IF(AND(AQ88&gt;0,M88&gt;0),ROUND(M88*1000/(AQ88*0.3),0),""),"")</f>
        <v/>
      </c>
      <c r="AV88" s="50" t="str">
        <f aca="false">IFERROR(IF(AND(AM88&gt;0,O88&gt;0),ROUND(O88*1000/(AM88*0.1),0),""),"")</f>
        <v/>
      </c>
      <c r="AW88" s="50" t="str">
        <f aca="false">IFERROR(IF(AND(AP88&gt;0,N88&gt;0),ROUND(N88*1000/(AP88*0.25),0),""),"")</f>
        <v/>
      </c>
      <c r="AX88" s="50" t="str">
        <f aca="false">IFERROR(IF(AND(AO88&gt;0,Q88&gt;0),ROUND(Q88*1000/(AO88*1),0),""),"")</f>
        <v/>
      </c>
      <c r="AY88" s="51" t="n">
        <f aca="false">IFERROR(ifs(I88="Tier S",0.65,I88="Tier 1",0.55,I88="Tier 2",0.45,I88="Tier 3",0.35,I88="Tier 4",0.25),0.35)</f>
        <v>0.35</v>
      </c>
      <c r="AZ88" s="52" t="n">
        <v>1</v>
      </c>
      <c r="BA88" s="52" t="n">
        <v>1</v>
      </c>
      <c r="BB88" s="52" t="n">
        <v>1</v>
      </c>
      <c r="BC88" s="53" t="n">
        <f aca="false">IFERROR(ROUND(S88*AY88*BA88*BB88*AZ88,0),0)</f>
        <v>8470</v>
      </c>
      <c r="BD88" s="39" t="str">
        <f aca="false">IF(COUNT(AM88,AN88,AO88,AP88,AQ88,AR88,AS88)&gt;0,"estimated","pending")</f>
        <v>pending</v>
      </c>
      <c r="BE88" s="50"/>
    </row>
    <row r="89" customFormat="false" ht="15" hidden="false" customHeight="true" outlineLevel="0" collapsed="false">
      <c r="B89" s="58" t="n">
        <f aca="false">IF($C89="","",COUNTA($C$6:C89))</f>
        <v>84</v>
      </c>
      <c r="C89" s="58" t="s">
        <v>1616</v>
      </c>
      <c r="D89" s="58" t="s">
        <v>1439</v>
      </c>
      <c r="E89" s="58" t="s">
        <v>899</v>
      </c>
      <c r="F89" s="58" t="s">
        <v>899</v>
      </c>
      <c r="G89" s="58" t="s">
        <v>1464</v>
      </c>
      <c r="H89" s="58" t="n">
        <v>2</v>
      </c>
      <c r="I89" s="59" t="s">
        <v>337</v>
      </c>
      <c r="J89" s="60" t="n">
        <v>12100</v>
      </c>
      <c r="K89" s="60" t="n">
        <v>5100</v>
      </c>
      <c r="L89" s="61" t="n">
        <f aca="false">IF(J89="","",ROUND(J89*0.17,0))</f>
        <v>2057</v>
      </c>
      <c r="M89" s="60" t="n">
        <v>9450</v>
      </c>
      <c r="N89" s="60" t="n">
        <v>3850</v>
      </c>
      <c r="O89" s="60" t="n">
        <v>2400</v>
      </c>
      <c r="P89" s="60" t="n">
        <v>0</v>
      </c>
      <c r="Q89" s="60" t="n">
        <v>17550</v>
      </c>
      <c r="R89" s="60" t="n">
        <v>7850</v>
      </c>
      <c r="S89" s="61" t="n">
        <f aca="false">IF(J89="","",ROUND(J89*2.2,0))</f>
        <v>26620</v>
      </c>
      <c r="T89" s="60" t="n">
        <v>4250</v>
      </c>
      <c r="U89" s="60" t="n">
        <v>3650</v>
      </c>
      <c r="V89" s="60" t="n">
        <v>2200</v>
      </c>
      <c r="W89" s="60" t="n">
        <v>0</v>
      </c>
      <c r="X89" s="58" t="s">
        <v>1428</v>
      </c>
      <c r="Y89" s="49" t="n">
        <v>0.3</v>
      </c>
      <c r="Z89" s="49" t="n">
        <v>1</v>
      </c>
      <c r="AA89" s="50" t="s">
        <v>1617</v>
      </c>
      <c r="AB89" s="50" t="s">
        <v>1618</v>
      </c>
      <c r="AC89" s="50" t="s">
        <v>1619</v>
      </c>
      <c r="AD89" s="50"/>
      <c r="AE89" s="50"/>
      <c r="AF89" s="50"/>
      <c r="AG89" s="50"/>
      <c r="AH89" s="50"/>
      <c r="AI89" s="50"/>
      <c r="AJ89" s="50"/>
      <c r="AK89" s="50" t="s">
        <v>1620</v>
      </c>
      <c r="AL89" s="50"/>
      <c r="AM89" s="50"/>
      <c r="AN89" s="50"/>
      <c r="AO89" s="50"/>
      <c r="AP89" s="50"/>
      <c r="AQ89" s="50"/>
      <c r="AR89" s="50"/>
      <c r="AS89" s="50"/>
      <c r="AT89" s="50" t="str">
        <f aca="false">IFERROR(IF(AND(AN89&gt;0,J89&gt;0),ROUND(J89*1000/(AN89*0.2),0),""),"")</f>
        <v/>
      </c>
      <c r="AU89" s="50" t="str">
        <f aca="false">IFERROR(IF(AND(AQ89&gt;0,M89&gt;0),ROUND(M89*1000/(AQ89*0.3),0),""),"")</f>
        <v/>
      </c>
      <c r="AV89" s="50" t="str">
        <f aca="false">IFERROR(IF(AND(AM89&gt;0,O89&gt;0),ROUND(O89*1000/(AM89*0.1),0),""),"")</f>
        <v/>
      </c>
      <c r="AW89" s="50" t="str">
        <f aca="false">IFERROR(IF(AND(AP89&gt;0,N89&gt;0),ROUND(N89*1000/(AP89*0.25),0),""),"")</f>
        <v/>
      </c>
      <c r="AX89" s="50" t="str">
        <f aca="false">IFERROR(IF(AND(AO89&gt;0,Q89&gt;0),ROUND(Q89*1000/(AO89*1),0),""),"")</f>
        <v/>
      </c>
      <c r="AY89" s="51" t="n">
        <f aca="false">IFERROR(ifs(I89="Tier S",0.65,I89="Tier 1",0.55,I89="Tier 2",0.45,I89="Tier 3",0.35,I89="Tier 4",0.25),0.35)</f>
        <v>0.35</v>
      </c>
      <c r="AZ89" s="52" t="n">
        <v>1</v>
      </c>
      <c r="BA89" s="52" t="n">
        <v>1</v>
      </c>
      <c r="BB89" s="52" t="n">
        <v>1</v>
      </c>
      <c r="BC89" s="53" t="n">
        <f aca="false">IFERROR(ROUND(S89*AY89*BA89*BB89*AZ89,0),0)</f>
        <v>9317</v>
      </c>
      <c r="BD89" s="39" t="str">
        <f aca="false">IF(COUNT(AM89,AN89,AO89,AP89,AQ89,AR89,AS89)&gt;0,"estimated","pending")</f>
        <v>pending</v>
      </c>
      <c r="BE89" s="50"/>
    </row>
    <row r="90" customFormat="false" ht="15" hidden="false" customHeight="true" outlineLevel="0" collapsed="false">
      <c r="B90" s="54" t="n">
        <f aca="false">IF($C90="","",COUNTA($C$6:C90))</f>
        <v>85</v>
      </c>
      <c r="C90" s="54" t="s">
        <v>922</v>
      </c>
      <c r="D90" s="54" t="s">
        <v>208</v>
      </c>
      <c r="E90" s="54" t="s">
        <v>921</v>
      </c>
      <c r="F90" s="54" t="s">
        <v>552</v>
      </c>
      <c r="G90" s="54" t="s">
        <v>1621</v>
      </c>
      <c r="H90" s="54" t="n">
        <v>1</v>
      </c>
      <c r="I90" s="55" t="s">
        <v>1357</v>
      </c>
      <c r="J90" s="56" t="n">
        <v>8750</v>
      </c>
      <c r="K90" s="56" t="n">
        <v>3000</v>
      </c>
      <c r="L90" s="57" t="n">
        <f aca="false">IF(J90="","",ROUND(J90*0.17,0))</f>
        <v>1488</v>
      </c>
      <c r="M90" s="56" t="n">
        <v>6000</v>
      </c>
      <c r="N90" s="56" t="n">
        <v>2500</v>
      </c>
      <c r="O90" s="56" t="n">
        <v>1200</v>
      </c>
      <c r="P90" s="56" t="n">
        <v>1200</v>
      </c>
      <c r="Q90" s="56" t="n">
        <v>9000</v>
      </c>
      <c r="R90" s="56" t="n">
        <v>4050</v>
      </c>
      <c r="S90" s="57" t="n">
        <f aca="false">IF(J90="","",ROUND(J90*2.2,0))</f>
        <v>19250</v>
      </c>
      <c r="T90" s="56" t="n">
        <v>2200</v>
      </c>
      <c r="U90" s="56" t="n">
        <v>1925</v>
      </c>
      <c r="V90" s="56" t="n">
        <v>1155</v>
      </c>
      <c r="W90" s="56" t="n">
        <v>2400</v>
      </c>
      <c r="X90" s="54" t="s">
        <v>1434</v>
      </c>
      <c r="Y90" s="49" t="n">
        <v>0.3</v>
      </c>
      <c r="Z90" s="49" t="n">
        <v>1</v>
      </c>
      <c r="AA90" s="50" t="s">
        <v>923</v>
      </c>
      <c r="AB90" s="50"/>
      <c r="AC90" s="50" t="s">
        <v>925</v>
      </c>
      <c r="AD90" s="50"/>
      <c r="AE90" s="50"/>
      <c r="AF90" s="50"/>
      <c r="AG90" s="50"/>
      <c r="AH90" s="50"/>
      <c r="AI90" s="50"/>
      <c r="AJ90" s="50"/>
      <c r="AK90" s="50" t="s">
        <v>1622</v>
      </c>
      <c r="AL90" s="50" t="s">
        <v>1623</v>
      </c>
      <c r="AM90" s="50"/>
      <c r="AN90" s="50"/>
      <c r="AO90" s="50"/>
      <c r="AP90" s="50"/>
      <c r="AQ90" s="50"/>
      <c r="AR90" s="50"/>
      <c r="AS90" s="50"/>
      <c r="AT90" s="50" t="str">
        <f aca="false">IFERROR(IF(AND(AN90&gt;0,J90&gt;0),ROUND(J90*1000/(AN90*0.2),0),""),"")</f>
        <v/>
      </c>
      <c r="AU90" s="50" t="str">
        <f aca="false">IFERROR(IF(AND(AQ90&gt;0,M90&gt;0),ROUND(M90*1000/(AQ90*0.3),0),""),"")</f>
        <v/>
      </c>
      <c r="AV90" s="50" t="str">
        <f aca="false">IFERROR(IF(AND(AM90&gt;0,O90&gt;0),ROUND(O90*1000/(AM90*0.1),0),""),"")</f>
        <v/>
      </c>
      <c r="AW90" s="50" t="str">
        <f aca="false">IFERROR(IF(AND(AP90&gt;0,N90&gt;0),ROUND(N90*1000/(AP90*0.25),0),""),"")</f>
        <v/>
      </c>
      <c r="AX90" s="50" t="str">
        <f aca="false">IFERROR(IF(AND(AO90&gt;0,Q90&gt;0),ROUND(Q90*1000/(AO90*1),0),""),"")</f>
        <v/>
      </c>
      <c r="AY90" s="51" t="n">
        <f aca="false">IFERROR(ifs(I90="Tier S",0.65,I90="Tier 1",0.55,I90="Tier 2",0.45,I90="Tier 3",0.35,I90="Tier 4",0.25),0.35)</f>
        <v>0.35</v>
      </c>
      <c r="AZ90" s="52" t="n">
        <v>1</v>
      </c>
      <c r="BA90" s="52" t="n">
        <v>1</v>
      </c>
      <c r="BB90" s="52" t="n">
        <v>1</v>
      </c>
      <c r="BC90" s="53" t="n">
        <f aca="false">IFERROR(ROUND(S90*AY90*BA90*BB90*AZ90,0),0)</f>
        <v>6738</v>
      </c>
      <c r="BD90" s="39" t="str">
        <f aca="false">IF(COUNT(AM90,AN90,AO90,AP90,AQ90,AR90,AS90)&gt;0,"estimated","pending")</f>
        <v>pending</v>
      </c>
      <c r="BE90" s="50"/>
    </row>
    <row r="91" customFormat="false" ht="15" hidden="false" customHeight="true" outlineLevel="0" collapsed="false">
      <c r="B91" s="54" t="n">
        <f aca="false">IF($C91="","",COUNTA($C$6:C91))</f>
        <v>86</v>
      </c>
      <c r="C91" s="54" t="s">
        <v>926</v>
      </c>
      <c r="D91" s="54" t="s">
        <v>208</v>
      </c>
      <c r="E91" s="54" t="s">
        <v>921</v>
      </c>
      <c r="F91" s="54" t="s">
        <v>552</v>
      </c>
      <c r="G91" s="54" t="s">
        <v>1356</v>
      </c>
      <c r="H91" s="54" t="n">
        <v>1</v>
      </c>
      <c r="I91" s="55" t="s">
        <v>1357</v>
      </c>
      <c r="J91" s="56" t="n">
        <v>5200</v>
      </c>
      <c r="K91" s="56" t="n">
        <v>2200</v>
      </c>
      <c r="L91" s="57" t="n">
        <f aca="false">IF(J91="","",ROUND(J91*0.17,0))</f>
        <v>884</v>
      </c>
      <c r="M91" s="56" t="n">
        <v>4050</v>
      </c>
      <c r="N91" s="56" t="n">
        <v>1650</v>
      </c>
      <c r="O91" s="56" t="n">
        <v>1050</v>
      </c>
      <c r="P91" s="56" t="n">
        <v>1050</v>
      </c>
      <c r="Q91" s="56" t="n">
        <v>7550</v>
      </c>
      <c r="R91" s="56" t="n">
        <v>3400</v>
      </c>
      <c r="S91" s="57" t="n">
        <f aca="false">IF(J91="","",ROUND(J91*2.2,0))</f>
        <v>11440</v>
      </c>
      <c r="T91" s="56" t="n">
        <v>1800</v>
      </c>
      <c r="U91" s="56" t="n">
        <v>1550</v>
      </c>
      <c r="V91" s="56" t="n">
        <v>950</v>
      </c>
      <c r="W91" s="56" t="n">
        <v>2400</v>
      </c>
      <c r="X91" s="54" t="s">
        <v>1434</v>
      </c>
      <c r="Y91" s="49" t="n">
        <v>0.3</v>
      </c>
      <c r="Z91" s="49" t="n">
        <v>1</v>
      </c>
      <c r="AA91" s="50" t="s">
        <v>927</v>
      </c>
      <c r="AB91" s="50"/>
      <c r="AC91" s="50" t="s">
        <v>928</v>
      </c>
      <c r="AD91" s="50"/>
      <c r="AE91" s="50"/>
      <c r="AF91" s="50"/>
      <c r="AG91" s="50"/>
      <c r="AH91" s="50"/>
      <c r="AI91" s="50"/>
      <c r="AJ91" s="50"/>
      <c r="AK91" s="50" t="s">
        <v>1624</v>
      </c>
      <c r="AL91" s="50" t="s">
        <v>1625</v>
      </c>
      <c r="AM91" s="50"/>
      <c r="AN91" s="50"/>
      <c r="AO91" s="50"/>
      <c r="AP91" s="50"/>
      <c r="AQ91" s="50"/>
      <c r="AR91" s="50"/>
      <c r="AS91" s="50"/>
      <c r="AT91" s="50" t="str">
        <f aca="false">IFERROR(IF(AND(AN91&gt;0,J91&gt;0),ROUND(J91*1000/(AN91*0.2),0),""),"")</f>
        <v/>
      </c>
      <c r="AU91" s="50" t="str">
        <f aca="false">IFERROR(IF(AND(AQ91&gt;0,M91&gt;0),ROUND(M91*1000/(AQ91*0.3),0),""),"")</f>
        <v/>
      </c>
      <c r="AV91" s="50" t="str">
        <f aca="false">IFERROR(IF(AND(AM91&gt;0,O91&gt;0),ROUND(O91*1000/(AM91*0.1),0),""),"")</f>
        <v/>
      </c>
      <c r="AW91" s="50" t="str">
        <f aca="false">IFERROR(IF(AND(AP91&gt;0,N91&gt;0),ROUND(N91*1000/(AP91*0.25),0),""),"")</f>
        <v/>
      </c>
      <c r="AX91" s="50" t="str">
        <f aca="false">IFERROR(IF(AND(AO91&gt;0,Q91&gt;0),ROUND(Q91*1000/(AO91*1),0),""),"")</f>
        <v/>
      </c>
      <c r="AY91" s="51" t="n">
        <f aca="false">IFERROR(ifs(I91="Tier S",0.65,I91="Tier 1",0.55,I91="Tier 2",0.45,I91="Tier 3",0.35,I91="Tier 4",0.25),0.35)</f>
        <v>0.35</v>
      </c>
      <c r="AZ91" s="52" t="n">
        <v>1</v>
      </c>
      <c r="BA91" s="52" t="n">
        <v>1</v>
      </c>
      <c r="BB91" s="52" t="n">
        <v>1</v>
      </c>
      <c r="BC91" s="53" t="n">
        <f aca="false">IFERROR(ROUND(S91*AY91*BA91*BB91*AZ91,0),0)</f>
        <v>4004</v>
      </c>
      <c r="BD91" s="39" t="str">
        <f aca="false">IF(COUNT(AM91,AN91,AO91,AP91,AQ91,AR91,AS91)&gt;0,"estimated","pending")</f>
        <v>pending</v>
      </c>
      <c r="BE91" s="50"/>
    </row>
    <row r="92" customFormat="false" ht="15" hidden="false" customHeight="true" outlineLevel="0" collapsed="false">
      <c r="B92" s="58" t="n">
        <f aca="false">IF($C92="","",COUNTA($C$6:C92))</f>
        <v>87</v>
      </c>
      <c r="C92" s="58" t="s">
        <v>1626</v>
      </c>
      <c r="D92" s="58" t="s">
        <v>1439</v>
      </c>
      <c r="E92" s="58" t="s">
        <v>921</v>
      </c>
      <c r="F92" s="58" t="s">
        <v>552</v>
      </c>
      <c r="G92" s="58" t="s">
        <v>1627</v>
      </c>
      <c r="H92" s="58" t="n">
        <v>1</v>
      </c>
      <c r="I92" s="59" t="s">
        <v>1357</v>
      </c>
      <c r="J92" s="60" t="n">
        <v>5700</v>
      </c>
      <c r="K92" s="60" t="n">
        <v>2400</v>
      </c>
      <c r="L92" s="61" t="n">
        <f aca="false">IF(J92="","",ROUND(J92*0.17,0))</f>
        <v>969</v>
      </c>
      <c r="M92" s="60" t="n">
        <v>4450</v>
      </c>
      <c r="N92" s="60" t="n">
        <v>1850</v>
      </c>
      <c r="O92" s="60" t="n">
        <v>1150</v>
      </c>
      <c r="P92" s="60" t="n">
        <v>0</v>
      </c>
      <c r="Q92" s="60" t="n">
        <v>8300</v>
      </c>
      <c r="R92" s="60" t="n">
        <v>3700</v>
      </c>
      <c r="S92" s="61" t="n">
        <f aca="false">IF(J92="","",ROUND(J92*2.2,0))</f>
        <v>12540</v>
      </c>
      <c r="T92" s="60" t="n">
        <v>2000</v>
      </c>
      <c r="U92" s="60" t="n">
        <v>1700</v>
      </c>
      <c r="V92" s="60" t="n">
        <v>1050</v>
      </c>
      <c r="W92" s="60" t="n">
        <v>0</v>
      </c>
      <c r="X92" s="58" t="s">
        <v>1434</v>
      </c>
      <c r="Y92" s="49" t="n">
        <v>0.3</v>
      </c>
      <c r="Z92" s="49" t="n">
        <v>1</v>
      </c>
      <c r="AA92" s="50" t="s">
        <v>1628</v>
      </c>
      <c r="AB92" s="50"/>
      <c r="AC92" s="50" t="s">
        <v>1629</v>
      </c>
      <c r="AD92" s="50"/>
      <c r="AE92" s="50"/>
      <c r="AF92" s="50"/>
      <c r="AG92" s="50"/>
      <c r="AH92" s="50"/>
      <c r="AI92" s="50"/>
      <c r="AJ92" s="50"/>
      <c r="AK92" s="50" t="s">
        <v>1630</v>
      </c>
      <c r="AL92" s="50"/>
      <c r="AM92" s="50"/>
      <c r="AN92" s="50"/>
      <c r="AO92" s="50"/>
      <c r="AP92" s="50"/>
      <c r="AQ92" s="50"/>
      <c r="AR92" s="50"/>
      <c r="AS92" s="50"/>
      <c r="AT92" s="50" t="str">
        <f aca="false">IFERROR(IF(AND(AN92&gt;0,J92&gt;0),ROUND(J92*1000/(AN92*0.2),0),""),"")</f>
        <v/>
      </c>
      <c r="AU92" s="50" t="str">
        <f aca="false">IFERROR(IF(AND(AQ92&gt;0,M92&gt;0),ROUND(M92*1000/(AQ92*0.3),0),""),"")</f>
        <v/>
      </c>
      <c r="AV92" s="50" t="str">
        <f aca="false">IFERROR(IF(AND(AM92&gt;0,O92&gt;0),ROUND(O92*1000/(AM92*0.1),0),""),"")</f>
        <v/>
      </c>
      <c r="AW92" s="50" t="str">
        <f aca="false">IFERROR(IF(AND(AP92&gt;0,N92&gt;0),ROUND(N92*1000/(AP92*0.25),0),""),"")</f>
        <v/>
      </c>
      <c r="AX92" s="50" t="str">
        <f aca="false">IFERROR(IF(AND(AO92&gt;0,Q92&gt;0),ROUND(Q92*1000/(AO92*1),0),""),"")</f>
        <v/>
      </c>
      <c r="AY92" s="51" t="n">
        <f aca="false">IFERROR(ifs(I92="Tier S",0.65,I92="Tier 1",0.55,I92="Tier 2",0.45,I92="Tier 3",0.35,I92="Tier 4",0.25),0.35)</f>
        <v>0.35</v>
      </c>
      <c r="AZ92" s="52" t="n">
        <v>1</v>
      </c>
      <c r="BA92" s="52" t="n">
        <v>1</v>
      </c>
      <c r="BB92" s="52" t="n">
        <v>1</v>
      </c>
      <c r="BC92" s="53" t="n">
        <f aca="false">IFERROR(ROUND(S92*AY92*BA92*BB92*AZ92,0),0)</f>
        <v>4389</v>
      </c>
      <c r="BD92" s="39" t="str">
        <f aca="false">IF(COUNT(AM92,AN92,AO92,AP92,AQ92,AR92,AS92)&gt;0,"estimated","pending")</f>
        <v>pending</v>
      </c>
      <c r="BE92" s="50"/>
    </row>
    <row r="93" customFormat="false" ht="15" hidden="false" customHeight="true" outlineLevel="0" collapsed="false">
      <c r="B93" s="58" t="n">
        <f aca="false">IF($C93="","",COUNTA($C$6:C93))</f>
        <v>88</v>
      </c>
      <c r="C93" s="58" t="s">
        <v>1626</v>
      </c>
      <c r="D93" s="58" t="s">
        <v>1439</v>
      </c>
      <c r="E93" s="58" t="s">
        <v>921</v>
      </c>
      <c r="F93" s="58" t="s">
        <v>983</v>
      </c>
      <c r="G93" s="58" t="s">
        <v>1627</v>
      </c>
      <c r="H93" s="58" t="n">
        <v>1</v>
      </c>
      <c r="I93" s="59" t="s">
        <v>1357</v>
      </c>
      <c r="J93" s="60" t="n">
        <v>0</v>
      </c>
      <c r="K93" s="60" t="n">
        <v>0</v>
      </c>
      <c r="L93" s="61" t="n">
        <f aca="false">IF(J93="","",ROUND(J93*0.17,0))</f>
        <v>0</v>
      </c>
      <c r="M93" s="60" t="n">
        <v>0</v>
      </c>
      <c r="N93" s="60" t="n">
        <v>0</v>
      </c>
      <c r="O93" s="60" t="n">
        <v>0</v>
      </c>
      <c r="P93" s="60" t="n">
        <v>0</v>
      </c>
      <c r="Q93" s="60" t="n">
        <v>0</v>
      </c>
      <c r="R93" s="60" t="n">
        <v>0</v>
      </c>
      <c r="S93" s="61" t="n">
        <f aca="false">IF(J93="","",ROUND(J93*2.2,0))</f>
        <v>0</v>
      </c>
      <c r="T93" s="60" t="n">
        <v>0</v>
      </c>
      <c r="U93" s="60" t="n">
        <v>0</v>
      </c>
      <c r="V93" s="60" t="n">
        <v>600</v>
      </c>
      <c r="W93" s="60" t="n">
        <v>0</v>
      </c>
      <c r="X93" s="58" t="s">
        <v>1434</v>
      </c>
      <c r="Y93" s="49" t="n">
        <v>0.3</v>
      </c>
      <c r="Z93" s="49" t="n">
        <v>1</v>
      </c>
      <c r="AA93" s="50" t="s">
        <v>1628</v>
      </c>
      <c r="AB93" s="50"/>
      <c r="AC93" s="50" t="s">
        <v>1629</v>
      </c>
      <c r="AD93" s="50"/>
      <c r="AE93" s="50"/>
      <c r="AF93" s="50"/>
      <c r="AG93" s="50"/>
      <c r="AH93" s="50"/>
      <c r="AI93" s="50"/>
      <c r="AJ93" s="50"/>
      <c r="AK93" s="50" t="s">
        <v>1630</v>
      </c>
      <c r="AL93" s="50"/>
      <c r="AM93" s="50"/>
      <c r="AN93" s="50"/>
      <c r="AO93" s="50"/>
      <c r="AP93" s="50"/>
      <c r="AQ93" s="50"/>
      <c r="AR93" s="50"/>
      <c r="AS93" s="50"/>
      <c r="AT93" s="50" t="str">
        <f aca="false">IFERROR(IF(AND(AN93&gt;0,J93&gt;0),ROUND(J93*1000/(AN93*0.2),0),""),"")</f>
        <v/>
      </c>
      <c r="AU93" s="50" t="str">
        <f aca="false">IFERROR(IF(AND(AQ93&gt;0,M93&gt;0),ROUND(M93*1000/(AQ93*0.3),0),""),"")</f>
        <v/>
      </c>
      <c r="AV93" s="50" t="str">
        <f aca="false">IFERROR(IF(AND(AM93&gt;0,O93&gt;0),ROUND(O93*1000/(AM93*0.1),0),""),"")</f>
        <v/>
      </c>
      <c r="AW93" s="50" t="str">
        <f aca="false">IFERROR(IF(AND(AP93&gt;0,N93&gt;0),ROUND(N93*1000/(AP93*0.25),0),""),"")</f>
        <v/>
      </c>
      <c r="AX93" s="50" t="str">
        <f aca="false">IFERROR(IF(AND(AO93&gt;0,Q93&gt;0),ROUND(Q93*1000/(AO93*1),0),""),"")</f>
        <v/>
      </c>
      <c r="AY93" s="51" t="n">
        <f aca="false">IFERROR(ifs(I93="Tier S",0.65,I93="Tier 1",0.55,I93="Tier 2",0.45,I93="Tier 3",0.35,I93="Tier 4",0.25),0.35)</f>
        <v>0.35</v>
      </c>
      <c r="AZ93" s="52" t="n">
        <v>1</v>
      </c>
      <c r="BA93" s="52" t="n">
        <v>1</v>
      </c>
      <c r="BB93" s="52" t="n">
        <v>1</v>
      </c>
      <c r="BC93" s="53" t="n">
        <f aca="false">IFERROR(ROUND(S93*AY93*BA93*BB93*AZ93,0),0)</f>
        <v>0</v>
      </c>
      <c r="BD93" s="39" t="str">
        <f aca="false">IF(COUNT(AM93,AN93,AO93,AP93,AQ93,AR93,AS93)&gt;0,"estimated","pending")</f>
        <v>pending</v>
      </c>
      <c r="BE93" s="50"/>
    </row>
    <row r="94" customFormat="false" ht="15" hidden="false" customHeight="true" outlineLevel="0" collapsed="false">
      <c r="B94" s="54" t="n">
        <f aca="false">IF($C94="","",COUNTA($C$6:C94))</f>
        <v>89</v>
      </c>
      <c r="C94" s="54" t="s">
        <v>1631</v>
      </c>
      <c r="D94" s="54" t="s">
        <v>208</v>
      </c>
      <c r="E94" s="54" t="s">
        <v>921</v>
      </c>
      <c r="F94" s="54" t="s">
        <v>552</v>
      </c>
      <c r="G94" s="54" t="s">
        <v>1356</v>
      </c>
      <c r="H94" s="54" t="n">
        <v>0</v>
      </c>
      <c r="I94" s="55" t="s">
        <v>1357</v>
      </c>
      <c r="J94" s="56" t="n">
        <v>8750</v>
      </c>
      <c r="K94" s="56" t="n">
        <v>3000</v>
      </c>
      <c r="L94" s="57" t="n">
        <f aca="false">IF(J94="","",ROUND(J94*0.17,0))</f>
        <v>1488</v>
      </c>
      <c r="M94" s="56" t="n">
        <v>6000</v>
      </c>
      <c r="N94" s="56" t="n">
        <v>2500</v>
      </c>
      <c r="O94" s="56" t="n">
        <v>1200</v>
      </c>
      <c r="P94" s="56" t="n">
        <v>1200</v>
      </c>
      <c r="Q94" s="56" t="n">
        <v>9000</v>
      </c>
      <c r="R94" s="56" t="n">
        <v>4050</v>
      </c>
      <c r="S94" s="57" t="n">
        <f aca="false">IF(J94="","",ROUND(J94*2.2,0))</f>
        <v>19250</v>
      </c>
      <c r="T94" s="56" t="n">
        <v>2200</v>
      </c>
      <c r="U94" s="56" t="n">
        <v>1925</v>
      </c>
      <c r="V94" s="56" t="n">
        <v>1155</v>
      </c>
      <c r="W94" s="56" t="n">
        <v>2400</v>
      </c>
      <c r="X94" s="54" t="s">
        <v>1451</v>
      </c>
      <c r="Y94" s="49" t="n">
        <v>0.3</v>
      </c>
      <c r="Z94" s="49" t="n">
        <v>1</v>
      </c>
      <c r="AA94" s="50" t="s">
        <v>1632</v>
      </c>
      <c r="AB94" s="50"/>
      <c r="AC94" s="50"/>
      <c r="AD94" s="50"/>
      <c r="AE94" s="50"/>
      <c r="AF94" s="50"/>
      <c r="AG94" s="50"/>
      <c r="AH94" s="50"/>
      <c r="AI94" s="50"/>
      <c r="AJ94" s="50"/>
      <c r="AK94" s="50" t="s">
        <v>1633</v>
      </c>
      <c r="AL94" s="50" t="s">
        <v>1634</v>
      </c>
      <c r="AM94" s="50"/>
      <c r="AN94" s="50"/>
      <c r="AO94" s="50"/>
      <c r="AP94" s="50"/>
      <c r="AQ94" s="50"/>
      <c r="AR94" s="50"/>
      <c r="AS94" s="50"/>
      <c r="AT94" s="50" t="str">
        <f aca="false">IFERROR(IF(AND(AN94&gt;0,J94&gt;0),ROUND(J94*1000/(AN94*0.2),0),""),"")</f>
        <v/>
      </c>
      <c r="AU94" s="50" t="str">
        <f aca="false">IFERROR(IF(AND(AQ94&gt;0,M94&gt;0),ROUND(M94*1000/(AQ94*0.3),0),""),"")</f>
        <v/>
      </c>
      <c r="AV94" s="50" t="str">
        <f aca="false">IFERROR(IF(AND(AM94&gt;0,O94&gt;0),ROUND(O94*1000/(AM94*0.1),0),""),"")</f>
        <v/>
      </c>
      <c r="AW94" s="50" t="str">
        <f aca="false">IFERROR(IF(AND(AP94&gt;0,N94&gt;0),ROUND(N94*1000/(AP94*0.25),0),""),"")</f>
        <v/>
      </c>
      <c r="AX94" s="50" t="str">
        <f aca="false">IFERROR(IF(AND(AO94&gt;0,Q94&gt;0),ROUND(Q94*1000/(AO94*1),0),""),"")</f>
        <v/>
      </c>
      <c r="AY94" s="51" t="n">
        <f aca="false">IFERROR(ifs(I94="Tier S",0.65,I94="Tier 1",0.55,I94="Tier 2",0.45,I94="Tier 3",0.35,I94="Tier 4",0.25),0.35)</f>
        <v>0.35</v>
      </c>
      <c r="AZ94" s="52" t="n">
        <v>1</v>
      </c>
      <c r="BA94" s="52" t="n">
        <v>1</v>
      </c>
      <c r="BB94" s="52" t="n">
        <v>1</v>
      </c>
      <c r="BC94" s="53" t="n">
        <f aca="false">IFERROR(ROUND(S94*AY94*BA94*BB94*AZ94,0),0)</f>
        <v>6738</v>
      </c>
      <c r="BD94" s="39" t="str">
        <f aca="false">IF(COUNT(AM94,AN94,AO94,AP94,AQ94,AR94,AS94)&gt;0,"estimated","pending")</f>
        <v>pending</v>
      </c>
      <c r="BE94" s="50"/>
    </row>
    <row r="95" customFormat="false" ht="15" hidden="false" customHeight="true" outlineLevel="0" collapsed="false">
      <c r="B95" s="54" t="n">
        <f aca="false">IF($C95="","",COUNTA($C$6:C95))</f>
        <v>90</v>
      </c>
      <c r="C95" s="54" t="s">
        <v>929</v>
      </c>
      <c r="D95" s="54" t="s">
        <v>208</v>
      </c>
      <c r="E95" s="54" t="s">
        <v>921</v>
      </c>
      <c r="F95" s="54" t="s">
        <v>552</v>
      </c>
      <c r="G95" s="54" t="s">
        <v>1356</v>
      </c>
      <c r="H95" s="54" t="n">
        <v>1</v>
      </c>
      <c r="I95" s="55" t="s">
        <v>1357</v>
      </c>
      <c r="J95" s="56" t="n">
        <v>5700</v>
      </c>
      <c r="K95" s="56" t="n">
        <v>2400</v>
      </c>
      <c r="L95" s="57" t="n">
        <f aca="false">IF(J95="","",ROUND(J95*0.17,0))</f>
        <v>969</v>
      </c>
      <c r="M95" s="56" t="n">
        <v>4450</v>
      </c>
      <c r="N95" s="56" t="n">
        <v>1850</v>
      </c>
      <c r="O95" s="56" t="n">
        <v>1150</v>
      </c>
      <c r="P95" s="56" t="n">
        <v>1150</v>
      </c>
      <c r="Q95" s="56" t="n">
        <v>8300</v>
      </c>
      <c r="R95" s="56" t="n">
        <v>3700</v>
      </c>
      <c r="S95" s="57" t="n">
        <f aca="false">IF(J95="","",ROUND(J95*2.2,0))</f>
        <v>12540</v>
      </c>
      <c r="T95" s="56" t="n">
        <v>2000</v>
      </c>
      <c r="U95" s="56" t="n">
        <v>1700</v>
      </c>
      <c r="V95" s="56" t="n">
        <v>1050</v>
      </c>
      <c r="W95" s="56" t="n">
        <v>2400</v>
      </c>
      <c r="X95" s="54" t="s">
        <v>1434</v>
      </c>
      <c r="Y95" s="49" t="n">
        <v>0.3</v>
      </c>
      <c r="Z95" s="49" t="n">
        <v>1</v>
      </c>
      <c r="AA95" s="50" t="s">
        <v>930</v>
      </c>
      <c r="AB95" s="50"/>
      <c r="AC95" s="50" t="s">
        <v>932</v>
      </c>
      <c r="AD95" s="50"/>
      <c r="AE95" s="50"/>
      <c r="AF95" s="50"/>
      <c r="AG95" s="50"/>
      <c r="AH95" s="50"/>
      <c r="AI95" s="50"/>
      <c r="AJ95" s="50"/>
      <c r="AK95" s="50" t="s">
        <v>1635</v>
      </c>
      <c r="AL95" s="50" t="s">
        <v>1636</v>
      </c>
      <c r="AM95" s="50"/>
      <c r="AN95" s="50"/>
      <c r="AO95" s="50"/>
      <c r="AP95" s="50"/>
      <c r="AQ95" s="50"/>
      <c r="AR95" s="50"/>
      <c r="AS95" s="50"/>
      <c r="AT95" s="50" t="str">
        <f aca="false">IFERROR(IF(AND(AN95&gt;0,J95&gt;0),ROUND(J95*1000/(AN95*0.2),0),""),"")</f>
        <v/>
      </c>
      <c r="AU95" s="50" t="str">
        <f aca="false">IFERROR(IF(AND(AQ95&gt;0,M95&gt;0),ROUND(M95*1000/(AQ95*0.3),0),""),"")</f>
        <v/>
      </c>
      <c r="AV95" s="50" t="str">
        <f aca="false">IFERROR(IF(AND(AM95&gt;0,O95&gt;0),ROUND(O95*1000/(AM95*0.1),0),""),"")</f>
        <v/>
      </c>
      <c r="AW95" s="50" t="str">
        <f aca="false">IFERROR(IF(AND(AP95&gt;0,N95&gt;0),ROUND(N95*1000/(AP95*0.25),0),""),"")</f>
        <v/>
      </c>
      <c r="AX95" s="50" t="str">
        <f aca="false">IFERROR(IF(AND(AO95&gt;0,Q95&gt;0),ROUND(Q95*1000/(AO95*1),0),""),"")</f>
        <v/>
      </c>
      <c r="AY95" s="51" t="n">
        <f aca="false">IFERROR(ifs(I95="Tier S",0.65,I95="Tier 1",0.55,I95="Tier 2",0.45,I95="Tier 3",0.35,I95="Tier 4",0.25),0.35)</f>
        <v>0.35</v>
      </c>
      <c r="AZ95" s="52" t="n">
        <v>1</v>
      </c>
      <c r="BA95" s="52" t="n">
        <v>1</v>
      </c>
      <c r="BB95" s="52" t="n">
        <v>1</v>
      </c>
      <c r="BC95" s="53" t="n">
        <f aca="false">IFERROR(ROUND(S95*AY95*BA95*BB95*AZ95,0),0)</f>
        <v>4389</v>
      </c>
      <c r="BD95" s="39" t="str">
        <f aca="false">IF(COUNT(AM95,AN95,AO95,AP95,AQ95,AR95,AS95)&gt;0,"estimated","pending")</f>
        <v>pending</v>
      </c>
      <c r="BE95" s="50"/>
    </row>
    <row r="96" customFormat="false" ht="15" hidden="false" customHeight="true" outlineLevel="0" collapsed="false">
      <c r="B96" s="54" t="n">
        <f aca="false">IF($C96="","",COUNTA($C$6:C96))</f>
        <v>91</v>
      </c>
      <c r="C96" s="54" t="s">
        <v>1637</v>
      </c>
      <c r="D96" s="54" t="s">
        <v>208</v>
      </c>
      <c r="E96" s="54" t="s">
        <v>921</v>
      </c>
      <c r="F96" s="54" t="s">
        <v>552</v>
      </c>
      <c r="G96" s="54" t="s">
        <v>1356</v>
      </c>
      <c r="H96" s="54" t="n">
        <v>0</v>
      </c>
      <c r="I96" s="55" t="s">
        <v>1357</v>
      </c>
      <c r="J96" s="56" t="n">
        <v>5700</v>
      </c>
      <c r="K96" s="56" t="n">
        <v>2400</v>
      </c>
      <c r="L96" s="57" t="n">
        <f aca="false">IF(J96="","",ROUND(J96*0.17,0))</f>
        <v>969</v>
      </c>
      <c r="M96" s="56" t="n">
        <v>4450</v>
      </c>
      <c r="N96" s="56" t="n">
        <v>1850</v>
      </c>
      <c r="O96" s="56" t="n">
        <v>1150</v>
      </c>
      <c r="P96" s="56" t="n">
        <v>1150</v>
      </c>
      <c r="Q96" s="56" t="n">
        <v>8300</v>
      </c>
      <c r="R96" s="56" t="n">
        <v>3700</v>
      </c>
      <c r="S96" s="57" t="n">
        <f aca="false">IF(J96="","",ROUND(J96*2.2,0))</f>
        <v>12540</v>
      </c>
      <c r="T96" s="56" t="n">
        <v>2000</v>
      </c>
      <c r="U96" s="56" t="n">
        <v>1700</v>
      </c>
      <c r="V96" s="56" t="n">
        <v>1050</v>
      </c>
      <c r="W96" s="56" t="n">
        <v>2400</v>
      </c>
      <c r="X96" s="54" t="s">
        <v>1451</v>
      </c>
      <c r="Y96" s="49" t="n">
        <v>0.3</v>
      </c>
      <c r="Z96" s="49" t="n">
        <v>1</v>
      </c>
      <c r="AA96" s="50" t="s">
        <v>1638</v>
      </c>
      <c r="AB96" s="50"/>
      <c r="AC96" s="50"/>
      <c r="AD96" s="50"/>
      <c r="AE96" s="50"/>
      <c r="AF96" s="50"/>
      <c r="AG96" s="50"/>
      <c r="AH96" s="50"/>
      <c r="AI96" s="50"/>
      <c r="AJ96" s="50"/>
      <c r="AK96" s="50" t="s">
        <v>1639</v>
      </c>
      <c r="AL96" s="50" t="s">
        <v>1623</v>
      </c>
      <c r="AM96" s="50"/>
      <c r="AN96" s="50"/>
      <c r="AO96" s="50"/>
      <c r="AP96" s="50"/>
      <c r="AQ96" s="50"/>
      <c r="AR96" s="50"/>
      <c r="AS96" s="50"/>
      <c r="AT96" s="50" t="str">
        <f aca="false">IFERROR(IF(AND(AN96&gt;0,J96&gt;0),ROUND(J96*1000/(AN96*0.2),0),""),"")</f>
        <v/>
      </c>
      <c r="AU96" s="50" t="str">
        <f aca="false">IFERROR(IF(AND(AQ96&gt;0,M96&gt;0),ROUND(M96*1000/(AQ96*0.3),0),""),"")</f>
        <v/>
      </c>
      <c r="AV96" s="50" t="str">
        <f aca="false">IFERROR(IF(AND(AM96&gt;0,O96&gt;0),ROUND(O96*1000/(AM96*0.1),0),""),"")</f>
        <v/>
      </c>
      <c r="AW96" s="50" t="str">
        <f aca="false">IFERROR(IF(AND(AP96&gt;0,N96&gt;0),ROUND(N96*1000/(AP96*0.25),0),""),"")</f>
        <v/>
      </c>
      <c r="AX96" s="50" t="str">
        <f aca="false">IFERROR(IF(AND(AO96&gt;0,Q96&gt;0),ROUND(Q96*1000/(AO96*1),0),""),"")</f>
        <v/>
      </c>
      <c r="AY96" s="51" t="n">
        <f aca="false">IFERROR(ifs(I96="Tier S",0.65,I96="Tier 1",0.55,I96="Tier 2",0.45,I96="Tier 3",0.35,I96="Tier 4",0.25),0.35)</f>
        <v>0.35</v>
      </c>
      <c r="AZ96" s="52" t="n">
        <v>1</v>
      </c>
      <c r="BA96" s="52" t="n">
        <v>1</v>
      </c>
      <c r="BB96" s="52" t="n">
        <v>1</v>
      </c>
      <c r="BC96" s="53" t="n">
        <f aca="false">IFERROR(ROUND(S96*AY96*BA96*BB96*AZ96,0),0)</f>
        <v>4389</v>
      </c>
      <c r="BD96" s="39" t="str">
        <f aca="false">IF(COUNT(AM96,AN96,AO96,AP96,AQ96,AR96,AS96)&gt;0,"estimated","pending")</f>
        <v>pending</v>
      </c>
      <c r="BE96" s="50"/>
    </row>
    <row r="97" customFormat="false" ht="15" hidden="false" customHeight="true" outlineLevel="0" collapsed="false">
      <c r="B97" s="54" t="n">
        <f aca="false">IF($C97="","",COUNTA($C$6:C97))</f>
        <v>92</v>
      </c>
      <c r="C97" s="54" t="s">
        <v>1640</v>
      </c>
      <c r="D97" s="54" t="s">
        <v>208</v>
      </c>
      <c r="E97" s="54" t="s">
        <v>921</v>
      </c>
      <c r="F97" s="54" t="s">
        <v>552</v>
      </c>
      <c r="G97" s="54" t="s">
        <v>1356</v>
      </c>
      <c r="H97" s="54" t="n">
        <v>0</v>
      </c>
      <c r="I97" s="55" t="s">
        <v>1357</v>
      </c>
      <c r="J97" s="56" t="n">
        <v>5700</v>
      </c>
      <c r="K97" s="56" t="n">
        <v>2400</v>
      </c>
      <c r="L97" s="57" t="n">
        <f aca="false">IF(J97="","",ROUND(J97*0.17,0))</f>
        <v>969</v>
      </c>
      <c r="M97" s="56" t="n">
        <v>4450</v>
      </c>
      <c r="N97" s="56" t="n">
        <v>1850</v>
      </c>
      <c r="O97" s="56" t="n">
        <v>1150</v>
      </c>
      <c r="P97" s="56" t="n">
        <v>1150</v>
      </c>
      <c r="Q97" s="56" t="n">
        <v>8300</v>
      </c>
      <c r="R97" s="56" t="n">
        <v>3700</v>
      </c>
      <c r="S97" s="57" t="n">
        <f aca="false">IF(J97="","",ROUND(J97*2.2,0))</f>
        <v>12540</v>
      </c>
      <c r="T97" s="56" t="n">
        <v>2000</v>
      </c>
      <c r="U97" s="56" t="n">
        <v>1700</v>
      </c>
      <c r="V97" s="56" t="n">
        <v>1050</v>
      </c>
      <c r="W97" s="56" t="n">
        <v>2400</v>
      </c>
      <c r="X97" s="54" t="s">
        <v>1451</v>
      </c>
      <c r="Y97" s="49" t="n">
        <v>0.3</v>
      </c>
      <c r="Z97" s="49" t="n">
        <v>1</v>
      </c>
      <c r="AA97" s="50" t="s">
        <v>1641</v>
      </c>
      <c r="AB97" s="50"/>
      <c r="AC97" s="50"/>
      <c r="AD97" s="50"/>
      <c r="AE97" s="50"/>
      <c r="AF97" s="50"/>
      <c r="AG97" s="50"/>
      <c r="AH97" s="50"/>
      <c r="AI97" s="50"/>
      <c r="AJ97" s="50"/>
      <c r="AK97" s="50" t="s">
        <v>1642</v>
      </c>
      <c r="AL97" s="50" t="s">
        <v>1643</v>
      </c>
      <c r="AM97" s="50"/>
      <c r="AN97" s="50"/>
      <c r="AO97" s="50"/>
      <c r="AP97" s="50"/>
      <c r="AQ97" s="50"/>
      <c r="AR97" s="50"/>
      <c r="AS97" s="50"/>
      <c r="AT97" s="50" t="str">
        <f aca="false">IFERROR(IF(AND(AN97&gt;0,J97&gt;0),ROUND(J97*1000/(AN97*0.2),0),""),"")</f>
        <v/>
      </c>
      <c r="AU97" s="50" t="str">
        <f aca="false">IFERROR(IF(AND(AQ97&gt;0,M97&gt;0),ROUND(M97*1000/(AQ97*0.3),0),""),"")</f>
        <v/>
      </c>
      <c r="AV97" s="50" t="str">
        <f aca="false">IFERROR(IF(AND(AM97&gt;0,O97&gt;0),ROUND(O97*1000/(AM97*0.1),0),""),"")</f>
        <v/>
      </c>
      <c r="AW97" s="50" t="str">
        <f aca="false">IFERROR(IF(AND(AP97&gt;0,N97&gt;0),ROUND(N97*1000/(AP97*0.25),0),""),"")</f>
        <v/>
      </c>
      <c r="AX97" s="50" t="str">
        <f aca="false">IFERROR(IF(AND(AO97&gt;0,Q97&gt;0),ROUND(Q97*1000/(AO97*1),0),""),"")</f>
        <v/>
      </c>
      <c r="AY97" s="51" t="n">
        <f aca="false">IFERROR(ifs(I97="Tier S",0.65,I97="Tier 1",0.55,I97="Tier 2",0.45,I97="Tier 3",0.35,I97="Tier 4",0.25),0.35)</f>
        <v>0.35</v>
      </c>
      <c r="AZ97" s="52" t="n">
        <v>1</v>
      </c>
      <c r="BA97" s="52" t="n">
        <v>1</v>
      </c>
      <c r="BB97" s="52" t="n">
        <v>1</v>
      </c>
      <c r="BC97" s="53" t="n">
        <f aca="false">IFERROR(ROUND(S97*AY97*BA97*BB97*AZ97,0),0)</f>
        <v>4389</v>
      </c>
      <c r="BD97" s="39" t="str">
        <f aca="false">IF(COUNT(AM97,AN97,AO97,AP97,AQ97,AR97,AS97)&gt;0,"estimated","pending")</f>
        <v>pending</v>
      </c>
      <c r="BE97" s="50"/>
    </row>
    <row r="98" customFormat="false" ht="15" hidden="false" customHeight="true" outlineLevel="0" collapsed="false">
      <c r="B98" s="54" t="n">
        <f aca="false">IF($C98="","",COUNTA($C$6:C98))</f>
        <v>93</v>
      </c>
      <c r="C98" s="54" t="s">
        <v>954</v>
      </c>
      <c r="D98" s="54" t="s">
        <v>208</v>
      </c>
      <c r="E98" s="54" t="s">
        <v>921</v>
      </c>
      <c r="F98" s="54" t="s">
        <v>933</v>
      </c>
      <c r="G98" s="54" t="s">
        <v>1621</v>
      </c>
      <c r="H98" s="54" t="n">
        <v>4</v>
      </c>
      <c r="I98" s="55" t="s">
        <v>269</v>
      </c>
      <c r="J98" s="56" t="n">
        <v>11000</v>
      </c>
      <c r="K98" s="56" t="n">
        <v>4600</v>
      </c>
      <c r="L98" s="57" t="n">
        <f aca="false">IF(J98="","",ROUND(J98*0.17,0))</f>
        <v>1870</v>
      </c>
      <c r="M98" s="56" t="n">
        <v>8600</v>
      </c>
      <c r="N98" s="56" t="n">
        <v>3500</v>
      </c>
      <c r="O98" s="56" t="n">
        <v>2200</v>
      </c>
      <c r="P98" s="56" t="n">
        <v>2200</v>
      </c>
      <c r="Q98" s="56" t="n">
        <v>15950</v>
      </c>
      <c r="R98" s="56" t="n">
        <v>7150</v>
      </c>
      <c r="S98" s="57" t="n">
        <f aca="false">IF(J98="","",ROUND(J98*2.2,0))</f>
        <v>24200</v>
      </c>
      <c r="T98" s="56" t="n">
        <v>3850</v>
      </c>
      <c r="U98" s="56" t="n">
        <v>3300</v>
      </c>
      <c r="V98" s="56" t="n">
        <v>2000</v>
      </c>
      <c r="W98" s="56" t="n">
        <v>2400</v>
      </c>
      <c r="X98" s="54" t="s">
        <v>1369</v>
      </c>
      <c r="Y98" s="49" t="n">
        <v>0.3</v>
      </c>
      <c r="Z98" s="49" t="n">
        <v>1</v>
      </c>
      <c r="AA98" s="50" t="s">
        <v>955</v>
      </c>
      <c r="AB98" s="50" t="s">
        <v>957</v>
      </c>
      <c r="AC98" s="50" t="s">
        <v>959</v>
      </c>
      <c r="AD98" s="50"/>
      <c r="AE98" s="50"/>
      <c r="AF98" s="50" t="s">
        <v>961</v>
      </c>
      <c r="AG98" s="50"/>
      <c r="AH98" s="50" t="s">
        <v>962</v>
      </c>
      <c r="AI98" s="50"/>
      <c r="AJ98" s="50"/>
      <c r="AK98" s="50" t="s">
        <v>1644</v>
      </c>
      <c r="AL98" s="50" t="s">
        <v>1643</v>
      </c>
      <c r="AM98" s="50"/>
      <c r="AN98" s="50"/>
      <c r="AO98" s="50"/>
      <c r="AP98" s="50"/>
      <c r="AQ98" s="50"/>
      <c r="AR98" s="50"/>
      <c r="AS98" s="50"/>
      <c r="AT98" s="50" t="str">
        <f aca="false">IFERROR(IF(AND(AN98&gt;0,J98&gt;0),ROUND(J98*1000/(AN98*0.2),0),""),"")</f>
        <v/>
      </c>
      <c r="AU98" s="50" t="str">
        <f aca="false">IFERROR(IF(AND(AQ98&gt;0,M98&gt;0),ROUND(M98*1000/(AQ98*0.3),0),""),"")</f>
        <v/>
      </c>
      <c r="AV98" s="50" t="str">
        <f aca="false">IFERROR(IF(AND(AM98&gt;0,O98&gt;0),ROUND(O98*1000/(AM98*0.1),0),""),"")</f>
        <v/>
      </c>
      <c r="AW98" s="50" t="str">
        <f aca="false">IFERROR(IF(AND(AP98&gt;0,N98&gt;0),ROUND(N98*1000/(AP98*0.25),0),""),"")</f>
        <v/>
      </c>
      <c r="AX98" s="50" t="str">
        <f aca="false">IFERROR(IF(AND(AO98&gt;0,Q98&gt;0),ROUND(Q98*1000/(AO98*1),0),""),"")</f>
        <v/>
      </c>
      <c r="AY98" s="51" t="n">
        <f aca="false">IFERROR(ifs(I98="Tier S",0.65,I98="Tier 1",0.55,I98="Tier 2",0.45,I98="Tier 3",0.35,I98="Tier 4",0.25),0.35)</f>
        <v>0.35</v>
      </c>
      <c r="AZ98" s="52" t="n">
        <v>1</v>
      </c>
      <c r="BA98" s="52" t="n">
        <v>1</v>
      </c>
      <c r="BB98" s="52" t="n">
        <v>1</v>
      </c>
      <c r="BC98" s="53" t="n">
        <f aca="false">IFERROR(ROUND(S98*AY98*BA98*BB98*AZ98,0),0)</f>
        <v>8470</v>
      </c>
      <c r="BD98" s="39" t="str">
        <f aca="false">IF(COUNT(AM98,AN98,AO98,AP98,AQ98,AR98,AS98)&gt;0,"estimated","pending")</f>
        <v>pending</v>
      </c>
      <c r="BE98" s="50"/>
    </row>
    <row r="99" customFormat="false" ht="15" hidden="false" customHeight="true" outlineLevel="0" collapsed="false">
      <c r="B99" s="54" t="n">
        <f aca="false">IF($C99="","",COUNTA($C$6:C99))</f>
        <v>94</v>
      </c>
      <c r="C99" s="54" t="s">
        <v>968</v>
      </c>
      <c r="D99" s="54" t="s">
        <v>208</v>
      </c>
      <c r="E99" s="54" t="s">
        <v>921</v>
      </c>
      <c r="F99" s="54" t="s">
        <v>933</v>
      </c>
      <c r="G99" s="54" t="s">
        <v>1621</v>
      </c>
      <c r="H99" s="54" t="n">
        <v>3</v>
      </c>
      <c r="I99" s="55" t="s">
        <v>337</v>
      </c>
      <c r="J99" s="56" t="n">
        <v>18000</v>
      </c>
      <c r="K99" s="56" t="n">
        <v>7550</v>
      </c>
      <c r="L99" s="57" t="n">
        <f aca="false">IF(J99="","",ROUND(J99*0.17,0))</f>
        <v>3060</v>
      </c>
      <c r="M99" s="56" t="n">
        <v>14050</v>
      </c>
      <c r="N99" s="56" t="n">
        <v>5750</v>
      </c>
      <c r="O99" s="56" t="n">
        <v>3600</v>
      </c>
      <c r="P99" s="56" t="n">
        <v>3600</v>
      </c>
      <c r="Q99" s="56" t="n">
        <v>26100</v>
      </c>
      <c r="R99" s="56" t="n">
        <v>11700</v>
      </c>
      <c r="S99" s="57" t="n">
        <f aca="false">IF(J99="","",ROUND(J99*2.2,0))</f>
        <v>39600</v>
      </c>
      <c r="T99" s="56" t="n">
        <v>6300</v>
      </c>
      <c r="U99" s="56" t="n">
        <v>5400</v>
      </c>
      <c r="V99" s="56" t="n">
        <v>3250</v>
      </c>
      <c r="W99" s="56" t="n">
        <v>2400</v>
      </c>
      <c r="X99" s="54" t="s">
        <v>1383</v>
      </c>
      <c r="Y99" s="49" t="n">
        <v>0.3</v>
      </c>
      <c r="Z99" s="49" t="n">
        <v>1</v>
      </c>
      <c r="AA99" s="50" t="s">
        <v>969</v>
      </c>
      <c r="AB99" s="50"/>
      <c r="AC99" s="50" t="s">
        <v>971</v>
      </c>
      <c r="AD99" s="50"/>
      <c r="AE99" s="50"/>
      <c r="AF99" s="50" t="s">
        <v>971</v>
      </c>
      <c r="AG99" s="50"/>
      <c r="AH99" s="50" t="s">
        <v>974</v>
      </c>
      <c r="AI99" s="50"/>
      <c r="AJ99" s="50"/>
      <c r="AK99" s="50" t="s">
        <v>1645</v>
      </c>
      <c r="AL99" s="50" t="s">
        <v>1634</v>
      </c>
      <c r="AM99" s="50"/>
      <c r="AN99" s="50"/>
      <c r="AO99" s="50"/>
      <c r="AP99" s="50"/>
      <c r="AQ99" s="50"/>
      <c r="AR99" s="50"/>
      <c r="AS99" s="50"/>
      <c r="AT99" s="50" t="str">
        <f aca="false">IFERROR(IF(AND(AN99&gt;0,J99&gt;0),ROUND(J99*1000/(AN99*0.2),0),""),"")</f>
        <v/>
      </c>
      <c r="AU99" s="50" t="str">
        <f aca="false">IFERROR(IF(AND(AQ99&gt;0,M99&gt;0),ROUND(M99*1000/(AQ99*0.3),0),""),"")</f>
        <v/>
      </c>
      <c r="AV99" s="50" t="str">
        <f aca="false">IFERROR(IF(AND(AM99&gt;0,O99&gt;0),ROUND(O99*1000/(AM99*0.1),0),""),"")</f>
        <v/>
      </c>
      <c r="AW99" s="50" t="str">
        <f aca="false">IFERROR(IF(AND(AP99&gt;0,N99&gt;0),ROUND(N99*1000/(AP99*0.25),0),""),"")</f>
        <v/>
      </c>
      <c r="AX99" s="50" t="str">
        <f aca="false">IFERROR(IF(AND(AO99&gt;0,Q99&gt;0),ROUND(Q99*1000/(AO99*1),0),""),"")</f>
        <v/>
      </c>
      <c r="AY99" s="51" t="n">
        <f aca="false">IFERROR(ifs(I99="Tier S",0.65,I99="Tier 1",0.55,I99="Tier 2",0.45,I99="Tier 3",0.35,I99="Tier 4",0.25),0.35)</f>
        <v>0.35</v>
      </c>
      <c r="AZ99" s="52" t="n">
        <v>1</v>
      </c>
      <c r="BA99" s="52" t="n">
        <v>1</v>
      </c>
      <c r="BB99" s="52" t="n">
        <v>1</v>
      </c>
      <c r="BC99" s="53" t="n">
        <f aca="false">IFERROR(ROUND(S99*AY99*BA99*BB99*AZ99,0),0)</f>
        <v>13860</v>
      </c>
      <c r="BD99" s="39" t="str">
        <f aca="false">IF(COUNT(AM99,AN99,AO99,AP99,AQ99,AR99,AS99)&gt;0,"estimated","pending")</f>
        <v>pending</v>
      </c>
      <c r="BE99" s="50"/>
    </row>
    <row r="100" customFormat="false" ht="15" hidden="false" customHeight="true" outlineLevel="0" collapsed="false">
      <c r="B100" s="54" t="n">
        <f aca="false">IF($C100="","",COUNTA($C$6:C100))</f>
        <v>95</v>
      </c>
      <c r="C100" s="54" t="s">
        <v>975</v>
      </c>
      <c r="D100" s="54" t="s">
        <v>208</v>
      </c>
      <c r="E100" s="54" t="s">
        <v>921</v>
      </c>
      <c r="F100" s="54" t="s">
        <v>933</v>
      </c>
      <c r="G100" s="54" t="s">
        <v>1621</v>
      </c>
      <c r="H100" s="54" t="n">
        <v>3</v>
      </c>
      <c r="I100" s="55" t="s">
        <v>337</v>
      </c>
      <c r="J100" s="56" t="n">
        <v>11000</v>
      </c>
      <c r="K100" s="56" t="n">
        <v>4600</v>
      </c>
      <c r="L100" s="57" t="n">
        <f aca="false">IF(J100="","",ROUND(J100*0.17,0))</f>
        <v>1870</v>
      </c>
      <c r="M100" s="56" t="n">
        <v>8600</v>
      </c>
      <c r="N100" s="56" t="n">
        <v>3500</v>
      </c>
      <c r="O100" s="56" t="n">
        <v>2200</v>
      </c>
      <c r="P100" s="56" t="n">
        <v>2200</v>
      </c>
      <c r="Q100" s="56" t="n">
        <v>15950</v>
      </c>
      <c r="R100" s="56" t="n">
        <v>7150</v>
      </c>
      <c r="S100" s="57" t="n">
        <f aca="false">IF(J100="","",ROUND(J100*2.2,0))</f>
        <v>24200</v>
      </c>
      <c r="T100" s="56" t="n">
        <v>3850</v>
      </c>
      <c r="U100" s="56" t="n">
        <v>3300</v>
      </c>
      <c r="V100" s="56" t="n">
        <v>2000</v>
      </c>
      <c r="W100" s="56" t="n">
        <v>2400</v>
      </c>
      <c r="X100" s="54" t="s">
        <v>1383</v>
      </c>
      <c r="Y100" s="49" t="n">
        <v>0.3</v>
      </c>
      <c r="Z100" s="49" t="n">
        <v>1</v>
      </c>
      <c r="AA100" s="50" t="s">
        <v>976</v>
      </c>
      <c r="AB100" s="50"/>
      <c r="AC100" s="50" t="s">
        <v>978</v>
      </c>
      <c r="AD100" s="50"/>
      <c r="AE100" s="50"/>
      <c r="AF100" s="50" t="s">
        <v>980</v>
      </c>
      <c r="AG100" s="50"/>
      <c r="AH100" s="50" t="s">
        <v>982</v>
      </c>
      <c r="AI100" s="50"/>
      <c r="AJ100" s="50"/>
      <c r="AK100" s="50" t="s">
        <v>1646</v>
      </c>
      <c r="AL100" s="50" t="s">
        <v>1625</v>
      </c>
      <c r="AM100" s="50"/>
      <c r="AN100" s="50"/>
      <c r="AO100" s="50"/>
      <c r="AP100" s="50"/>
      <c r="AQ100" s="50"/>
      <c r="AR100" s="50"/>
      <c r="AS100" s="50"/>
      <c r="AT100" s="50" t="str">
        <f aca="false">IFERROR(IF(AND(AN100&gt;0,J100&gt;0),ROUND(J100*1000/(AN100*0.2),0),""),"")</f>
        <v/>
      </c>
      <c r="AU100" s="50" t="str">
        <f aca="false">IFERROR(IF(AND(AQ100&gt;0,M100&gt;0),ROUND(M100*1000/(AQ100*0.3),0),""),"")</f>
        <v/>
      </c>
      <c r="AV100" s="50" t="str">
        <f aca="false">IFERROR(IF(AND(AM100&gt;0,O100&gt;0),ROUND(O100*1000/(AM100*0.1),0),""),"")</f>
        <v/>
      </c>
      <c r="AW100" s="50" t="str">
        <f aca="false">IFERROR(IF(AND(AP100&gt;0,N100&gt;0),ROUND(N100*1000/(AP100*0.25),0),""),"")</f>
        <v/>
      </c>
      <c r="AX100" s="50" t="str">
        <f aca="false">IFERROR(IF(AND(AO100&gt;0,Q100&gt;0),ROUND(Q100*1000/(AO100*1),0),""),"")</f>
        <v/>
      </c>
      <c r="AY100" s="51" t="n">
        <f aca="false">IFERROR(ifs(I100="Tier S",0.65,I100="Tier 1",0.55,I100="Tier 2",0.45,I100="Tier 3",0.35,I100="Tier 4",0.25),0.35)</f>
        <v>0.35</v>
      </c>
      <c r="AZ100" s="52" t="n">
        <v>1</v>
      </c>
      <c r="BA100" s="52" t="n">
        <v>1</v>
      </c>
      <c r="BB100" s="52" t="n">
        <v>1</v>
      </c>
      <c r="BC100" s="53" t="n">
        <f aca="false">IFERROR(ROUND(S100*AY100*BA100*BB100*AZ100,0),0)</f>
        <v>8470</v>
      </c>
      <c r="BD100" s="39" t="str">
        <f aca="false">IF(COUNT(AM100,AN100,AO100,AP100,AQ100,AR100,AS100)&gt;0,"estimated","pending")</f>
        <v>pending</v>
      </c>
      <c r="BE100" s="50"/>
    </row>
    <row r="101" customFormat="false" ht="15" hidden="false" customHeight="true" outlineLevel="0" collapsed="false">
      <c r="B101" s="62" t="n">
        <f aca="false">IF($C101="","",COUNTA($C$6:C101))</f>
        <v>96</v>
      </c>
      <c r="C101" s="62" t="s">
        <v>1647</v>
      </c>
      <c r="D101" s="62" t="s">
        <v>1472</v>
      </c>
      <c r="E101" s="62" t="s">
        <v>921</v>
      </c>
      <c r="F101" s="62" t="s">
        <v>933</v>
      </c>
      <c r="G101" s="62" t="s">
        <v>1621</v>
      </c>
      <c r="H101" s="62" t="n">
        <v>3</v>
      </c>
      <c r="I101" s="63" t="s">
        <v>337</v>
      </c>
      <c r="J101" s="64" t="n">
        <v>0</v>
      </c>
      <c r="K101" s="64" t="n">
        <v>0</v>
      </c>
      <c r="L101" s="65" t="n">
        <f aca="false">IF(J101="","",ROUND(J101*0.17,0))</f>
        <v>0</v>
      </c>
      <c r="M101" s="64" t="n">
        <v>0</v>
      </c>
      <c r="N101" s="64" t="n">
        <v>0</v>
      </c>
      <c r="O101" s="64" t="n">
        <v>0</v>
      </c>
      <c r="P101" s="64" t="n">
        <v>0</v>
      </c>
      <c r="Q101" s="64" t="n">
        <v>0</v>
      </c>
      <c r="R101" s="64" t="n">
        <v>0</v>
      </c>
      <c r="S101" s="65" t="n">
        <f aca="false">IF(J101="","",ROUND(J101*2.2,0))</f>
        <v>0</v>
      </c>
      <c r="T101" s="64" t="n">
        <v>0</v>
      </c>
      <c r="U101" s="64" t="n">
        <v>0</v>
      </c>
      <c r="V101" s="64" t="n">
        <v>1200</v>
      </c>
      <c r="W101" s="64" t="n">
        <v>0</v>
      </c>
      <c r="X101" s="62" t="s">
        <v>1383</v>
      </c>
      <c r="Y101" s="49" t="n">
        <v>0.3</v>
      </c>
      <c r="Z101" s="49" t="n">
        <v>1</v>
      </c>
      <c r="AA101" s="50" t="s">
        <v>1648</v>
      </c>
      <c r="AB101" s="50"/>
      <c r="AC101" s="50" t="s">
        <v>1649</v>
      </c>
      <c r="AD101" s="50"/>
      <c r="AE101" s="50"/>
      <c r="AF101" s="50" t="s">
        <v>1650</v>
      </c>
      <c r="AG101" s="50"/>
      <c r="AH101" s="50" t="s">
        <v>1651</v>
      </c>
      <c r="AI101" s="50"/>
      <c r="AJ101" s="50"/>
      <c r="AK101" s="50" t="s">
        <v>1652</v>
      </c>
      <c r="AL101" s="50"/>
      <c r="AM101" s="50"/>
      <c r="AN101" s="50"/>
      <c r="AO101" s="50"/>
      <c r="AP101" s="50"/>
      <c r="AQ101" s="50"/>
      <c r="AR101" s="50"/>
      <c r="AS101" s="50"/>
      <c r="AT101" s="50" t="str">
        <f aca="false">IFERROR(IF(AND(AN101&gt;0,J101&gt;0),ROUND(J101*1000/(AN101*0.2),0),""),"")</f>
        <v/>
      </c>
      <c r="AU101" s="50" t="str">
        <f aca="false">IFERROR(IF(AND(AQ101&gt;0,M101&gt;0),ROUND(M101*1000/(AQ101*0.3),0),""),"")</f>
        <v/>
      </c>
      <c r="AV101" s="50" t="str">
        <f aca="false">IFERROR(IF(AND(AM101&gt;0,O101&gt;0),ROUND(O101*1000/(AM101*0.1),0),""),"")</f>
        <v/>
      </c>
      <c r="AW101" s="50" t="str">
        <f aca="false">IFERROR(IF(AND(AP101&gt;0,N101&gt;0),ROUND(N101*1000/(AP101*0.25),0),""),"")</f>
        <v/>
      </c>
      <c r="AX101" s="50" t="str">
        <f aca="false">IFERROR(IF(AND(AO101&gt;0,Q101&gt;0),ROUND(Q101*1000/(AO101*1),0),""),"")</f>
        <v/>
      </c>
      <c r="AY101" s="51" t="n">
        <f aca="false">IFERROR(ifs(I101="Tier S",0.65,I101="Tier 1",0.55,I101="Tier 2",0.45,I101="Tier 3",0.35,I101="Tier 4",0.25),0.35)</f>
        <v>0.35</v>
      </c>
      <c r="AZ101" s="52" t="n">
        <v>1</v>
      </c>
      <c r="BA101" s="52" t="n">
        <v>1</v>
      </c>
      <c r="BB101" s="52" t="n">
        <v>1</v>
      </c>
      <c r="BC101" s="53" t="n">
        <f aca="false">IFERROR(ROUND(S101*AY101*BA101*BB101*AZ101,0),0)</f>
        <v>0</v>
      </c>
      <c r="BD101" s="39" t="str">
        <f aca="false">IF(COUNT(AM101,AN101,AO101,AP101,AQ101,AR101,AS101)&gt;0,"estimated","pending")</f>
        <v>pending</v>
      </c>
      <c r="BE101" s="50"/>
    </row>
    <row r="102" customFormat="false" ht="15" hidden="false" customHeight="true" outlineLevel="0" collapsed="false">
      <c r="B102" s="66" t="n">
        <f aca="false">IF($C102="","",COUNTA($C$6:C102))</f>
        <v>97</v>
      </c>
      <c r="C102" s="66" t="s">
        <v>1653</v>
      </c>
      <c r="D102" s="66" t="s">
        <v>1533</v>
      </c>
      <c r="E102" s="66" t="s">
        <v>921</v>
      </c>
      <c r="F102" s="66" t="s">
        <v>933</v>
      </c>
      <c r="G102" s="66" t="s">
        <v>1621</v>
      </c>
      <c r="H102" s="66" t="n">
        <v>3</v>
      </c>
      <c r="I102" s="67" t="s">
        <v>337</v>
      </c>
      <c r="J102" s="68" t="n">
        <v>0</v>
      </c>
      <c r="K102" s="68" t="n">
        <v>0</v>
      </c>
      <c r="L102" s="69" t="n">
        <f aca="false">IF(J102="","",ROUND(J102*0.17,0))</f>
        <v>0</v>
      </c>
      <c r="M102" s="68" t="n">
        <v>0</v>
      </c>
      <c r="N102" s="68" t="n">
        <v>0</v>
      </c>
      <c r="O102" s="68" t="n">
        <v>0</v>
      </c>
      <c r="P102" s="68" t="n">
        <v>0</v>
      </c>
      <c r="Q102" s="68" t="n">
        <v>0</v>
      </c>
      <c r="R102" s="68" t="n">
        <v>0</v>
      </c>
      <c r="S102" s="69" t="n">
        <f aca="false">IF(J102="","",ROUND(J102*2.2,0))</f>
        <v>0</v>
      </c>
      <c r="T102" s="68" t="n">
        <v>0</v>
      </c>
      <c r="U102" s="68" t="n">
        <v>0</v>
      </c>
      <c r="V102" s="68" t="n">
        <v>1200</v>
      </c>
      <c r="W102" s="68" t="n">
        <v>0</v>
      </c>
      <c r="X102" s="66" t="s">
        <v>1383</v>
      </c>
      <c r="Y102" s="49" t="n">
        <v>0.3</v>
      </c>
      <c r="Z102" s="49" t="n">
        <v>1</v>
      </c>
      <c r="AA102" s="50" t="s">
        <v>1654</v>
      </c>
      <c r="AB102" s="50"/>
      <c r="AC102" s="50" t="s">
        <v>1655</v>
      </c>
      <c r="AD102" s="50"/>
      <c r="AE102" s="50"/>
      <c r="AF102" s="50" t="s">
        <v>1656</v>
      </c>
      <c r="AG102" s="50"/>
      <c r="AH102" s="50" t="s">
        <v>1657</v>
      </c>
      <c r="AI102" s="50"/>
      <c r="AJ102" s="50"/>
      <c r="AK102" s="50" t="s">
        <v>1658</v>
      </c>
      <c r="AL102" s="50"/>
      <c r="AM102" s="50"/>
      <c r="AN102" s="50"/>
      <c r="AO102" s="50"/>
      <c r="AP102" s="50"/>
      <c r="AQ102" s="50"/>
      <c r="AR102" s="50"/>
      <c r="AS102" s="50"/>
      <c r="AT102" s="50" t="str">
        <f aca="false">IFERROR(IF(AND(AN102&gt;0,J102&gt;0),ROUND(J102*1000/(AN102*0.2),0),""),"")</f>
        <v/>
      </c>
      <c r="AU102" s="50" t="str">
        <f aca="false">IFERROR(IF(AND(AQ102&gt;0,M102&gt;0),ROUND(M102*1000/(AQ102*0.3),0),""),"")</f>
        <v/>
      </c>
      <c r="AV102" s="50" t="str">
        <f aca="false">IFERROR(IF(AND(AM102&gt;0,O102&gt;0),ROUND(O102*1000/(AM102*0.1),0),""),"")</f>
        <v/>
      </c>
      <c r="AW102" s="50" t="str">
        <f aca="false">IFERROR(IF(AND(AP102&gt;0,N102&gt;0),ROUND(N102*1000/(AP102*0.25),0),""),"")</f>
        <v/>
      </c>
      <c r="AX102" s="50" t="str">
        <f aca="false">IFERROR(IF(AND(AO102&gt;0,Q102&gt;0),ROUND(Q102*1000/(AO102*1),0),""),"")</f>
        <v/>
      </c>
      <c r="AY102" s="51" t="n">
        <f aca="false">IFERROR(ifs(I102="Tier S",0.65,I102="Tier 1",0.55,I102="Tier 2",0.45,I102="Tier 3",0.35,I102="Tier 4",0.25),0.35)</f>
        <v>0.35</v>
      </c>
      <c r="AZ102" s="52" t="n">
        <v>1</v>
      </c>
      <c r="BA102" s="52" t="n">
        <v>1</v>
      </c>
      <c r="BB102" s="52" t="n">
        <v>1</v>
      </c>
      <c r="BC102" s="53" t="n">
        <f aca="false">IFERROR(ROUND(S102*AY102*BA102*BB102*AZ102,0),0)</f>
        <v>0</v>
      </c>
      <c r="BD102" s="39" t="str">
        <f aca="false">IF(COUNT(AM102,AN102,AO102,AP102,AQ102,AR102,AS102)&gt;0,"estimated","pending")</f>
        <v>pending</v>
      </c>
      <c r="BE102" s="50"/>
    </row>
    <row r="103" customFormat="false" ht="15" hidden="false" customHeight="true" outlineLevel="0" collapsed="false">
      <c r="B103" s="54" t="n">
        <f aca="false">IF($C103="","",COUNTA($C$6:C103))</f>
        <v>98</v>
      </c>
      <c r="C103" s="54" t="s">
        <v>984</v>
      </c>
      <c r="D103" s="54" t="s">
        <v>208</v>
      </c>
      <c r="E103" s="54" t="s">
        <v>921</v>
      </c>
      <c r="F103" s="54" t="s">
        <v>983</v>
      </c>
      <c r="G103" s="54" t="s">
        <v>1627</v>
      </c>
      <c r="H103" s="54" t="n">
        <v>1</v>
      </c>
      <c r="I103" s="55" t="s">
        <v>1357</v>
      </c>
      <c r="J103" s="56" t="n">
        <v>8750</v>
      </c>
      <c r="K103" s="56" t="n">
        <v>3000</v>
      </c>
      <c r="L103" s="57" t="n">
        <f aca="false">IF(J103="","",ROUND(J103*0.17,0))</f>
        <v>1488</v>
      </c>
      <c r="M103" s="56" t="n">
        <v>6000</v>
      </c>
      <c r="N103" s="56" t="n">
        <v>2500</v>
      </c>
      <c r="O103" s="56" t="n">
        <v>1200</v>
      </c>
      <c r="P103" s="56" t="n">
        <v>1200</v>
      </c>
      <c r="Q103" s="56" t="n">
        <v>9000</v>
      </c>
      <c r="R103" s="56" t="n">
        <v>4050</v>
      </c>
      <c r="S103" s="57" t="n">
        <f aca="false">IF(J103="","",ROUND(J103*2.2,0))</f>
        <v>19250</v>
      </c>
      <c r="T103" s="56" t="n">
        <v>2200</v>
      </c>
      <c r="U103" s="56" t="n">
        <v>1925</v>
      </c>
      <c r="V103" s="56" t="n">
        <v>1155</v>
      </c>
      <c r="W103" s="56" t="n">
        <v>2400</v>
      </c>
      <c r="X103" s="54" t="s">
        <v>1434</v>
      </c>
      <c r="Y103" s="49" t="n">
        <v>0.3</v>
      </c>
      <c r="Z103" s="49" t="n">
        <v>1</v>
      </c>
      <c r="AA103" s="50" t="s">
        <v>985</v>
      </c>
      <c r="AB103" s="50"/>
      <c r="AC103" s="50" t="s">
        <v>987</v>
      </c>
      <c r="AD103" s="50"/>
      <c r="AE103" s="50"/>
      <c r="AF103" s="50"/>
      <c r="AG103" s="50"/>
      <c r="AH103" s="50"/>
      <c r="AI103" s="50"/>
      <c r="AJ103" s="50"/>
      <c r="AK103" s="50" t="s">
        <v>1659</v>
      </c>
      <c r="AL103" s="50" t="s">
        <v>1643</v>
      </c>
      <c r="AM103" s="50"/>
      <c r="AN103" s="50"/>
      <c r="AO103" s="50"/>
      <c r="AP103" s="50"/>
      <c r="AQ103" s="50"/>
      <c r="AR103" s="50"/>
      <c r="AS103" s="50"/>
      <c r="AT103" s="50" t="str">
        <f aca="false">IFERROR(IF(AND(AN103&gt;0,J103&gt;0),ROUND(J103*1000/(AN103*0.2),0),""),"")</f>
        <v/>
      </c>
      <c r="AU103" s="50" t="str">
        <f aca="false">IFERROR(IF(AND(AQ103&gt;0,M103&gt;0),ROUND(M103*1000/(AQ103*0.3),0),""),"")</f>
        <v/>
      </c>
      <c r="AV103" s="50" t="str">
        <f aca="false">IFERROR(IF(AND(AM103&gt;0,O103&gt;0),ROUND(O103*1000/(AM103*0.1),0),""),"")</f>
        <v/>
      </c>
      <c r="AW103" s="50" t="str">
        <f aca="false">IFERROR(IF(AND(AP103&gt;0,N103&gt;0),ROUND(N103*1000/(AP103*0.25),0),""),"")</f>
        <v/>
      </c>
      <c r="AX103" s="50" t="str">
        <f aca="false">IFERROR(IF(AND(AO103&gt;0,Q103&gt;0),ROUND(Q103*1000/(AO103*1),0),""),"")</f>
        <v/>
      </c>
      <c r="AY103" s="51" t="n">
        <f aca="false">IFERROR(ifs(I103="Tier S",0.65,I103="Tier 1",0.55,I103="Tier 2",0.45,I103="Tier 3",0.35,I103="Tier 4",0.25),0.35)</f>
        <v>0.35</v>
      </c>
      <c r="AZ103" s="52" t="n">
        <v>1</v>
      </c>
      <c r="BA103" s="52" t="n">
        <v>1</v>
      </c>
      <c r="BB103" s="52" t="n">
        <v>1</v>
      </c>
      <c r="BC103" s="53" t="n">
        <f aca="false">IFERROR(ROUND(S103*AY103*BA103*BB103*AZ103,0),0)</f>
        <v>6738</v>
      </c>
      <c r="BD103" s="39" t="str">
        <f aca="false">IF(COUNT(AM103,AN103,AO103,AP103,AQ103,AR103,AS103)&gt;0,"estimated","pending")</f>
        <v>pending</v>
      </c>
      <c r="BE103" s="50"/>
    </row>
    <row r="104" customFormat="false" ht="15" hidden="false" customHeight="true" outlineLevel="0" collapsed="false">
      <c r="B104" s="62" t="n">
        <f aca="false">IF($C104="","",COUNTA($C$6:C104))</f>
        <v>99</v>
      </c>
      <c r="C104" s="62" t="s">
        <v>1660</v>
      </c>
      <c r="D104" s="62" t="s">
        <v>1478</v>
      </c>
      <c r="E104" s="62" t="s">
        <v>921</v>
      </c>
      <c r="F104" s="62" t="s">
        <v>983</v>
      </c>
      <c r="G104" s="62" t="s">
        <v>1627</v>
      </c>
      <c r="H104" s="62" t="n">
        <v>1</v>
      </c>
      <c r="I104" s="63" t="s">
        <v>1357</v>
      </c>
      <c r="J104" s="64" t="n">
        <v>5700</v>
      </c>
      <c r="K104" s="64" t="n">
        <v>2400</v>
      </c>
      <c r="L104" s="65" t="n">
        <f aca="false">IF(J104="","",ROUND(J104*0.17,0))</f>
        <v>969</v>
      </c>
      <c r="M104" s="64" t="n">
        <v>4450</v>
      </c>
      <c r="N104" s="64" t="n">
        <v>1850</v>
      </c>
      <c r="O104" s="64" t="n">
        <v>1150</v>
      </c>
      <c r="P104" s="64" t="n">
        <v>0</v>
      </c>
      <c r="Q104" s="64" t="n">
        <v>8300</v>
      </c>
      <c r="R104" s="64" t="n">
        <v>3700</v>
      </c>
      <c r="S104" s="65" t="n">
        <f aca="false">IF(J104="","",ROUND(J104*2.2,0))</f>
        <v>12540</v>
      </c>
      <c r="T104" s="64" t="n">
        <v>2000</v>
      </c>
      <c r="U104" s="64" t="n">
        <v>1700</v>
      </c>
      <c r="V104" s="64" t="n">
        <v>1050</v>
      </c>
      <c r="W104" s="64" t="n">
        <v>0</v>
      </c>
      <c r="X104" s="62" t="s">
        <v>1434</v>
      </c>
      <c r="Y104" s="49" t="n">
        <v>0.3</v>
      </c>
      <c r="Z104" s="49" t="n">
        <v>1</v>
      </c>
      <c r="AA104" s="50" t="s">
        <v>1661</v>
      </c>
      <c r="AB104" s="50"/>
      <c r="AC104" s="50" t="s">
        <v>1662</v>
      </c>
      <c r="AD104" s="50"/>
      <c r="AE104" s="50"/>
      <c r="AF104" s="50"/>
      <c r="AG104" s="50"/>
      <c r="AH104" s="50"/>
      <c r="AI104" s="50"/>
      <c r="AJ104" s="50"/>
      <c r="AK104" s="50" t="s">
        <v>1663</v>
      </c>
      <c r="AL104" s="50"/>
      <c r="AM104" s="50"/>
      <c r="AN104" s="50"/>
      <c r="AO104" s="50"/>
      <c r="AP104" s="50"/>
      <c r="AQ104" s="50"/>
      <c r="AR104" s="50"/>
      <c r="AS104" s="50"/>
      <c r="AT104" s="50" t="str">
        <f aca="false">IFERROR(IF(AND(AN104&gt;0,J104&gt;0),ROUND(J104*1000/(AN104*0.2),0),""),"")</f>
        <v/>
      </c>
      <c r="AU104" s="50" t="str">
        <f aca="false">IFERROR(IF(AND(AQ104&gt;0,M104&gt;0),ROUND(M104*1000/(AQ104*0.3),0),""),"")</f>
        <v/>
      </c>
      <c r="AV104" s="50" t="str">
        <f aca="false">IFERROR(IF(AND(AM104&gt;0,O104&gt;0),ROUND(O104*1000/(AM104*0.1),0),""),"")</f>
        <v/>
      </c>
      <c r="AW104" s="50" t="str">
        <f aca="false">IFERROR(IF(AND(AP104&gt;0,N104&gt;0),ROUND(N104*1000/(AP104*0.25),0),""),"")</f>
        <v/>
      </c>
      <c r="AX104" s="50" t="str">
        <f aca="false">IFERROR(IF(AND(AO104&gt;0,Q104&gt;0),ROUND(Q104*1000/(AO104*1),0),""),"")</f>
        <v/>
      </c>
      <c r="AY104" s="51" t="n">
        <f aca="false">IFERROR(ifs(I104="Tier S",0.65,I104="Tier 1",0.55,I104="Tier 2",0.45,I104="Tier 3",0.35,I104="Tier 4",0.25),0.35)</f>
        <v>0.35</v>
      </c>
      <c r="AZ104" s="52" t="n">
        <v>1</v>
      </c>
      <c r="BA104" s="52" t="n">
        <v>1</v>
      </c>
      <c r="BB104" s="52" t="n">
        <v>1</v>
      </c>
      <c r="BC104" s="53" t="n">
        <f aca="false">IFERROR(ROUND(S104*AY104*BA104*BB104*AZ104,0),0)</f>
        <v>4389</v>
      </c>
      <c r="BD104" s="39" t="str">
        <f aca="false">IF(COUNT(AM104,AN104,AO104,AP104,AQ104,AR104,AS104)&gt;0,"estimated","pending")</f>
        <v>pending</v>
      </c>
      <c r="BE104" s="50"/>
    </row>
    <row r="105" customFormat="false" ht="15" hidden="false" customHeight="true" outlineLevel="0" collapsed="false">
      <c r="B105" s="54" t="n">
        <f aca="false">IF($C105="","",COUNTA($C$6:C105))</f>
        <v>100</v>
      </c>
      <c r="C105" s="54" t="s">
        <v>988</v>
      </c>
      <c r="D105" s="54" t="s">
        <v>208</v>
      </c>
      <c r="E105" s="54" t="s">
        <v>921</v>
      </c>
      <c r="F105" s="54" t="s">
        <v>983</v>
      </c>
      <c r="G105" s="54" t="s">
        <v>1627</v>
      </c>
      <c r="H105" s="54" t="n">
        <v>2</v>
      </c>
      <c r="I105" s="55" t="s">
        <v>337</v>
      </c>
      <c r="J105" s="56" t="n">
        <v>11250</v>
      </c>
      <c r="K105" s="56" t="n">
        <v>4500</v>
      </c>
      <c r="L105" s="57" t="n">
        <f aca="false">IF(J105="","",ROUND(J105*0.17,0))</f>
        <v>1913</v>
      </c>
      <c r="M105" s="56" t="n">
        <v>8000</v>
      </c>
      <c r="N105" s="56" t="n">
        <v>3500</v>
      </c>
      <c r="O105" s="56" t="n">
        <v>2000</v>
      </c>
      <c r="P105" s="56" t="n">
        <v>2000</v>
      </c>
      <c r="Q105" s="56" t="n">
        <v>13500</v>
      </c>
      <c r="R105" s="56" t="n">
        <v>6075</v>
      </c>
      <c r="S105" s="57" t="n">
        <f aca="false">IF(J105="","",ROUND(J105*2.2,0))</f>
        <v>24750</v>
      </c>
      <c r="T105" s="56" t="n">
        <v>4638</v>
      </c>
      <c r="U105" s="56" t="n">
        <v>4063</v>
      </c>
      <c r="V105" s="56" t="n">
        <v>2438</v>
      </c>
      <c r="W105" s="56" t="n">
        <v>2400</v>
      </c>
      <c r="X105" s="54" t="s">
        <v>1428</v>
      </c>
      <c r="Y105" s="49" t="n">
        <v>0.3</v>
      </c>
      <c r="Z105" s="49" t="n">
        <v>1</v>
      </c>
      <c r="AA105" s="50" t="s">
        <v>989</v>
      </c>
      <c r="AB105" s="50"/>
      <c r="AC105" s="50" t="s">
        <v>991</v>
      </c>
      <c r="AD105" s="50"/>
      <c r="AE105" s="50"/>
      <c r="AF105" s="50" t="s">
        <v>993</v>
      </c>
      <c r="AG105" s="50"/>
      <c r="AH105" s="50"/>
      <c r="AI105" s="50"/>
      <c r="AJ105" s="50"/>
      <c r="AK105" s="50" t="s">
        <v>1664</v>
      </c>
      <c r="AL105" s="50" t="s">
        <v>1634</v>
      </c>
      <c r="AM105" s="50"/>
      <c r="AN105" s="50"/>
      <c r="AO105" s="50"/>
      <c r="AP105" s="50"/>
      <c r="AQ105" s="50"/>
      <c r="AR105" s="50"/>
      <c r="AS105" s="50"/>
      <c r="AT105" s="50" t="str">
        <f aca="false">IFERROR(IF(AND(AN105&gt;0,J105&gt;0),ROUND(J105*1000/(AN105*0.2),0),""),"")</f>
        <v/>
      </c>
      <c r="AU105" s="50" t="str">
        <f aca="false">IFERROR(IF(AND(AQ105&gt;0,M105&gt;0),ROUND(M105*1000/(AQ105*0.3),0),""),"")</f>
        <v/>
      </c>
      <c r="AV105" s="50" t="str">
        <f aca="false">IFERROR(IF(AND(AM105&gt;0,O105&gt;0),ROUND(O105*1000/(AM105*0.1),0),""),"")</f>
        <v/>
      </c>
      <c r="AW105" s="50" t="str">
        <f aca="false">IFERROR(IF(AND(AP105&gt;0,N105&gt;0),ROUND(N105*1000/(AP105*0.25),0),""),"")</f>
        <v/>
      </c>
      <c r="AX105" s="50" t="str">
        <f aca="false">IFERROR(IF(AND(AO105&gt;0,Q105&gt;0),ROUND(Q105*1000/(AO105*1),0),""),"")</f>
        <v/>
      </c>
      <c r="AY105" s="51" t="n">
        <f aca="false">IFERROR(ifs(I105="Tier S",0.65,I105="Tier 1",0.55,I105="Tier 2",0.45,I105="Tier 3",0.35,I105="Tier 4",0.25),0.35)</f>
        <v>0.35</v>
      </c>
      <c r="AZ105" s="52" t="n">
        <v>1</v>
      </c>
      <c r="BA105" s="52" t="n">
        <v>1</v>
      </c>
      <c r="BB105" s="52" t="n">
        <v>1</v>
      </c>
      <c r="BC105" s="53" t="n">
        <f aca="false">IFERROR(ROUND(S105*AY105*BA105*BB105*AZ105,0),0)</f>
        <v>8663</v>
      </c>
      <c r="BD105" s="39" t="str">
        <f aca="false">IF(COUNT(AM105,AN105,AO105,AP105,AQ105,AR105,AS105)&gt;0,"estimated","pending")</f>
        <v>pending</v>
      </c>
      <c r="BE105" s="50"/>
    </row>
    <row r="106" customFormat="false" ht="15" hidden="false" customHeight="true" outlineLevel="0" collapsed="false">
      <c r="B106" s="54" t="n">
        <f aca="false">IF($C106="","",COUNTA($C$6:C106))</f>
        <v>101</v>
      </c>
      <c r="C106" s="54" t="s">
        <v>994</v>
      </c>
      <c r="D106" s="54" t="s">
        <v>208</v>
      </c>
      <c r="E106" s="54" t="s">
        <v>921</v>
      </c>
      <c r="F106" s="54" t="s">
        <v>983</v>
      </c>
      <c r="G106" s="54" t="s">
        <v>1627</v>
      </c>
      <c r="H106" s="54" t="n">
        <v>1</v>
      </c>
      <c r="I106" s="55" t="s">
        <v>1357</v>
      </c>
      <c r="J106" s="56" t="n">
        <v>12100</v>
      </c>
      <c r="K106" s="56" t="n">
        <v>5100</v>
      </c>
      <c r="L106" s="57" t="n">
        <f aca="false">IF(J106="","",ROUND(J106*0.17,0))</f>
        <v>2057</v>
      </c>
      <c r="M106" s="56" t="n">
        <v>9450</v>
      </c>
      <c r="N106" s="56" t="n">
        <v>3850</v>
      </c>
      <c r="O106" s="56" t="n">
        <v>2400</v>
      </c>
      <c r="P106" s="56" t="n">
        <v>2400</v>
      </c>
      <c r="Q106" s="56" t="n">
        <v>17550</v>
      </c>
      <c r="R106" s="56" t="n">
        <v>7850</v>
      </c>
      <c r="S106" s="57" t="n">
        <f aca="false">IF(J106="","",ROUND(J106*2.2,0))</f>
        <v>26620</v>
      </c>
      <c r="T106" s="56" t="n">
        <v>4250</v>
      </c>
      <c r="U106" s="56" t="n">
        <v>3650</v>
      </c>
      <c r="V106" s="56" t="n">
        <v>2200</v>
      </c>
      <c r="W106" s="56" t="n">
        <v>2400</v>
      </c>
      <c r="X106" s="54" t="s">
        <v>1434</v>
      </c>
      <c r="Y106" s="49" t="n">
        <v>0.3</v>
      </c>
      <c r="Z106" s="49" t="n">
        <v>1</v>
      </c>
      <c r="AA106" s="50" t="s">
        <v>995</v>
      </c>
      <c r="AB106" s="50"/>
      <c r="AC106" s="50" t="s">
        <v>997</v>
      </c>
      <c r="AD106" s="50"/>
      <c r="AE106" s="50"/>
      <c r="AF106" s="50"/>
      <c r="AG106" s="50"/>
      <c r="AH106" s="50"/>
      <c r="AI106" s="50"/>
      <c r="AJ106" s="50"/>
      <c r="AK106" s="50" t="s">
        <v>1665</v>
      </c>
      <c r="AL106" s="50" t="s">
        <v>1643</v>
      </c>
      <c r="AM106" s="50"/>
      <c r="AN106" s="50"/>
      <c r="AO106" s="50"/>
      <c r="AP106" s="50"/>
      <c r="AQ106" s="50"/>
      <c r="AR106" s="50"/>
      <c r="AS106" s="50"/>
      <c r="AT106" s="50" t="str">
        <f aca="false">IFERROR(IF(AND(AN106&gt;0,J106&gt;0),ROUND(J106*1000/(AN106*0.2),0),""),"")</f>
        <v/>
      </c>
      <c r="AU106" s="50" t="str">
        <f aca="false">IFERROR(IF(AND(AQ106&gt;0,M106&gt;0),ROUND(M106*1000/(AQ106*0.3),0),""),"")</f>
        <v/>
      </c>
      <c r="AV106" s="50" t="str">
        <f aca="false">IFERROR(IF(AND(AM106&gt;0,O106&gt;0),ROUND(O106*1000/(AM106*0.1),0),""),"")</f>
        <v/>
      </c>
      <c r="AW106" s="50" t="str">
        <f aca="false">IFERROR(IF(AND(AP106&gt;0,N106&gt;0),ROUND(N106*1000/(AP106*0.25),0),""),"")</f>
        <v/>
      </c>
      <c r="AX106" s="50" t="str">
        <f aca="false">IFERROR(IF(AND(AO106&gt;0,Q106&gt;0),ROUND(Q106*1000/(AO106*1),0),""),"")</f>
        <v/>
      </c>
      <c r="AY106" s="51" t="n">
        <f aca="false">IFERROR(ifs(I106="Tier S",0.65,I106="Tier 1",0.55,I106="Tier 2",0.45,I106="Tier 3",0.35,I106="Tier 4",0.25),0.35)</f>
        <v>0.35</v>
      </c>
      <c r="AZ106" s="52" t="n">
        <v>1</v>
      </c>
      <c r="BA106" s="52" t="n">
        <v>1</v>
      </c>
      <c r="BB106" s="52" t="n">
        <v>1</v>
      </c>
      <c r="BC106" s="53" t="n">
        <f aca="false">IFERROR(ROUND(S106*AY106*BA106*BB106*AZ106,0),0)</f>
        <v>9317</v>
      </c>
      <c r="BD106" s="39" t="str">
        <f aca="false">IF(COUNT(AM106,AN106,AO106,AP106,AQ106,AR106,AS106)&gt;0,"estimated","pending")</f>
        <v>pending</v>
      </c>
      <c r="BE106" s="50"/>
    </row>
    <row r="107" customFormat="false" ht="15" hidden="false" customHeight="true" outlineLevel="0" collapsed="false">
      <c r="B107" s="54" t="n">
        <f aca="false">IF($C107="","",COUNTA($C$6:C107))</f>
        <v>102</v>
      </c>
      <c r="C107" s="54" t="s">
        <v>1666</v>
      </c>
      <c r="D107" s="54" t="s">
        <v>208</v>
      </c>
      <c r="E107" s="54" t="s">
        <v>921</v>
      </c>
      <c r="F107" s="54" t="s">
        <v>983</v>
      </c>
      <c r="G107" s="54" t="s">
        <v>1627</v>
      </c>
      <c r="H107" s="54" t="n">
        <v>0</v>
      </c>
      <c r="I107" s="55" t="s">
        <v>1357</v>
      </c>
      <c r="J107" s="56" t="n">
        <v>5700</v>
      </c>
      <c r="K107" s="56" t="n">
        <v>2400</v>
      </c>
      <c r="L107" s="57" t="n">
        <f aca="false">IF(J107="","",ROUND(J107*0.17,0))</f>
        <v>969</v>
      </c>
      <c r="M107" s="56" t="n">
        <v>4450</v>
      </c>
      <c r="N107" s="56" t="n">
        <v>1850</v>
      </c>
      <c r="O107" s="56" t="n">
        <v>1150</v>
      </c>
      <c r="P107" s="56" t="n">
        <v>1150</v>
      </c>
      <c r="Q107" s="56" t="n">
        <v>8300</v>
      </c>
      <c r="R107" s="56" t="n">
        <v>3700</v>
      </c>
      <c r="S107" s="57" t="n">
        <f aca="false">IF(J107="","",ROUND(J107*2.2,0))</f>
        <v>12540</v>
      </c>
      <c r="T107" s="56" t="n">
        <v>2000</v>
      </c>
      <c r="U107" s="56" t="n">
        <v>1700</v>
      </c>
      <c r="V107" s="56" t="n">
        <v>1050</v>
      </c>
      <c r="W107" s="56" t="n">
        <v>2400</v>
      </c>
      <c r="X107" s="54" t="s">
        <v>1451</v>
      </c>
      <c r="Y107" s="49" t="n">
        <v>0.3</v>
      </c>
      <c r="Z107" s="49" t="n">
        <v>1</v>
      </c>
      <c r="AA107" s="50" t="s">
        <v>1667</v>
      </c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 t="s">
        <v>1623</v>
      </c>
      <c r="AM107" s="50"/>
      <c r="AN107" s="50"/>
      <c r="AO107" s="50"/>
      <c r="AP107" s="50"/>
      <c r="AQ107" s="50"/>
      <c r="AR107" s="50"/>
      <c r="AS107" s="50"/>
      <c r="AT107" s="50" t="str">
        <f aca="false">IFERROR(IF(AND(AN107&gt;0,J107&gt;0),ROUND(J107*1000/(AN107*0.2),0),""),"")</f>
        <v/>
      </c>
      <c r="AU107" s="50" t="str">
        <f aca="false">IFERROR(IF(AND(AQ107&gt;0,M107&gt;0),ROUND(M107*1000/(AQ107*0.3),0),""),"")</f>
        <v/>
      </c>
      <c r="AV107" s="50" t="str">
        <f aca="false">IFERROR(IF(AND(AM107&gt;0,O107&gt;0),ROUND(O107*1000/(AM107*0.1),0),""),"")</f>
        <v/>
      </c>
      <c r="AW107" s="50" t="str">
        <f aca="false">IFERROR(IF(AND(AP107&gt;0,N107&gt;0),ROUND(N107*1000/(AP107*0.25),0),""),"")</f>
        <v/>
      </c>
      <c r="AX107" s="50" t="str">
        <f aca="false">IFERROR(IF(AND(AO107&gt;0,Q107&gt;0),ROUND(Q107*1000/(AO107*1),0),""),"")</f>
        <v/>
      </c>
      <c r="AY107" s="51" t="n">
        <f aca="false">IFERROR(ifs(I107="Tier S",0.65,I107="Tier 1",0.55,I107="Tier 2",0.45,I107="Tier 3",0.35,I107="Tier 4",0.25),0.35)</f>
        <v>0.35</v>
      </c>
      <c r="AZ107" s="52" t="n">
        <v>1</v>
      </c>
      <c r="BA107" s="52" t="n">
        <v>1</v>
      </c>
      <c r="BB107" s="52" t="n">
        <v>1</v>
      </c>
      <c r="BC107" s="53" t="n">
        <f aca="false">IFERROR(ROUND(S107*AY107*BA107*BB107*AZ107,0),0)</f>
        <v>4389</v>
      </c>
      <c r="BD107" s="39" t="str">
        <f aca="false">IF(COUNT(AM107,AN107,AO107,AP107,AQ107,AR107,AS107)&gt;0,"estimated","pending")</f>
        <v>pending</v>
      </c>
      <c r="BE107" s="50"/>
    </row>
    <row r="108" customFormat="false" ht="15" hidden="false" customHeight="true" outlineLevel="0" collapsed="false">
      <c r="B108" s="54" t="n">
        <f aca="false">IF($C108="","",COUNTA($C$6:C108))</f>
        <v>103</v>
      </c>
      <c r="C108" s="54" t="s">
        <v>998</v>
      </c>
      <c r="D108" s="54" t="s">
        <v>208</v>
      </c>
      <c r="E108" s="54" t="s">
        <v>921</v>
      </c>
      <c r="F108" s="54" t="s">
        <v>983</v>
      </c>
      <c r="G108" s="54" t="s">
        <v>1627</v>
      </c>
      <c r="H108" s="54" t="n">
        <v>1</v>
      </c>
      <c r="I108" s="55" t="s">
        <v>1357</v>
      </c>
      <c r="J108" s="56" t="n">
        <v>5700</v>
      </c>
      <c r="K108" s="56" t="n">
        <v>2400</v>
      </c>
      <c r="L108" s="57" t="n">
        <f aca="false">IF(J108="","",ROUND(J108*0.17,0))</f>
        <v>969</v>
      </c>
      <c r="M108" s="56" t="n">
        <v>4450</v>
      </c>
      <c r="N108" s="56" t="n">
        <v>1850</v>
      </c>
      <c r="O108" s="56" t="n">
        <v>1150</v>
      </c>
      <c r="P108" s="56" t="n">
        <v>1150</v>
      </c>
      <c r="Q108" s="56" t="n">
        <v>8300</v>
      </c>
      <c r="R108" s="56" t="n">
        <v>3700</v>
      </c>
      <c r="S108" s="57" t="n">
        <f aca="false">IF(J108="","",ROUND(J108*2.2,0))</f>
        <v>12540</v>
      </c>
      <c r="T108" s="56" t="n">
        <v>2000</v>
      </c>
      <c r="U108" s="56" t="n">
        <v>1700</v>
      </c>
      <c r="V108" s="56" t="n">
        <v>1050</v>
      </c>
      <c r="W108" s="56" t="n">
        <v>2400</v>
      </c>
      <c r="X108" s="54" t="s">
        <v>1434</v>
      </c>
      <c r="Y108" s="49" t="n">
        <v>0.3</v>
      </c>
      <c r="Z108" s="49" t="n">
        <v>1</v>
      </c>
      <c r="AA108" s="50" t="s">
        <v>999</v>
      </c>
      <c r="AB108" s="50"/>
      <c r="AC108" s="50" t="s">
        <v>1001</v>
      </c>
      <c r="AD108" s="50"/>
      <c r="AE108" s="50"/>
      <c r="AF108" s="50"/>
      <c r="AG108" s="50"/>
      <c r="AH108" s="50"/>
      <c r="AI108" s="50"/>
      <c r="AJ108" s="50"/>
      <c r="AK108" s="50" t="s">
        <v>1668</v>
      </c>
      <c r="AL108" s="50" t="s">
        <v>1636</v>
      </c>
      <c r="AM108" s="50"/>
      <c r="AN108" s="50"/>
      <c r="AO108" s="50"/>
      <c r="AP108" s="50"/>
      <c r="AQ108" s="50"/>
      <c r="AR108" s="50"/>
      <c r="AS108" s="50"/>
      <c r="AT108" s="50" t="str">
        <f aca="false">IFERROR(IF(AND(AN108&gt;0,J108&gt;0),ROUND(J108*1000/(AN108*0.2),0),""),"")</f>
        <v/>
      </c>
      <c r="AU108" s="50" t="str">
        <f aca="false">IFERROR(IF(AND(AQ108&gt;0,M108&gt;0),ROUND(M108*1000/(AQ108*0.3),0),""),"")</f>
        <v/>
      </c>
      <c r="AV108" s="50" t="str">
        <f aca="false">IFERROR(IF(AND(AM108&gt;0,O108&gt;0),ROUND(O108*1000/(AM108*0.1),0),""),"")</f>
        <v/>
      </c>
      <c r="AW108" s="50" t="str">
        <f aca="false">IFERROR(IF(AND(AP108&gt;0,N108&gt;0),ROUND(N108*1000/(AP108*0.25),0),""),"")</f>
        <v/>
      </c>
      <c r="AX108" s="50" t="str">
        <f aca="false">IFERROR(IF(AND(AO108&gt;0,Q108&gt;0),ROUND(Q108*1000/(AO108*1),0),""),"")</f>
        <v/>
      </c>
      <c r="AY108" s="51" t="n">
        <f aca="false">IFERROR(ifs(I108="Tier S",0.65,I108="Tier 1",0.55,I108="Tier 2",0.45,I108="Tier 3",0.35,I108="Tier 4",0.25),0.35)</f>
        <v>0.35</v>
      </c>
      <c r="AZ108" s="52" t="n">
        <v>1</v>
      </c>
      <c r="BA108" s="52" t="n">
        <v>1</v>
      </c>
      <c r="BB108" s="52" t="n">
        <v>1</v>
      </c>
      <c r="BC108" s="53" t="n">
        <f aca="false">IFERROR(ROUND(S108*AY108*BA108*BB108*AZ108,0),0)</f>
        <v>4389</v>
      </c>
      <c r="BD108" s="39" t="str">
        <f aca="false">IF(COUNT(AM108,AN108,AO108,AP108,AQ108,AR108,AS108)&gt;0,"estimated","pending")</f>
        <v>pending</v>
      </c>
      <c r="BE108" s="50"/>
    </row>
    <row r="109" customFormat="false" ht="15" hidden="false" customHeight="true" outlineLevel="0" collapsed="false">
      <c r="B109" s="54" t="n">
        <f aca="false">IF($C109="","",COUNTA($C$6:C109))</f>
        <v>104</v>
      </c>
      <c r="C109" s="54" t="s">
        <v>1003</v>
      </c>
      <c r="D109" s="54" t="s">
        <v>208</v>
      </c>
      <c r="E109" s="54" t="s">
        <v>921</v>
      </c>
      <c r="F109" s="54" t="s">
        <v>1002</v>
      </c>
      <c r="G109" s="54" t="s">
        <v>1669</v>
      </c>
      <c r="H109" s="54" t="n">
        <v>3</v>
      </c>
      <c r="I109" s="55" t="s">
        <v>337</v>
      </c>
      <c r="J109" s="56" t="n">
        <v>5700</v>
      </c>
      <c r="K109" s="56" t="n">
        <v>2400</v>
      </c>
      <c r="L109" s="57" t="n">
        <f aca="false">IF(J109="","",ROUND(J109*0.17,0))</f>
        <v>969</v>
      </c>
      <c r="M109" s="56" t="n">
        <v>4450</v>
      </c>
      <c r="N109" s="56" t="n">
        <v>1850</v>
      </c>
      <c r="O109" s="56" t="n">
        <v>1150</v>
      </c>
      <c r="P109" s="56" t="n">
        <v>1150</v>
      </c>
      <c r="Q109" s="56" t="n">
        <v>8300</v>
      </c>
      <c r="R109" s="56" t="n">
        <v>3700</v>
      </c>
      <c r="S109" s="57" t="n">
        <f aca="false">IF(J109="","",ROUND(J109*2.2,0))</f>
        <v>12540</v>
      </c>
      <c r="T109" s="56" t="n">
        <v>2000</v>
      </c>
      <c r="U109" s="56" t="n">
        <v>1700</v>
      </c>
      <c r="V109" s="56" t="n">
        <v>1050</v>
      </c>
      <c r="W109" s="56" t="n">
        <v>2400</v>
      </c>
      <c r="X109" s="54" t="s">
        <v>1383</v>
      </c>
      <c r="Y109" s="49" t="n">
        <v>0.3</v>
      </c>
      <c r="Z109" s="49" t="n">
        <v>1</v>
      </c>
      <c r="AA109" s="50" t="s">
        <v>1004</v>
      </c>
      <c r="AB109" s="50"/>
      <c r="AC109" s="50" t="s">
        <v>1006</v>
      </c>
      <c r="AD109" s="50"/>
      <c r="AE109" s="50" t="s">
        <v>1008</v>
      </c>
      <c r="AF109" s="50" t="s">
        <v>1010</v>
      </c>
      <c r="AG109" s="50"/>
      <c r="AH109" s="50"/>
      <c r="AI109" s="50"/>
      <c r="AJ109" s="50"/>
      <c r="AK109" s="50" t="s">
        <v>1670</v>
      </c>
      <c r="AL109" s="50" t="s">
        <v>1636</v>
      </c>
      <c r="AM109" s="50"/>
      <c r="AN109" s="50"/>
      <c r="AO109" s="50"/>
      <c r="AP109" s="50"/>
      <c r="AQ109" s="50"/>
      <c r="AR109" s="50"/>
      <c r="AS109" s="50"/>
      <c r="AT109" s="50" t="str">
        <f aca="false">IFERROR(IF(AND(AN109&gt;0,J109&gt;0),ROUND(J109*1000/(AN109*0.2),0),""),"")</f>
        <v/>
      </c>
      <c r="AU109" s="50" t="str">
        <f aca="false">IFERROR(IF(AND(AQ109&gt;0,M109&gt;0),ROUND(M109*1000/(AQ109*0.3),0),""),"")</f>
        <v/>
      </c>
      <c r="AV109" s="50" t="str">
        <f aca="false">IFERROR(IF(AND(AM109&gt;0,O109&gt;0),ROUND(O109*1000/(AM109*0.1),0),""),"")</f>
        <v/>
      </c>
      <c r="AW109" s="50" t="str">
        <f aca="false">IFERROR(IF(AND(AP109&gt;0,N109&gt;0),ROUND(N109*1000/(AP109*0.25),0),""),"")</f>
        <v/>
      </c>
      <c r="AX109" s="50" t="str">
        <f aca="false">IFERROR(IF(AND(AO109&gt;0,Q109&gt;0),ROUND(Q109*1000/(AO109*1),0),""),"")</f>
        <v/>
      </c>
      <c r="AY109" s="51" t="n">
        <f aca="false">IFERROR(ifs(I109="Tier S",0.65,I109="Tier 1",0.55,I109="Tier 2",0.45,I109="Tier 3",0.35,I109="Tier 4",0.25),0.35)</f>
        <v>0.35</v>
      </c>
      <c r="AZ109" s="52" t="n">
        <v>1</v>
      </c>
      <c r="BA109" s="52" t="n">
        <v>1</v>
      </c>
      <c r="BB109" s="52" t="n">
        <v>1</v>
      </c>
      <c r="BC109" s="53" t="n">
        <f aca="false">IFERROR(ROUND(S109*AY109*BA109*BB109*AZ109,0),0)</f>
        <v>4389</v>
      </c>
      <c r="BD109" s="39" t="str">
        <f aca="false">IF(COUNT(AM109,AN109,AO109,AP109,AQ109,AR109,AS109)&gt;0,"estimated","pending")</f>
        <v>pending</v>
      </c>
      <c r="BE109" s="50"/>
    </row>
    <row r="110" customFormat="false" ht="15" hidden="false" customHeight="true" outlineLevel="0" collapsed="false">
      <c r="B110" s="54" t="n">
        <f aca="false">IF($C110="","",COUNTA($C$6:C110))</f>
        <v>105</v>
      </c>
      <c r="C110" s="54" t="s">
        <v>1011</v>
      </c>
      <c r="D110" s="54" t="s">
        <v>208</v>
      </c>
      <c r="E110" s="54" t="s">
        <v>921</v>
      </c>
      <c r="F110" s="54" t="s">
        <v>1002</v>
      </c>
      <c r="G110" s="54" t="s">
        <v>1669</v>
      </c>
      <c r="H110" s="54" t="n">
        <v>2</v>
      </c>
      <c r="I110" s="55" t="s">
        <v>337</v>
      </c>
      <c r="J110" s="56" t="n">
        <v>11000</v>
      </c>
      <c r="K110" s="56" t="n">
        <v>4600</v>
      </c>
      <c r="L110" s="57" t="n">
        <f aca="false">IF(J110="","",ROUND(J110*0.17,0))</f>
        <v>1870</v>
      </c>
      <c r="M110" s="56" t="n">
        <v>8600</v>
      </c>
      <c r="N110" s="56" t="n">
        <v>3500</v>
      </c>
      <c r="O110" s="56" t="n">
        <v>2200</v>
      </c>
      <c r="P110" s="56" t="n">
        <v>2200</v>
      </c>
      <c r="Q110" s="56" t="n">
        <v>15950</v>
      </c>
      <c r="R110" s="56" t="n">
        <v>7150</v>
      </c>
      <c r="S110" s="57" t="n">
        <f aca="false">IF(J110="","",ROUND(J110*2.2,0))</f>
        <v>24200</v>
      </c>
      <c r="T110" s="56" t="n">
        <v>3850</v>
      </c>
      <c r="U110" s="56" t="n">
        <v>3300</v>
      </c>
      <c r="V110" s="56" t="n">
        <v>2000</v>
      </c>
      <c r="W110" s="56" t="n">
        <v>2400</v>
      </c>
      <c r="X110" s="54" t="s">
        <v>1428</v>
      </c>
      <c r="Y110" s="49" t="n">
        <v>0.3</v>
      </c>
      <c r="Z110" s="49" t="n">
        <v>1</v>
      </c>
      <c r="AA110" s="50" t="s">
        <v>1012</v>
      </c>
      <c r="AB110" s="50"/>
      <c r="AC110" s="50" t="s">
        <v>1014</v>
      </c>
      <c r="AD110" s="50"/>
      <c r="AE110" s="50"/>
      <c r="AF110" s="50" t="s">
        <v>1016</v>
      </c>
      <c r="AG110" s="50"/>
      <c r="AH110" s="50"/>
      <c r="AI110" s="50"/>
      <c r="AJ110" s="50"/>
      <c r="AK110" s="50" t="s">
        <v>1671</v>
      </c>
      <c r="AL110" s="50" t="s">
        <v>1623</v>
      </c>
      <c r="AM110" s="50"/>
      <c r="AN110" s="50"/>
      <c r="AO110" s="50"/>
      <c r="AP110" s="50"/>
      <c r="AQ110" s="50"/>
      <c r="AR110" s="50"/>
      <c r="AS110" s="50"/>
      <c r="AT110" s="50" t="str">
        <f aca="false">IFERROR(IF(AND(AN110&gt;0,J110&gt;0),ROUND(J110*1000/(AN110*0.2),0),""),"")</f>
        <v/>
      </c>
      <c r="AU110" s="50" t="str">
        <f aca="false">IFERROR(IF(AND(AQ110&gt;0,M110&gt;0),ROUND(M110*1000/(AQ110*0.3),0),""),"")</f>
        <v/>
      </c>
      <c r="AV110" s="50" t="str">
        <f aca="false">IFERROR(IF(AND(AM110&gt;0,O110&gt;0),ROUND(O110*1000/(AM110*0.1),0),""),"")</f>
        <v/>
      </c>
      <c r="AW110" s="50" t="str">
        <f aca="false">IFERROR(IF(AND(AP110&gt;0,N110&gt;0),ROUND(N110*1000/(AP110*0.25),0),""),"")</f>
        <v/>
      </c>
      <c r="AX110" s="50" t="str">
        <f aca="false">IFERROR(IF(AND(AO110&gt;0,Q110&gt;0),ROUND(Q110*1000/(AO110*1),0),""),"")</f>
        <v/>
      </c>
      <c r="AY110" s="51" t="n">
        <f aca="false">IFERROR(ifs(I110="Tier S",0.65,I110="Tier 1",0.55,I110="Tier 2",0.45,I110="Tier 3",0.35,I110="Tier 4",0.25),0.35)</f>
        <v>0.35</v>
      </c>
      <c r="AZ110" s="52" t="n">
        <v>1</v>
      </c>
      <c r="BA110" s="52" t="n">
        <v>1</v>
      </c>
      <c r="BB110" s="52" t="n">
        <v>1</v>
      </c>
      <c r="BC110" s="53" t="n">
        <f aca="false">IFERROR(ROUND(S110*AY110*BA110*BB110*AZ110,0),0)</f>
        <v>8470</v>
      </c>
      <c r="BD110" s="39" t="str">
        <f aca="false">IF(COUNT(AM110,AN110,AO110,AP110,AQ110,AR110,AS110)&gt;0,"estimated","pending")</f>
        <v>pending</v>
      </c>
      <c r="BE110" s="50"/>
    </row>
    <row r="111" customFormat="false" ht="15" hidden="false" customHeight="true" outlineLevel="0" collapsed="false">
      <c r="B111" s="54" t="n">
        <f aca="false">IF($C111="","",COUNTA($C$6:C111))</f>
        <v>106</v>
      </c>
      <c r="C111" s="54" t="s">
        <v>1017</v>
      </c>
      <c r="D111" s="54" t="s">
        <v>208</v>
      </c>
      <c r="E111" s="54" t="s">
        <v>921</v>
      </c>
      <c r="F111" s="54" t="s">
        <v>1002</v>
      </c>
      <c r="G111" s="54" t="s">
        <v>1669</v>
      </c>
      <c r="H111" s="54" t="n">
        <v>3</v>
      </c>
      <c r="I111" s="55" t="s">
        <v>337</v>
      </c>
      <c r="J111" s="56" t="n">
        <v>11000</v>
      </c>
      <c r="K111" s="56" t="n">
        <v>4600</v>
      </c>
      <c r="L111" s="57" t="n">
        <f aca="false">IF(J111="","",ROUND(J111*0.17,0))</f>
        <v>1870</v>
      </c>
      <c r="M111" s="56" t="n">
        <v>8600</v>
      </c>
      <c r="N111" s="56" t="n">
        <v>3500</v>
      </c>
      <c r="O111" s="56" t="n">
        <v>2200</v>
      </c>
      <c r="P111" s="56" t="n">
        <v>2200</v>
      </c>
      <c r="Q111" s="56" t="n">
        <v>15950</v>
      </c>
      <c r="R111" s="56" t="n">
        <v>7150</v>
      </c>
      <c r="S111" s="57" t="n">
        <f aca="false">IF(J111="","",ROUND(J111*2.2,0))</f>
        <v>24200</v>
      </c>
      <c r="T111" s="56" t="n">
        <v>3850</v>
      </c>
      <c r="U111" s="56" t="n">
        <v>3300</v>
      </c>
      <c r="V111" s="56" t="n">
        <v>2000</v>
      </c>
      <c r="W111" s="56" t="n">
        <v>2400</v>
      </c>
      <c r="X111" s="54" t="s">
        <v>1383</v>
      </c>
      <c r="Y111" s="49" t="n">
        <v>0.3</v>
      </c>
      <c r="Z111" s="49" t="n">
        <v>1</v>
      </c>
      <c r="AA111" s="50" t="s">
        <v>1018</v>
      </c>
      <c r="AB111" s="50"/>
      <c r="AC111" s="50" t="s">
        <v>1020</v>
      </c>
      <c r="AD111" s="50"/>
      <c r="AE111" s="50" t="s">
        <v>1022</v>
      </c>
      <c r="AF111" s="50" t="s">
        <v>1024</v>
      </c>
      <c r="AG111" s="50"/>
      <c r="AH111" s="50"/>
      <c r="AI111" s="50"/>
      <c r="AJ111" s="50"/>
      <c r="AK111" s="50" t="s">
        <v>1672</v>
      </c>
      <c r="AL111" s="50" t="s">
        <v>1625</v>
      </c>
      <c r="AM111" s="50"/>
      <c r="AN111" s="50"/>
      <c r="AO111" s="50"/>
      <c r="AP111" s="50"/>
      <c r="AQ111" s="50"/>
      <c r="AR111" s="50"/>
      <c r="AS111" s="50"/>
      <c r="AT111" s="50" t="str">
        <f aca="false">IFERROR(IF(AND(AN111&gt;0,J111&gt;0),ROUND(J111*1000/(AN111*0.2),0),""),"")</f>
        <v/>
      </c>
      <c r="AU111" s="50" t="str">
        <f aca="false">IFERROR(IF(AND(AQ111&gt;0,M111&gt;0),ROUND(M111*1000/(AQ111*0.3),0),""),"")</f>
        <v/>
      </c>
      <c r="AV111" s="50" t="str">
        <f aca="false">IFERROR(IF(AND(AM111&gt;0,O111&gt;0),ROUND(O111*1000/(AM111*0.1),0),""),"")</f>
        <v/>
      </c>
      <c r="AW111" s="50" t="str">
        <f aca="false">IFERROR(IF(AND(AP111&gt;0,N111&gt;0),ROUND(N111*1000/(AP111*0.25),0),""),"")</f>
        <v/>
      </c>
      <c r="AX111" s="50" t="str">
        <f aca="false">IFERROR(IF(AND(AO111&gt;0,Q111&gt;0),ROUND(Q111*1000/(AO111*1),0),""),"")</f>
        <v/>
      </c>
      <c r="AY111" s="51" t="n">
        <f aca="false">IFERROR(ifs(I111="Tier S",0.65,I111="Tier 1",0.55,I111="Tier 2",0.45,I111="Tier 3",0.35,I111="Tier 4",0.25),0.35)</f>
        <v>0.35</v>
      </c>
      <c r="AZ111" s="52" t="n">
        <v>1</v>
      </c>
      <c r="BA111" s="52" t="n">
        <v>1</v>
      </c>
      <c r="BB111" s="52" t="n">
        <v>1</v>
      </c>
      <c r="BC111" s="53" t="n">
        <f aca="false">IFERROR(ROUND(S111*AY111*BA111*BB111*AZ111,0),0)</f>
        <v>8470</v>
      </c>
      <c r="BD111" s="39" t="str">
        <f aca="false">IF(COUNT(AM111,AN111,AO111,AP111,AQ111,AR111,AS111)&gt;0,"estimated","pending")</f>
        <v>pending</v>
      </c>
      <c r="BE111" s="50"/>
    </row>
    <row r="112" customFormat="false" ht="15" hidden="false" customHeight="true" outlineLevel="0" collapsed="false">
      <c r="B112" s="54" t="n">
        <f aca="false">IF($C112="","",COUNTA($C$6:C112))</f>
        <v>107</v>
      </c>
      <c r="C112" s="54" t="s">
        <v>1025</v>
      </c>
      <c r="D112" s="54" t="s">
        <v>208</v>
      </c>
      <c r="E112" s="54" t="s">
        <v>921</v>
      </c>
      <c r="F112" s="54" t="s">
        <v>1002</v>
      </c>
      <c r="G112" s="54" t="s">
        <v>1669</v>
      </c>
      <c r="H112" s="54" t="n">
        <v>2</v>
      </c>
      <c r="I112" s="55" t="s">
        <v>337</v>
      </c>
      <c r="J112" s="56" t="n">
        <v>11000</v>
      </c>
      <c r="K112" s="56" t="n">
        <v>4600</v>
      </c>
      <c r="L112" s="57" t="n">
        <f aca="false">IF(J112="","",ROUND(J112*0.17,0))</f>
        <v>1870</v>
      </c>
      <c r="M112" s="56" t="n">
        <v>8600</v>
      </c>
      <c r="N112" s="56" t="n">
        <v>3500</v>
      </c>
      <c r="O112" s="56" t="n">
        <v>2200</v>
      </c>
      <c r="P112" s="56" t="n">
        <v>2200</v>
      </c>
      <c r="Q112" s="56" t="n">
        <v>15950</v>
      </c>
      <c r="R112" s="56" t="n">
        <v>7150</v>
      </c>
      <c r="S112" s="57" t="n">
        <f aca="false">IF(J112="","",ROUND(J112*2.2,0))</f>
        <v>24200</v>
      </c>
      <c r="T112" s="56" t="n">
        <v>3850</v>
      </c>
      <c r="U112" s="56" t="n">
        <v>3300</v>
      </c>
      <c r="V112" s="56" t="n">
        <v>2000</v>
      </c>
      <c r="W112" s="56" t="n">
        <v>2400</v>
      </c>
      <c r="X112" s="54" t="s">
        <v>1428</v>
      </c>
      <c r="Y112" s="49" t="n">
        <v>0.3</v>
      </c>
      <c r="Z112" s="49" t="n">
        <v>1</v>
      </c>
      <c r="AA112" s="50" t="s">
        <v>1026</v>
      </c>
      <c r="AB112" s="50"/>
      <c r="AC112" s="50" t="s">
        <v>1028</v>
      </c>
      <c r="AD112" s="50"/>
      <c r="AE112" s="50"/>
      <c r="AF112" s="50" t="s">
        <v>1030</v>
      </c>
      <c r="AG112" s="50"/>
      <c r="AH112" s="50"/>
      <c r="AI112" s="50"/>
      <c r="AJ112" s="50"/>
      <c r="AK112" s="50" t="s">
        <v>1673</v>
      </c>
      <c r="AL112" s="50" t="s">
        <v>1634</v>
      </c>
      <c r="AM112" s="50"/>
      <c r="AN112" s="50"/>
      <c r="AO112" s="50"/>
      <c r="AP112" s="50"/>
      <c r="AQ112" s="50"/>
      <c r="AR112" s="50"/>
      <c r="AS112" s="50"/>
      <c r="AT112" s="50" t="str">
        <f aca="false">IFERROR(IF(AND(AN112&gt;0,J112&gt;0),ROUND(J112*1000/(AN112*0.2),0),""),"")</f>
        <v/>
      </c>
      <c r="AU112" s="50" t="str">
        <f aca="false">IFERROR(IF(AND(AQ112&gt;0,M112&gt;0),ROUND(M112*1000/(AQ112*0.3),0),""),"")</f>
        <v/>
      </c>
      <c r="AV112" s="50" t="str">
        <f aca="false">IFERROR(IF(AND(AM112&gt;0,O112&gt;0),ROUND(O112*1000/(AM112*0.1),0),""),"")</f>
        <v/>
      </c>
      <c r="AW112" s="50" t="str">
        <f aca="false">IFERROR(IF(AND(AP112&gt;0,N112&gt;0),ROUND(N112*1000/(AP112*0.25),0),""),"")</f>
        <v/>
      </c>
      <c r="AX112" s="50" t="str">
        <f aca="false">IFERROR(IF(AND(AO112&gt;0,Q112&gt;0),ROUND(Q112*1000/(AO112*1),0),""),"")</f>
        <v/>
      </c>
      <c r="AY112" s="51" t="n">
        <f aca="false">IFERROR(ifs(I112="Tier S",0.65,I112="Tier 1",0.55,I112="Tier 2",0.45,I112="Tier 3",0.35,I112="Tier 4",0.25),0.35)</f>
        <v>0.35</v>
      </c>
      <c r="AZ112" s="52" t="n">
        <v>1</v>
      </c>
      <c r="BA112" s="52" t="n">
        <v>1</v>
      </c>
      <c r="BB112" s="52" t="n">
        <v>1</v>
      </c>
      <c r="BC112" s="53" t="n">
        <f aca="false">IFERROR(ROUND(S112*AY112*BA112*BB112*AZ112,0),0)</f>
        <v>8470</v>
      </c>
      <c r="BD112" s="39" t="str">
        <f aca="false">IF(COUNT(AM112,AN112,AO112,AP112,AQ112,AR112,AS112)&gt;0,"estimated","pending")</f>
        <v>pending</v>
      </c>
      <c r="BE112" s="50"/>
    </row>
    <row r="113" customFormat="false" ht="15" hidden="false" customHeight="true" outlineLevel="0" collapsed="false">
      <c r="B113" s="54" t="n">
        <f aca="false">IF($C113="","",COUNTA($C$6:C113))</f>
        <v>108</v>
      </c>
      <c r="C113" s="54" t="s">
        <v>1031</v>
      </c>
      <c r="D113" s="54" t="s">
        <v>208</v>
      </c>
      <c r="E113" s="54" t="s">
        <v>921</v>
      </c>
      <c r="F113" s="54" t="s">
        <v>1002</v>
      </c>
      <c r="G113" s="54" t="s">
        <v>1669</v>
      </c>
      <c r="H113" s="54" t="n">
        <v>3</v>
      </c>
      <c r="I113" s="55" t="s">
        <v>337</v>
      </c>
      <c r="J113" s="56" t="n">
        <v>11000</v>
      </c>
      <c r="K113" s="56" t="n">
        <v>4600</v>
      </c>
      <c r="L113" s="57" t="n">
        <f aca="false">IF(J113="","",ROUND(J113*0.17,0))</f>
        <v>1870</v>
      </c>
      <c r="M113" s="56" t="n">
        <v>8600</v>
      </c>
      <c r="N113" s="56" t="n">
        <v>3500</v>
      </c>
      <c r="O113" s="56" t="n">
        <v>2200</v>
      </c>
      <c r="P113" s="56" t="n">
        <v>2200</v>
      </c>
      <c r="Q113" s="56" t="n">
        <v>15950</v>
      </c>
      <c r="R113" s="56" t="n">
        <v>7150</v>
      </c>
      <c r="S113" s="57" t="n">
        <f aca="false">IF(J113="","",ROUND(J113*2.2,0))</f>
        <v>24200</v>
      </c>
      <c r="T113" s="56" t="n">
        <v>3850</v>
      </c>
      <c r="U113" s="56" t="n">
        <v>3300</v>
      </c>
      <c r="V113" s="56" t="n">
        <v>2000</v>
      </c>
      <c r="W113" s="56" t="n">
        <v>2400</v>
      </c>
      <c r="X113" s="54" t="s">
        <v>1383</v>
      </c>
      <c r="Y113" s="49" t="n">
        <v>0.3</v>
      </c>
      <c r="Z113" s="49" t="n">
        <v>1</v>
      </c>
      <c r="AA113" s="50" t="s">
        <v>1032</v>
      </c>
      <c r="AB113" s="50"/>
      <c r="AC113" s="50" t="s">
        <v>1034</v>
      </c>
      <c r="AD113" s="50"/>
      <c r="AE113" s="50" t="s">
        <v>1036</v>
      </c>
      <c r="AF113" s="50" t="s">
        <v>1038</v>
      </c>
      <c r="AG113" s="50"/>
      <c r="AH113" s="50"/>
      <c r="AI113" s="50"/>
      <c r="AJ113" s="50"/>
      <c r="AK113" s="50" t="s">
        <v>1674</v>
      </c>
      <c r="AL113" s="50" t="s">
        <v>1643</v>
      </c>
      <c r="AM113" s="50"/>
      <c r="AN113" s="50"/>
      <c r="AO113" s="50"/>
      <c r="AP113" s="50"/>
      <c r="AQ113" s="50"/>
      <c r="AR113" s="50"/>
      <c r="AS113" s="50"/>
      <c r="AT113" s="50" t="str">
        <f aca="false">IFERROR(IF(AND(AN113&gt;0,J113&gt;0),ROUND(J113*1000/(AN113*0.2),0),""),"")</f>
        <v/>
      </c>
      <c r="AU113" s="50" t="str">
        <f aca="false">IFERROR(IF(AND(AQ113&gt;0,M113&gt;0),ROUND(M113*1000/(AQ113*0.3),0),""),"")</f>
        <v/>
      </c>
      <c r="AV113" s="50" t="str">
        <f aca="false">IFERROR(IF(AND(AM113&gt;0,O113&gt;0),ROUND(O113*1000/(AM113*0.1),0),""),"")</f>
        <v/>
      </c>
      <c r="AW113" s="50" t="str">
        <f aca="false">IFERROR(IF(AND(AP113&gt;0,N113&gt;0),ROUND(N113*1000/(AP113*0.25),0),""),"")</f>
        <v/>
      </c>
      <c r="AX113" s="50" t="str">
        <f aca="false">IFERROR(IF(AND(AO113&gt;0,Q113&gt;0),ROUND(Q113*1000/(AO113*1),0),""),"")</f>
        <v/>
      </c>
      <c r="AY113" s="51" t="n">
        <f aca="false">IFERROR(ifs(I113="Tier S",0.65,I113="Tier 1",0.55,I113="Tier 2",0.45,I113="Tier 3",0.35,I113="Tier 4",0.25),0.35)</f>
        <v>0.35</v>
      </c>
      <c r="AZ113" s="52" t="n">
        <v>1</v>
      </c>
      <c r="BA113" s="52" t="n">
        <v>1</v>
      </c>
      <c r="BB113" s="52" t="n">
        <v>1</v>
      </c>
      <c r="BC113" s="53" t="n">
        <f aca="false">IFERROR(ROUND(S113*AY113*BA113*BB113*AZ113,0),0)</f>
        <v>8470</v>
      </c>
      <c r="BD113" s="39" t="str">
        <f aca="false">IF(COUNT(AM113,AN113,AO113,AP113,AQ113,AR113,AS113)&gt;0,"estimated","pending")</f>
        <v>pending</v>
      </c>
      <c r="BE113" s="50"/>
    </row>
    <row r="114" customFormat="false" ht="15" hidden="false" customHeight="true" outlineLevel="0" collapsed="false">
      <c r="B114" s="54" t="n">
        <f aca="false">IF($C114="","",COUNTA($C$6:C114))</f>
        <v>109</v>
      </c>
      <c r="C114" s="54" t="s">
        <v>1039</v>
      </c>
      <c r="D114" s="54" t="s">
        <v>208</v>
      </c>
      <c r="E114" s="54" t="s">
        <v>921</v>
      </c>
      <c r="F114" s="54" t="s">
        <v>1002</v>
      </c>
      <c r="G114" s="54" t="s">
        <v>1669</v>
      </c>
      <c r="H114" s="54" t="n">
        <v>2</v>
      </c>
      <c r="I114" s="55" t="s">
        <v>337</v>
      </c>
      <c r="J114" s="56" t="n">
        <v>11000</v>
      </c>
      <c r="K114" s="56" t="n">
        <v>4600</v>
      </c>
      <c r="L114" s="57" t="n">
        <f aca="false">IF(J114="","",ROUND(J114*0.17,0))</f>
        <v>1870</v>
      </c>
      <c r="M114" s="56" t="n">
        <v>8600</v>
      </c>
      <c r="N114" s="56" t="n">
        <v>3500</v>
      </c>
      <c r="O114" s="56" t="n">
        <v>2200</v>
      </c>
      <c r="P114" s="56" t="n">
        <v>2200</v>
      </c>
      <c r="Q114" s="56" t="n">
        <v>15950</v>
      </c>
      <c r="R114" s="56" t="n">
        <v>7150</v>
      </c>
      <c r="S114" s="57" t="n">
        <f aca="false">IF(J114="","",ROUND(J114*2.2,0))</f>
        <v>24200</v>
      </c>
      <c r="T114" s="56" t="n">
        <v>3850</v>
      </c>
      <c r="U114" s="56" t="n">
        <v>3300</v>
      </c>
      <c r="V114" s="56" t="n">
        <v>2000</v>
      </c>
      <c r="W114" s="56" t="n">
        <v>2400</v>
      </c>
      <c r="X114" s="54" t="s">
        <v>1428</v>
      </c>
      <c r="Y114" s="49" t="n">
        <v>0.3</v>
      </c>
      <c r="Z114" s="49" t="n">
        <v>1</v>
      </c>
      <c r="AA114" s="50" t="s">
        <v>1040</v>
      </c>
      <c r="AB114" s="50"/>
      <c r="AC114" s="50" t="s">
        <v>1042</v>
      </c>
      <c r="AD114" s="50"/>
      <c r="AE114" s="50"/>
      <c r="AF114" s="50" t="s">
        <v>1044</v>
      </c>
      <c r="AG114" s="50"/>
      <c r="AH114" s="50"/>
      <c r="AI114" s="50"/>
      <c r="AJ114" s="50"/>
      <c r="AK114" s="50" t="s">
        <v>1675</v>
      </c>
      <c r="AL114" s="50" t="s">
        <v>1625</v>
      </c>
      <c r="AM114" s="50"/>
      <c r="AN114" s="50"/>
      <c r="AO114" s="50"/>
      <c r="AP114" s="50"/>
      <c r="AQ114" s="50"/>
      <c r="AR114" s="50"/>
      <c r="AS114" s="50"/>
      <c r="AT114" s="50" t="str">
        <f aca="false">IFERROR(IF(AND(AN114&gt;0,J114&gt;0),ROUND(J114*1000/(AN114*0.2),0),""),"")</f>
        <v/>
      </c>
      <c r="AU114" s="50" t="str">
        <f aca="false">IFERROR(IF(AND(AQ114&gt;0,M114&gt;0),ROUND(M114*1000/(AQ114*0.3),0),""),"")</f>
        <v/>
      </c>
      <c r="AV114" s="50" t="str">
        <f aca="false">IFERROR(IF(AND(AM114&gt;0,O114&gt;0),ROUND(O114*1000/(AM114*0.1),0),""),"")</f>
        <v/>
      </c>
      <c r="AW114" s="50" t="str">
        <f aca="false">IFERROR(IF(AND(AP114&gt;0,N114&gt;0),ROUND(N114*1000/(AP114*0.25),0),""),"")</f>
        <v/>
      </c>
      <c r="AX114" s="50" t="str">
        <f aca="false">IFERROR(IF(AND(AO114&gt;0,Q114&gt;0),ROUND(Q114*1000/(AO114*1),0),""),"")</f>
        <v/>
      </c>
      <c r="AY114" s="51" t="n">
        <f aca="false">IFERROR(ifs(I114="Tier S",0.65,I114="Tier 1",0.55,I114="Tier 2",0.45,I114="Tier 3",0.35,I114="Tier 4",0.25),0.35)</f>
        <v>0.35</v>
      </c>
      <c r="AZ114" s="52" t="n">
        <v>1</v>
      </c>
      <c r="BA114" s="52" t="n">
        <v>1</v>
      </c>
      <c r="BB114" s="52" t="n">
        <v>1</v>
      </c>
      <c r="BC114" s="53" t="n">
        <f aca="false">IFERROR(ROUND(S114*AY114*BA114*BB114*AZ114,0),0)</f>
        <v>8470</v>
      </c>
      <c r="BD114" s="39" t="str">
        <f aca="false">IF(COUNT(AM114,AN114,AO114,AP114,AQ114,AR114,AS114)&gt;0,"estimated","pending")</f>
        <v>pending</v>
      </c>
      <c r="BE114" s="50"/>
    </row>
    <row r="115" customFormat="false" ht="15" hidden="false" customHeight="true" outlineLevel="0" collapsed="false">
      <c r="B115" s="62" t="n">
        <f aca="false">IF($C115="","",COUNTA($C$6:C115))</f>
        <v>110</v>
      </c>
      <c r="C115" s="62" t="s">
        <v>1676</v>
      </c>
      <c r="D115" s="62" t="s">
        <v>1478</v>
      </c>
      <c r="E115" s="62" t="s">
        <v>921</v>
      </c>
      <c r="F115" s="62" t="s">
        <v>1002</v>
      </c>
      <c r="G115" s="62" t="s">
        <v>1669</v>
      </c>
      <c r="H115" s="62" t="n">
        <v>2</v>
      </c>
      <c r="I115" s="63" t="s">
        <v>337</v>
      </c>
      <c r="J115" s="64" t="n">
        <v>11000</v>
      </c>
      <c r="K115" s="64" t="n">
        <v>4600</v>
      </c>
      <c r="L115" s="65" t="n">
        <f aca="false">IF(J115="","",ROUND(J115*0.17,0))</f>
        <v>1870</v>
      </c>
      <c r="M115" s="64" t="n">
        <v>8600</v>
      </c>
      <c r="N115" s="64" t="n">
        <v>3500</v>
      </c>
      <c r="O115" s="64" t="n">
        <v>2200</v>
      </c>
      <c r="P115" s="64" t="n">
        <v>0</v>
      </c>
      <c r="Q115" s="64" t="n">
        <v>15950</v>
      </c>
      <c r="R115" s="64" t="n">
        <v>7150</v>
      </c>
      <c r="S115" s="65" t="n">
        <f aca="false">IF(J115="","",ROUND(J115*2.2,0))</f>
        <v>24200</v>
      </c>
      <c r="T115" s="64" t="n">
        <v>3850</v>
      </c>
      <c r="U115" s="64" t="n">
        <v>3300</v>
      </c>
      <c r="V115" s="64" t="n">
        <v>2000</v>
      </c>
      <c r="W115" s="64" t="n">
        <v>0</v>
      </c>
      <c r="X115" s="62" t="s">
        <v>1428</v>
      </c>
      <c r="Y115" s="49" t="n">
        <v>0.3</v>
      </c>
      <c r="Z115" s="49" t="n">
        <v>1</v>
      </c>
      <c r="AA115" s="50" t="s">
        <v>1677</v>
      </c>
      <c r="AB115" s="50"/>
      <c r="AC115" s="50" t="s">
        <v>1678</v>
      </c>
      <c r="AD115" s="50"/>
      <c r="AE115" s="50"/>
      <c r="AF115" s="50" t="s">
        <v>1679</v>
      </c>
      <c r="AG115" s="50"/>
      <c r="AH115" s="50"/>
      <c r="AI115" s="50"/>
      <c r="AJ115" s="50"/>
      <c r="AK115" s="50" t="s">
        <v>1680</v>
      </c>
      <c r="AL115" s="50"/>
      <c r="AM115" s="50"/>
      <c r="AN115" s="50"/>
      <c r="AO115" s="50"/>
      <c r="AP115" s="50"/>
      <c r="AQ115" s="50"/>
      <c r="AR115" s="50"/>
      <c r="AS115" s="50"/>
      <c r="AT115" s="50" t="str">
        <f aca="false">IFERROR(IF(AND(AN115&gt;0,J115&gt;0),ROUND(J115*1000/(AN115*0.2),0),""),"")</f>
        <v/>
      </c>
      <c r="AU115" s="50" t="str">
        <f aca="false">IFERROR(IF(AND(AQ115&gt;0,M115&gt;0),ROUND(M115*1000/(AQ115*0.3),0),""),"")</f>
        <v/>
      </c>
      <c r="AV115" s="50" t="str">
        <f aca="false">IFERROR(IF(AND(AM115&gt;0,O115&gt;0),ROUND(O115*1000/(AM115*0.1),0),""),"")</f>
        <v/>
      </c>
      <c r="AW115" s="50" t="str">
        <f aca="false">IFERROR(IF(AND(AP115&gt;0,N115&gt;0),ROUND(N115*1000/(AP115*0.25),0),""),"")</f>
        <v/>
      </c>
      <c r="AX115" s="50" t="str">
        <f aca="false">IFERROR(IF(AND(AO115&gt;0,Q115&gt;0),ROUND(Q115*1000/(AO115*1),0),""),"")</f>
        <v/>
      </c>
      <c r="AY115" s="51" t="n">
        <f aca="false">IFERROR(ifs(I115="Tier S",0.65,I115="Tier 1",0.55,I115="Tier 2",0.45,I115="Tier 3",0.35,I115="Tier 4",0.25),0.35)</f>
        <v>0.35</v>
      </c>
      <c r="AZ115" s="52" t="n">
        <v>1</v>
      </c>
      <c r="BA115" s="52" t="n">
        <v>1</v>
      </c>
      <c r="BB115" s="52" t="n">
        <v>1</v>
      </c>
      <c r="BC115" s="53" t="n">
        <f aca="false">IFERROR(ROUND(S115*AY115*BA115*BB115*AZ115,0),0)</f>
        <v>8470</v>
      </c>
      <c r="BD115" s="39" t="str">
        <f aca="false">IF(COUNT(AM115,AN115,AO115,AP115,AQ115,AR115,AS115)&gt;0,"estimated","pending")</f>
        <v>pending</v>
      </c>
      <c r="BE115" s="50"/>
    </row>
    <row r="116" customFormat="false" ht="15" hidden="false" customHeight="true" outlineLevel="0" collapsed="false">
      <c r="B116" s="66" t="n">
        <f aca="false">IF($C116="","",COUNTA($C$6:C116))</f>
        <v>111</v>
      </c>
      <c r="C116" s="66" t="s">
        <v>1681</v>
      </c>
      <c r="D116" s="66" t="s">
        <v>1533</v>
      </c>
      <c r="E116" s="66" t="s">
        <v>921</v>
      </c>
      <c r="F116" s="66" t="s">
        <v>1002</v>
      </c>
      <c r="G116" s="66" t="s">
        <v>1669</v>
      </c>
      <c r="H116" s="66" t="n">
        <v>3</v>
      </c>
      <c r="I116" s="67" t="s">
        <v>337</v>
      </c>
      <c r="J116" s="68" t="n">
        <v>0</v>
      </c>
      <c r="K116" s="68" t="n">
        <v>0</v>
      </c>
      <c r="L116" s="69" t="n">
        <f aca="false">IF(J116="","",ROUND(J116*0.17,0))</f>
        <v>0</v>
      </c>
      <c r="M116" s="68" t="n">
        <v>0</v>
      </c>
      <c r="N116" s="68" t="n">
        <v>0</v>
      </c>
      <c r="O116" s="68" t="n">
        <v>0</v>
      </c>
      <c r="P116" s="68" t="n">
        <v>0</v>
      </c>
      <c r="Q116" s="68" t="n">
        <v>0</v>
      </c>
      <c r="R116" s="68" t="n">
        <v>0</v>
      </c>
      <c r="S116" s="69" t="n">
        <f aca="false">IF(J116="","",ROUND(J116*2.2,0))</f>
        <v>0</v>
      </c>
      <c r="T116" s="68" t="n">
        <v>0</v>
      </c>
      <c r="U116" s="68" t="n">
        <v>0</v>
      </c>
      <c r="V116" s="68" t="n">
        <v>1200</v>
      </c>
      <c r="W116" s="68" t="n">
        <v>0</v>
      </c>
      <c r="X116" s="66" t="s">
        <v>1383</v>
      </c>
      <c r="Y116" s="49" t="n">
        <v>0.3</v>
      </c>
      <c r="Z116" s="49" t="n">
        <v>1</v>
      </c>
      <c r="AA116" s="50" t="s">
        <v>1682</v>
      </c>
      <c r="AB116" s="50"/>
      <c r="AC116" s="50" t="s">
        <v>1683</v>
      </c>
      <c r="AD116" s="50"/>
      <c r="AE116" s="50" t="s">
        <v>1684</v>
      </c>
      <c r="AF116" s="50" t="s">
        <v>1685</v>
      </c>
      <c r="AG116" s="50"/>
      <c r="AH116" s="50"/>
      <c r="AI116" s="50"/>
      <c r="AJ116" s="50"/>
      <c r="AK116" s="50" t="s">
        <v>1559</v>
      </c>
      <c r="AL116" s="50"/>
      <c r="AM116" s="50"/>
      <c r="AN116" s="50"/>
      <c r="AO116" s="50"/>
      <c r="AP116" s="50"/>
      <c r="AQ116" s="50"/>
      <c r="AR116" s="50"/>
      <c r="AS116" s="50"/>
      <c r="AT116" s="50" t="str">
        <f aca="false">IFERROR(IF(AND(AN116&gt;0,J116&gt;0),ROUND(J116*1000/(AN116*0.2),0),""),"")</f>
        <v/>
      </c>
      <c r="AU116" s="50" t="str">
        <f aca="false">IFERROR(IF(AND(AQ116&gt;0,M116&gt;0),ROUND(M116*1000/(AQ116*0.3),0),""),"")</f>
        <v/>
      </c>
      <c r="AV116" s="50" t="str">
        <f aca="false">IFERROR(IF(AND(AM116&gt;0,O116&gt;0),ROUND(O116*1000/(AM116*0.1),0),""),"")</f>
        <v/>
      </c>
      <c r="AW116" s="50" t="str">
        <f aca="false">IFERROR(IF(AND(AP116&gt;0,N116&gt;0),ROUND(N116*1000/(AP116*0.25),0),""),"")</f>
        <v/>
      </c>
      <c r="AX116" s="50" t="str">
        <f aca="false">IFERROR(IF(AND(AO116&gt;0,Q116&gt;0),ROUND(Q116*1000/(AO116*1),0),""),"")</f>
        <v/>
      </c>
      <c r="AY116" s="51" t="n">
        <f aca="false">IFERROR(ifs(I116="Tier S",0.65,I116="Tier 1",0.55,I116="Tier 2",0.45,I116="Tier 3",0.35,I116="Tier 4",0.25),0.35)</f>
        <v>0.35</v>
      </c>
      <c r="AZ116" s="52" t="n">
        <v>1</v>
      </c>
      <c r="BA116" s="52" t="n">
        <v>1</v>
      </c>
      <c r="BB116" s="52" t="n">
        <v>1</v>
      </c>
      <c r="BC116" s="53" t="n">
        <f aca="false">IFERROR(ROUND(S116*AY116*BA116*BB116*AZ116,0),0)</f>
        <v>0</v>
      </c>
      <c r="BD116" s="39" t="str">
        <f aca="false">IF(COUNT(AM116,AN116,AO116,AP116,AQ116,AR116,AS116)&gt;0,"estimated","pending")</f>
        <v>pending</v>
      </c>
      <c r="BE116" s="50"/>
    </row>
    <row r="117" customFormat="false" ht="15" hidden="false" customHeight="true" outlineLevel="0" collapsed="false">
      <c r="B117" s="58" t="n">
        <f aca="false">IF($C117="","",COUNTA($C$6:C117))</f>
        <v>112</v>
      </c>
      <c r="C117" s="58" t="s">
        <v>1686</v>
      </c>
      <c r="D117" s="58" t="s">
        <v>1439</v>
      </c>
      <c r="E117" s="58" t="s">
        <v>921</v>
      </c>
      <c r="F117" s="58" t="s">
        <v>933</v>
      </c>
      <c r="G117" s="58" t="s">
        <v>1621</v>
      </c>
      <c r="H117" s="58" t="n">
        <v>0</v>
      </c>
      <c r="I117" s="59" t="s">
        <v>1357</v>
      </c>
      <c r="J117" s="60" t="n">
        <v>0</v>
      </c>
      <c r="K117" s="60" t="n">
        <v>0</v>
      </c>
      <c r="L117" s="61" t="n">
        <f aca="false">IF(J117="","",ROUND(J117*0.17,0))</f>
        <v>0</v>
      </c>
      <c r="M117" s="60" t="n">
        <v>0</v>
      </c>
      <c r="N117" s="60" t="n">
        <v>0</v>
      </c>
      <c r="O117" s="60" t="n">
        <v>0</v>
      </c>
      <c r="P117" s="60" t="n">
        <v>0</v>
      </c>
      <c r="Q117" s="60" t="n">
        <v>0</v>
      </c>
      <c r="R117" s="60" t="n">
        <v>0</v>
      </c>
      <c r="S117" s="61" t="n">
        <f aca="false">IF(J117="","",ROUND(J117*2.2,0))</f>
        <v>0</v>
      </c>
      <c r="T117" s="60" t="n">
        <v>0</v>
      </c>
      <c r="U117" s="60" t="n">
        <v>0</v>
      </c>
      <c r="V117" s="60" t="n">
        <v>600</v>
      </c>
      <c r="W117" s="60" t="n">
        <v>0</v>
      </c>
      <c r="X117" s="58" t="s">
        <v>1451</v>
      </c>
      <c r="Y117" s="49" t="n">
        <v>0.3</v>
      </c>
      <c r="Z117" s="49" t="n">
        <v>1</v>
      </c>
      <c r="AA117" s="50" t="s">
        <v>1687</v>
      </c>
      <c r="AB117" s="50"/>
      <c r="AC117" s="50"/>
      <c r="AD117" s="50"/>
      <c r="AE117" s="50"/>
      <c r="AF117" s="50"/>
      <c r="AG117" s="50"/>
      <c r="AH117" s="50"/>
      <c r="AI117" s="50"/>
      <c r="AJ117" s="50"/>
      <c r="AK117" s="50" t="s">
        <v>1688</v>
      </c>
      <c r="AL117" s="50"/>
      <c r="AM117" s="50"/>
      <c r="AN117" s="50"/>
      <c r="AO117" s="50"/>
      <c r="AP117" s="50"/>
      <c r="AQ117" s="50"/>
      <c r="AR117" s="50"/>
      <c r="AS117" s="50"/>
      <c r="AT117" s="50" t="str">
        <f aca="false">IFERROR(IF(AND(AN117&gt;0,J117&gt;0),ROUND(J117*1000/(AN117*0.2),0),""),"")</f>
        <v/>
      </c>
      <c r="AU117" s="50" t="str">
        <f aca="false">IFERROR(IF(AND(AQ117&gt;0,M117&gt;0),ROUND(M117*1000/(AQ117*0.3),0),""),"")</f>
        <v/>
      </c>
      <c r="AV117" s="50" t="str">
        <f aca="false">IFERROR(IF(AND(AM117&gt;0,O117&gt;0),ROUND(O117*1000/(AM117*0.1),0),""),"")</f>
        <v/>
      </c>
      <c r="AW117" s="50" t="str">
        <f aca="false">IFERROR(IF(AND(AP117&gt;0,N117&gt;0),ROUND(N117*1000/(AP117*0.25),0),""),"")</f>
        <v/>
      </c>
      <c r="AX117" s="50" t="str">
        <f aca="false">IFERROR(IF(AND(AO117&gt;0,Q117&gt;0),ROUND(Q117*1000/(AO117*1),0),""),"")</f>
        <v/>
      </c>
      <c r="AY117" s="51" t="n">
        <f aca="false">IFERROR(ifs(I117="Tier S",0.65,I117="Tier 1",0.55,I117="Tier 2",0.45,I117="Tier 3",0.35,I117="Tier 4",0.25),0.35)</f>
        <v>0.35</v>
      </c>
      <c r="AZ117" s="52" t="n">
        <v>1</v>
      </c>
      <c r="BA117" s="52" t="n">
        <v>1</v>
      </c>
      <c r="BB117" s="52" t="n">
        <v>1</v>
      </c>
      <c r="BC117" s="53" t="n">
        <f aca="false">IFERROR(ROUND(S117*AY117*BA117*BB117*AZ117,0),0)</f>
        <v>0</v>
      </c>
      <c r="BD117" s="39" t="str">
        <f aca="false">IF(COUNT(AM117,AN117,AO117,AP117,AQ117,AR117,AS117)&gt;0,"estimated","pending")</f>
        <v>pending</v>
      </c>
      <c r="BE117" s="50"/>
    </row>
    <row r="118" customFormat="false" ht="15" hidden="false" customHeight="true" outlineLevel="0" collapsed="false">
      <c r="B118" s="58" t="n">
        <f aca="false">IF($C118="","",COUNTA($C$6:C118))</f>
        <v>113</v>
      </c>
      <c r="C118" s="58" t="s">
        <v>1689</v>
      </c>
      <c r="D118" s="58" t="s">
        <v>1439</v>
      </c>
      <c r="E118" s="58" t="s">
        <v>921</v>
      </c>
      <c r="F118" s="58" t="s">
        <v>1002</v>
      </c>
      <c r="G118" s="58" t="s">
        <v>1669</v>
      </c>
      <c r="H118" s="58" t="n">
        <v>5</v>
      </c>
      <c r="I118" s="59" t="s">
        <v>269</v>
      </c>
      <c r="J118" s="60" t="n">
        <v>0</v>
      </c>
      <c r="K118" s="60" t="n">
        <v>0</v>
      </c>
      <c r="L118" s="61" t="n">
        <f aca="false">IF(J118="","",ROUND(J118*0.17,0))</f>
        <v>0</v>
      </c>
      <c r="M118" s="60" t="n">
        <v>0</v>
      </c>
      <c r="N118" s="60" t="n">
        <v>0</v>
      </c>
      <c r="O118" s="60" t="n">
        <v>0</v>
      </c>
      <c r="P118" s="60" t="n">
        <v>0</v>
      </c>
      <c r="Q118" s="60" t="n">
        <v>0</v>
      </c>
      <c r="R118" s="60" t="n">
        <v>0</v>
      </c>
      <c r="S118" s="61" t="n">
        <f aca="false">IF(J118="","",ROUND(J118*2.2,0))</f>
        <v>0</v>
      </c>
      <c r="T118" s="60" t="n">
        <v>0</v>
      </c>
      <c r="U118" s="60" t="n">
        <v>0</v>
      </c>
      <c r="V118" s="60" t="n">
        <v>2000</v>
      </c>
      <c r="W118" s="60" t="n">
        <v>0</v>
      </c>
      <c r="X118" s="58" t="s">
        <v>1393</v>
      </c>
      <c r="Y118" s="49" t="n">
        <v>0.3</v>
      </c>
      <c r="Z118" s="49" t="n">
        <v>1</v>
      </c>
      <c r="AA118" s="50" t="s">
        <v>1690</v>
      </c>
      <c r="AB118" s="50" t="s">
        <v>1691</v>
      </c>
      <c r="AC118" s="50" t="s">
        <v>1692</v>
      </c>
      <c r="AD118" s="50"/>
      <c r="AE118" s="50" t="s">
        <v>1693</v>
      </c>
      <c r="AF118" s="50" t="s">
        <v>1694</v>
      </c>
      <c r="AG118" s="50"/>
      <c r="AH118" s="50" t="s">
        <v>1695</v>
      </c>
      <c r="AI118" s="50"/>
      <c r="AJ118" s="50"/>
      <c r="AK118" s="50" t="s">
        <v>1696</v>
      </c>
      <c r="AL118" s="50"/>
      <c r="AM118" s="50"/>
      <c r="AN118" s="50"/>
      <c r="AO118" s="50"/>
      <c r="AP118" s="50"/>
      <c r="AQ118" s="50"/>
      <c r="AR118" s="50"/>
      <c r="AS118" s="50"/>
      <c r="AT118" s="50" t="str">
        <f aca="false">IFERROR(IF(AND(AN118&gt;0,J118&gt;0),ROUND(J118*1000/(AN118*0.2),0),""),"")</f>
        <v/>
      </c>
      <c r="AU118" s="50" t="str">
        <f aca="false">IFERROR(IF(AND(AQ118&gt;0,M118&gt;0),ROUND(M118*1000/(AQ118*0.3),0),""),"")</f>
        <v/>
      </c>
      <c r="AV118" s="50" t="str">
        <f aca="false">IFERROR(IF(AND(AM118&gt;0,O118&gt;0),ROUND(O118*1000/(AM118*0.1),0),""),"")</f>
        <v/>
      </c>
      <c r="AW118" s="50" t="str">
        <f aca="false">IFERROR(IF(AND(AP118&gt;0,N118&gt;0),ROUND(N118*1000/(AP118*0.25),0),""),"")</f>
        <v/>
      </c>
      <c r="AX118" s="50" t="str">
        <f aca="false">IFERROR(IF(AND(AO118&gt;0,Q118&gt;0),ROUND(Q118*1000/(AO118*1),0),""),"")</f>
        <v/>
      </c>
      <c r="AY118" s="51" t="n">
        <f aca="false">IFERROR(ifs(I118="Tier S",0.65,I118="Tier 1",0.55,I118="Tier 2",0.45,I118="Tier 3",0.35,I118="Tier 4",0.25),0.35)</f>
        <v>0.35</v>
      </c>
      <c r="AZ118" s="52" t="n">
        <v>1</v>
      </c>
      <c r="BA118" s="52" t="n">
        <v>1</v>
      </c>
      <c r="BB118" s="52" t="n">
        <v>1</v>
      </c>
      <c r="BC118" s="53" t="n">
        <f aca="false">IFERROR(ROUND(S118*AY118*BA118*BB118*AZ118,0),0)</f>
        <v>0</v>
      </c>
      <c r="BD118" s="39" t="str">
        <f aca="false">IF(COUNT(AM118,AN118,AO118,AP118,AQ118,AR118,AS118)&gt;0,"estimated","pending")</f>
        <v>pending</v>
      </c>
      <c r="BE118" s="50"/>
    </row>
    <row r="119" customFormat="false" ht="15" hidden="false" customHeight="true" outlineLevel="0" collapsed="false">
      <c r="B119" s="54" t="n">
        <f aca="false">IF($C119="","",COUNTA($C$6:C119))</f>
        <v>114</v>
      </c>
      <c r="C119" s="54" t="s">
        <v>1046</v>
      </c>
      <c r="D119" s="54" t="s">
        <v>208</v>
      </c>
      <c r="E119" s="54" t="s">
        <v>1045</v>
      </c>
      <c r="F119" s="54" t="s">
        <v>128</v>
      </c>
      <c r="G119" s="54" t="s">
        <v>1580</v>
      </c>
      <c r="H119" s="54" t="n">
        <v>2</v>
      </c>
      <c r="I119" s="55" t="s">
        <v>337</v>
      </c>
      <c r="J119" s="56" t="n">
        <v>11250</v>
      </c>
      <c r="K119" s="56" t="n">
        <v>4500</v>
      </c>
      <c r="L119" s="57" t="n">
        <f aca="false">IF(J119="","",ROUND(J119*0.17,0))</f>
        <v>1913</v>
      </c>
      <c r="M119" s="56" t="n">
        <v>8000</v>
      </c>
      <c r="N119" s="56" t="n">
        <v>3500</v>
      </c>
      <c r="O119" s="56" t="n">
        <v>2000</v>
      </c>
      <c r="P119" s="56" t="n">
        <v>2000</v>
      </c>
      <c r="Q119" s="56" t="n">
        <v>13500</v>
      </c>
      <c r="R119" s="56" t="n">
        <v>6075</v>
      </c>
      <c r="S119" s="57" t="n">
        <f aca="false">IF(J119="","",ROUND(J119*2.2,0))</f>
        <v>24750</v>
      </c>
      <c r="T119" s="56" t="n">
        <v>4638</v>
      </c>
      <c r="U119" s="56" t="n">
        <v>4063</v>
      </c>
      <c r="V119" s="56" t="n">
        <v>2438</v>
      </c>
      <c r="W119" s="56" t="n">
        <v>2400</v>
      </c>
      <c r="X119" s="54" t="s">
        <v>1428</v>
      </c>
      <c r="Y119" s="49" t="n">
        <v>0.75</v>
      </c>
      <c r="Z119" s="49" t="n">
        <v>1</v>
      </c>
      <c r="AA119" s="50" t="s">
        <v>1047</v>
      </c>
      <c r="AB119" s="50" t="s">
        <v>1049</v>
      </c>
      <c r="AC119" s="50"/>
      <c r="AD119" s="50" t="s">
        <v>1051</v>
      </c>
      <c r="AE119" s="50"/>
      <c r="AF119" s="50"/>
      <c r="AG119" s="50"/>
      <c r="AH119" s="50"/>
      <c r="AI119" s="50"/>
      <c r="AJ119" s="50"/>
      <c r="AK119" s="50" t="s">
        <v>1697</v>
      </c>
      <c r="AL119" s="50" t="s">
        <v>1698</v>
      </c>
      <c r="AM119" s="50"/>
      <c r="AN119" s="50"/>
      <c r="AO119" s="50"/>
      <c r="AP119" s="50"/>
      <c r="AQ119" s="50"/>
      <c r="AR119" s="50"/>
      <c r="AS119" s="50"/>
      <c r="AT119" s="50" t="str">
        <f aca="false">IFERROR(IF(AND(AN119&gt;0,J119&gt;0),ROUND(J119*1000/(AN119*0.2),0),""),"")</f>
        <v/>
      </c>
      <c r="AU119" s="50" t="str">
        <f aca="false">IFERROR(IF(AND(AQ119&gt;0,M119&gt;0),ROUND(M119*1000/(AQ119*0.3),0),""),"")</f>
        <v/>
      </c>
      <c r="AV119" s="50" t="str">
        <f aca="false">IFERROR(IF(AND(AM119&gt;0,O119&gt;0),ROUND(O119*1000/(AM119*0.1),0),""),"")</f>
        <v/>
      </c>
      <c r="AW119" s="50" t="str">
        <f aca="false">IFERROR(IF(AND(AP119&gt;0,N119&gt;0),ROUND(N119*1000/(AP119*0.25),0),""),"")</f>
        <v/>
      </c>
      <c r="AX119" s="50" t="str">
        <f aca="false">IFERROR(IF(AND(AO119&gt;0,Q119&gt;0),ROUND(Q119*1000/(AO119*1),0),""),"")</f>
        <v/>
      </c>
      <c r="AY119" s="51" t="n">
        <f aca="false">IFERROR(ifs(I119="Tier S",0.65,I119="Tier 1",0.55,I119="Tier 2",0.45,I119="Tier 3",0.35,I119="Tier 4",0.25),0.35)</f>
        <v>0.35</v>
      </c>
      <c r="AZ119" s="52" t="n">
        <v>1</v>
      </c>
      <c r="BA119" s="52" t="n">
        <v>1</v>
      </c>
      <c r="BB119" s="52" t="n">
        <v>1</v>
      </c>
      <c r="BC119" s="53" t="n">
        <f aca="false">IFERROR(ROUND(S119*AY119*BA119*BB119*AZ119,0),0)</f>
        <v>8663</v>
      </c>
      <c r="BD119" s="39" t="str">
        <f aca="false">IF(COUNT(AM119,AN119,AO119,AP119,AQ119,AR119,AS119)&gt;0,"estimated","pending")</f>
        <v>pending</v>
      </c>
      <c r="BE119" s="50"/>
    </row>
    <row r="120" customFormat="false" ht="15" hidden="false" customHeight="true" outlineLevel="0" collapsed="false">
      <c r="B120" s="54" t="n">
        <f aca="false">IF($C120="","",COUNTA($C$6:C120))</f>
        <v>115</v>
      </c>
      <c r="C120" s="54" t="s">
        <v>1052</v>
      </c>
      <c r="D120" s="54" t="s">
        <v>208</v>
      </c>
      <c r="E120" s="54" t="s">
        <v>1045</v>
      </c>
      <c r="F120" s="54" t="s">
        <v>128</v>
      </c>
      <c r="G120" s="54" t="s">
        <v>1580</v>
      </c>
      <c r="H120" s="54" t="n">
        <v>3</v>
      </c>
      <c r="I120" s="55" t="s">
        <v>337</v>
      </c>
      <c r="J120" s="56" t="n">
        <v>11000</v>
      </c>
      <c r="K120" s="56" t="n">
        <v>4600</v>
      </c>
      <c r="L120" s="57" t="n">
        <f aca="false">IF(J120="","",ROUND(J120*0.17,0))</f>
        <v>1870</v>
      </c>
      <c r="M120" s="56" t="n">
        <v>8600</v>
      </c>
      <c r="N120" s="56" t="n">
        <v>3500</v>
      </c>
      <c r="O120" s="56" t="n">
        <v>2200</v>
      </c>
      <c r="P120" s="56" t="n">
        <v>2200</v>
      </c>
      <c r="Q120" s="56" t="n">
        <v>15950</v>
      </c>
      <c r="R120" s="56" t="n">
        <v>7150</v>
      </c>
      <c r="S120" s="57" t="n">
        <f aca="false">IF(J120="","",ROUND(J120*2.2,0))</f>
        <v>24200</v>
      </c>
      <c r="T120" s="56" t="n">
        <v>3850</v>
      </c>
      <c r="U120" s="56" t="n">
        <v>3300</v>
      </c>
      <c r="V120" s="56" t="n">
        <v>2000</v>
      </c>
      <c r="W120" s="56" t="n">
        <v>2400</v>
      </c>
      <c r="X120" s="54" t="s">
        <v>1383</v>
      </c>
      <c r="Y120" s="49" t="n">
        <v>0.75</v>
      </c>
      <c r="Z120" s="49" t="n">
        <v>1</v>
      </c>
      <c r="AA120" s="50" t="s">
        <v>1053</v>
      </c>
      <c r="AB120" s="50" t="s">
        <v>1055</v>
      </c>
      <c r="AC120" s="50"/>
      <c r="AD120" s="50" t="s">
        <v>1056</v>
      </c>
      <c r="AE120" s="50" t="s">
        <v>1058</v>
      </c>
      <c r="AF120" s="50"/>
      <c r="AG120" s="50"/>
      <c r="AH120" s="50"/>
      <c r="AI120" s="50"/>
      <c r="AJ120" s="50"/>
      <c r="AK120" s="50" t="s">
        <v>1699</v>
      </c>
      <c r="AL120" s="50" t="s">
        <v>1698</v>
      </c>
      <c r="AM120" s="50"/>
      <c r="AN120" s="50"/>
      <c r="AO120" s="50"/>
      <c r="AP120" s="50"/>
      <c r="AQ120" s="50"/>
      <c r="AR120" s="50"/>
      <c r="AS120" s="50"/>
      <c r="AT120" s="50" t="str">
        <f aca="false">IFERROR(IF(AND(AN120&gt;0,J120&gt;0),ROUND(J120*1000/(AN120*0.2),0),""),"")</f>
        <v/>
      </c>
      <c r="AU120" s="50" t="str">
        <f aca="false">IFERROR(IF(AND(AQ120&gt;0,M120&gt;0),ROUND(M120*1000/(AQ120*0.3),0),""),"")</f>
        <v/>
      </c>
      <c r="AV120" s="50" t="str">
        <f aca="false">IFERROR(IF(AND(AM120&gt;0,O120&gt;0),ROUND(O120*1000/(AM120*0.1),0),""),"")</f>
        <v/>
      </c>
      <c r="AW120" s="50" t="str">
        <f aca="false">IFERROR(IF(AND(AP120&gt;0,N120&gt;0),ROUND(N120*1000/(AP120*0.25),0),""),"")</f>
        <v/>
      </c>
      <c r="AX120" s="50" t="str">
        <f aca="false">IFERROR(IF(AND(AO120&gt;0,Q120&gt;0),ROUND(Q120*1000/(AO120*1),0),""),"")</f>
        <v/>
      </c>
      <c r="AY120" s="51" t="n">
        <f aca="false">IFERROR(ifs(I120="Tier S",0.65,I120="Tier 1",0.55,I120="Tier 2",0.45,I120="Tier 3",0.35,I120="Tier 4",0.25),0.35)</f>
        <v>0.35</v>
      </c>
      <c r="AZ120" s="52" t="n">
        <v>1</v>
      </c>
      <c r="BA120" s="52" t="n">
        <v>1</v>
      </c>
      <c r="BB120" s="52" t="n">
        <v>1</v>
      </c>
      <c r="BC120" s="53" t="n">
        <f aca="false">IFERROR(ROUND(S120*AY120*BA120*BB120*AZ120,0),0)</f>
        <v>8470</v>
      </c>
      <c r="BD120" s="39" t="str">
        <f aca="false">IF(COUNT(AM120,AN120,AO120,AP120,AQ120,AR120,AS120)&gt;0,"estimated","pending")</f>
        <v>pending</v>
      </c>
      <c r="BE120" s="50"/>
    </row>
    <row r="121" customFormat="false" ht="15" hidden="false" customHeight="true" outlineLevel="0" collapsed="false">
      <c r="B121" s="54" t="n">
        <f aca="false">IF($C121="","",COUNTA($C$6:C121))</f>
        <v>116</v>
      </c>
      <c r="C121" s="54" t="s">
        <v>1059</v>
      </c>
      <c r="D121" s="54" t="s">
        <v>208</v>
      </c>
      <c r="E121" s="54" t="s">
        <v>1045</v>
      </c>
      <c r="F121" s="54" t="s">
        <v>128</v>
      </c>
      <c r="G121" s="54" t="s">
        <v>1580</v>
      </c>
      <c r="H121" s="54" t="n">
        <v>2</v>
      </c>
      <c r="I121" s="55" t="s">
        <v>337</v>
      </c>
      <c r="J121" s="56" t="n">
        <v>11000</v>
      </c>
      <c r="K121" s="56" t="n">
        <v>4600</v>
      </c>
      <c r="L121" s="57" t="n">
        <f aca="false">IF(J121="","",ROUND(J121*0.17,0))</f>
        <v>1870</v>
      </c>
      <c r="M121" s="56" t="n">
        <v>8600</v>
      </c>
      <c r="N121" s="56" t="n">
        <v>3500</v>
      </c>
      <c r="O121" s="56" t="n">
        <v>2200</v>
      </c>
      <c r="P121" s="56" t="n">
        <v>2200</v>
      </c>
      <c r="Q121" s="56" t="n">
        <v>15950</v>
      </c>
      <c r="R121" s="56" t="n">
        <v>7150</v>
      </c>
      <c r="S121" s="57" t="n">
        <f aca="false">IF(J121="","",ROUND(J121*2.2,0))</f>
        <v>24200</v>
      </c>
      <c r="T121" s="56" t="n">
        <v>3850</v>
      </c>
      <c r="U121" s="56" t="n">
        <v>3300</v>
      </c>
      <c r="V121" s="56" t="n">
        <v>2000</v>
      </c>
      <c r="W121" s="56" t="n">
        <v>2400</v>
      </c>
      <c r="X121" s="54" t="s">
        <v>1428</v>
      </c>
      <c r="Y121" s="49" t="n">
        <v>0.75</v>
      </c>
      <c r="Z121" s="49" t="n">
        <v>1</v>
      </c>
      <c r="AA121" s="50" t="s">
        <v>1060</v>
      </c>
      <c r="AB121" s="50" t="s">
        <v>1062</v>
      </c>
      <c r="AC121" s="50"/>
      <c r="AD121" s="50" t="s">
        <v>1064</v>
      </c>
      <c r="AE121" s="50"/>
      <c r="AF121" s="50"/>
      <c r="AG121" s="50"/>
      <c r="AH121" s="50"/>
      <c r="AI121" s="50"/>
      <c r="AJ121" s="50"/>
      <c r="AK121" s="50" t="s">
        <v>1700</v>
      </c>
      <c r="AL121" s="50" t="s">
        <v>1701</v>
      </c>
      <c r="AM121" s="50"/>
      <c r="AN121" s="50"/>
      <c r="AO121" s="50"/>
      <c r="AP121" s="50"/>
      <c r="AQ121" s="50"/>
      <c r="AR121" s="50"/>
      <c r="AS121" s="50"/>
      <c r="AT121" s="50" t="str">
        <f aca="false">IFERROR(IF(AND(AN121&gt;0,J121&gt;0),ROUND(J121*1000/(AN121*0.2),0),""),"")</f>
        <v/>
      </c>
      <c r="AU121" s="50" t="str">
        <f aca="false">IFERROR(IF(AND(AQ121&gt;0,M121&gt;0),ROUND(M121*1000/(AQ121*0.3),0),""),"")</f>
        <v/>
      </c>
      <c r="AV121" s="50" t="str">
        <f aca="false">IFERROR(IF(AND(AM121&gt;0,O121&gt;0),ROUND(O121*1000/(AM121*0.1),0),""),"")</f>
        <v/>
      </c>
      <c r="AW121" s="50" t="str">
        <f aca="false">IFERROR(IF(AND(AP121&gt;0,N121&gt;0),ROUND(N121*1000/(AP121*0.25),0),""),"")</f>
        <v/>
      </c>
      <c r="AX121" s="50" t="str">
        <f aca="false">IFERROR(IF(AND(AO121&gt;0,Q121&gt;0),ROUND(Q121*1000/(AO121*1),0),""),"")</f>
        <v/>
      </c>
      <c r="AY121" s="51" t="n">
        <f aca="false">IFERROR(ifs(I121="Tier S",0.65,I121="Tier 1",0.55,I121="Tier 2",0.45,I121="Tier 3",0.35,I121="Tier 4",0.25),0.35)</f>
        <v>0.35</v>
      </c>
      <c r="AZ121" s="52" t="n">
        <v>1</v>
      </c>
      <c r="BA121" s="52" t="n">
        <v>1</v>
      </c>
      <c r="BB121" s="52" t="n">
        <v>1</v>
      </c>
      <c r="BC121" s="53" t="n">
        <f aca="false">IFERROR(ROUND(S121*AY121*BA121*BB121*AZ121,0),0)</f>
        <v>8470</v>
      </c>
      <c r="BD121" s="39" t="str">
        <f aca="false">IF(COUNT(AM121,AN121,AO121,AP121,AQ121,AR121,AS121)&gt;0,"estimated","pending")</f>
        <v>pending</v>
      </c>
      <c r="BE121" s="50"/>
    </row>
    <row r="122" customFormat="false" ht="15" hidden="false" customHeight="true" outlineLevel="0" collapsed="false">
      <c r="B122" s="58" t="n">
        <f aca="false">IF($C122="","",COUNTA($C$6:C122))</f>
        <v>117</v>
      </c>
      <c r="C122" s="58" t="s">
        <v>1702</v>
      </c>
      <c r="D122" s="58" t="s">
        <v>1439</v>
      </c>
      <c r="E122" s="58" t="s">
        <v>1045</v>
      </c>
      <c r="F122" s="58" t="s">
        <v>128</v>
      </c>
      <c r="G122" s="58" t="s">
        <v>1580</v>
      </c>
      <c r="H122" s="58" t="n">
        <v>2</v>
      </c>
      <c r="I122" s="59" t="s">
        <v>337</v>
      </c>
      <c r="J122" s="60" t="n">
        <v>11000</v>
      </c>
      <c r="K122" s="60" t="n">
        <v>4600</v>
      </c>
      <c r="L122" s="61" t="n">
        <f aca="false">IF(J122="","",ROUND(J122*0.17,0))</f>
        <v>1870</v>
      </c>
      <c r="M122" s="60" t="n">
        <v>8600</v>
      </c>
      <c r="N122" s="60" t="n">
        <v>3500</v>
      </c>
      <c r="O122" s="60" t="n">
        <v>2200</v>
      </c>
      <c r="P122" s="60" t="n">
        <v>0</v>
      </c>
      <c r="Q122" s="60" t="n">
        <v>15950</v>
      </c>
      <c r="R122" s="60" t="n">
        <v>7150</v>
      </c>
      <c r="S122" s="61" t="n">
        <f aca="false">IF(J122="","",ROUND(J122*2.2,0))</f>
        <v>24200</v>
      </c>
      <c r="T122" s="60" t="n">
        <v>3850</v>
      </c>
      <c r="U122" s="60" t="n">
        <v>3300</v>
      </c>
      <c r="V122" s="60" t="n">
        <v>2000</v>
      </c>
      <c r="W122" s="60" t="n">
        <v>0</v>
      </c>
      <c r="X122" s="58" t="s">
        <v>1428</v>
      </c>
      <c r="Y122" s="49" t="n">
        <v>0.3</v>
      </c>
      <c r="Z122" s="49" t="n">
        <v>1</v>
      </c>
      <c r="AA122" s="50" t="s">
        <v>1703</v>
      </c>
      <c r="AB122" s="50" t="s">
        <v>1704</v>
      </c>
      <c r="AC122" s="50" t="s">
        <v>1705</v>
      </c>
      <c r="AD122" s="50"/>
      <c r="AE122" s="50"/>
      <c r="AF122" s="50"/>
      <c r="AG122" s="50"/>
      <c r="AH122" s="50"/>
      <c r="AI122" s="50"/>
      <c r="AJ122" s="50"/>
      <c r="AK122" s="50" t="s">
        <v>1706</v>
      </c>
      <c r="AL122" s="50"/>
      <c r="AM122" s="50"/>
      <c r="AN122" s="50"/>
      <c r="AO122" s="50"/>
      <c r="AP122" s="50"/>
      <c r="AQ122" s="50"/>
      <c r="AR122" s="50"/>
      <c r="AS122" s="50"/>
      <c r="AT122" s="50" t="str">
        <f aca="false">IFERROR(IF(AND(AN122&gt;0,J122&gt;0),ROUND(J122*1000/(AN122*0.2),0),""),"")</f>
        <v/>
      </c>
      <c r="AU122" s="50" t="str">
        <f aca="false">IFERROR(IF(AND(AQ122&gt;0,M122&gt;0),ROUND(M122*1000/(AQ122*0.3),0),""),"")</f>
        <v/>
      </c>
      <c r="AV122" s="50" t="str">
        <f aca="false">IFERROR(IF(AND(AM122&gt;0,O122&gt;0),ROUND(O122*1000/(AM122*0.1),0),""),"")</f>
        <v/>
      </c>
      <c r="AW122" s="50" t="str">
        <f aca="false">IFERROR(IF(AND(AP122&gt;0,N122&gt;0),ROUND(N122*1000/(AP122*0.25),0),""),"")</f>
        <v/>
      </c>
      <c r="AX122" s="50" t="str">
        <f aca="false">IFERROR(IF(AND(AO122&gt;0,Q122&gt;0),ROUND(Q122*1000/(AO122*1),0),""),"")</f>
        <v/>
      </c>
      <c r="AY122" s="51" t="n">
        <f aca="false">IFERROR(ifs(I122="Tier S",0.65,I122="Tier 1",0.55,I122="Tier 2",0.45,I122="Tier 3",0.35,I122="Tier 4",0.25),0.35)</f>
        <v>0.35</v>
      </c>
      <c r="AZ122" s="52" t="n">
        <v>1</v>
      </c>
      <c r="BA122" s="52" t="n">
        <v>1</v>
      </c>
      <c r="BB122" s="52" t="n">
        <v>1</v>
      </c>
      <c r="BC122" s="53" t="n">
        <f aca="false">IFERROR(ROUND(S122*AY122*BA122*BB122*AZ122,0),0)</f>
        <v>8470</v>
      </c>
      <c r="BD122" s="39" t="str">
        <f aca="false">IF(COUNT(AM122,AN122,AO122,AP122,AQ122,AR122,AS122)&gt;0,"estimated","pending")</f>
        <v>pending</v>
      </c>
      <c r="BE122" s="50"/>
    </row>
    <row r="123" customFormat="false" ht="15" hidden="false" customHeight="true" outlineLevel="0" collapsed="false">
      <c r="B123" s="54" t="n">
        <f aca="false">IF($C123="","",COUNTA($C$6:C123))</f>
        <v>118</v>
      </c>
      <c r="C123" s="54" t="s">
        <v>1065</v>
      </c>
      <c r="D123" s="54" t="s">
        <v>208</v>
      </c>
      <c r="E123" s="54" t="s">
        <v>1045</v>
      </c>
      <c r="F123" s="54" t="s">
        <v>128</v>
      </c>
      <c r="G123" s="54" t="s">
        <v>1580</v>
      </c>
      <c r="H123" s="54" t="n">
        <v>3</v>
      </c>
      <c r="I123" s="55" t="s">
        <v>337</v>
      </c>
      <c r="J123" s="56" t="n">
        <v>11250</v>
      </c>
      <c r="K123" s="56" t="n">
        <v>4500</v>
      </c>
      <c r="L123" s="57" t="n">
        <f aca="false">IF(J123="","",ROUND(J123*0.17,0))</f>
        <v>1913</v>
      </c>
      <c r="M123" s="56" t="n">
        <v>8000</v>
      </c>
      <c r="N123" s="56" t="n">
        <v>3500</v>
      </c>
      <c r="O123" s="56" t="n">
        <v>2000</v>
      </c>
      <c r="P123" s="56" t="n">
        <v>2000</v>
      </c>
      <c r="Q123" s="56" t="n">
        <v>13500</v>
      </c>
      <c r="R123" s="56" t="n">
        <v>6075</v>
      </c>
      <c r="S123" s="57" t="n">
        <f aca="false">IF(J123="","",ROUND(J123*2.2,0))</f>
        <v>24750</v>
      </c>
      <c r="T123" s="56" t="n">
        <v>4638</v>
      </c>
      <c r="U123" s="56" t="n">
        <v>4063</v>
      </c>
      <c r="V123" s="56" t="n">
        <v>2438</v>
      </c>
      <c r="W123" s="56" t="n">
        <v>2400</v>
      </c>
      <c r="X123" s="54" t="s">
        <v>1383</v>
      </c>
      <c r="Y123" s="49" t="n">
        <v>0.75</v>
      </c>
      <c r="Z123" s="49" t="n">
        <v>1</v>
      </c>
      <c r="AA123" s="50" t="s">
        <v>1066</v>
      </c>
      <c r="AB123" s="50" t="s">
        <v>1068</v>
      </c>
      <c r="AC123" s="50" t="s">
        <v>1070</v>
      </c>
      <c r="AD123" s="50" t="s">
        <v>1071</v>
      </c>
      <c r="AE123" s="50"/>
      <c r="AF123" s="50"/>
      <c r="AG123" s="50"/>
      <c r="AH123" s="50"/>
      <c r="AI123" s="50"/>
      <c r="AJ123" s="50"/>
      <c r="AK123" s="50" t="s">
        <v>1707</v>
      </c>
      <c r="AL123" s="50" t="s">
        <v>1708</v>
      </c>
      <c r="AM123" s="50"/>
      <c r="AN123" s="50"/>
      <c r="AO123" s="50"/>
      <c r="AP123" s="50"/>
      <c r="AQ123" s="50"/>
      <c r="AR123" s="50"/>
      <c r="AS123" s="50"/>
      <c r="AT123" s="50" t="str">
        <f aca="false">IFERROR(IF(AND(AN123&gt;0,J123&gt;0),ROUND(J123*1000/(AN123*0.2),0),""),"")</f>
        <v/>
      </c>
      <c r="AU123" s="50" t="str">
        <f aca="false">IFERROR(IF(AND(AQ123&gt;0,M123&gt;0),ROUND(M123*1000/(AQ123*0.3),0),""),"")</f>
        <v/>
      </c>
      <c r="AV123" s="50" t="str">
        <f aca="false">IFERROR(IF(AND(AM123&gt;0,O123&gt;0),ROUND(O123*1000/(AM123*0.1),0),""),"")</f>
        <v/>
      </c>
      <c r="AW123" s="50" t="str">
        <f aca="false">IFERROR(IF(AND(AP123&gt;0,N123&gt;0),ROUND(N123*1000/(AP123*0.25),0),""),"")</f>
        <v/>
      </c>
      <c r="AX123" s="50" t="str">
        <f aca="false">IFERROR(IF(AND(AO123&gt;0,Q123&gt;0),ROUND(Q123*1000/(AO123*1),0),""),"")</f>
        <v/>
      </c>
      <c r="AY123" s="51" t="n">
        <f aca="false">IFERROR(ifs(I123="Tier S",0.65,I123="Tier 1",0.55,I123="Tier 2",0.45,I123="Tier 3",0.35,I123="Tier 4",0.25),0.35)</f>
        <v>0.35</v>
      </c>
      <c r="AZ123" s="52" t="n">
        <v>1</v>
      </c>
      <c r="BA123" s="52" t="n">
        <v>1</v>
      </c>
      <c r="BB123" s="52" t="n">
        <v>1</v>
      </c>
      <c r="BC123" s="53" t="n">
        <f aca="false">IFERROR(ROUND(S123*AY123*BA123*BB123*AZ123,0),0)</f>
        <v>8663</v>
      </c>
      <c r="BD123" s="39" t="str">
        <f aca="false">IF(COUNT(AM123,AN123,AO123,AP123,AQ123,AR123,AS123)&gt;0,"estimated","pending")</f>
        <v>pending</v>
      </c>
      <c r="BE123" s="50"/>
    </row>
    <row r="124" customFormat="false" ht="15" hidden="false" customHeight="true" outlineLevel="0" collapsed="false">
      <c r="B124" s="62" t="n">
        <f aca="false">IF($C124="","",COUNTA($C$6:C124))</f>
        <v>119</v>
      </c>
      <c r="C124" s="62" t="s">
        <v>1709</v>
      </c>
      <c r="D124" s="62" t="s">
        <v>1478</v>
      </c>
      <c r="E124" s="62" t="s">
        <v>1045</v>
      </c>
      <c r="F124" s="62" t="s">
        <v>128</v>
      </c>
      <c r="G124" s="62" t="s">
        <v>1580</v>
      </c>
      <c r="H124" s="62" t="n">
        <v>2</v>
      </c>
      <c r="I124" s="63" t="s">
        <v>337</v>
      </c>
      <c r="J124" s="64" t="n">
        <v>11000</v>
      </c>
      <c r="K124" s="64" t="n">
        <v>4600</v>
      </c>
      <c r="L124" s="65" t="n">
        <f aca="false">IF(J124="","",ROUND(J124*0.17,0))</f>
        <v>1870</v>
      </c>
      <c r="M124" s="64" t="n">
        <v>8600</v>
      </c>
      <c r="N124" s="64" t="n">
        <v>3500</v>
      </c>
      <c r="O124" s="64" t="n">
        <v>2200</v>
      </c>
      <c r="P124" s="64" t="n">
        <v>0</v>
      </c>
      <c r="Q124" s="64" t="n">
        <v>15950</v>
      </c>
      <c r="R124" s="64" t="n">
        <v>7150</v>
      </c>
      <c r="S124" s="65" t="n">
        <f aca="false">IF(J124="","",ROUND(J124*2.2,0))</f>
        <v>24200</v>
      </c>
      <c r="T124" s="64" t="n">
        <v>3850</v>
      </c>
      <c r="U124" s="64" t="n">
        <v>3300</v>
      </c>
      <c r="V124" s="64" t="n">
        <v>2000</v>
      </c>
      <c r="W124" s="64" t="n">
        <v>0</v>
      </c>
      <c r="X124" s="62" t="s">
        <v>1428</v>
      </c>
      <c r="Y124" s="49" t="n">
        <v>0.3</v>
      </c>
      <c r="Z124" s="49" t="n">
        <v>1</v>
      </c>
      <c r="AA124" s="50" t="s">
        <v>1710</v>
      </c>
      <c r="AB124" s="50" t="s">
        <v>1711</v>
      </c>
      <c r="AC124" s="50"/>
      <c r="AD124" s="50"/>
      <c r="AE124" s="50" t="s">
        <v>1712</v>
      </c>
      <c r="AF124" s="50"/>
      <c r="AG124" s="50"/>
      <c r="AH124" s="50"/>
      <c r="AI124" s="50"/>
      <c r="AJ124" s="50"/>
      <c r="AK124" s="50" t="s">
        <v>1713</v>
      </c>
      <c r="AL124" s="50"/>
      <c r="AM124" s="50"/>
      <c r="AN124" s="50"/>
      <c r="AO124" s="50"/>
      <c r="AP124" s="50"/>
      <c r="AQ124" s="50"/>
      <c r="AR124" s="50"/>
      <c r="AS124" s="50"/>
      <c r="AT124" s="50" t="str">
        <f aca="false">IFERROR(IF(AND(AN124&gt;0,J124&gt;0),ROUND(J124*1000/(AN124*0.2),0),""),"")</f>
        <v/>
      </c>
      <c r="AU124" s="50" t="str">
        <f aca="false">IFERROR(IF(AND(AQ124&gt;0,M124&gt;0),ROUND(M124*1000/(AQ124*0.3),0),""),"")</f>
        <v/>
      </c>
      <c r="AV124" s="50" t="str">
        <f aca="false">IFERROR(IF(AND(AM124&gt;0,O124&gt;0),ROUND(O124*1000/(AM124*0.1),0),""),"")</f>
        <v/>
      </c>
      <c r="AW124" s="50" t="str">
        <f aca="false">IFERROR(IF(AND(AP124&gt;0,N124&gt;0),ROUND(N124*1000/(AP124*0.25),0),""),"")</f>
        <v/>
      </c>
      <c r="AX124" s="50" t="str">
        <f aca="false">IFERROR(IF(AND(AO124&gt;0,Q124&gt;0),ROUND(Q124*1000/(AO124*1),0),""),"")</f>
        <v/>
      </c>
      <c r="AY124" s="51" t="n">
        <f aca="false">IFERROR(ifs(I124="Tier S",0.65,I124="Tier 1",0.55,I124="Tier 2",0.45,I124="Tier 3",0.35,I124="Tier 4",0.25),0.35)</f>
        <v>0.35</v>
      </c>
      <c r="AZ124" s="52" t="n">
        <v>1</v>
      </c>
      <c r="BA124" s="52" t="n">
        <v>1</v>
      </c>
      <c r="BB124" s="52" t="n">
        <v>1</v>
      </c>
      <c r="BC124" s="53" t="n">
        <f aca="false">IFERROR(ROUND(S124*AY124*BA124*BB124*AZ124,0),0)</f>
        <v>8470</v>
      </c>
      <c r="BD124" s="39" t="str">
        <f aca="false">IF(COUNT(AM124,AN124,AO124,AP124,AQ124,AR124,AS124)&gt;0,"estimated","pending")</f>
        <v>pending</v>
      </c>
      <c r="BE124" s="50"/>
    </row>
    <row r="125" customFormat="false" ht="15" hidden="false" customHeight="true" outlineLevel="0" collapsed="false">
      <c r="B125" s="54" t="n">
        <f aca="false">IF($C125="","",COUNTA($C$6:C125))</f>
        <v>120</v>
      </c>
      <c r="C125" s="54" t="s">
        <v>1077</v>
      </c>
      <c r="D125" s="54" t="s">
        <v>208</v>
      </c>
      <c r="E125" s="54" t="s">
        <v>1045</v>
      </c>
      <c r="F125" s="54" t="s">
        <v>128</v>
      </c>
      <c r="G125" s="54" t="s">
        <v>1580</v>
      </c>
      <c r="H125" s="54" t="n">
        <v>3</v>
      </c>
      <c r="I125" s="55" t="s">
        <v>337</v>
      </c>
      <c r="J125" s="56" t="n">
        <v>22750</v>
      </c>
      <c r="K125" s="56" t="n">
        <v>9550</v>
      </c>
      <c r="L125" s="57" t="n">
        <f aca="false">IF(J125="","",ROUND(J125*0.17,0))</f>
        <v>3868</v>
      </c>
      <c r="M125" s="56" t="n">
        <v>17750</v>
      </c>
      <c r="N125" s="56" t="n">
        <v>7300</v>
      </c>
      <c r="O125" s="56" t="n">
        <v>4550</v>
      </c>
      <c r="P125" s="56" t="n">
        <v>4550</v>
      </c>
      <c r="Q125" s="56" t="n">
        <v>33000</v>
      </c>
      <c r="R125" s="56" t="n">
        <v>14800</v>
      </c>
      <c r="S125" s="57" t="n">
        <f aca="false">IF(J125="","",ROUND(J125*2.2,0))</f>
        <v>50050</v>
      </c>
      <c r="T125" s="56" t="n">
        <v>7950</v>
      </c>
      <c r="U125" s="56" t="n">
        <v>6850</v>
      </c>
      <c r="V125" s="56" t="n">
        <v>4100</v>
      </c>
      <c r="W125" s="56" t="n">
        <v>2400</v>
      </c>
      <c r="X125" s="54" t="s">
        <v>1383</v>
      </c>
      <c r="Y125" s="49" t="n">
        <v>0.75</v>
      </c>
      <c r="Z125" s="49" t="n">
        <v>1</v>
      </c>
      <c r="AA125" s="50" t="s">
        <v>1078</v>
      </c>
      <c r="AB125" s="50" t="s">
        <v>1080</v>
      </c>
      <c r="AC125" s="50" t="s">
        <v>1082</v>
      </c>
      <c r="AD125" s="50" t="s">
        <v>1084</v>
      </c>
      <c r="AE125" s="50"/>
      <c r="AF125" s="50"/>
      <c r="AG125" s="50"/>
      <c r="AH125" s="50"/>
      <c r="AI125" s="50"/>
      <c r="AJ125" s="50"/>
      <c r="AK125" s="50" t="s">
        <v>1714</v>
      </c>
      <c r="AL125" s="50" t="s">
        <v>1701</v>
      </c>
      <c r="AM125" s="50"/>
      <c r="AN125" s="50"/>
      <c r="AO125" s="50"/>
      <c r="AP125" s="50"/>
      <c r="AQ125" s="50"/>
      <c r="AR125" s="50"/>
      <c r="AS125" s="50"/>
      <c r="AT125" s="50" t="str">
        <f aca="false">IFERROR(IF(AND(AN125&gt;0,J125&gt;0),ROUND(J125*1000/(AN125*0.2),0),""),"")</f>
        <v/>
      </c>
      <c r="AU125" s="50" t="str">
        <f aca="false">IFERROR(IF(AND(AQ125&gt;0,M125&gt;0),ROUND(M125*1000/(AQ125*0.3),0),""),"")</f>
        <v/>
      </c>
      <c r="AV125" s="50" t="str">
        <f aca="false">IFERROR(IF(AND(AM125&gt;0,O125&gt;0),ROUND(O125*1000/(AM125*0.1),0),""),"")</f>
        <v/>
      </c>
      <c r="AW125" s="50" t="str">
        <f aca="false">IFERROR(IF(AND(AP125&gt;0,N125&gt;0),ROUND(N125*1000/(AP125*0.25),0),""),"")</f>
        <v/>
      </c>
      <c r="AX125" s="50" t="str">
        <f aca="false">IFERROR(IF(AND(AO125&gt;0,Q125&gt;0),ROUND(Q125*1000/(AO125*1),0),""),"")</f>
        <v/>
      </c>
      <c r="AY125" s="51" t="n">
        <f aca="false">IFERROR(ifs(I125="Tier S",0.65,I125="Tier 1",0.55,I125="Tier 2",0.45,I125="Tier 3",0.35,I125="Tier 4",0.25),0.35)</f>
        <v>0.35</v>
      </c>
      <c r="AZ125" s="52" t="n">
        <v>1</v>
      </c>
      <c r="BA125" s="52" t="n">
        <v>1</v>
      </c>
      <c r="BB125" s="52" t="n">
        <v>1</v>
      </c>
      <c r="BC125" s="53" t="n">
        <f aca="false">IFERROR(ROUND(S125*AY125*BA125*BB125*AZ125,0),0)</f>
        <v>17518</v>
      </c>
      <c r="BD125" s="39" t="str">
        <f aca="false">IF(COUNT(AM125,AN125,AO125,AP125,AQ125,AR125,AS125)&gt;0,"estimated","pending")</f>
        <v>pending</v>
      </c>
      <c r="BE125" s="50"/>
    </row>
    <row r="126" customFormat="false" ht="15" hidden="false" customHeight="true" outlineLevel="0" collapsed="false">
      <c r="B126" s="62" t="n">
        <f aca="false">IF($C126="","",COUNTA($C$6:C126))</f>
        <v>121</v>
      </c>
      <c r="C126" s="62" t="s">
        <v>1715</v>
      </c>
      <c r="D126" s="62" t="s">
        <v>1540</v>
      </c>
      <c r="E126" s="62" t="s">
        <v>1045</v>
      </c>
      <c r="F126" s="62" t="s">
        <v>128</v>
      </c>
      <c r="G126" s="62" t="s">
        <v>1580</v>
      </c>
      <c r="H126" s="62" t="n">
        <v>4</v>
      </c>
      <c r="I126" s="63" t="s">
        <v>269</v>
      </c>
      <c r="J126" s="64" t="n">
        <v>11000</v>
      </c>
      <c r="K126" s="64" t="n">
        <v>4600</v>
      </c>
      <c r="L126" s="65" t="n">
        <f aca="false">IF(J126="","",ROUND(J126*0.17,0))</f>
        <v>1870</v>
      </c>
      <c r="M126" s="64" t="n">
        <v>8600</v>
      </c>
      <c r="N126" s="64" t="n">
        <v>3500</v>
      </c>
      <c r="O126" s="64" t="n">
        <v>2200</v>
      </c>
      <c r="P126" s="64" t="n">
        <v>0</v>
      </c>
      <c r="Q126" s="64" t="n">
        <v>15950</v>
      </c>
      <c r="R126" s="64" t="n">
        <v>7150</v>
      </c>
      <c r="S126" s="65" t="n">
        <f aca="false">IF(J126="","",ROUND(J126*2.2,0))</f>
        <v>24200</v>
      </c>
      <c r="T126" s="64" t="n">
        <v>3850</v>
      </c>
      <c r="U126" s="64" t="n">
        <v>3300</v>
      </c>
      <c r="V126" s="64" t="n">
        <v>2000</v>
      </c>
      <c r="W126" s="64" t="n">
        <v>0</v>
      </c>
      <c r="X126" s="62" t="s">
        <v>1369</v>
      </c>
      <c r="Y126" s="49" t="n">
        <v>0.3</v>
      </c>
      <c r="Z126" s="49" t="n">
        <v>1</v>
      </c>
      <c r="AA126" s="50" t="s">
        <v>1716</v>
      </c>
      <c r="AB126" s="50" t="s">
        <v>1717</v>
      </c>
      <c r="AC126" s="50" t="s">
        <v>1718</v>
      </c>
      <c r="AD126" s="50" t="s">
        <v>1719</v>
      </c>
      <c r="AE126" s="50" t="s">
        <v>1720</v>
      </c>
      <c r="AF126" s="50"/>
      <c r="AG126" s="50"/>
      <c r="AH126" s="50"/>
      <c r="AI126" s="50"/>
      <c r="AJ126" s="50"/>
      <c r="AK126" s="50" t="s">
        <v>1721</v>
      </c>
      <c r="AL126" s="50"/>
      <c r="AM126" s="50"/>
      <c r="AN126" s="50"/>
      <c r="AO126" s="50"/>
      <c r="AP126" s="50"/>
      <c r="AQ126" s="50"/>
      <c r="AR126" s="50"/>
      <c r="AS126" s="50"/>
      <c r="AT126" s="50" t="str">
        <f aca="false">IFERROR(IF(AND(AN126&gt;0,J126&gt;0),ROUND(J126*1000/(AN126*0.2),0),""),"")</f>
        <v/>
      </c>
      <c r="AU126" s="50" t="str">
        <f aca="false">IFERROR(IF(AND(AQ126&gt;0,M126&gt;0),ROUND(M126*1000/(AQ126*0.3),0),""),"")</f>
        <v/>
      </c>
      <c r="AV126" s="50" t="str">
        <f aca="false">IFERROR(IF(AND(AM126&gt;0,O126&gt;0),ROUND(O126*1000/(AM126*0.1),0),""),"")</f>
        <v/>
      </c>
      <c r="AW126" s="50" t="str">
        <f aca="false">IFERROR(IF(AND(AP126&gt;0,N126&gt;0),ROUND(N126*1000/(AP126*0.25),0),""),"")</f>
        <v/>
      </c>
      <c r="AX126" s="50" t="str">
        <f aca="false">IFERROR(IF(AND(AO126&gt;0,Q126&gt;0),ROUND(Q126*1000/(AO126*1),0),""),"")</f>
        <v/>
      </c>
      <c r="AY126" s="51" t="n">
        <f aca="false">IFERROR(ifs(I126="Tier S",0.65,I126="Tier 1",0.55,I126="Tier 2",0.45,I126="Tier 3",0.35,I126="Tier 4",0.25),0.35)</f>
        <v>0.35</v>
      </c>
      <c r="AZ126" s="52" t="n">
        <v>1</v>
      </c>
      <c r="BA126" s="52" t="n">
        <v>1</v>
      </c>
      <c r="BB126" s="52" t="n">
        <v>1</v>
      </c>
      <c r="BC126" s="53" t="n">
        <f aca="false">IFERROR(ROUND(S126*AY126*BA126*BB126*AZ126,0),0)</f>
        <v>8470</v>
      </c>
      <c r="BD126" s="39" t="str">
        <f aca="false">IF(COUNT(AM126,AN126,AO126,AP126,AQ126,AR126,AS126)&gt;0,"estimated","pending")</f>
        <v>pending</v>
      </c>
      <c r="BE126" s="50"/>
    </row>
    <row r="127" customFormat="false" ht="15" hidden="false" customHeight="true" outlineLevel="0" collapsed="false">
      <c r="B127" s="62" t="n">
        <f aca="false">IF($C127="","",COUNTA($C$6:C127))</f>
        <v>122</v>
      </c>
      <c r="C127" s="62" t="s">
        <v>1722</v>
      </c>
      <c r="D127" s="62" t="s">
        <v>1478</v>
      </c>
      <c r="E127" s="62" t="s">
        <v>1085</v>
      </c>
      <c r="F127" s="62" t="s">
        <v>128</v>
      </c>
      <c r="G127" s="62" t="s">
        <v>1425</v>
      </c>
      <c r="H127" s="62" t="n">
        <v>3</v>
      </c>
      <c r="I127" s="63" t="s">
        <v>337</v>
      </c>
      <c r="J127" s="64" t="n">
        <v>11000</v>
      </c>
      <c r="K127" s="64" t="n">
        <v>4600</v>
      </c>
      <c r="L127" s="65" t="n">
        <f aca="false">IF(J127="","",ROUND(J127*0.17,0))</f>
        <v>1870</v>
      </c>
      <c r="M127" s="64" t="n">
        <v>8600</v>
      </c>
      <c r="N127" s="64" t="n">
        <v>3500</v>
      </c>
      <c r="O127" s="64" t="n">
        <v>2200</v>
      </c>
      <c r="P127" s="64" t="n">
        <v>0</v>
      </c>
      <c r="Q127" s="64" t="n">
        <v>15950</v>
      </c>
      <c r="R127" s="64" t="n">
        <v>7150</v>
      </c>
      <c r="S127" s="65" t="n">
        <f aca="false">IF(J127="","",ROUND(J127*2.2,0))</f>
        <v>24200</v>
      </c>
      <c r="T127" s="64" t="n">
        <v>3850</v>
      </c>
      <c r="U127" s="64" t="n">
        <v>3300</v>
      </c>
      <c r="V127" s="64" t="n">
        <v>2000</v>
      </c>
      <c r="W127" s="64" t="n">
        <v>0</v>
      </c>
      <c r="X127" s="62" t="s">
        <v>1383</v>
      </c>
      <c r="Y127" s="49" t="n">
        <v>0.3</v>
      </c>
      <c r="Z127" s="49" t="n">
        <v>1</v>
      </c>
      <c r="AA127" s="50" t="s">
        <v>1723</v>
      </c>
      <c r="AB127" s="50" t="s">
        <v>1724</v>
      </c>
      <c r="AC127" s="50" t="s">
        <v>1725</v>
      </c>
      <c r="AD127" s="50" t="s">
        <v>1726</v>
      </c>
      <c r="AE127" s="50"/>
      <c r="AF127" s="50"/>
      <c r="AG127" s="50"/>
      <c r="AH127" s="50"/>
      <c r="AI127" s="50"/>
      <c r="AJ127" s="50"/>
      <c r="AK127" s="50" t="s">
        <v>1727</v>
      </c>
      <c r="AL127" s="50"/>
      <c r="AM127" s="50"/>
      <c r="AN127" s="50"/>
      <c r="AO127" s="50"/>
      <c r="AP127" s="50"/>
      <c r="AQ127" s="50"/>
      <c r="AR127" s="50"/>
      <c r="AS127" s="50"/>
      <c r="AT127" s="50" t="str">
        <f aca="false">IFERROR(IF(AND(AN127&gt;0,J127&gt;0),ROUND(J127*1000/(AN127*0.2),0),""),"")</f>
        <v/>
      </c>
      <c r="AU127" s="50" t="str">
        <f aca="false">IFERROR(IF(AND(AQ127&gt;0,M127&gt;0),ROUND(M127*1000/(AQ127*0.3),0),""),"")</f>
        <v/>
      </c>
      <c r="AV127" s="50" t="str">
        <f aca="false">IFERROR(IF(AND(AM127&gt;0,O127&gt;0),ROUND(O127*1000/(AM127*0.1),0),""),"")</f>
        <v/>
      </c>
      <c r="AW127" s="50" t="str">
        <f aca="false">IFERROR(IF(AND(AP127&gt;0,N127&gt;0),ROUND(N127*1000/(AP127*0.25),0),""),"")</f>
        <v/>
      </c>
      <c r="AX127" s="50" t="str">
        <f aca="false">IFERROR(IF(AND(AO127&gt;0,Q127&gt;0),ROUND(Q127*1000/(AO127*1),0),""),"")</f>
        <v/>
      </c>
      <c r="AY127" s="51" t="n">
        <f aca="false">IFERROR(ifs(I127="Tier S",0.65,I127="Tier 1",0.55,I127="Tier 2",0.45,I127="Tier 3",0.35,I127="Tier 4",0.25),0.35)</f>
        <v>0.35</v>
      </c>
      <c r="AZ127" s="52" t="n">
        <v>1</v>
      </c>
      <c r="BA127" s="52" t="n">
        <v>1</v>
      </c>
      <c r="BB127" s="52" t="n">
        <v>1</v>
      </c>
      <c r="BC127" s="53" t="n">
        <f aca="false">IFERROR(ROUND(S127*AY127*BA127*BB127*AZ127,0),0)</f>
        <v>8470</v>
      </c>
      <c r="BD127" s="39" t="str">
        <f aca="false">IF(COUNT(AM127,AN127,AO127,AP127,AQ127,AR127,AS127)&gt;0,"estimated","pending")</f>
        <v>pending</v>
      </c>
      <c r="BE127" s="50"/>
    </row>
    <row r="128" customFormat="false" ht="15" hidden="false" customHeight="true" outlineLevel="0" collapsed="false">
      <c r="B128" s="54" t="n">
        <f aca="false">IF($C128="","",COUNTA($C$6:C128))</f>
        <v>123</v>
      </c>
      <c r="C128" s="54" t="s">
        <v>1086</v>
      </c>
      <c r="D128" s="54" t="s">
        <v>208</v>
      </c>
      <c r="E128" s="54" t="s">
        <v>1085</v>
      </c>
      <c r="F128" s="54" t="s">
        <v>128</v>
      </c>
      <c r="G128" s="54" t="s">
        <v>1425</v>
      </c>
      <c r="H128" s="54" t="n">
        <v>4</v>
      </c>
      <c r="I128" s="55" t="s">
        <v>269</v>
      </c>
      <c r="J128" s="56" t="n">
        <v>15000</v>
      </c>
      <c r="K128" s="56" t="n">
        <v>6750</v>
      </c>
      <c r="L128" s="57" t="n">
        <f aca="false">IF(J128="","",ROUND(J128*0.17,0))</f>
        <v>2550</v>
      </c>
      <c r="M128" s="56" t="n">
        <v>11000</v>
      </c>
      <c r="N128" s="56" t="n">
        <v>5000</v>
      </c>
      <c r="O128" s="56" t="n">
        <v>3200</v>
      </c>
      <c r="P128" s="56" t="n">
        <v>3200</v>
      </c>
      <c r="Q128" s="56" t="n">
        <v>19500</v>
      </c>
      <c r="R128" s="56" t="n">
        <v>8775</v>
      </c>
      <c r="S128" s="57" t="n">
        <f aca="false">IF(J128="","",ROUND(J128*2.2,0))</f>
        <v>33000</v>
      </c>
      <c r="T128" s="56" t="n">
        <v>6800</v>
      </c>
      <c r="U128" s="56" t="n">
        <v>5950</v>
      </c>
      <c r="V128" s="56" t="n">
        <v>3570</v>
      </c>
      <c r="W128" s="56" t="n">
        <v>2400</v>
      </c>
      <c r="X128" s="54" t="s">
        <v>1369</v>
      </c>
      <c r="Y128" s="49" t="n">
        <v>0.3</v>
      </c>
      <c r="Z128" s="49" t="n">
        <v>1</v>
      </c>
      <c r="AA128" s="50" t="s">
        <v>1728</v>
      </c>
      <c r="AB128" s="50" t="s">
        <v>1089</v>
      </c>
      <c r="AC128" s="50" t="s">
        <v>1091</v>
      </c>
      <c r="AD128" s="50" t="s">
        <v>1092</v>
      </c>
      <c r="AE128" s="50" t="s">
        <v>1094</v>
      </c>
      <c r="AF128" s="50"/>
      <c r="AG128" s="50"/>
      <c r="AH128" s="50"/>
      <c r="AI128" s="50"/>
      <c r="AJ128" s="50"/>
      <c r="AK128" s="50" t="s">
        <v>1729</v>
      </c>
      <c r="AL128" s="50"/>
      <c r="AM128" s="50"/>
      <c r="AN128" s="50"/>
      <c r="AO128" s="50"/>
      <c r="AP128" s="50"/>
      <c r="AQ128" s="50"/>
      <c r="AR128" s="50"/>
      <c r="AS128" s="50"/>
      <c r="AT128" s="50" t="str">
        <f aca="false">IFERROR(IF(AND(AN128&gt;0,J128&gt;0),ROUND(J128*1000/(AN128*0.2),0),""),"")</f>
        <v/>
      </c>
      <c r="AU128" s="50" t="str">
        <f aca="false">IFERROR(IF(AND(AQ128&gt;0,M128&gt;0),ROUND(M128*1000/(AQ128*0.3),0),""),"")</f>
        <v/>
      </c>
      <c r="AV128" s="50" t="str">
        <f aca="false">IFERROR(IF(AND(AM128&gt;0,O128&gt;0),ROUND(O128*1000/(AM128*0.1),0),""),"")</f>
        <v/>
      </c>
      <c r="AW128" s="50" t="str">
        <f aca="false">IFERROR(IF(AND(AP128&gt;0,N128&gt;0),ROUND(N128*1000/(AP128*0.25),0),""),"")</f>
        <v/>
      </c>
      <c r="AX128" s="50" t="str">
        <f aca="false">IFERROR(IF(AND(AO128&gt;0,Q128&gt;0),ROUND(Q128*1000/(AO128*1),0),""),"")</f>
        <v/>
      </c>
      <c r="AY128" s="51" t="n">
        <f aca="false">IFERROR(ifs(I128="Tier S",0.65,I128="Tier 1",0.55,I128="Tier 2",0.45,I128="Tier 3",0.35,I128="Tier 4",0.25),0.35)</f>
        <v>0.35</v>
      </c>
      <c r="AZ128" s="52" t="n">
        <v>1</v>
      </c>
      <c r="BA128" s="52" t="n">
        <v>1</v>
      </c>
      <c r="BB128" s="52" t="n">
        <v>1</v>
      </c>
      <c r="BC128" s="53" t="n">
        <f aca="false">IFERROR(ROUND(S128*AY128*BA128*BB128*AZ128,0),0)</f>
        <v>11550</v>
      </c>
      <c r="BD128" s="39" t="str">
        <f aca="false">IF(COUNT(AM128,AN128,AO128,AP128,AQ128,AR128,AS128)&gt;0,"estimated","pending")</f>
        <v>pending</v>
      </c>
      <c r="BE128" s="50"/>
    </row>
    <row r="129" customFormat="false" ht="15" hidden="false" customHeight="true" outlineLevel="0" collapsed="false">
      <c r="B129" s="54" t="n">
        <f aca="false">IF($C129="","",COUNTA($C$6:C129))</f>
        <v>124</v>
      </c>
      <c r="C129" s="54" t="s">
        <v>1095</v>
      </c>
      <c r="D129" s="54" t="s">
        <v>208</v>
      </c>
      <c r="E129" s="54" t="s">
        <v>1085</v>
      </c>
      <c r="F129" s="54" t="s">
        <v>128</v>
      </c>
      <c r="G129" s="54" t="s">
        <v>1425</v>
      </c>
      <c r="H129" s="54" t="n">
        <v>4</v>
      </c>
      <c r="I129" s="55" t="s">
        <v>269</v>
      </c>
      <c r="J129" s="56" t="n">
        <v>20700</v>
      </c>
      <c r="K129" s="56" t="n">
        <v>8700</v>
      </c>
      <c r="L129" s="57" t="n">
        <f aca="false">IF(J129="","",ROUND(J129*0.17,0))</f>
        <v>3519</v>
      </c>
      <c r="M129" s="56" t="n">
        <v>16150</v>
      </c>
      <c r="N129" s="56" t="n">
        <v>6600</v>
      </c>
      <c r="O129" s="56" t="n">
        <v>4150</v>
      </c>
      <c r="P129" s="56" t="n">
        <v>4150</v>
      </c>
      <c r="Q129" s="56" t="n">
        <v>30000</v>
      </c>
      <c r="R129" s="56" t="n">
        <v>13450</v>
      </c>
      <c r="S129" s="57" t="n">
        <f aca="false">IF(J129="","",ROUND(J129*2.2,0))</f>
        <v>45540</v>
      </c>
      <c r="T129" s="56" t="n">
        <v>7250</v>
      </c>
      <c r="U129" s="56" t="n">
        <v>6200</v>
      </c>
      <c r="V129" s="56" t="n">
        <v>3750</v>
      </c>
      <c r="W129" s="56" t="n">
        <v>2400</v>
      </c>
      <c r="X129" s="54" t="s">
        <v>1369</v>
      </c>
      <c r="Y129" s="49" t="n">
        <v>0.3</v>
      </c>
      <c r="Z129" s="49" t="n">
        <v>1</v>
      </c>
      <c r="AA129" s="50" t="s">
        <v>1096</v>
      </c>
      <c r="AB129" s="50" t="s">
        <v>1098</v>
      </c>
      <c r="AC129" s="50" t="s">
        <v>1100</v>
      </c>
      <c r="AD129" s="50" t="s">
        <v>1102</v>
      </c>
      <c r="AE129" s="50" t="s">
        <v>1103</v>
      </c>
      <c r="AF129" s="50"/>
      <c r="AG129" s="50"/>
      <c r="AH129" s="50"/>
      <c r="AI129" s="50"/>
      <c r="AJ129" s="50"/>
      <c r="AK129" s="50" t="s">
        <v>1730</v>
      </c>
      <c r="AL129" s="50"/>
      <c r="AM129" s="50"/>
      <c r="AN129" s="50"/>
      <c r="AO129" s="50"/>
      <c r="AP129" s="50"/>
      <c r="AQ129" s="50"/>
      <c r="AR129" s="50"/>
      <c r="AS129" s="50"/>
      <c r="AT129" s="50" t="str">
        <f aca="false">IFERROR(IF(AND(AN129&gt;0,J129&gt;0),ROUND(J129*1000/(AN129*0.2),0),""),"")</f>
        <v/>
      </c>
      <c r="AU129" s="50" t="str">
        <f aca="false">IFERROR(IF(AND(AQ129&gt;0,M129&gt;0),ROUND(M129*1000/(AQ129*0.3),0),""),"")</f>
        <v/>
      </c>
      <c r="AV129" s="50" t="str">
        <f aca="false">IFERROR(IF(AND(AM129&gt;0,O129&gt;0),ROUND(O129*1000/(AM129*0.1),0),""),"")</f>
        <v/>
      </c>
      <c r="AW129" s="50" t="str">
        <f aca="false">IFERROR(IF(AND(AP129&gt;0,N129&gt;0),ROUND(N129*1000/(AP129*0.25),0),""),"")</f>
        <v/>
      </c>
      <c r="AX129" s="50" t="str">
        <f aca="false">IFERROR(IF(AND(AO129&gt;0,Q129&gt;0),ROUND(Q129*1000/(AO129*1),0),""),"")</f>
        <v/>
      </c>
      <c r="AY129" s="51" t="n">
        <f aca="false">IFERROR(ifs(I129="Tier S",0.65,I129="Tier 1",0.55,I129="Tier 2",0.45,I129="Tier 3",0.35,I129="Tier 4",0.25),0.35)</f>
        <v>0.35</v>
      </c>
      <c r="AZ129" s="52" t="n">
        <v>1</v>
      </c>
      <c r="BA129" s="52" t="n">
        <v>1</v>
      </c>
      <c r="BB129" s="52" t="n">
        <v>1</v>
      </c>
      <c r="BC129" s="53" t="n">
        <f aca="false">IFERROR(ROUND(S129*AY129*BA129*BB129*AZ129,0),0)</f>
        <v>15939</v>
      </c>
      <c r="BD129" s="39" t="str">
        <f aca="false">IF(COUNT(AM129,AN129,AO129,AP129,AQ129,AR129,AS129)&gt;0,"estimated","pending")</f>
        <v>pending</v>
      </c>
      <c r="BE129" s="50"/>
    </row>
    <row r="130" customFormat="false" ht="15" hidden="false" customHeight="true" outlineLevel="0" collapsed="false">
      <c r="B130" s="54" t="n">
        <f aca="false">IF($C130="","",COUNTA($C$6:C130))</f>
        <v>125</v>
      </c>
      <c r="C130" s="54" t="s">
        <v>1104</v>
      </c>
      <c r="D130" s="54" t="s">
        <v>208</v>
      </c>
      <c r="E130" s="54" t="s">
        <v>1085</v>
      </c>
      <c r="F130" s="54" t="s">
        <v>128</v>
      </c>
      <c r="G130" s="54" t="s">
        <v>1425</v>
      </c>
      <c r="H130" s="54" t="n">
        <v>4</v>
      </c>
      <c r="I130" s="55" t="s">
        <v>269</v>
      </c>
      <c r="J130" s="56" t="n">
        <v>20700</v>
      </c>
      <c r="K130" s="56" t="n">
        <v>8700</v>
      </c>
      <c r="L130" s="57" t="n">
        <f aca="false">IF(J130="","",ROUND(J130*0.17,0))</f>
        <v>3519</v>
      </c>
      <c r="M130" s="56" t="n">
        <v>16150</v>
      </c>
      <c r="N130" s="56" t="n">
        <v>6600</v>
      </c>
      <c r="O130" s="56" t="n">
        <v>4150</v>
      </c>
      <c r="P130" s="56" t="n">
        <v>4150</v>
      </c>
      <c r="Q130" s="56" t="n">
        <v>30000</v>
      </c>
      <c r="R130" s="56" t="n">
        <v>13450</v>
      </c>
      <c r="S130" s="57" t="n">
        <f aca="false">IF(J130="","",ROUND(J130*2.2,0))</f>
        <v>45540</v>
      </c>
      <c r="T130" s="56" t="n">
        <v>7250</v>
      </c>
      <c r="U130" s="56" t="n">
        <v>6200</v>
      </c>
      <c r="V130" s="56" t="n">
        <v>3750</v>
      </c>
      <c r="W130" s="56" t="n">
        <v>2400</v>
      </c>
      <c r="X130" s="54" t="s">
        <v>1369</v>
      </c>
      <c r="Y130" s="49" t="n">
        <v>0.3</v>
      </c>
      <c r="Z130" s="49" t="n">
        <v>1</v>
      </c>
      <c r="AA130" s="50" t="s">
        <v>1105</v>
      </c>
      <c r="AB130" s="50" t="s">
        <v>1107</v>
      </c>
      <c r="AC130" s="50" t="s">
        <v>1109</v>
      </c>
      <c r="AD130" s="50" t="s">
        <v>1111</v>
      </c>
      <c r="AE130" s="50" t="s">
        <v>1113</v>
      </c>
      <c r="AF130" s="50"/>
      <c r="AG130" s="50"/>
      <c r="AH130" s="50"/>
      <c r="AI130" s="50"/>
      <c r="AJ130" s="50"/>
      <c r="AK130" s="50" t="s">
        <v>1731</v>
      </c>
      <c r="AL130" s="50"/>
      <c r="AM130" s="50"/>
      <c r="AN130" s="50"/>
      <c r="AO130" s="50"/>
      <c r="AP130" s="50"/>
      <c r="AQ130" s="50"/>
      <c r="AR130" s="50"/>
      <c r="AS130" s="50"/>
      <c r="AT130" s="50" t="str">
        <f aca="false">IFERROR(IF(AND(AN130&gt;0,J130&gt;0),ROUND(J130*1000/(AN130*0.2),0),""),"")</f>
        <v/>
      </c>
      <c r="AU130" s="50" t="str">
        <f aca="false">IFERROR(IF(AND(AQ130&gt;0,M130&gt;0),ROUND(M130*1000/(AQ130*0.3),0),""),"")</f>
        <v/>
      </c>
      <c r="AV130" s="50" t="str">
        <f aca="false">IFERROR(IF(AND(AM130&gt;0,O130&gt;0),ROUND(O130*1000/(AM130*0.1),0),""),"")</f>
        <v/>
      </c>
      <c r="AW130" s="50" t="str">
        <f aca="false">IFERROR(IF(AND(AP130&gt;0,N130&gt;0),ROUND(N130*1000/(AP130*0.25),0),""),"")</f>
        <v/>
      </c>
      <c r="AX130" s="50" t="str">
        <f aca="false">IFERROR(IF(AND(AO130&gt;0,Q130&gt;0),ROUND(Q130*1000/(AO130*1),0),""),"")</f>
        <v/>
      </c>
      <c r="AY130" s="51" t="n">
        <f aca="false">IFERROR(ifs(I130="Tier S",0.65,I130="Tier 1",0.55,I130="Tier 2",0.45,I130="Tier 3",0.35,I130="Tier 4",0.25),0.35)</f>
        <v>0.35</v>
      </c>
      <c r="AZ130" s="52" t="n">
        <v>1</v>
      </c>
      <c r="BA130" s="52" t="n">
        <v>1</v>
      </c>
      <c r="BB130" s="52" t="n">
        <v>1</v>
      </c>
      <c r="BC130" s="53" t="n">
        <f aca="false">IFERROR(ROUND(S130*AY130*BA130*BB130*AZ130,0),0)</f>
        <v>15939</v>
      </c>
      <c r="BD130" s="39" t="str">
        <f aca="false">IF(COUNT(AM130,AN130,AO130,AP130,AQ130,AR130,AS130)&gt;0,"estimated","pending")</f>
        <v>pending</v>
      </c>
      <c r="BE130" s="50"/>
    </row>
    <row r="131" customFormat="false" ht="15" hidden="false" customHeight="true" outlineLevel="0" collapsed="false">
      <c r="B131" s="54" t="n">
        <f aca="false">IF($C131="","",COUNTA($C$6:C131))</f>
        <v>126</v>
      </c>
      <c r="C131" s="54" t="s">
        <v>1114</v>
      </c>
      <c r="D131" s="54" t="s">
        <v>208</v>
      </c>
      <c r="E131" s="54" t="s">
        <v>1085</v>
      </c>
      <c r="F131" s="54" t="s">
        <v>128</v>
      </c>
      <c r="G131" s="54" t="s">
        <v>1732</v>
      </c>
      <c r="H131" s="54" t="n">
        <v>5</v>
      </c>
      <c r="I131" s="55" t="s">
        <v>269</v>
      </c>
      <c r="J131" s="56" t="n">
        <v>20700</v>
      </c>
      <c r="K131" s="56" t="n">
        <v>8700</v>
      </c>
      <c r="L131" s="57" t="n">
        <f aca="false">IF(J131="","",ROUND(J131*0.17,0))</f>
        <v>3519</v>
      </c>
      <c r="M131" s="56" t="n">
        <v>16150</v>
      </c>
      <c r="N131" s="56" t="n">
        <v>6600</v>
      </c>
      <c r="O131" s="56" t="n">
        <v>4150</v>
      </c>
      <c r="P131" s="56" t="n">
        <v>4150</v>
      </c>
      <c r="Q131" s="56" t="n">
        <v>30000</v>
      </c>
      <c r="R131" s="56" t="n">
        <v>13450</v>
      </c>
      <c r="S131" s="57" t="n">
        <f aca="false">IF(J131="","",ROUND(J131*2.2,0))</f>
        <v>45540</v>
      </c>
      <c r="T131" s="56" t="n">
        <v>7250</v>
      </c>
      <c r="U131" s="56" t="n">
        <v>6200</v>
      </c>
      <c r="V131" s="56" t="n">
        <v>3750</v>
      </c>
      <c r="W131" s="56" t="n">
        <v>2400</v>
      </c>
      <c r="X131" s="54" t="s">
        <v>1393</v>
      </c>
      <c r="Y131" s="49" t="n">
        <v>0.3</v>
      </c>
      <c r="Z131" s="49" t="n">
        <v>1</v>
      </c>
      <c r="AA131" s="50" t="s">
        <v>1733</v>
      </c>
      <c r="AB131" s="50" t="s">
        <v>1117</v>
      </c>
      <c r="AC131" s="50" t="s">
        <v>1118</v>
      </c>
      <c r="AD131" s="50" t="s">
        <v>1119</v>
      </c>
      <c r="AE131" s="50" t="s">
        <v>1122</v>
      </c>
      <c r="AF131" s="50"/>
      <c r="AG131" s="50" t="s">
        <v>1121</v>
      </c>
      <c r="AH131" s="50"/>
      <c r="AI131" s="50"/>
      <c r="AJ131" s="50"/>
      <c r="AK131" s="50" t="s">
        <v>1734</v>
      </c>
      <c r="AL131" s="50"/>
      <c r="AM131" s="50"/>
      <c r="AN131" s="50"/>
      <c r="AO131" s="50"/>
      <c r="AP131" s="50"/>
      <c r="AQ131" s="50"/>
      <c r="AR131" s="50"/>
      <c r="AS131" s="50"/>
      <c r="AT131" s="50" t="str">
        <f aca="false">IFERROR(IF(AND(AN131&gt;0,J131&gt;0),ROUND(J131*1000/(AN131*0.2),0),""),"")</f>
        <v/>
      </c>
      <c r="AU131" s="50" t="str">
        <f aca="false">IFERROR(IF(AND(AQ131&gt;0,M131&gt;0),ROUND(M131*1000/(AQ131*0.3),0),""),"")</f>
        <v/>
      </c>
      <c r="AV131" s="50" t="str">
        <f aca="false">IFERROR(IF(AND(AM131&gt;0,O131&gt;0),ROUND(O131*1000/(AM131*0.1),0),""),"")</f>
        <v/>
      </c>
      <c r="AW131" s="50" t="str">
        <f aca="false">IFERROR(IF(AND(AP131&gt;0,N131&gt;0),ROUND(N131*1000/(AP131*0.25),0),""),"")</f>
        <v/>
      </c>
      <c r="AX131" s="50" t="str">
        <f aca="false">IFERROR(IF(AND(AO131&gt;0,Q131&gt;0),ROUND(Q131*1000/(AO131*1),0),""),"")</f>
        <v/>
      </c>
      <c r="AY131" s="51" t="n">
        <f aca="false">IFERROR(ifs(I131="Tier S",0.65,I131="Tier 1",0.55,I131="Tier 2",0.45,I131="Tier 3",0.35,I131="Tier 4",0.25),0.35)</f>
        <v>0.35</v>
      </c>
      <c r="AZ131" s="52" t="n">
        <v>1</v>
      </c>
      <c r="BA131" s="52" t="n">
        <v>1</v>
      </c>
      <c r="BB131" s="52" t="n">
        <v>1</v>
      </c>
      <c r="BC131" s="53" t="n">
        <f aca="false">IFERROR(ROUND(S131*AY131*BA131*BB131*AZ131,0),0)</f>
        <v>15939</v>
      </c>
      <c r="BD131" s="39" t="str">
        <f aca="false">IF(COUNT(AM131,AN131,AO131,AP131,AQ131,AR131,AS131)&gt;0,"estimated","pending")</f>
        <v>pending</v>
      </c>
      <c r="BE131" s="50"/>
    </row>
    <row r="132" customFormat="false" ht="15" hidden="false" customHeight="true" outlineLevel="0" collapsed="false">
      <c r="B132" s="54" t="n">
        <f aca="false">IF($C132="","",COUNTA($C$6:C132))</f>
        <v>127</v>
      </c>
      <c r="C132" s="54" t="s">
        <v>1124</v>
      </c>
      <c r="D132" s="54" t="s">
        <v>208</v>
      </c>
      <c r="E132" s="54" t="s">
        <v>1123</v>
      </c>
      <c r="F132" s="54" t="s">
        <v>128</v>
      </c>
      <c r="G132" s="54" t="s">
        <v>1464</v>
      </c>
      <c r="H132" s="54" t="n">
        <v>3</v>
      </c>
      <c r="I132" s="55" t="s">
        <v>337</v>
      </c>
      <c r="J132" s="56" t="n">
        <v>20700</v>
      </c>
      <c r="K132" s="56" t="n">
        <v>8700</v>
      </c>
      <c r="L132" s="57" t="n">
        <f aca="false">IF(J132="","",ROUND(J132*0.17,0))</f>
        <v>3519</v>
      </c>
      <c r="M132" s="56" t="n">
        <v>16150</v>
      </c>
      <c r="N132" s="56" t="n">
        <v>6600</v>
      </c>
      <c r="O132" s="56" t="n">
        <v>4150</v>
      </c>
      <c r="P132" s="56" t="n">
        <v>4150</v>
      </c>
      <c r="Q132" s="56" t="n">
        <v>30000</v>
      </c>
      <c r="R132" s="56" t="n">
        <v>13450</v>
      </c>
      <c r="S132" s="57" t="n">
        <f aca="false">IF(J132="","",ROUND(J132*2.2,0))</f>
        <v>45540</v>
      </c>
      <c r="T132" s="56" t="n">
        <v>7250</v>
      </c>
      <c r="U132" s="56" t="n">
        <v>6200</v>
      </c>
      <c r="V132" s="56" t="n">
        <v>3750</v>
      </c>
      <c r="W132" s="56" t="n">
        <v>2400</v>
      </c>
      <c r="X132" s="54" t="s">
        <v>1383</v>
      </c>
      <c r="Y132" s="49" t="n">
        <v>0.75</v>
      </c>
      <c r="Z132" s="49" t="n">
        <v>1</v>
      </c>
      <c r="AA132" s="50" t="s">
        <v>1125</v>
      </c>
      <c r="AB132" s="50" t="s">
        <v>1127</v>
      </c>
      <c r="AC132" s="50" t="s">
        <v>1129</v>
      </c>
      <c r="AD132" s="50" t="s">
        <v>1131</v>
      </c>
      <c r="AE132" s="50"/>
      <c r="AF132" s="50"/>
      <c r="AG132" s="50"/>
      <c r="AH132" s="50"/>
      <c r="AI132" s="50"/>
      <c r="AJ132" s="50"/>
      <c r="AK132" s="50" t="s">
        <v>1735</v>
      </c>
      <c r="AL132" s="50" t="s">
        <v>1698</v>
      </c>
      <c r="AM132" s="50"/>
      <c r="AN132" s="50"/>
      <c r="AO132" s="50"/>
      <c r="AP132" s="50"/>
      <c r="AQ132" s="50"/>
      <c r="AR132" s="50"/>
      <c r="AS132" s="50"/>
      <c r="AT132" s="50" t="str">
        <f aca="false">IFERROR(IF(AND(AN132&gt;0,J132&gt;0),ROUND(J132*1000/(AN132*0.2),0),""),"")</f>
        <v/>
      </c>
      <c r="AU132" s="50" t="str">
        <f aca="false">IFERROR(IF(AND(AQ132&gt;0,M132&gt;0),ROUND(M132*1000/(AQ132*0.3),0),""),"")</f>
        <v/>
      </c>
      <c r="AV132" s="50" t="str">
        <f aca="false">IFERROR(IF(AND(AM132&gt;0,O132&gt;0),ROUND(O132*1000/(AM132*0.1),0),""),"")</f>
        <v/>
      </c>
      <c r="AW132" s="50" t="str">
        <f aca="false">IFERROR(IF(AND(AP132&gt;0,N132&gt;0),ROUND(N132*1000/(AP132*0.25),0),""),"")</f>
        <v/>
      </c>
      <c r="AX132" s="50" t="str">
        <f aca="false">IFERROR(IF(AND(AO132&gt;0,Q132&gt;0),ROUND(Q132*1000/(AO132*1),0),""),"")</f>
        <v/>
      </c>
      <c r="AY132" s="51" t="n">
        <f aca="false">IFERROR(ifs(I132="Tier S",0.65,I132="Tier 1",0.55,I132="Tier 2",0.45,I132="Tier 3",0.35,I132="Tier 4",0.25),0.35)</f>
        <v>0.35</v>
      </c>
      <c r="AZ132" s="52" t="n">
        <v>1</v>
      </c>
      <c r="BA132" s="52" t="n">
        <v>1</v>
      </c>
      <c r="BB132" s="52" t="n">
        <v>1</v>
      </c>
      <c r="BC132" s="53" t="n">
        <f aca="false">IFERROR(ROUND(S132*AY132*BA132*BB132*AZ132,0),0)</f>
        <v>15939</v>
      </c>
      <c r="BD132" s="39" t="str">
        <f aca="false">IF(COUNT(AM132,AN132,AO132,AP132,AQ132,AR132,AS132)&gt;0,"estimated","pending")</f>
        <v>pending</v>
      </c>
      <c r="BE132" s="50"/>
    </row>
    <row r="133" customFormat="false" ht="15" hidden="false" customHeight="true" outlineLevel="0" collapsed="false">
      <c r="B133" s="66" t="n">
        <f aca="false">IF($C133="","",COUNTA($C$6:C133))</f>
        <v>128</v>
      </c>
      <c r="C133" s="66" t="s">
        <v>1736</v>
      </c>
      <c r="D133" s="66" t="s">
        <v>1533</v>
      </c>
      <c r="E133" s="66" t="s">
        <v>1123</v>
      </c>
      <c r="F133" s="66" t="s">
        <v>128</v>
      </c>
      <c r="G133" s="66" t="s">
        <v>1737</v>
      </c>
      <c r="H133" s="66" t="n">
        <v>1</v>
      </c>
      <c r="I133" s="67" t="s">
        <v>1357</v>
      </c>
      <c r="J133" s="68" t="n">
        <v>11000</v>
      </c>
      <c r="K133" s="68" t="n">
        <v>4600</v>
      </c>
      <c r="L133" s="69" t="n">
        <f aca="false">IF(J133="","",ROUND(J133*0.17,0))</f>
        <v>1870</v>
      </c>
      <c r="M133" s="68" t="n">
        <v>8600</v>
      </c>
      <c r="N133" s="68" t="n">
        <v>3500</v>
      </c>
      <c r="O133" s="68" t="n">
        <v>2200</v>
      </c>
      <c r="P133" s="68" t="n">
        <v>0</v>
      </c>
      <c r="Q133" s="68" t="n">
        <v>15950</v>
      </c>
      <c r="R133" s="68" t="n">
        <v>7150</v>
      </c>
      <c r="S133" s="69" t="n">
        <f aca="false">IF(J133="","",ROUND(J133*2.2,0))</f>
        <v>24200</v>
      </c>
      <c r="T133" s="68" t="n">
        <v>3850</v>
      </c>
      <c r="U133" s="68" t="n">
        <v>3300</v>
      </c>
      <c r="V133" s="68" t="n">
        <v>2000</v>
      </c>
      <c r="W133" s="68" t="n">
        <v>0</v>
      </c>
      <c r="X133" s="66" t="s">
        <v>1434</v>
      </c>
      <c r="Y133" s="49" t="n">
        <v>0.75</v>
      </c>
      <c r="Z133" s="49" t="n">
        <v>1</v>
      </c>
      <c r="AA133" s="50" t="s">
        <v>1738</v>
      </c>
      <c r="AB133" s="50" t="s">
        <v>1739</v>
      </c>
      <c r="AC133" s="50"/>
      <c r="AD133" s="50"/>
      <c r="AE133" s="50"/>
      <c r="AF133" s="50"/>
      <c r="AG133" s="50"/>
      <c r="AH133" s="50"/>
      <c r="AI133" s="50"/>
      <c r="AJ133" s="50"/>
      <c r="AK133" s="50" t="s">
        <v>1740</v>
      </c>
      <c r="AL133" s="50"/>
      <c r="AM133" s="50"/>
      <c r="AN133" s="50"/>
      <c r="AO133" s="50"/>
      <c r="AP133" s="50"/>
      <c r="AQ133" s="50"/>
      <c r="AR133" s="50"/>
      <c r="AS133" s="50"/>
      <c r="AT133" s="50" t="str">
        <f aca="false">IFERROR(IF(AND(AN133&gt;0,J133&gt;0),ROUND(J133*1000/(AN133*0.2),0),""),"")</f>
        <v/>
      </c>
      <c r="AU133" s="50" t="str">
        <f aca="false">IFERROR(IF(AND(AQ133&gt;0,M133&gt;0),ROUND(M133*1000/(AQ133*0.3),0),""),"")</f>
        <v/>
      </c>
      <c r="AV133" s="50" t="str">
        <f aca="false">IFERROR(IF(AND(AM133&gt;0,O133&gt;0),ROUND(O133*1000/(AM133*0.1),0),""),"")</f>
        <v/>
      </c>
      <c r="AW133" s="50" t="str">
        <f aca="false">IFERROR(IF(AND(AP133&gt;0,N133&gt;0),ROUND(N133*1000/(AP133*0.25),0),""),"")</f>
        <v/>
      </c>
      <c r="AX133" s="50" t="str">
        <f aca="false">IFERROR(IF(AND(AO133&gt;0,Q133&gt;0),ROUND(Q133*1000/(AO133*1),0),""),"")</f>
        <v/>
      </c>
      <c r="AY133" s="51" t="n">
        <f aca="false">IFERROR(ifs(I133="Tier S",0.65,I133="Tier 1",0.55,I133="Tier 2",0.45,I133="Tier 3",0.35,I133="Tier 4",0.25),0.35)</f>
        <v>0.35</v>
      </c>
      <c r="AZ133" s="52" t="n">
        <v>1</v>
      </c>
      <c r="BA133" s="52" t="n">
        <v>1</v>
      </c>
      <c r="BB133" s="52" t="n">
        <v>1</v>
      </c>
      <c r="BC133" s="53" t="n">
        <f aca="false">IFERROR(ROUND(S133*AY133*BA133*BB133*AZ133,0),0)</f>
        <v>8470</v>
      </c>
      <c r="BD133" s="39" t="str">
        <f aca="false">IF(COUNT(AM133,AN133,AO133,AP133,AQ133,AR133,AS133)&gt;0,"estimated","pending")</f>
        <v>pending</v>
      </c>
      <c r="BE133" s="50"/>
    </row>
    <row r="134" customFormat="false" ht="15" hidden="false" customHeight="true" outlineLevel="0" collapsed="false">
      <c r="B134" s="58" t="n">
        <f aca="false">IF($C134="","",COUNTA($C$6:C134))</f>
        <v>129</v>
      </c>
      <c r="C134" s="58" t="s">
        <v>1741</v>
      </c>
      <c r="D134" s="58" t="s">
        <v>1439</v>
      </c>
      <c r="E134" s="58" t="s">
        <v>1123</v>
      </c>
      <c r="F134" s="58" t="s">
        <v>128</v>
      </c>
      <c r="G134" s="58" t="s">
        <v>1464</v>
      </c>
      <c r="H134" s="58" t="n">
        <v>0</v>
      </c>
      <c r="I134" s="59" t="s">
        <v>269</v>
      </c>
      <c r="J134" s="60" t="n">
        <v>0</v>
      </c>
      <c r="K134" s="60" t="n">
        <v>0</v>
      </c>
      <c r="L134" s="61" t="n">
        <f aca="false">IF(J134="","",ROUND(J134*0.17,0))</f>
        <v>0</v>
      </c>
      <c r="M134" s="60" t="n">
        <v>0</v>
      </c>
      <c r="N134" s="60" t="n">
        <v>0</v>
      </c>
      <c r="O134" s="60" t="n">
        <v>0</v>
      </c>
      <c r="P134" s="60" t="n">
        <v>0</v>
      </c>
      <c r="Q134" s="60" t="n">
        <v>0</v>
      </c>
      <c r="R134" s="60" t="n">
        <v>0</v>
      </c>
      <c r="S134" s="61" t="n">
        <f aca="false">IF(J134="","",ROUND(J134*2.2,0))</f>
        <v>0</v>
      </c>
      <c r="T134" s="60" t="n">
        <v>0</v>
      </c>
      <c r="U134" s="60" t="n">
        <v>0</v>
      </c>
      <c r="V134" s="60" t="n">
        <v>2000</v>
      </c>
      <c r="W134" s="60" t="n">
        <v>0</v>
      </c>
      <c r="X134" s="58" t="s">
        <v>1451</v>
      </c>
      <c r="Y134" s="49" t="n">
        <v>0.5</v>
      </c>
      <c r="Z134" s="49" t="n">
        <v>1</v>
      </c>
      <c r="AA134" s="50" t="s">
        <v>1742</v>
      </c>
      <c r="AB134" s="50"/>
      <c r="AC134" s="50"/>
      <c r="AD134" s="50"/>
      <c r="AE134" s="50"/>
      <c r="AF134" s="50"/>
      <c r="AG134" s="50"/>
      <c r="AH134" s="50"/>
      <c r="AI134" s="50"/>
      <c r="AJ134" s="50"/>
      <c r="AK134" s="50" t="s">
        <v>1743</v>
      </c>
      <c r="AL134" s="50"/>
      <c r="AM134" s="50"/>
      <c r="AN134" s="50"/>
      <c r="AO134" s="50"/>
      <c r="AP134" s="50"/>
      <c r="AQ134" s="50"/>
      <c r="AR134" s="50"/>
      <c r="AS134" s="50"/>
      <c r="AT134" s="50" t="str">
        <f aca="false">IFERROR(IF(AND(AN134&gt;0,J134&gt;0),ROUND(J134*1000/(AN134*0.2),0),""),"")</f>
        <v/>
      </c>
      <c r="AU134" s="50" t="str">
        <f aca="false">IFERROR(IF(AND(AQ134&gt;0,M134&gt;0),ROUND(M134*1000/(AQ134*0.3),0),""),"")</f>
        <v/>
      </c>
      <c r="AV134" s="50" t="str">
        <f aca="false">IFERROR(IF(AND(AM134&gt;0,O134&gt;0),ROUND(O134*1000/(AM134*0.1),0),""),"")</f>
        <v/>
      </c>
      <c r="AW134" s="50" t="str">
        <f aca="false">IFERROR(IF(AND(AP134&gt;0,N134&gt;0),ROUND(N134*1000/(AP134*0.25),0),""),"")</f>
        <v/>
      </c>
      <c r="AX134" s="50" t="str">
        <f aca="false">IFERROR(IF(AND(AO134&gt;0,Q134&gt;0),ROUND(Q134*1000/(AO134*1),0),""),"")</f>
        <v/>
      </c>
      <c r="AY134" s="51" t="n">
        <f aca="false">IFERROR(ifs(I134="Tier S",0.65,I134="Tier 1",0.55,I134="Tier 2",0.45,I134="Tier 3",0.35,I134="Tier 4",0.25),0.35)</f>
        <v>0.35</v>
      </c>
      <c r="AZ134" s="52" t="n">
        <v>1</v>
      </c>
      <c r="BA134" s="52" t="n">
        <v>1</v>
      </c>
      <c r="BB134" s="52" t="n">
        <v>1</v>
      </c>
      <c r="BC134" s="53" t="n">
        <f aca="false">IFERROR(ROUND(S134*AY134*BA134*BB134*AZ134,0),0)</f>
        <v>0</v>
      </c>
      <c r="BD134" s="39" t="str">
        <f aca="false">IF(COUNT(AM134,AN134,AO134,AP134,AQ134,AR134,AS134)&gt;0,"estimated","pending")</f>
        <v>pending</v>
      </c>
      <c r="BE134" s="50"/>
    </row>
    <row r="135" customFormat="false" ht="15" hidden="false" customHeight="true" outlineLevel="0" collapsed="false">
      <c r="B135" s="62" t="n">
        <f aca="false">IF($C135="","",COUNTA($C$6:C135))</f>
        <v>130</v>
      </c>
      <c r="C135" s="62" t="s">
        <v>1744</v>
      </c>
      <c r="D135" s="62" t="s">
        <v>1540</v>
      </c>
      <c r="E135" s="62" t="s">
        <v>1123</v>
      </c>
      <c r="F135" s="62" t="s">
        <v>128</v>
      </c>
      <c r="G135" s="62" t="s">
        <v>1745</v>
      </c>
      <c r="H135" s="62" t="n">
        <v>3</v>
      </c>
      <c r="I135" s="63" t="s">
        <v>337</v>
      </c>
      <c r="J135" s="64" t="n">
        <v>0</v>
      </c>
      <c r="K135" s="64" t="n">
        <v>0</v>
      </c>
      <c r="L135" s="65" t="n">
        <f aca="false">IF(J135="","",ROUND(J135*0.17,0))</f>
        <v>0</v>
      </c>
      <c r="M135" s="64" t="n">
        <v>0</v>
      </c>
      <c r="N135" s="64" t="n">
        <v>0</v>
      </c>
      <c r="O135" s="64" t="n">
        <v>0</v>
      </c>
      <c r="P135" s="64" t="n">
        <v>0</v>
      </c>
      <c r="Q135" s="64" t="n">
        <v>0</v>
      </c>
      <c r="R135" s="64" t="n">
        <v>0</v>
      </c>
      <c r="S135" s="65" t="n">
        <f aca="false">IF(J135="","",ROUND(J135*2.2,0))</f>
        <v>0</v>
      </c>
      <c r="T135" s="64" t="n">
        <v>0</v>
      </c>
      <c r="U135" s="64" t="n">
        <v>0</v>
      </c>
      <c r="V135" s="64" t="n">
        <v>1200</v>
      </c>
      <c r="W135" s="64" t="n">
        <v>0</v>
      </c>
      <c r="X135" s="62" t="s">
        <v>1383</v>
      </c>
      <c r="Y135" s="49" t="n">
        <v>0.75</v>
      </c>
      <c r="Z135" s="49" t="n">
        <v>1</v>
      </c>
      <c r="AA135" s="50" t="s">
        <v>1746</v>
      </c>
      <c r="AB135" s="50" t="s">
        <v>1747</v>
      </c>
      <c r="AC135" s="50" t="s">
        <v>1748</v>
      </c>
      <c r="AD135" s="50" t="s">
        <v>1749</v>
      </c>
      <c r="AE135" s="50"/>
      <c r="AF135" s="50"/>
      <c r="AG135" s="50"/>
      <c r="AH135" s="50"/>
      <c r="AI135" s="50"/>
      <c r="AJ135" s="50"/>
      <c r="AK135" s="50" t="s">
        <v>1750</v>
      </c>
      <c r="AL135" s="50"/>
      <c r="AM135" s="50"/>
      <c r="AN135" s="50"/>
      <c r="AO135" s="50"/>
      <c r="AP135" s="50"/>
      <c r="AQ135" s="50"/>
      <c r="AR135" s="50"/>
      <c r="AS135" s="50"/>
      <c r="AT135" s="50" t="str">
        <f aca="false">IFERROR(IF(AND(AN135&gt;0,J135&gt;0),ROUND(J135*1000/(AN135*0.2),0),""),"")</f>
        <v/>
      </c>
      <c r="AU135" s="50" t="str">
        <f aca="false">IFERROR(IF(AND(AQ135&gt;0,M135&gt;0),ROUND(M135*1000/(AQ135*0.3),0),""),"")</f>
        <v/>
      </c>
      <c r="AV135" s="50" t="str">
        <f aca="false">IFERROR(IF(AND(AM135&gt;0,O135&gt;0),ROUND(O135*1000/(AM135*0.1),0),""),"")</f>
        <v/>
      </c>
      <c r="AW135" s="50" t="str">
        <f aca="false">IFERROR(IF(AND(AP135&gt;0,N135&gt;0),ROUND(N135*1000/(AP135*0.25),0),""),"")</f>
        <v/>
      </c>
      <c r="AX135" s="50" t="str">
        <f aca="false">IFERROR(IF(AND(AO135&gt;0,Q135&gt;0),ROUND(Q135*1000/(AO135*1),0),""),"")</f>
        <v/>
      </c>
      <c r="AY135" s="51" t="n">
        <f aca="false">IFERROR(ifs(I135="Tier S",0.65,I135="Tier 1",0.55,I135="Tier 2",0.45,I135="Tier 3",0.35,I135="Tier 4",0.25),0.35)</f>
        <v>0.35</v>
      </c>
      <c r="AZ135" s="52" t="n">
        <v>1</v>
      </c>
      <c r="BA135" s="52" t="n">
        <v>1</v>
      </c>
      <c r="BB135" s="52" t="n">
        <v>1</v>
      </c>
      <c r="BC135" s="53" t="n">
        <f aca="false">IFERROR(ROUND(S135*AY135*BA135*BB135*AZ135,0),0)</f>
        <v>0</v>
      </c>
      <c r="BD135" s="39" t="str">
        <f aca="false">IF(COUNT(AM135,AN135,AO135,AP135,AQ135,AR135,AS135)&gt;0,"estimated","pending")</f>
        <v>pending</v>
      </c>
      <c r="BE135" s="50"/>
    </row>
    <row r="136" customFormat="false" ht="15" hidden="false" customHeight="true" outlineLevel="0" collapsed="false">
      <c r="B136" s="54" t="n">
        <f aca="false">IF($C136="","",COUNTA($C$6:C136))</f>
        <v>131</v>
      </c>
      <c r="C136" s="54" t="s">
        <v>1132</v>
      </c>
      <c r="D136" s="54" t="s">
        <v>208</v>
      </c>
      <c r="E136" s="54" t="s">
        <v>1123</v>
      </c>
      <c r="F136" s="54" t="s">
        <v>128</v>
      </c>
      <c r="G136" s="54" t="s">
        <v>1464</v>
      </c>
      <c r="H136" s="54" t="n">
        <v>3</v>
      </c>
      <c r="I136" s="55" t="s">
        <v>337</v>
      </c>
      <c r="J136" s="56" t="n">
        <v>11250</v>
      </c>
      <c r="K136" s="56" t="n">
        <v>4500</v>
      </c>
      <c r="L136" s="57" t="n">
        <f aca="false">IF(J136="","",ROUND(J136*0.17,0))</f>
        <v>1913</v>
      </c>
      <c r="M136" s="56" t="n">
        <v>8000</v>
      </c>
      <c r="N136" s="56" t="n">
        <v>3500</v>
      </c>
      <c r="O136" s="56" t="n">
        <v>2000</v>
      </c>
      <c r="P136" s="56" t="n">
        <v>2000</v>
      </c>
      <c r="Q136" s="56" t="n">
        <v>13500</v>
      </c>
      <c r="R136" s="56" t="n">
        <v>6075</v>
      </c>
      <c r="S136" s="57" t="n">
        <f aca="false">IF(J136="","",ROUND(J136*2.2,0))</f>
        <v>24750</v>
      </c>
      <c r="T136" s="56" t="n">
        <v>4638</v>
      </c>
      <c r="U136" s="56" t="n">
        <v>4063</v>
      </c>
      <c r="V136" s="56" t="n">
        <v>2438</v>
      </c>
      <c r="W136" s="56" t="n">
        <v>2400</v>
      </c>
      <c r="X136" s="54" t="s">
        <v>1383</v>
      </c>
      <c r="Y136" s="49" t="n">
        <v>0.75</v>
      </c>
      <c r="Z136" s="49" t="n">
        <v>1</v>
      </c>
      <c r="AA136" s="50" t="s">
        <v>1133</v>
      </c>
      <c r="AB136" s="50" t="s">
        <v>1135</v>
      </c>
      <c r="AC136" s="50" t="s">
        <v>1137</v>
      </c>
      <c r="AD136" s="50" t="s">
        <v>1139</v>
      </c>
      <c r="AE136" s="50"/>
      <c r="AF136" s="50"/>
      <c r="AG136" s="50"/>
      <c r="AH136" s="50"/>
      <c r="AI136" s="50"/>
      <c r="AJ136" s="50"/>
      <c r="AK136" s="50" t="s">
        <v>1751</v>
      </c>
      <c r="AL136" s="50" t="s">
        <v>1458</v>
      </c>
      <c r="AM136" s="50"/>
      <c r="AN136" s="50"/>
      <c r="AO136" s="50"/>
      <c r="AP136" s="50"/>
      <c r="AQ136" s="50"/>
      <c r="AR136" s="50"/>
      <c r="AS136" s="50"/>
      <c r="AT136" s="50" t="str">
        <f aca="false">IFERROR(IF(AND(AN136&gt;0,J136&gt;0),ROUND(J136*1000/(AN136*0.2),0),""),"")</f>
        <v/>
      </c>
      <c r="AU136" s="50" t="str">
        <f aca="false">IFERROR(IF(AND(AQ136&gt;0,M136&gt;0),ROUND(M136*1000/(AQ136*0.3),0),""),"")</f>
        <v/>
      </c>
      <c r="AV136" s="50" t="str">
        <f aca="false">IFERROR(IF(AND(AM136&gt;0,O136&gt;0),ROUND(O136*1000/(AM136*0.1),0),""),"")</f>
        <v/>
      </c>
      <c r="AW136" s="50" t="str">
        <f aca="false">IFERROR(IF(AND(AP136&gt;0,N136&gt;0),ROUND(N136*1000/(AP136*0.25),0),""),"")</f>
        <v/>
      </c>
      <c r="AX136" s="50" t="str">
        <f aca="false">IFERROR(IF(AND(AO136&gt;0,Q136&gt;0),ROUND(Q136*1000/(AO136*1),0),""),"")</f>
        <v/>
      </c>
      <c r="AY136" s="51" t="n">
        <f aca="false">IFERROR(ifs(I136="Tier S",0.65,I136="Tier 1",0.55,I136="Tier 2",0.45,I136="Tier 3",0.35,I136="Tier 4",0.25),0.35)</f>
        <v>0.35</v>
      </c>
      <c r="AZ136" s="52" t="n">
        <v>1</v>
      </c>
      <c r="BA136" s="52" t="n">
        <v>1</v>
      </c>
      <c r="BB136" s="52" t="n">
        <v>1</v>
      </c>
      <c r="BC136" s="53" t="n">
        <f aca="false">IFERROR(ROUND(S136*AY136*BA136*BB136*AZ136,0),0)</f>
        <v>8663</v>
      </c>
      <c r="BD136" s="39" t="str">
        <f aca="false">IF(COUNT(AM136,AN136,AO136,AP136,AQ136,AR136,AS136)&gt;0,"estimated","pending")</f>
        <v>pending</v>
      </c>
      <c r="BE136" s="50"/>
    </row>
    <row r="137" customFormat="false" ht="15" hidden="false" customHeight="true" outlineLevel="0" collapsed="false">
      <c r="B137" s="54" t="n">
        <f aca="false">IF($C137="","",COUNTA($C$6:C137))</f>
        <v>132</v>
      </c>
      <c r="C137" s="54" t="s">
        <v>1150</v>
      </c>
      <c r="D137" s="54" t="s">
        <v>208</v>
      </c>
      <c r="E137" s="54" t="s">
        <v>1123</v>
      </c>
      <c r="F137" s="54" t="s">
        <v>128</v>
      </c>
      <c r="G137" s="54" t="s">
        <v>1752</v>
      </c>
      <c r="H137" s="54" t="n">
        <v>1</v>
      </c>
      <c r="I137" s="55" t="s">
        <v>337</v>
      </c>
      <c r="J137" s="56" t="n">
        <v>20700</v>
      </c>
      <c r="K137" s="56" t="n">
        <v>8700</v>
      </c>
      <c r="L137" s="57" t="n">
        <f aca="false">IF(J137="","",ROUND(J137*0.17,0))</f>
        <v>3519</v>
      </c>
      <c r="M137" s="56" t="n">
        <v>16150</v>
      </c>
      <c r="N137" s="56" t="n">
        <v>6600</v>
      </c>
      <c r="O137" s="56" t="n">
        <v>4150</v>
      </c>
      <c r="P137" s="56" t="n">
        <v>4150</v>
      </c>
      <c r="Q137" s="56" t="n">
        <v>30000</v>
      </c>
      <c r="R137" s="56" t="n">
        <v>13450</v>
      </c>
      <c r="S137" s="57" t="n">
        <f aca="false">IF(J137="","",ROUND(J137*2.2,0))</f>
        <v>45540</v>
      </c>
      <c r="T137" s="56" t="n">
        <v>7250</v>
      </c>
      <c r="U137" s="56" t="n">
        <v>6200</v>
      </c>
      <c r="V137" s="56" t="n">
        <v>3750</v>
      </c>
      <c r="W137" s="56" t="n">
        <v>2400</v>
      </c>
      <c r="X137" s="54" t="s">
        <v>1434</v>
      </c>
      <c r="Y137" s="49" t="n">
        <v>0.75</v>
      </c>
      <c r="Z137" s="49" t="n">
        <v>1</v>
      </c>
      <c r="AA137" s="50" t="s">
        <v>1151</v>
      </c>
      <c r="AB137" s="50" t="s">
        <v>1153</v>
      </c>
      <c r="AC137" s="50"/>
      <c r="AD137" s="50"/>
      <c r="AE137" s="50"/>
      <c r="AF137" s="50"/>
      <c r="AG137" s="50"/>
      <c r="AH137" s="50"/>
      <c r="AI137" s="50"/>
      <c r="AJ137" s="50"/>
      <c r="AK137" s="50" t="s">
        <v>1753</v>
      </c>
      <c r="AL137" s="50" t="s">
        <v>1754</v>
      </c>
      <c r="AM137" s="50"/>
      <c r="AN137" s="50"/>
      <c r="AO137" s="50"/>
      <c r="AP137" s="50"/>
      <c r="AQ137" s="50"/>
      <c r="AR137" s="50"/>
      <c r="AS137" s="50"/>
      <c r="AT137" s="50" t="str">
        <f aca="false">IFERROR(IF(AND(AN137&gt;0,J137&gt;0),ROUND(J137*1000/(AN137*0.2),0),""),"")</f>
        <v/>
      </c>
      <c r="AU137" s="50" t="str">
        <f aca="false">IFERROR(IF(AND(AQ137&gt;0,M137&gt;0),ROUND(M137*1000/(AQ137*0.3),0),""),"")</f>
        <v/>
      </c>
      <c r="AV137" s="50" t="str">
        <f aca="false">IFERROR(IF(AND(AM137&gt;0,O137&gt;0),ROUND(O137*1000/(AM137*0.1),0),""),"")</f>
        <v/>
      </c>
      <c r="AW137" s="50" t="str">
        <f aca="false">IFERROR(IF(AND(AP137&gt;0,N137&gt;0),ROUND(N137*1000/(AP137*0.25),0),""),"")</f>
        <v/>
      </c>
      <c r="AX137" s="50" t="str">
        <f aca="false">IFERROR(IF(AND(AO137&gt;0,Q137&gt;0),ROUND(Q137*1000/(AO137*1),0),""),"")</f>
        <v/>
      </c>
      <c r="AY137" s="51" t="n">
        <f aca="false">IFERROR(ifs(I137="Tier S",0.65,I137="Tier 1",0.55,I137="Tier 2",0.45,I137="Tier 3",0.35,I137="Tier 4",0.25),0.35)</f>
        <v>0.35</v>
      </c>
      <c r="AZ137" s="52" t="n">
        <v>1</v>
      </c>
      <c r="BA137" s="52" t="n">
        <v>1</v>
      </c>
      <c r="BB137" s="52" t="n">
        <v>1</v>
      </c>
      <c r="BC137" s="53" t="n">
        <f aca="false">IFERROR(ROUND(S137*AY137*BA137*BB137*AZ137,0),0)</f>
        <v>15939</v>
      </c>
      <c r="BD137" s="39" t="str">
        <f aca="false">IF(COUNT(AM137,AN137,AO137,AP137,AQ137,AR137,AS137)&gt;0,"estimated","pending")</f>
        <v>pending</v>
      </c>
      <c r="BE137" s="50"/>
    </row>
    <row r="138" customFormat="false" ht="15" hidden="false" customHeight="true" outlineLevel="0" collapsed="false">
      <c r="B138" s="62" t="n">
        <f aca="false">IF($C138="","",COUNTA($C$6:C138))</f>
        <v>133</v>
      </c>
      <c r="C138" s="62" t="s">
        <v>1755</v>
      </c>
      <c r="D138" s="62" t="s">
        <v>1478</v>
      </c>
      <c r="E138" s="62" t="s">
        <v>1123</v>
      </c>
      <c r="F138" s="62" t="s">
        <v>128</v>
      </c>
      <c r="G138" s="62" t="s">
        <v>1464</v>
      </c>
      <c r="H138" s="62" t="n">
        <v>1</v>
      </c>
      <c r="I138" s="63" t="s">
        <v>337</v>
      </c>
      <c r="J138" s="64" t="n">
        <v>11000</v>
      </c>
      <c r="K138" s="64" t="n">
        <v>4600</v>
      </c>
      <c r="L138" s="65" t="n">
        <f aca="false">IF(J138="","",ROUND(J138*0.17,0))</f>
        <v>1870</v>
      </c>
      <c r="M138" s="64" t="n">
        <v>8600</v>
      </c>
      <c r="N138" s="64" t="n">
        <v>3500</v>
      </c>
      <c r="O138" s="64" t="n">
        <v>2200</v>
      </c>
      <c r="P138" s="64" t="n">
        <v>0</v>
      </c>
      <c r="Q138" s="64" t="n">
        <v>15950</v>
      </c>
      <c r="R138" s="64" t="n">
        <v>7150</v>
      </c>
      <c r="S138" s="65" t="n">
        <f aca="false">IF(J138="","",ROUND(J138*2.2,0))</f>
        <v>24200</v>
      </c>
      <c r="T138" s="64" t="n">
        <v>3850</v>
      </c>
      <c r="U138" s="64" t="n">
        <v>3300</v>
      </c>
      <c r="V138" s="64" t="n">
        <v>2000</v>
      </c>
      <c r="W138" s="64" t="n">
        <v>0</v>
      </c>
      <c r="X138" s="62" t="s">
        <v>1434</v>
      </c>
      <c r="Y138" s="49" t="n">
        <v>0.75</v>
      </c>
      <c r="Z138" s="49" t="n">
        <v>1</v>
      </c>
      <c r="AA138" s="50" t="s">
        <v>1756</v>
      </c>
      <c r="AB138" s="50" t="s">
        <v>1757</v>
      </c>
      <c r="AC138" s="50"/>
      <c r="AD138" s="50"/>
      <c r="AE138" s="50"/>
      <c r="AF138" s="50"/>
      <c r="AG138" s="50"/>
      <c r="AH138" s="50"/>
      <c r="AI138" s="50"/>
      <c r="AJ138" s="50"/>
      <c r="AK138" s="50" t="s">
        <v>1758</v>
      </c>
      <c r="AL138" s="50"/>
      <c r="AM138" s="50"/>
      <c r="AN138" s="50"/>
      <c r="AO138" s="50"/>
      <c r="AP138" s="50"/>
      <c r="AQ138" s="50"/>
      <c r="AR138" s="50"/>
      <c r="AS138" s="50"/>
      <c r="AT138" s="50" t="str">
        <f aca="false">IFERROR(IF(AND(AN138&gt;0,J138&gt;0),ROUND(J138*1000/(AN138*0.2),0),""),"")</f>
        <v/>
      </c>
      <c r="AU138" s="50" t="str">
        <f aca="false">IFERROR(IF(AND(AQ138&gt;0,M138&gt;0),ROUND(M138*1000/(AQ138*0.3),0),""),"")</f>
        <v/>
      </c>
      <c r="AV138" s="50" t="str">
        <f aca="false">IFERROR(IF(AND(AM138&gt;0,O138&gt;0),ROUND(O138*1000/(AM138*0.1),0),""),"")</f>
        <v/>
      </c>
      <c r="AW138" s="50" t="str">
        <f aca="false">IFERROR(IF(AND(AP138&gt;0,N138&gt;0),ROUND(N138*1000/(AP138*0.25),0),""),"")</f>
        <v/>
      </c>
      <c r="AX138" s="50" t="str">
        <f aca="false">IFERROR(IF(AND(AO138&gt;0,Q138&gt;0),ROUND(Q138*1000/(AO138*1),0),""),"")</f>
        <v/>
      </c>
      <c r="AY138" s="51" t="n">
        <f aca="false">IFERROR(ifs(I138="Tier S",0.65,I138="Tier 1",0.55,I138="Tier 2",0.45,I138="Tier 3",0.35,I138="Tier 4",0.25),0.35)</f>
        <v>0.35</v>
      </c>
      <c r="AZ138" s="52" t="n">
        <v>1</v>
      </c>
      <c r="BA138" s="52" t="n">
        <v>1</v>
      </c>
      <c r="BB138" s="52" t="n">
        <v>1</v>
      </c>
      <c r="BC138" s="53" t="n">
        <f aca="false">IFERROR(ROUND(S138*AY138*BA138*BB138*AZ138,0),0)</f>
        <v>8470</v>
      </c>
      <c r="BD138" s="39" t="str">
        <f aca="false">IF(COUNT(AM138,AN138,AO138,AP138,AQ138,AR138,AS138)&gt;0,"estimated","pending")</f>
        <v>pending</v>
      </c>
      <c r="BE138" s="50"/>
    </row>
    <row r="139" customFormat="false" ht="15" hidden="false" customHeight="true" outlineLevel="0" collapsed="false">
      <c r="B139" s="54" t="n">
        <f aca="false">IF($C139="","",COUNTA($C$6:C139))</f>
        <v>134</v>
      </c>
      <c r="C139" s="54" t="s">
        <v>1154</v>
      </c>
      <c r="D139" s="54" t="s">
        <v>208</v>
      </c>
      <c r="E139" s="54" t="s">
        <v>1123</v>
      </c>
      <c r="F139" s="54" t="s">
        <v>128</v>
      </c>
      <c r="G139" s="54" t="s">
        <v>1534</v>
      </c>
      <c r="H139" s="54" t="n">
        <v>4</v>
      </c>
      <c r="I139" s="55" t="s">
        <v>269</v>
      </c>
      <c r="J139" s="56" t="n">
        <v>15000</v>
      </c>
      <c r="K139" s="56" t="n">
        <v>6750</v>
      </c>
      <c r="L139" s="57" t="n">
        <f aca="false">IF(J139="","",ROUND(J139*0.17,0))</f>
        <v>2550</v>
      </c>
      <c r="M139" s="56" t="n">
        <v>11000</v>
      </c>
      <c r="N139" s="56" t="n">
        <v>5000</v>
      </c>
      <c r="O139" s="56" t="n">
        <v>3200</v>
      </c>
      <c r="P139" s="56" t="n">
        <v>3200</v>
      </c>
      <c r="Q139" s="56" t="n">
        <v>19500</v>
      </c>
      <c r="R139" s="56" t="n">
        <v>8775</v>
      </c>
      <c r="S139" s="57" t="n">
        <f aca="false">IF(J139="","",ROUND(J139*2.2,0))</f>
        <v>33000</v>
      </c>
      <c r="T139" s="56" t="n">
        <v>6800</v>
      </c>
      <c r="U139" s="56" t="n">
        <v>5950</v>
      </c>
      <c r="V139" s="56" t="n">
        <v>3570</v>
      </c>
      <c r="W139" s="56" t="n">
        <v>2400</v>
      </c>
      <c r="X139" s="54" t="s">
        <v>1369</v>
      </c>
      <c r="Y139" s="49" t="n">
        <v>0.75</v>
      </c>
      <c r="Z139" s="49" t="n">
        <v>1</v>
      </c>
      <c r="AA139" s="50" t="s">
        <v>1155</v>
      </c>
      <c r="AB139" s="50" t="s">
        <v>1157</v>
      </c>
      <c r="AC139" s="50" t="s">
        <v>1159</v>
      </c>
      <c r="AD139" s="50" t="s">
        <v>1160</v>
      </c>
      <c r="AE139" s="50" t="s">
        <v>1162</v>
      </c>
      <c r="AF139" s="50"/>
      <c r="AG139" s="50"/>
      <c r="AH139" s="50"/>
      <c r="AI139" s="50"/>
      <c r="AJ139" s="50"/>
      <c r="AK139" s="50" t="s">
        <v>1759</v>
      </c>
      <c r="AL139" s="50" t="s">
        <v>1760</v>
      </c>
      <c r="AM139" s="50"/>
      <c r="AN139" s="50"/>
      <c r="AO139" s="50"/>
      <c r="AP139" s="50"/>
      <c r="AQ139" s="50"/>
      <c r="AR139" s="50"/>
      <c r="AS139" s="50"/>
      <c r="AT139" s="50" t="str">
        <f aca="false">IFERROR(IF(AND(AN139&gt;0,J139&gt;0),ROUND(J139*1000/(AN139*0.2),0),""),"")</f>
        <v/>
      </c>
      <c r="AU139" s="50" t="str">
        <f aca="false">IFERROR(IF(AND(AQ139&gt;0,M139&gt;0),ROUND(M139*1000/(AQ139*0.3),0),""),"")</f>
        <v/>
      </c>
      <c r="AV139" s="50" t="str">
        <f aca="false">IFERROR(IF(AND(AM139&gt;0,O139&gt;0),ROUND(O139*1000/(AM139*0.1),0),""),"")</f>
        <v/>
      </c>
      <c r="AW139" s="50" t="str">
        <f aca="false">IFERROR(IF(AND(AP139&gt;0,N139&gt;0),ROUND(N139*1000/(AP139*0.25),0),""),"")</f>
        <v/>
      </c>
      <c r="AX139" s="50" t="str">
        <f aca="false">IFERROR(IF(AND(AO139&gt;0,Q139&gt;0),ROUND(Q139*1000/(AO139*1),0),""),"")</f>
        <v/>
      </c>
      <c r="AY139" s="51" t="n">
        <f aca="false">IFERROR(ifs(I139="Tier S",0.65,I139="Tier 1",0.55,I139="Tier 2",0.45,I139="Tier 3",0.35,I139="Tier 4",0.25),0.35)</f>
        <v>0.35</v>
      </c>
      <c r="AZ139" s="52" t="n">
        <v>1</v>
      </c>
      <c r="BA139" s="52" t="n">
        <v>1</v>
      </c>
      <c r="BB139" s="52" t="n">
        <v>1</v>
      </c>
      <c r="BC139" s="53" t="n">
        <f aca="false">IFERROR(ROUND(S139*AY139*BA139*BB139*AZ139,0),0)</f>
        <v>11550</v>
      </c>
      <c r="BD139" s="39" t="str">
        <f aca="false">IF(COUNT(AM139,AN139,AO139,AP139,AQ139,AR139,AS139)&gt;0,"estimated","pending")</f>
        <v>pending</v>
      </c>
      <c r="BE139" s="50"/>
    </row>
    <row r="140" customFormat="false" ht="15" hidden="false" customHeight="true" outlineLevel="0" collapsed="false">
      <c r="B140" s="58" t="n">
        <f aca="false">IF($C140="","",COUNTA($C$6:C140))</f>
        <v>135</v>
      </c>
      <c r="C140" s="58" t="s">
        <v>1741</v>
      </c>
      <c r="D140" s="58" t="s">
        <v>1439</v>
      </c>
      <c r="E140" s="58" t="s">
        <v>1123</v>
      </c>
      <c r="F140" s="58" t="s">
        <v>128</v>
      </c>
      <c r="G140" s="58" t="s">
        <v>1464</v>
      </c>
      <c r="H140" s="58" t="n">
        <v>0</v>
      </c>
      <c r="I140" s="59" t="s">
        <v>1357</v>
      </c>
      <c r="J140" s="60" t="n">
        <v>20700</v>
      </c>
      <c r="K140" s="60" t="n">
        <v>8700</v>
      </c>
      <c r="L140" s="61" t="n">
        <f aca="false">IF(J140="","",ROUND(J140*0.17,0))</f>
        <v>3519</v>
      </c>
      <c r="M140" s="60" t="n">
        <v>16150</v>
      </c>
      <c r="N140" s="60" t="n">
        <v>6600</v>
      </c>
      <c r="O140" s="60" t="n">
        <v>4150</v>
      </c>
      <c r="P140" s="60" t="n">
        <v>0</v>
      </c>
      <c r="Q140" s="60" t="n">
        <v>30000</v>
      </c>
      <c r="R140" s="60" t="n">
        <v>13450</v>
      </c>
      <c r="S140" s="61" t="n">
        <f aca="false">IF(J140="","",ROUND(J140*2.2,0))</f>
        <v>45540</v>
      </c>
      <c r="T140" s="60" t="n">
        <v>7250</v>
      </c>
      <c r="U140" s="60" t="n">
        <v>6200</v>
      </c>
      <c r="V140" s="60" t="n">
        <v>3750</v>
      </c>
      <c r="W140" s="60" t="n">
        <v>0</v>
      </c>
      <c r="X140" s="58" t="s">
        <v>1451</v>
      </c>
      <c r="Y140" s="49" t="n">
        <v>0.5</v>
      </c>
      <c r="Z140" s="49" t="n">
        <v>1</v>
      </c>
      <c r="AA140" s="50" t="s">
        <v>1742</v>
      </c>
      <c r="AB140" s="50"/>
      <c r="AC140" s="50"/>
      <c r="AD140" s="50"/>
      <c r="AE140" s="50"/>
      <c r="AF140" s="50"/>
      <c r="AG140" s="50"/>
      <c r="AH140" s="50"/>
      <c r="AI140" s="50"/>
      <c r="AJ140" s="50"/>
      <c r="AK140" s="50" t="s">
        <v>1743</v>
      </c>
      <c r="AL140" s="50"/>
      <c r="AM140" s="50"/>
      <c r="AN140" s="50"/>
      <c r="AO140" s="50"/>
      <c r="AP140" s="50"/>
      <c r="AQ140" s="50"/>
      <c r="AR140" s="50"/>
      <c r="AS140" s="50"/>
      <c r="AT140" s="50" t="str">
        <f aca="false">IFERROR(IF(AND(AN140&gt;0,J140&gt;0),ROUND(J140*1000/(AN140*0.2),0),""),"")</f>
        <v/>
      </c>
      <c r="AU140" s="50" t="str">
        <f aca="false">IFERROR(IF(AND(AQ140&gt;0,M140&gt;0),ROUND(M140*1000/(AQ140*0.3),0),""),"")</f>
        <v/>
      </c>
      <c r="AV140" s="50" t="str">
        <f aca="false">IFERROR(IF(AND(AM140&gt;0,O140&gt;0),ROUND(O140*1000/(AM140*0.1),0),""),"")</f>
        <v/>
      </c>
      <c r="AW140" s="50" t="str">
        <f aca="false">IFERROR(IF(AND(AP140&gt;0,N140&gt;0),ROUND(N140*1000/(AP140*0.25),0),""),"")</f>
        <v/>
      </c>
      <c r="AX140" s="50" t="str">
        <f aca="false">IFERROR(IF(AND(AO140&gt;0,Q140&gt;0),ROUND(Q140*1000/(AO140*1),0),""),"")</f>
        <v/>
      </c>
      <c r="AY140" s="51" t="n">
        <f aca="false">IFERROR(ifs(I140="Tier S",0.65,I140="Tier 1",0.55,I140="Tier 2",0.45,I140="Tier 3",0.35,I140="Tier 4",0.25),0.35)</f>
        <v>0.35</v>
      </c>
      <c r="AZ140" s="52" t="n">
        <v>1</v>
      </c>
      <c r="BA140" s="52" t="n">
        <v>1</v>
      </c>
      <c r="BB140" s="52" t="n">
        <v>1</v>
      </c>
      <c r="BC140" s="53" t="n">
        <f aca="false">IFERROR(ROUND(S140*AY140*BA140*BB140*AZ140,0),0)</f>
        <v>15939</v>
      </c>
      <c r="BD140" s="39" t="str">
        <f aca="false">IF(COUNT(AM140,AN140,AO140,AP140,AQ140,AR140,AS140)&gt;0,"estimated","pending")</f>
        <v>pending</v>
      </c>
      <c r="BE140" s="50"/>
    </row>
    <row r="141" customFormat="false" ht="15" hidden="false" customHeight="true" outlineLevel="0" collapsed="false">
      <c r="B141" s="58" t="n">
        <f aca="false">IF($C141="","",COUNTA($C$6:C141))</f>
        <v>136</v>
      </c>
      <c r="C141" s="58" t="s">
        <v>1761</v>
      </c>
      <c r="D141" s="58" t="s">
        <v>1439</v>
      </c>
      <c r="E141" s="58" t="s">
        <v>1163</v>
      </c>
      <c r="F141" s="58" t="s">
        <v>128</v>
      </c>
      <c r="G141" s="58" t="s">
        <v>1356</v>
      </c>
      <c r="H141" s="58" t="n">
        <v>1</v>
      </c>
      <c r="I141" s="59" t="s">
        <v>1357</v>
      </c>
      <c r="J141" s="60" t="n">
        <v>0</v>
      </c>
      <c r="K141" s="60" t="n">
        <v>0</v>
      </c>
      <c r="L141" s="61" t="n">
        <f aca="false">IF(J141="","",ROUND(J141*0.17,0))</f>
        <v>0</v>
      </c>
      <c r="M141" s="60" t="n">
        <v>0</v>
      </c>
      <c r="N141" s="60" t="n">
        <v>0</v>
      </c>
      <c r="O141" s="60" t="n">
        <v>0</v>
      </c>
      <c r="P141" s="60" t="n">
        <v>0</v>
      </c>
      <c r="Q141" s="60" t="n">
        <v>0</v>
      </c>
      <c r="R141" s="60" t="n">
        <v>0</v>
      </c>
      <c r="S141" s="61" t="n">
        <f aca="false">IF(J141="","",ROUND(J141*2.2,0))</f>
        <v>0</v>
      </c>
      <c r="T141" s="60" t="n">
        <v>0</v>
      </c>
      <c r="U141" s="60" t="n">
        <v>0</v>
      </c>
      <c r="V141" s="60" t="n">
        <v>600</v>
      </c>
      <c r="W141" s="60" t="n">
        <v>0</v>
      </c>
      <c r="X141" s="58" t="s">
        <v>1434</v>
      </c>
      <c r="Y141" s="49" t="n">
        <v>0.3</v>
      </c>
      <c r="Z141" s="49" t="n">
        <v>1</v>
      </c>
      <c r="AA141" s="50" t="s">
        <v>1762</v>
      </c>
      <c r="AB141" s="50" t="s">
        <v>1763</v>
      </c>
      <c r="AC141" s="50"/>
      <c r="AD141" s="50"/>
      <c r="AE141" s="50"/>
      <c r="AF141" s="50"/>
      <c r="AG141" s="50"/>
      <c r="AH141" s="50"/>
      <c r="AI141" s="50"/>
      <c r="AJ141" s="50"/>
      <c r="AK141" s="50" t="s">
        <v>1764</v>
      </c>
      <c r="AL141" s="50"/>
      <c r="AM141" s="50"/>
      <c r="AN141" s="50"/>
      <c r="AO141" s="50"/>
      <c r="AP141" s="50"/>
      <c r="AQ141" s="50"/>
      <c r="AR141" s="50"/>
      <c r="AS141" s="50"/>
      <c r="AT141" s="50" t="str">
        <f aca="false">IFERROR(IF(AND(AN141&gt;0,J141&gt;0),ROUND(J141*1000/(AN141*0.2),0),""),"")</f>
        <v/>
      </c>
      <c r="AU141" s="50" t="str">
        <f aca="false">IFERROR(IF(AND(AQ141&gt;0,M141&gt;0),ROUND(M141*1000/(AQ141*0.3),0),""),"")</f>
        <v/>
      </c>
      <c r="AV141" s="50" t="str">
        <f aca="false">IFERROR(IF(AND(AM141&gt;0,O141&gt;0),ROUND(O141*1000/(AM141*0.1),0),""),"")</f>
        <v/>
      </c>
      <c r="AW141" s="50" t="str">
        <f aca="false">IFERROR(IF(AND(AP141&gt;0,N141&gt;0),ROUND(N141*1000/(AP141*0.25),0),""),"")</f>
        <v/>
      </c>
      <c r="AX141" s="50" t="str">
        <f aca="false">IFERROR(IF(AND(AO141&gt;0,Q141&gt;0),ROUND(Q141*1000/(AO141*1),0),""),"")</f>
        <v/>
      </c>
      <c r="AY141" s="51" t="n">
        <f aca="false">IFERROR(ifs(I141="Tier S",0.65,I141="Tier 1",0.55,I141="Tier 2",0.45,I141="Tier 3",0.35,I141="Tier 4",0.25),0.35)</f>
        <v>0.35</v>
      </c>
      <c r="AZ141" s="52" t="n">
        <v>1</v>
      </c>
      <c r="BA141" s="52" t="n">
        <v>1</v>
      </c>
      <c r="BB141" s="52" t="n">
        <v>1</v>
      </c>
      <c r="BC141" s="53" t="n">
        <f aca="false">IFERROR(ROUND(S141*AY141*BA141*BB141*AZ141,0),0)</f>
        <v>0</v>
      </c>
      <c r="BD141" s="39" t="str">
        <f aca="false">IF(COUNT(AM141,AN141,AO141,AP141,AQ141,AR141,AS141)&gt;0,"estimated","pending")</f>
        <v>pending</v>
      </c>
      <c r="BE141" s="50"/>
    </row>
    <row r="142" customFormat="false" ht="15" hidden="false" customHeight="true" outlineLevel="0" collapsed="false">
      <c r="B142" s="62" t="n">
        <f aca="false">IF($C142="","",COUNTA($C$6:C142))</f>
        <v>137</v>
      </c>
      <c r="C142" s="62" t="s">
        <v>1765</v>
      </c>
      <c r="D142" s="62" t="s">
        <v>1478</v>
      </c>
      <c r="E142" s="62" t="s">
        <v>1163</v>
      </c>
      <c r="F142" s="62" t="s">
        <v>128</v>
      </c>
      <c r="G142" s="62" t="s">
        <v>1356</v>
      </c>
      <c r="H142" s="62" t="n">
        <v>1</v>
      </c>
      <c r="I142" s="63" t="s">
        <v>337</v>
      </c>
      <c r="J142" s="64" t="n">
        <v>0</v>
      </c>
      <c r="K142" s="64" t="n">
        <v>0</v>
      </c>
      <c r="L142" s="65" t="n">
        <f aca="false">IF(J142="","",ROUND(J142*0.17,0))</f>
        <v>0</v>
      </c>
      <c r="M142" s="64" t="n">
        <v>0</v>
      </c>
      <c r="N142" s="64" t="n">
        <v>0</v>
      </c>
      <c r="O142" s="64" t="n">
        <v>0</v>
      </c>
      <c r="P142" s="64" t="n">
        <v>0</v>
      </c>
      <c r="Q142" s="64" t="n">
        <v>0</v>
      </c>
      <c r="R142" s="64" t="n">
        <v>0</v>
      </c>
      <c r="S142" s="65" t="n">
        <f aca="false">IF(J142="","",ROUND(J142*2.2,0))</f>
        <v>0</v>
      </c>
      <c r="T142" s="64" t="n">
        <v>0</v>
      </c>
      <c r="U142" s="64" t="n">
        <v>0</v>
      </c>
      <c r="V142" s="64" t="n">
        <v>1200</v>
      </c>
      <c r="W142" s="64" t="n">
        <v>0</v>
      </c>
      <c r="X142" s="62" t="s">
        <v>1434</v>
      </c>
      <c r="Y142" s="49" t="n">
        <v>0.3</v>
      </c>
      <c r="Z142" s="49" t="n">
        <v>1</v>
      </c>
      <c r="AA142" s="50" t="s">
        <v>1766</v>
      </c>
      <c r="AB142" s="50" t="s">
        <v>1767</v>
      </c>
      <c r="AC142" s="50" t="s">
        <v>1768</v>
      </c>
      <c r="AD142" s="50"/>
      <c r="AE142" s="50"/>
      <c r="AF142" s="50"/>
      <c r="AG142" s="50"/>
      <c r="AH142" s="50"/>
      <c r="AI142" s="50"/>
      <c r="AJ142" s="50"/>
      <c r="AK142" s="50" t="s">
        <v>1769</v>
      </c>
      <c r="AL142" s="50"/>
      <c r="AM142" s="50"/>
      <c r="AN142" s="50"/>
      <c r="AO142" s="50"/>
      <c r="AP142" s="50"/>
      <c r="AQ142" s="50"/>
      <c r="AR142" s="50"/>
      <c r="AS142" s="50"/>
      <c r="AT142" s="50" t="str">
        <f aca="false">IFERROR(IF(AND(AN142&gt;0,J142&gt;0),ROUND(J142*1000/(AN142*0.2),0),""),"")</f>
        <v/>
      </c>
      <c r="AU142" s="50" t="str">
        <f aca="false">IFERROR(IF(AND(AQ142&gt;0,M142&gt;0),ROUND(M142*1000/(AQ142*0.3),0),""),"")</f>
        <v/>
      </c>
      <c r="AV142" s="50" t="str">
        <f aca="false">IFERROR(IF(AND(AM142&gt;0,O142&gt;0),ROUND(O142*1000/(AM142*0.1),0),""),"")</f>
        <v/>
      </c>
      <c r="AW142" s="50" t="str">
        <f aca="false">IFERROR(IF(AND(AP142&gt;0,N142&gt;0),ROUND(N142*1000/(AP142*0.25),0),""),"")</f>
        <v/>
      </c>
      <c r="AX142" s="50" t="str">
        <f aca="false">IFERROR(IF(AND(AO142&gt;0,Q142&gt;0),ROUND(Q142*1000/(AO142*1),0),""),"")</f>
        <v/>
      </c>
      <c r="AY142" s="51" t="n">
        <f aca="false">IFERROR(ifs(I142="Tier S",0.65,I142="Tier 1",0.55,I142="Tier 2",0.45,I142="Tier 3",0.35,I142="Tier 4",0.25),0.35)</f>
        <v>0.35</v>
      </c>
      <c r="AZ142" s="52" t="n">
        <v>1</v>
      </c>
      <c r="BA142" s="52" t="n">
        <v>1</v>
      </c>
      <c r="BB142" s="52" t="n">
        <v>1</v>
      </c>
      <c r="BC142" s="53" t="n">
        <f aca="false">IFERROR(ROUND(S142*AY142*BA142*BB142*AZ142,0),0)</f>
        <v>0</v>
      </c>
      <c r="BD142" s="39" t="str">
        <f aca="false">IF(COUNT(AM142,AN142,AO142,AP142,AQ142,AR142,AS142)&gt;0,"estimated","pending")</f>
        <v>pending</v>
      </c>
      <c r="BE142" s="50"/>
    </row>
    <row r="143" customFormat="false" ht="15" hidden="false" customHeight="true" outlineLevel="0" collapsed="false">
      <c r="B143" s="54" t="n">
        <f aca="false">IF($C143="","",COUNTA($C$6:C143))</f>
        <v>138</v>
      </c>
      <c r="C143" s="54" t="s">
        <v>1164</v>
      </c>
      <c r="D143" s="54" t="s">
        <v>208</v>
      </c>
      <c r="E143" s="54" t="s">
        <v>1163</v>
      </c>
      <c r="F143" s="54" t="s">
        <v>128</v>
      </c>
      <c r="G143" s="54" t="s">
        <v>1770</v>
      </c>
      <c r="H143" s="54" t="n">
        <v>2</v>
      </c>
      <c r="I143" s="55" t="s">
        <v>337</v>
      </c>
      <c r="J143" s="56" t="n">
        <v>11250</v>
      </c>
      <c r="K143" s="56" t="n">
        <v>4500</v>
      </c>
      <c r="L143" s="57" t="n">
        <f aca="false">IF(J143="","",ROUND(J143*0.17,0))</f>
        <v>1913</v>
      </c>
      <c r="M143" s="56" t="n">
        <v>8000</v>
      </c>
      <c r="N143" s="56" t="n">
        <v>3500</v>
      </c>
      <c r="O143" s="56" t="n">
        <v>2000</v>
      </c>
      <c r="P143" s="56" t="n">
        <v>2000</v>
      </c>
      <c r="Q143" s="56" t="n">
        <v>13500</v>
      </c>
      <c r="R143" s="56" t="n">
        <v>6075</v>
      </c>
      <c r="S143" s="57" t="n">
        <f aca="false">IF(J143="","",ROUND(J143*2.2,0))</f>
        <v>24750</v>
      </c>
      <c r="T143" s="56" t="n">
        <v>4638</v>
      </c>
      <c r="U143" s="56" t="n">
        <v>4063</v>
      </c>
      <c r="V143" s="56" t="n">
        <v>2438</v>
      </c>
      <c r="W143" s="56" t="n">
        <v>2400</v>
      </c>
      <c r="X143" s="54" t="s">
        <v>1428</v>
      </c>
      <c r="Y143" s="49" t="n">
        <v>0.3</v>
      </c>
      <c r="Z143" s="49" t="n">
        <v>1</v>
      </c>
      <c r="AA143" s="50" t="s">
        <v>1165</v>
      </c>
      <c r="AB143" s="50" t="s">
        <v>1167</v>
      </c>
      <c r="AC143" s="50"/>
      <c r="AD143" s="50" t="s">
        <v>1168</v>
      </c>
      <c r="AE143" s="50"/>
      <c r="AF143" s="50"/>
      <c r="AG143" s="50"/>
      <c r="AH143" s="50"/>
      <c r="AI143" s="50"/>
      <c r="AJ143" s="50"/>
      <c r="AK143" s="50" t="s">
        <v>1771</v>
      </c>
      <c r="AL143" s="50"/>
      <c r="AM143" s="50"/>
      <c r="AN143" s="50"/>
      <c r="AO143" s="50"/>
      <c r="AP143" s="50"/>
      <c r="AQ143" s="50"/>
      <c r="AR143" s="50"/>
      <c r="AS143" s="50"/>
      <c r="AT143" s="50" t="str">
        <f aca="false">IFERROR(IF(AND(AN143&gt;0,J143&gt;0),ROUND(J143*1000/(AN143*0.2),0),""),"")</f>
        <v/>
      </c>
      <c r="AU143" s="50" t="str">
        <f aca="false">IFERROR(IF(AND(AQ143&gt;0,M143&gt;0),ROUND(M143*1000/(AQ143*0.3),0),""),"")</f>
        <v/>
      </c>
      <c r="AV143" s="50" t="str">
        <f aca="false">IFERROR(IF(AND(AM143&gt;0,O143&gt;0),ROUND(O143*1000/(AM143*0.1),0),""),"")</f>
        <v/>
      </c>
      <c r="AW143" s="50" t="str">
        <f aca="false">IFERROR(IF(AND(AP143&gt;0,N143&gt;0),ROUND(N143*1000/(AP143*0.25),0),""),"")</f>
        <v/>
      </c>
      <c r="AX143" s="50" t="str">
        <f aca="false">IFERROR(IF(AND(AO143&gt;0,Q143&gt;0),ROUND(Q143*1000/(AO143*1),0),""),"")</f>
        <v/>
      </c>
      <c r="AY143" s="51" t="n">
        <f aca="false">IFERROR(ifs(I143="Tier S",0.65,I143="Tier 1",0.55,I143="Tier 2",0.45,I143="Tier 3",0.35,I143="Tier 4",0.25),0.35)</f>
        <v>0.35</v>
      </c>
      <c r="AZ143" s="52" t="n">
        <v>1</v>
      </c>
      <c r="BA143" s="52" t="n">
        <v>1</v>
      </c>
      <c r="BB143" s="52" t="n">
        <v>1</v>
      </c>
      <c r="BC143" s="53" t="n">
        <f aca="false">IFERROR(ROUND(S143*AY143*BA143*BB143*AZ143,0),0)</f>
        <v>8663</v>
      </c>
      <c r="BD143" s="39" t="str">
        <f aca="false">IF(COUNT(AM143,AN143,AO143,AP143,AQ143,AR143,AS143)&gt;0,"estimated","pending")</f>
        <v>pending</v>
      </c>
      <c r="BE143" s="50"/>
    </row>
    <row r="144" customFormat="false" ht="15" hidden="false" customHeight="true" outlineLevel="0" collapsed="false">
      <c r="B144" s="54" t="n">
        <f aca="false">IF($C144="","",COUNTA($C$6:C144))</f>
        <v>139</v>
      </c>
      <c r="C144" s="54" t="s">
        <v>1169</v>
      </c>
      <c r="D144" s="54" t="s">
        <v>208</v>
      </c>
      <c r="E144" s="54" t="s">
        <v>1163</v>
      </c>
      <c r="F144" s="54" t="s">
        <v>128</v>
      </c>
      <c r="G144" s="54" t="s">
        <v>1356</v>
      </c>
      <c r="H144" s="54" t="n">
        <v>2</v>
      </c>
      <c r="I144" s="55" t="s">
        <v>337</v>
      </c>
      <c r="J144" s="56" t="n">
        <v>11000</v>
      </c>
      <c r="K144" s="56" t="n">
        <v>4600</v>
      </c>
      <c r="L144" s="57" t="n">
        <f aca="false">IF(J144="","",ROUND(J144*0.17,0))</f>
        <v>1870</v>
      </c>
      <c r="M144" s="56" t="n">
        <v>8600</v>
      </c>
      <c r="N144" s="56" t="n">
        <v>3500</v>
      </c>
      <c r="O144" s="56" t="n">
        <v>2200</v>
      </c>
      <c r="P144" s="56" t="n">
        <v>2200</v>
      </c>
      <c r="Q144" s="56" t="n">
        <v>15950</v>
      </c>
      <c r="R144" s="56" t="n">
        <v>7150</v>
      </c>
      <c r="S144" s="57" t="n">
        <f aca="false">IF(J144="","",ROUND(J144*2.2,0))</f>
        <v>24200</v>
      </c>
      <c r="T144" s="56" t="n">
        <v>3850</v>
      </c>
      <c r="U144" s="56" t="n">
        <v>3300</v>
      </c>
      <c r="V144" s="56" t="n">
        <v>2000</v>
      </c>
      <c r="W144" s="56" t="n">
        <v>2400</v>
      </c>
      <c r="X144" s="54" t="s">
        <v>1428</v>
      </c>
      <c r="Y144" s="49" t="n">
        <v>0.3</v>
      </c>
      <c r="Z144" s="49" t="n">
        <v>1</v>
      </c>
      <c r="AA144" s="50" t="s">
        <v>1170</v>
      </c>
      <c r="AB144" s="50" t="s">
        <v>1172</v>
      </c>
      <c r="AC144" s="50" t="s">
        <v>1772</v>
      </c>
      <c r="AD144" s="50" t="s">
        <v>1174</v>
      </c>
      <c r="AE144" s="50"/>
      <c r="AF144" s="50"/>
      <c r="AG144" s="50"/>
      <c r="AH144" s="50"/>
      <c r="AI144" s="50"/>
      <c r="AJ144" s="50"/>
      <c r="AK144" s="50" t="s">
        <v>1773</v>
      </c>
      <c r="AL144" s="50"/>
      <c r="AM144" s="50"/>
      <c r="AN144" s="50"/>
      <c r="AO144" s="50"/>
      <c r="AP144" s="50"/>
      <c r="AQ144" s="50"/>
      <c r="AR144" s="50"/>
      <c r="AS144" s="50"/>
      <c r="AT144" s="50" t="str">
        <f aca="false">IFERROR(IF(AND(AN144&gt;0,J144&gt;0),ROUND(J144*1000/(AN144*0.2),0),""),"")</f>
        <v/>
      </c>
      <c r="AU144" s="50" t="str">
        <f aca="false">IFERROR(IF(AND(AQ144&gt;0,M144&gt;0),ROUND(M144*1000/(AQ144*0.3),0),""),"")</f>
        <v/>
      </c>
      <c r="AV144" s="50" t="str">
        <f aca="false">IFERROR(IF(AND(AM144&gt;0,O144&gt;0),ROUND(O144*1000/(AM144*0.1),0),""),"")</f>
        <v/>
      </c>
      <c r="AW144" s="50" t="str">
        <f aca="false">IFERROR(IF(AND(AP144&gt;0,N144&gt;0),ROUND(N144*1000/(AP144*0.25),0),""),"")</f>
        <v/>
      </c>
      <c r="AX144" s="50" t="str">
        <f aca="false">IFERROR(IF(AND(AO144&gt;0,Q144&gt;0),ROUND(Q144*1000/(AO144*1),0),""),"")</f>
        <v/>
      </c>
      <c r="AY144" s="51" t="n">
        <f aca="false">IFERROR(ifs(I144="Tier S",0.65,I144="Tier 1",0.55,I144="Tier 2",0.45,I144="Tier 3",0.35,I144="Tier 4",0.25),0.35)</f>
        <v>0.35</v>
      </c>
      <c r="AZ144" s="52" t="n">
        <v>1</v>
      </c>
      <c r="BA144" s="52" t="n">
        <v>1</v>
      </c>
      <c r="BB144" s="52" t="n">
        <v>1</v>
      </c>
      <c r="BC144" s="53" t="n">
        <f aca="false">IFERROR(ROUND(S144*AY144*BA144*BB144*AZ144,0),0)</f>
        <v>8470</v>
      </c>
      <c r="BD144" s="39" t="str">
        <f aca="false">IF(COUNT(AM144,AN144,AO144,AP144,AQ144,AR144,AS144)&gt;0,"estimated","pending")</f>
        <v>pending</v>
      </c>
      <c r="BE144" s="50"/>
    </row>
    <row r="145" customFormat="false" ht="15" hidden="false" customHeight="true" outlineLevel="0" collapsed="false">
      <c r="B145" s="54" t="n">
        <f aca="false">IF($C145="","",COUNTA($C$6:C145))</f>
        <v>140</v>
      </c>
      <c r="C145" s="54" t="s">
        <v>1175</v>
      </c>
      <c r="D145" s="54" t="s">
        <v>208</v>
      </c>
      <c r="E145" s="54" t="s">
        <v>1163</v>
      </c>
      <c r="F145" s="54" t="s">
        <v>128</v>
      </c>
      <c r="G145" s="54" t="s">
        <v>1356</v>
      </c>
      <c r="H145" s="54" t="n">
        <v>2</v>
      </c>
      <c r="I145" s="55" t="s">
        <v>337</v>
      </c>
      <c r="J145" s="56" t="n">
        <v>12100</v>
      </c>
      <c r="K145" s="56" t="n">
        <v>5100</v>
      </c>
      <c r="L145" s="57" t="n">
        <f aca="false">IF(J145="","",ROUND(J145*0.17,0))</f>
        <v>2057</v>
      </c>
      <c r="M145" s="56" t="n">
        <v>9450</v>
      </c>
      <c r="N145" s="56" t="n">
        <v>3850</v>
      </c>
      <c r="O145" s="56" t="n">
        <v>2400</v>
      </c>
      <c r="P145" s="56" t="n">
        <v>2400</v>
      </c>
      <c r="Q145" s="56" t="n">
        <v>17550</v>
      </c>
      <c r="R145" s="56" t="n">
        <v>7850</v>
      </c>
      <c r="S145" s="57" t="n">
        <f aca="false">IF(J145="","",ROUND(J145*2.2,0))</f>
        <v>26620</v>
      </c>
      <c r="T145" s="56" t="n">
        <v>4250</v>
      </c>
      <c r="U145" s="56" t="n">
        <v>3650</v>
      </c>
      <c r="V145" s="56" t="n">
        <v>2200</v>
      </c>
      <c r="W145" s="56" t="n">
        <v>2400</v>
      </c>
      <c r="X145" s="54" t="s">
        <v>1428</v>
      </c>
      <c r="Y145" s="49" t="n">
        <v>0.3</v>
      </c>
      <c r="Z145" s="49" t="n">
        <v>1</v>
      </c>
      <c r="AA145" s="50" t="s">
        <v>1774</v>
      </c>
      <c r="AB145" s="50" t="s">
        <v>1178</v>
      </c>
      <c r="AC145" s="50"/>
      <c r="AD145" s="50" t="s">
        <v>1180</v>
      </c>
      <c r="AE145" s="50"/>
      <c r="AF145" s="50"/>
      <c r="AG145" s="50"/>
      <c r="AH145" s="50"/>
      <c r="AI145" s="50"/>
      <c r="AJ145" s="50"/>
      <c r="AK145" s="50" t="s">
        <v>1773</v>
      </c>
      <c r="AL145" s="50"/>
      <c r="AM145" s="50"/>
      <c r="AN145" s="50"/>
      <c r="AO145" s="50"/>
      <c r="AP145" s="50"/>
      <c r="AQ145" s="50"/>
      <c r="AR145" s="50"/>
      <c r="AS145" s="50"/>
      <c r="AT145" s="50" t="str">
        <f aca="false">IFERROR(IF(AND(AN145&gt;0,J145&gt;0),ROUND(J145*1000/(AN145*0.2),0),""),"")</f>
        <v/>
      </c>
      <c r="AU145" s="50" t="str">
        <f aca="false">IFERROR(IF(AND(AQ145&gt;0,M145&gt;0),ROUND(M145*1000/(AQ145*0.3),0),""),"")</f>
        <v/>
      </c>
      <c r="AV145" s="50" t="str">
        <f aca="false">IFERROR(IF(AND(AM145&gt;0,O145&gt;0),ROUND(O145*1000/(AM145*0.1),0),""),"")</f>
        <v/>
      </c>
      <c r="AW145" s="50" t="str">
        <f aca="false">IFERROR(IF(AND(AP145&gt;0,N145&gt;0),ROUND(N145*1000/(AP145*0.25),0),""),"")</f>
        <v/>
      </c>
      <c r="AX145" s="50" t="str">
        <f aca="false">IFERROR(IF(AND(AO145&gt;0,Q145&gt;0),ROUND(Q145*1000/(AO145*1),0),""),"")</f>
        <v/>
      </c>
      <c r="AY145" s="51" t="n">
        <f aca="false">IFERROR(ifs(I145="Tier S",0.65,I145="Tier 1",0.55,I145="Tier 2",0.45,I145="Tier 3",0.35,I145="Tier 4",0.25),0.35)</f>
        <v>0.35</v>
      </c>
      <c r="AZ145" s="52" t="n">
        <v>1</v>
      </c>
      <c r="BA145" s="52" t="n">
        <v>1</v>
      </c>
      <c r="BB145" s="52" t="n">
        <v>1</v>
      </c>
      <c r="BC145" s="53" t="n">
        <f aca="false">IFERROR(ROUND(S145*AY145*BA145*BB145*AZ145,0),0)</f>
        <v>9317</v>
      </c>
      <c r="BD145" s="39" t="str">
        <f aca="false">IF(COUNT(AM145,AN145,AO145,AP145,AQ145,AR145,AS145)&gt;0,"estimated","pending")</f>
        <v>pending</v>
      </c>
      <c r="BE145" s="50"/>
    </row>
    <row r="146" customFormat="false" ht="15" hidden="false" customHeight="true" outlineLevel="0" collapsed="false">
      <c r="B146" s="54" t="n">
        <f aca="false">IF($C146="","",COUNTA($C$6:C146))</f>
        <v>141</v>
      </c>
      <c r="C146" s="54" t="s">
        <v>1775</v>
      </c>
      <c r="D146" s="54" t="s">
        <v>208</v>
      </c>
      <c r="E146" s="54" t="s">
        <v>1776</v>
      </c>
      <c r="F146" s="54" t="s">
        <v>1776</v>
      </c>
      <c r="G146" s="54" t="s">
        <v>1777</v>
      </c>
      <c r="H146" s="54" t="n">
        <v>2</v>
      </c>
      <c r="I146" s="55" t="s">
        <v>337</v>
      </c>
      <c r="J146" s="56" t="n">
        <v>12100</v>
      </c>
      <c r="K146" s="56" t="n">
        <v>5100</v>
      </c>
      <c r="L146" s="57" t="n">
        <f aca="false">IF(J146="","",ROUND(J146*0.17,0))</f>
        <v>2057</v>
      </c>
      <c r="M146" s="56" t="n">
        <v>9450</v>
      </c>
      <c r="N146" s="56" t="n">
        <v>3850</v>
      </c>
      <c r="O146" s="56" t="n">
        <v>2400</v>
      </c>
      <c r="P146" s="56" t="n">
        <v>2400</v>
      </c>
      <c r="Q146" s="56" t="n">
        <v>17550</v>
      </c>
      <c r="R146" s="56" t="n">
        <v>7850</v>
      </c>
      <c r="S146" s="57" t="n">
        <f aca="false">IF(J146="","",ROUND(J146*2.2,0))</f>
        <v>26620</v>
      </c>
      <c r="T146" s="56" t="n">
        <v>4250</v>
      </c>
      <c r="U146" s="56" t="n">
        <v>3650</v>
      </c>
      <c r="V146" s="56" t="n">
        <v>2200</v>
      </c>
      <c r="W146" s="56" t="n">
        <v>2400</v>
      </c>
      <c r="X146" s="54" t="s">
        <v>1428</v>
      </c>
      <c r="Y146" s="49" t="n">
        <v>0.3</v>
      </c>
      <c r="Z146" s="49" t="n">
        <v>1</v>
      </c>
      <c r="AA146" s="50" t="s">
        <v>1778</v>
      </c>
      <c r="AB146" s="50" t="s">
        <v>1779</v>
      </c>
      <c r="AC146" s="50" t="s">
        <v>1780</v>
      </c>
      <c r="AD146" s="50"/>
      <c r="AE146" s="50"/>
      <c r="AF146" s="50"/>
      <c r="AG146" s="50"/>
      <c r="AH146" s="50"/>
      <c r="AI146" s="50"/>
      <c r="AJ146" s="50"/>
      <c r="AK146" s="50" t="s">
        <v>1781</v>
      </c>
      <c r="AL146" s="50"/>
      <c r="AM146" s="50"/>
      <c r="AN146" s="50"/>
      <c r="AO146" s="50"/>
      <c r="AP146" s="50"/>
      <c r="AQ146" s="50"/>
      <c r="AR146" s="50"/>
      <c r="AS146" s="50"/>
      <c r="AT146" s="50" t="str">
        <f aca="false">IFERROR(IF(AND(AN146&gt;0,J146&gt;0),ROUND(J146*1000/(AN146*0.2),0),""),"")</f>
        <v/>
      </c>
      <c r="AU146" s="50" t="str">
        <f aca="false">IFERROR(IF(AND(AQ146&gt;0,M146&gt;0),ROUND(M146*1000/(AQ146*0.3),0),""),"")</f>
        <v/>
      </c>
      <c r="AV146" s="50" t="str">
        <f aca="false">IFERROR(IF(AND(AM146&gt;0,O146&gt;0),ROUND(O146*1000/(AM146*0.1),0),""),"")</f>
        <v/>
      </c>
      <c r="AW146" s="50" t="str">
        <f aca="false">IFERROR(IF(AND(AP146&gt;0,N146&gt;0),ROUND(N146*1000/(AP146*0.25),0),""),"")</f>
        <v/>
      </c>
      <c r="AX146" s="50" t="str">
        <f aca="false">IFERROR(IF(AND(AO146&gt;0,Q146&gt;0),ROUND(Q146*1000/(AO146*1),0),""),"")</f>
        <v/>
      </c>
      <c r="AY146" s="51" t="n">
        <f aca="false">IFERROR(ifs(I146="Tier S",0.65,I146="Tier 1",0.55,I146="Tier 2",0.45,I146="Tier 3",0.35,I146="Tier 4",0.25),0.35)</f>
        <v>0.35</v>
      </c>
      <c r="AZ146" s="52" t="n">
        <v>1</v>
      </c>
      <c r="BA146" s="52" t="n">
        <v>1</v>
      </c>
      <c r="BB146" s="52" t="n">
        <v>1</v>
      </c>
      <c r="BC146" s="53" t="n">
        <f aca="false">IFERROR(ROUND(S146*AY146*BA146*BB146*AZ146,0),0)</f>
        <v>9317</v>
      </c>
      <c r="BD146" s="39" t="str">
        <f aca="false">IF(COUNT(AM146,AN146,AO146,AP146,AQ146,AR146,AS146)&gt;0,"estimated","pending")</f>
        <v>pending</v>
      </c>
      <c r="BE146" s="50"/>
    </row>
    <row r="147" customFormat="false" ht="15" hidden="false" customHeight="true" outlineLevel="0" collapsed="false">
      <c r="B147" s="54" t="n">
        <f aca="false">IF($C147="","",COUNTA($C$6:C147))</f>
        <v>142</v>
      </c>
      <c r="C147" s="54" t="s">
        <v>1782</v>
      </c>
      <c r="D147" s="54" t="s">
        <v>208</v>
      </c>
      <c r="E147" s="54" t="s">
        <v>1776</v>
      </c>
      <c r="F147" s="54" t="s">
        <v>1776</v>
      </c>
      <c r="G147" s="54" t="s">
        <v>1777</v>
      </c>
      <c r="H147" s="54" t="n">
        <v>1</v>
      </c>
      <c r="I147" s="55" t="s">
        <v>1357</v>
      </c>
      <c r="J147" s="56" t="n">
        <v>11000</v>
      </c>
      <c r="K147" s="56" t="n">
        <v>4600</v>
      </c>
      <c r="L147" s="57" t="n">
        <f aca="false">IF(J147="","",ROUND(J147*0.17,0))</f>
        <v>1870</v>
      </c>
      <c r="M147" s="56" t="n">
        <v>8600</v>
      </c>
      <c r="N147" s="56" t="n">
        <v>3500</v>
      </c>
      <c r="O147" s="56" t="n">
        <v>2200</v>
      </c>
      <c r="P147" s="56" t="n">
        <v>2200</v>
      </c>
      <c r="Q147" s="56" t="n">
        <v>15950</v>
      </c>
      <c r="R147" s="56" t="n">
        <v>7150</v>
      </c>
      <c r="S147" s="57" t="n">
        <f aca="false">IF(J147="","",ROUND(J147*2.2,0))</f>
        <v>24200</v>
      </c>
      <c r="T147" s="56" t="n">
        <v>3850</v>
      </c>
      <c r="U147" s="56" t="n">
        <v>3300</v>
      </c>
      <c r="V147" s="56" t="n">
        <v>2000</v>
      </c>
      <c r="W147" s="56" t="n">
        <v>2400</v>
      </c>
      <c r="X147" s="54" t="s">
        <v>1434</v>
      </c>
      <c r="Y147" s="49" t="n">
        <v>0.3</v>
      </c>
      <c r="Z147" s="49" t="n">
        <v>1</v>
      </c>
      <c r="AA147" s="50" t="s">
        <v>1783</v>
      </c>
      <c r="AB147" s="50"/>
      <c r="AC147" s="50" t="s">
        <v>1784</v>
      </c>
      <c r="AD147" s="50"/>
      <c r="AE147" s="50"/>
      <c r="AF147" s="50"/>
      <c r="AG147" s="50"/>
      <c r="AH147" s="50"/>
      <c r="AI147" s="50"/>
      <c r="AJ147" s="50"/>
      <c r="AK147" s="50" t="s">
        <v>1785</v>
      </c>
      <c r="AL147" s="50"/>
      <c r="AM147" s="50"/>
      <c r="AN147" s="50"/>
      <c r="AO147" s="50"/>
      <c r="AP147" s="50"/>
      <c r="AQ147" s="50"/>
      <c r="AR147" s="50"/>
      <c r="AS147" s="50"/>
      <c r="AT147" s="50" t="str">
        <f aca="false">IFERROR(IF(AND(AN147&gt;0,J147&gt;0),ROUND(J147*1000/(AN147*0.2),0),""),"")</f>
        <v/>
      </c>
      <c r="AU147" s="50" t="str">
        <f aca="false">IFERROR(IF(AND(AQ147&gt;0,M147&gt;0),ROUND(M147*1000/(AQ147*0.3),0),""),"")</f>
        <v/>
      </c>
      <c r="AV147" s="50" t="str">
        <f aca="false">IFERROR(IF(AND(AM147&gt;0,O147&gt;0),ROUND(O147*1000/(AM147*0.1),0),""),"")</f>
        <v/>
      </c>
      <c r="AW147" s="50" t="str">
        <f aca="false">IFERROR(IF(AND(AP147&gt;0,N147&gt;0),ROUND(N147*1000/(AP147*0.25),0),""),"")</f>
        <v/>
      </c>
      <c r="AX147" s="50" t="str">
        <f aca="false">IFERROR(IF(AND(AO147&gt;0,Q147&gt;0),ROUND(Q147*1000/(AO147*1),0),""),"")</f>
        <v/>
      </c>
      <c r="AY147" s="51" t="n">
        <f aca="false">IFERROR(ifs(I147="Tier S",0.65,I147="Tier 1",0.55,I147="Tier 2",0.45,I147="Tier 3",0.35,I147="Tier 4",0.25),0.35)</f>
        <v>0.35</v>
      </c>
      <c r="AZ147" s="52" t="n">
        <v>1</v>
      </c>
      <c r="BA147" s="52" t="n">
        <v>1</v>
      </c>
      <c r="BB147" s="52" t="n">
        <v>1</v>
      </c>
      <c r="BC147" s="53" t="n">
        <f aca="false">IFERROR(ROUND(S147*AY147*BA147*BB147*AZ147,0),0)</f>
        <v>8470</v>
      </c>
      <c r="BD147" s="39" t="str">
        <f aca="false">IF(COUNT(AM147,AN147,AO147,AP147,AQ147,AR147,AS147)&gt;0,"estimated","pending")</f>
        <v>pending</v>
      </c>
      <c r="BE147" s="50"/>
    </row>
    <row r="148" customFormat="false" ht="15" hidden="false" customHeight="true" outlineLevel="0" collapsed="false">
      <c r="B148" s="54" t="n">
        <f aca="false">IF($C148="","",COUNTA($C$6:C148))</f>
        <v>143</v>
      </c>
      <c r="C148" s="54" t="s">
        <v>1786</v>
      </c>
      <c r="D148" s="54" t="s">
        <v>208</v>
      </c>
      <c r="E148" s="54" t="s">
        <v>1776</v>
      </c>
      <c r="F148" s="54" t="s">
        <v>1776</v>
      </c>
      <c r="G148" s="54" t="s">
        <v>1777</v>
      </c>
      <c r="H148" s="54" t="n">
        <v>3</v>
      </c>
      <c r="I148" s="55" t="s">
        <v>337</v>
      </c>
      <c r="J148" s="56" t="n">
        <v>5200</v>
      </c>
      <c r="K148" s="56" t="n">
        <v>2200</v>
      </c>
      <c r="L148" s="57" t="n">
        <f aca="false">IF(J148="","",ROUND(J148*0.17,0))</f>
        <v>884</v>
      </c>
      <c r="M148" s="56" t="n">
        <v>4050</v>
      </c>
      <c r="N148" s="56" t="n">
        <v>1650</v>
      </c>
      <c r="O148" s="56" t="n">
        <v>1050</v>
      </c>
      <c r="P148" s="56" t="n">
        <v>1050</v>
      </c>
      <c r="Q148" s="56" t="n">
        <v>7550</v>
      </c>
      <c r="R148" s="56" t="n">
        <v>3400</v>
      </c>
      <c r="S148" s="57" t="n">
        <f aca="false">IF(J148="","",ROUND(J148*2.2,0))</f>
        <v>11440</v>
      </c>
      <c r="T148" s="56" t="n">
        <v>1800</v>
      </c>
      <c r="U148" s="56" t="n">
        <v>1550</v>
      </c>
      <c r="V148" s="56" t="n">
        <v>950</v>
      </c>
      <c r="W148" s="56" t="n">
        <v>2400</v>
      </c>
      <c r="X148" s="54" t="s">
        <v>1383</v>
      </c>
      <c r="Y148" s="49" t="n">
        <v>0.3</v>
      </c>
      <c r="Z148" s="49" t="n">
        <v>1</v>
      </c>
      <c r="AA148" s="50" t="s">
        <v>1787</v>
      </c>
      <c r="AB148" s="50" t="s">
        <v>1788</v>
      </c>
      <c r="AC148" s="50" t="s">
        <v>1789</v>
      </c>
      <c r="AD148" s="50" t="s">
        <v>1790</v>
      </c>
      <c r="AE148" s="50"/>
      <c r="AF148" s="50"/>
      <c r="AG148" s="50"/>
      <c r="AH148" s="50"/>
      <c r="AI148" s="50"/>
      <c r="AJ148" s="50"/>
      <c r="AK148" s="50" t="s">
        <v>1791</v>
      </c>
      <c r="AL148" s="50"/>
      <c r="AM148" s="50"/>
      <c r="AN148" s="50"/>
      <c r="AO148" s="50"/>
      <c r="AP148" s="50"/>
      <c r="AQ148" s="50"/>
      <c r="AR148" s="50"/>
      <c r="AS148" s="50"/>
      <c r="AT148" s="50" t="str">
        <f aca="false">IFERROR(IF(AND(AN148&gt;0,J148&gt;0),ROUND(J148*1000/(AN148*0.2),0),""),"")</f>
        <v/>
      </c>
      <c r="AU148" s="50" t="str">
        <f aca="false">IFERROR(IF(AND(AQ148&gt;0,M148&gt;0),ROUND(M148*1000/(AQ148*0.3),0),""),"")</f>
        <v/>
      </c>
      <c r="AV148" s="50" t="str">
        <f aca="false">IFERROR(IF(AND(AM148&gt;0,O148&gt;0),ROUND(O148*1000/(AM148*0.1),0),""),"")</f>
        <v/>
      </c>
      <c r="AW148" s="50" t="str">
        <f aca="false">IFERROR(IF(AND(AP148&gt;0,N148&gt;0),ROUND(N148*1000/(AP148*0.25),0),""),"")</f>
        <v/>
      </c>
      <c r="AX148" s="50" t="str">
        <f aca="false">IFERROR(IF(AND(AO148&gt;0,Q148&gt;0),ROUND(Q148*1000/(AO148*1),0),""),"")</f>
        <v/>
      </c>
      <c r="AY148" s="51" t="n">
        <f aca="false">IFERROR(ifs(I148="Tier S",0.65,I148="Tier 1",0.55,I148="Tier 2",0.45,I148="Tier 3",0.35,I148="Tier 4",0.25),0.35)</f>
        <v>0.35</v>
      </c>
      <c r="AZ148" s="52" t="n">
        <v>1</v>
      </c>
      <c r="BA148" s="52" t="n">
        <v>1</v>
      </c>
      <c r="BB148" s="52" t="n">
        <v>1</v>
      </c>
      <c r="BC148" s="53" t="n">
        <f aca="false">IFERROR(ROUND(S148*AY148*BA148*BB148*AZ148,0),0)</f>
        <v>4004</v>
      </c>
      <c r="BD148" s="39" t="str">
        <f aca="false">IF(COUNT(AM148,AN148,AO148,AP148,AQ148,AR148,AS148)&gt;0,"estimated","pending")</f>
        <v>pending</v>
      </c>
      <c r="BE148" s="50"/>
    </row>
    <row r="149" customFormat="false" ht="15" hidden="false" customHeight="true" outlineLevel="0" collapsed="false">
      <c r="B149" s="54" t="n">
        <f aca="false">IF($C149="","",COUNTA($C$6:C149))</f>
        <v>144</v>
      </c>
      <c r="C149" s="54" t="s">
        <v>1182</v>
      </c>
      <c r="D149" s="54" t="s">
        <v>208</v>
      </c>
      <c r="E149" s="54" t="s">
        <v>1181</v>
      </c>
      <c r="F149" s="54" t="s">
        <v>1181</v>
      </c>
      <c r="G149" s="54" t="s">
        <v>1792</v>
      </c>
      <c r="H149" s="54" t="n">
        <v>1</v>
      </c>
      <c r="I149" s="55" t="s">
        <v>1357</v>
      </c>
      <c r="J149" s="56" t="n">
        <v>11000</v>
      </c>
      <c r="K149" s="56" t="n">
        <v>4600</v>
      </c>
      <c r="L149" s="57" t="n">
        <f aca="false">IF(J149="","",ROUND(J149*0.17,0))</f>
        <v>1870</v>
      </c>
      <c r="M149" s="56" t="n">
        <v>8600</v>
      </c>
      <c r="N149" s="56" t="n">
        <v>3500</v>
      </c>
      <c r="O149" s="56" t="n">
        <v>2200</v>
      </c>
      <c r="P149" s="56" t="n">
        <v>2200</v>
      </c>
      <c r="Q149" s="56" t="n">
        <v>15950</v>
      </c>
      <c r="R149" s="56" t="n">
        <v>7150</v>
      </c>
      <c r="S149" s="57" t="n">
        <f aca="false">IF(J149="","",ROUND(J149*2.2,0))</f>
        <v>24200</v>
      </c>
      <c r="T149" s="56" t="n">
        <v>3850</v>
      </c>
      <c r="U149" s="56" t="n">
        <v>3300</v>
      </c>
      <c r="V149" s="56" t="n">
        <v>2000</v>
      </c>
      <c r="W149" s="56" t="n">
        <v>2400</v>
      </c>
      <c r="X149" s="54" t="s">
        <v>1434</v>
      </c>
      <c r="Y149" s="49" t="n">
        <v>0.75</v>
      </c>
      <c r="Z149" s="49" t="n">
        <v>1</v>
      </c>
      <c r="AA149" s="50" t="s">
        <v>1183</v>
      </c>
      <c r="AB149" s="50" t="s">
        <v>1185</v>
      </c>
      <c r="AC149" s="50"/>
      <c r="AD149" s="50"/>
      <c r="AE149" s="50"/>
      <c r="AF149" s="50"/>
      <c r="AG149" s="50"/>
      <c r="AH149" s="50"/>
      <c r="AI149" s="50"/>
      <c r="AJ149" s="50"/>
      <c r="AK149" s="50" t="s">
        <v>1793</v>
      </c>
      <c r="AL149" s="50"/>
      <c r="AM149" s="50"/>
      <c r="AN149" s="50"/>
      <c r="AO149" s="50"/>
      <c r="AP149" s="50"/>
      <c r="AQ149" s="50"/>
      <c r="AR149" s="50"/>
      <c r="AS149" s="50"/>
      <c r="AT149" s="50" t="str">
        <f aca="false">IFERROR(IF(AND(AN149&gt;0,J149&gt;0),ROUND(J149*1000/(AN149*0.2),0),""),"")</f>
        <v/>
      </c>
      <c r="AU149" s="50" t="str">
        <f aca="false">IFERROR(IF(AND(AQ149&gt;0,M149&gt;0),ROUND(M149*1000/(AQ149*0.3),0),""),"")</f>
        <v/>
      </c>
      <c r="AV149" s="50" t="str">
        <f aca="false">IFERROR(IF(AND(AM149&gt;0,O149&gt;0),ROUND(O149*1000/(AM149*0.1),0),""),"")</f>
        <v/>
      </c>
      <c r="AW149" s="50" t="str">
        <f aca="false">IFERROR(IF(AND(AP149&gt;0,N149&gt;0),ROUND(N149*1000/(AP149*0.25),0),""),"")</f>
        <v/>
      </c>
      <c r="AX149" s="50" t="str">
        <f aca="false">IFERROR(IF(AND(AO149&gt;0,Q149&gt;0),ROUND(Q149*1000/(AO149*1),0),""),"")</f>
        <v/>
      </c>
      <c r="AY149" s="51" t="n">
        <f aca="false">IFERROR(ifs(I149="Tier S",0.65,I149="Tier 1",0.55,I149="Tier 2",0.45,I149="Tier 3",0.35,I149="Tier 4",0.25),0.35)</f>
        <v>0.35</v>
      </c>
      <c r="AZ149" s="52" t="n">
        <v>1</v>
      </c>
      <c r="BA149" s="52" t="n">
        <v>1</v>
      </c>
      <c r="BB149" s="52" t="n">
        <v>1</v>
      </c>
      <c r="BC149" s="53" t="n">
        <f aca="false">IFERROR(ROUND(S149*AY149*BA149*BB149*AZ149,0),0)</f>
        <v>8470</v>
      </c>
      <c r="BD149" s="39" t="str">
        <f aca="false">IF(COUNT(AM149,AN149,AO149,AP149,AQ149,AR149,AS149)&gt;0,"estimated","pending")</f>
        <v>pending</v>
      </c>
      <c r="BE149" s="50"/>
    </row>
    <row r="150" customFormat="false" ht="15" hidden="false" customHeight="true" outlineLevel="0" collapsed="false">
      <c r="B150" s="54" t="n">
        <f aca="false">IF($C150="","",COUNTA($C$6:C150))</f>
        <v>145</v>
      </c>
      <c r="C150" s="54" t="s">
        <v>1186</v>
      </c>
      <c r="D150" s="54" t="s">
        <v>208</v>
      </c>
      <c r="E150" s="54" t="s">
        <v>1181</v>
      </c>
      <c r="F150" s="54" t="s">
        <v>1181</v>
      </c>
      <c r="G150" s="54" t="s">
        <v>1464</v>
      </c>
      <c r="H150" s="54" t="n">
        <v>2</v>
      </c>
      <c r="I150" s="55" t="s">
        <v>337</v>
      </c>
      <c r="J150" s="56" t="n">
        <v>5200</v>
      </c>
      <c r="K150" s="56" t="n">
        <v>2200</v>
      </c>
      <c r="L150" s="57" t="n">
        <f aca="false">IF(J150="","",ROUND(J150*0.17,0))</f>
        <v>884</v>
      </c>
      <c r="M150" s="56" t="n">
        <v>4050</v>
      </c>
      <c r="N150" s="56" t="n">
        <v>1650</v>
      </c>
      <c r="O150" s="56" t="n">
        <v>1050</v>
      </c>
      <c r="P150" s="56" t="n">
        <v>1050</v>
      </c>
      <c r="Q150" s="56" t="n">
        <v>7550</v>
      </c>
      <c r="R150" s="56" t="n">
        <v>3400</v>
      </c>
      <c r="S150" s="57" t="n">
        <f aca="false">IF(J150="","",ROUND(J150*2.2,0))</f>
        <v>11440</v>
      </c>
      <c r="T150" s="56" t="n">
        <v>1800</v>
      </c>
      <c r="U150" s="56" t="n">
        <v>1550</v>
      </c>
      <c r="V150" s="56" t="n">
        <v>950</v>
      </c>
      <c r="W150" s="56" t="n">
        <v>2400</v>
      </c>
      <c r="X150" s="54" t="s">
        <v>1428</v>
      </c>
      <c r="Y150" s="49" t="n">
        <v>0.5</v>
      </c>
      <c r="Z150" s="49" t="n">
        <v>1</v>
      </c>
      <c r="AA150" s="50" t="s">
        <v>1187</v>
      </c>
      <c r="AB150" s="50" t="s">
        <v>1189</v>
      </c>
      <c r="AC150" s="50"/>
      <c r="AD150" s="50" t="s">
        <v>1191</v>
      </c>
      <c r="AE150" s="50"/>
      <c r="AF150" s="50"/>
      <c r="AG150" s="50"/>
      <c r="AH150" s="50"/>
      <c r="AI150" s="50"/>
      <c r="AJ150" s="50"/>
      <c r="AK150" s="50" t="s">
        <v>1794</v>
      </c>
      <c r="AL150" s="50"/>
      <c r="AM150" s="50"/>
      <c r="AN150" s="50"/>
      <c r="AO150" s="50"/>
      <c r="AP150" s="50"/>
      <c r="AQ150" s="50"/>
      <c r="AR150" s="50"/>
      <c r="AS150" s="50"/>
      <c r="AT150" s="50" t="str">
        <f aca="false">IFERROR(IF(AND(AN150&gt;0,J150&gt;0),ROUND(J150*1000/(AN150*0.2),0),""),"")</f>
        <v/>
      </c>
      <c r="AU150" s="50" t="str">
        <f aca="false">IFERROR(IF(AND(AQ150&gt;0,M150&gt;0),ROUND(M150*1000/(AQ150*0.3),0),""),"")</f>
        <v/>
      </c>
      <c r="AV150" s="50" t="str">
        <f aca="false">IFERROR(IF(AND(AM150&gt;0,O150&gt;0),ROUND(O150*1000/(AM150*0.1),0),""),"")</f>
        <v/>
      </c>
      <c r="AW150" s="50" t="str">
        <f aca="false">IFERROR(IF(AND(AP150&gt;0,N150&gt;0),ROUND(N150*1000/(AP150*0.25),0),""),"")</f>
        <v/>
      </c>
      <c r="AX150" s="50" t="str">
        <f aca="false">IFERROR(IF(AND(AO150&gt;0,Q150&gt;0),ROUND(Q150*1000/(AO150*1),0),""),"")</f>
        <v/>
      </c>
      <c r="AY150" s="51" t="n">
        <f aca="false">IFERROR(ifs(I150="Tier S",0.65,I150="Tier 1",0.55,I150="Tier 2",0.45,I150="Tier 3",0.35,I150="Tier 4",0.25),0.35)</f>
        <v>0.35</v>
      </c>
      <c r="AZ150" s="52" t="n">
        <v>1</v>
      </c>
      <c r="BA150" s="52" t="n">
        <v>1</v>
      </c>
      <c r="BB150" s="52" t="n">
        <v>1</v>
      </c>
      <c r="BC150" s="53" t="n">
        <f aca="false">IFERROR(ROUND(S150*AY150*BA150*BB150*AZ150,0),0)</f>
        <v>4004</v>
      </c>
      <c r="BD150" s="39" t="str">
        <f aca="false">IF(COUNT(AM150,AN150,AO150,AP150,AQ150,AR150,AS150)&gt;0,"estimated","pending")</f>
        <v>pending</v>
      </c>
      <c r="BE150" s="50"/>
    </row>
    <row r="151" customFormat="false" ht="15" hidden="false" customHeight="true" outlineLevel="0" collapsed="false">
      <c r="B151" s="54" t="n">
        <f aca="false">IF($C151="","",COUNTA($C$6:C151))</f>
        <v>146</v>
      </c>
      <c r="C151" s="54" t="s">
        <v>1795</v>
      </c>
      <c r="D151" s="54" t="s">
        <v>208</v>
      </c>
      <c r="E151" s="54" t="s">
        <v>1181</v>
      </c>
      <c r="F151" s="54" t="s">
        <v>1181</v>
      </c>
      <c r="G151" s="54" t="s">
        <v>1777</v>
      </c>
      <c r="H151" s="54" t="n">
        <v>3</v>
      </c>
      <c r="I151" s="55" t="s">
        <v>337</v>
      </c>
      <c r="J151" s="56" t="n">
        <v>11000</v>
      </c>
      <c r="K151" s="56" t="n">
        <v>4600</v>
      </c>
      <c r="L151" s="57" t="n">
        <f aca="false">IF(J151="","",ROUND(J151*0.17,0))</f>
        <v>1870</v>
      </c>
      <c r="M151" s="56" t="n">
        <v>8600</v>
      </c>
      <c r="N151" s="56" t="n">
        <v>3500</v>
      </c>
      <c r="O151" s="56" t="n">
        <v>2200</v>
      </c>
      <c r="P151" s="56" t="n">
        <v>2200</v>
      </c>
      <c r="Q151" s="56" t="n">
        <v>15950</v>
      </c>
      <c r="R151" s="56" t="n">
        <v>7150</v>
      </c>
      <c r="S151" s="57" t="n">
        <f aca="false">IF(J151="","",ROUND(J151*2.2,0))</f>
        <v>24200</v>
      </c>
      <c r="T151" s="56" t="n">
        <v>3850</v>
      </c>
      <c r="U151" s="56" t="n">
        <v>3300</v>
      </c>
      <c r="V151" s="56" t="n">
        <v>2000</v>
      </c>
      <c r="W151" s="56" t="n">
        <v>2400</v>
      </c>
      <c r="X151" s="54" t="s">
        <v>1383</v>
      </c>
      <c r="Y151" s="49" t="n">
        <v>0.75</v>
      </c>
      <c r="Z151" s="49" t="n">
        <v>1</v>
      </c>
      <c r="AA151" s="50" t="s">
        <v>1796</v>
      </c>
      <c r="AB151" s="50" t="s">
        <v>1797</v>
      </c>
      <c r="AC151" s="50"/>
      <c r="AD151" s="50" t="s">
        <v>1798</v>
      </c>
      <c r="AE151" s="50" t="s">
        <v>1799</v>
      </c>
      <c r="AF151" s="50"/>
      <c r="AG151" s="50"/>
      <c r="AH151" s="50"/>
      <c r="AI151" s="50"/>
      <c r="AJ151" s="50"/>
      <c r="AK151" s="50" t="s">
        <v>1800</v>
      </c>
      <c r="AL151" s="50"/>
      <c r="AM151" s="50"/>
      <c r="AN151" s="50"/>
      <c r="AO151" s="50"/>
      <c r="AP151" s="50"/>
      <c r="AQ151" s="50"/>
      <c r="AR151" s="50"/>
      <c r="AS151" s="50"/>
      <c r="AT151" s="50" t="str">
        <f aca="false">IFERROR(IF(AND(AN151&gt;0,J151&gt;0),ROUND(J151*1000/(AN151*0.2),0),""),"")</f>
        <v/>
      </c>
      <c r="AU151" s="50" t="str">
        <f aca="false">IFERROR(IF(AND(AQ151&gt;0,M151&gt;0),ROUND(M151*1000/(AQ151*0.3),0),""),"")</f>
        <v/>
      </c>
      <c r="AV151" s="50" t="str">
        <f aca="false">IFERROR(IF(AND(AM151&gt;0,O151&gt;0),ROUND(O151*1000/(AM151*0.1),0),""),"")</f>
        <v/>
      </c>
      <c r="AW151" s="50" t="str">
        <f aca="false">IFERROR(IF(AND(AP151&gt;0,N151&gt;0),ROUND(N151*1000/(AP151*0.25),0),""),"")</f>
        <v/>
      </c>
      <c r="AX151" s="50" t="str">
        <f aca="false">IFERROR(IF(AND(AO151&gt;0,Q151&gt;0),ROUND(Q151*1000/(AO151*1),0),""),"")</f>
        <v/>
      </c>
      <c r="AY151" s="51" t="n">
        <f aca="false">IFERROR(ifs(I151="Tier S",0.65,I151="Tier 1",0.55,I151="Tier 2",0.45,I151="Tier 3",0.35,I151="Tier 4",0.25),0.35)</f>
        <v>0.35</v>
      </c>
      <c r="AZ151" s="52" t="n">
        <v>1</v>
      </c>
      <c r="BA151" s="52" t="n">
        <v>1</v>
      </c>
      <c r="BB151" s="52" t="n">
        <v>1</v>
      </c>
      <c r="BC151" s="53" t="n">
        <f aca="false">IFERROR(ROUND(S151*AY151*BA151*BB151*AZ151,0),0)</f>
        <v>8470</v>
      </c>
      <c r="BD151" s="39" t="str">
        <f aca="false">IF(COUNT(AM151,AN151,AO151,AP151,AQ151,AR151,AS151)&gt;0,"estimated","pending")</f>
        <v>pending</v>
      </c>
      <c r="BE151" s="50"/>
    </row>
    <row r="152" customFormat="false" ht="15" hidden="false" customHeight="true" outlineLevel="0" collapsed="false">
      <c r="B152" s="54" t="n">
        <f aca="false">IF($C152="","",COUNTA($C$6:C152))</f>
        <v>147</v>
      </c>
      <c r="C152" s="54" t="s">
        <v>806</v>
      </c>
      <c r="D152" s="54" t="s">
        <v>208</v>
      </c>
      <c r="E152" s="54" t="s">
        <v>1181</v>
      </c>
      <c r="F152" s="54" t="s">
        <v>1181</v>
      </c>
      <c r="G152" s="54" t="s">
        <v>1582</v>
      </c>
      <c r="H152" s="54" t="n">
        <v>1</v>
      </c>
      <c r="I152" s="55" t="s">
        <v>1357</v>
      </c>
      <c r="J152" s="56" t="n">
        <v>11000</v>
      </c>
      <c r="K152" s="56" t="n">
        <v>4600</v>
      </c>
      <c r="L152" s="57" t="n">
        <f aca="false">IF(J152="","",ROUND(J152*0.17,0))</f>
        <v>1870</v>
      </c>
      <c r="M152" s="56" t="n">
        <v>8600</v>
      </c>
      <c r="N152" s="56" t="n">
        <v>3500</v>
      </c>
      <c r="O152" s="56" t="n">
        <v>2200</v>
      </c>
      <c r="P152" s="56" t="n">
        <v>2200</v>
      </c>
      <c r="Q152" s="56" t="n">
        <v>15950</v>
      </c>
      <c r="R152" s="56" t="n">
        <v>7150</v>
      </c>
      <c r="S152" s="57" t="n">
        <f aca="false">IF(J152="","",ROUND(J152*2.2,0))</f>
        <v>24200</v>
      </c>
      <c r="T152" s="56" t="n">
        <v>3850</v>
      </c>
      <c r="U152" s="56" t="n">
        <v>3300</v>
      </c>
      <c r="V152" s="56" t="n">
        <v>2000</v>
      </c>
      <c r="W152" s="56" t="n">
        <v>2400</v>
      </c>
      <c r="X152" s="54" t="s">
        <v>1434</v>
      </c>
      <c r="Y152" s="49" t="n">
        <v>0.1</v>
      </c>
      <c r="Z152" s="49" t="n">
        <v>1</v>
      </c>
      <c r="AA152" s="50" t="s">
        <v>807</v>
      </c>
      <c r="AB152" s="50" t="s">
        <v>809</v>
      </c>
      <c r="AC152" s="50"/>
      <c r="AD152" s="50"/>
      <c r="AE152" s="50"/>
      <c r="AF152" s="50"/>
      <c r="AG152" s="50"/>
      <c r="AH152" s="50"/>
      <c r="AI152" s="50"/>
      <c r="AJ152" s="50"/>
      <c r="AK152" s="50" t="s">
        <v>1583</v>
      </c>
      <c r="AL152" s="50"/>
      <c r="AM152" s="50"/>
      <c r="AN152" s="50"/>
      <c r="AO152" s="50"/>
      <c r="AP152" s="50"/>
      <c r="AQ152" s="50"/>
      <c r="AR152" s="50"/>
      <c r="AS152" s="50"/>
      <c r="AT152" s="50" t="str">
        <f aca="false">IFERROR(IF(AND(AN152&gt;0,J152&gt;0),ROUND(J152*1000/(AN152*0.2),0),""),"")</f>
        <v/>
      </c>
      <c r="AU152" s="50" t="str">
        <f aca="false">IFERROR(IF(AND(AQ152&gt;0,M152&gt;0),ROUND(M152*1000/(AQ152*0.3),0),""),"")</f>
        <v/>
      </c>
      <c r="AV152" s="50" t="str">
        <f aca="false">IFERROR(IF(AND(AM152&gt;0,O152&gt;0),ROUND(O152*1000/(AM152*0.1),0),""),"")</f>
        <v/>
      </c>
      <c r="AW152" s="50" t="str">
        <f aca="false">IFERROR(IF(AND(AP152&gt;0,N152&gt;0),ROUND(N152*1000/(AP152*0.25),0),""),"")</f>
        <v/>
      </c>
      <c r="AX152" s="50" t="str">
        <f aca="false">IFERROR(IF(AND(AO152&gt;0,Q152&gt;0),ROUND(Q152*1000/(AO152*1),0),""),"")</f>
        <v/>
      </c>
      <c r="AY152" s="51" t="n">
        <f aca="false">IFERROR(ifs(I152="Tier S",0.65,I152="Tier 1",0.55,I152="Tier 2",0.45,I152="Tier 3",0.35,I152="Tier 4",0.25),0.35)</f>
        <v>0.35</v>
      </c>
      <c r="AZ152" s="52" t="n">
        <v>1</v>
      </c>
      <c r="BA152" s="52" t="n">
        <v>1</v>
      </c>
      <c r="BB152" s="52" t="n">
        <v>1</v>
      </c>
      <c r="BC152" s="53" t="n">
        <f aca="false">IFERROR(ROUND(S152*AY152*BA152*BB152*AZ152,0),0)</f>
        <v>8470</v>
      </c>
      <c r="BD152" s="39" t="str">
        <f aca="false">IF(COUNT(AM152,AN152,AO152,AP152,AQ152,AR152,AS152)&gt;0,"estimated","pending")</f>
        <v>pending</v>
      </c>
      <c r="BE152" s="50"/>
    </row>
    <row r="153" customFormat="false" ht="15" hidden="false" customHeight="true" outlineLevel="0" collapsed="false">
      <c r="B153" s="58" t="n">
        <f aca="false">IF($C153="","",COUNTA($C$6:C153))</f>
        <v>148</v>
      </c>
      <c r="C153" s="58" t="s">
        <v>1567</v>
      </c>
      <c r="D153" s="58" t="s">
        <v>1439</v>
      </c>
      <c r="E153" s="58" t="s">
        <v>1181</v>
      </c>
      <c r="F153" s="58" t="s">
        <v>1181</v>
      </c>
      <c r="G153" s="58" t="s">
        <v>1568</v>
      </c>
      <c r="H153" s="58" t="n">
        <v>1</v>
      </c>
      <c r="I153" s="59" t="s">
        <v>1357</v>
      </c>
      <c r="J153" s="60" t="n">
        <v>5200</v>
      </c>
      <c r="K153" s="60" t="n">
        <v>2200</v>
      </c>
      <c r="L153" s="61" t="n">
        <f aca="false">IF(J153="","",ROUND(J153*0.17,0))</f>
        <v>884</v>
      </c>
      <c r="M153" s="60" t="n">
        <v>4050</v>
      </c>
      <c r="N153" s="60" t="n">
        <v>1650</v>
      </c>
      <c r="O153" s="60" t="n">
        <v>1050</v>
      </c>
      <c r="P153" s="60" t="n">
        <v>0</v>
      </c>
      <c r="Q153" s="60" t="n">
        <v>7550</v>
      </c>
      <c r="R153" s="60" t="n">
        <v>3400</v>
      </c>
      <c r="S153" s="61" t="n">
        <f aca="false">IF(J153="","",ROUND(J153*2.2,0))</f>
        <v>11440</v>
      </c>
      <c r="T153" s="60" t="n">
        <v>1800</v>
      </c>
      <c r="U153" s="60" t="n">
        <v>1550</v>
      </c>
      <c r="V153" s="60" t="n">
        <v>950</v>
      </c>
      <c r="W153" s="60" t="n">
        <v>0</v>
      </c>
      <c r="X153" s="58" t="s">
        <v>1434</v>
      </c>
      <c r="Y153" s="49" t="n">
        <v>0.25</v>
      </c>
      <c r="Z153" s="49" t="n">
        <v>1</v>
      </c>
      <c r="AA153" s="50" t="s">
        <v>1569</v>
      </c>
      <c r="AB153" s="50" t="s">
        <v>1570</v>
      </c>
      <c r="AC153" s="50"/>
      <c r="AD153" s="50"/>
      <c r="AE153" s="50"/>
      <c r="AF153" s="50"/>
      <c r="AG153" s="50"/>
      <c r="AH153" s="50"/>
      <c r="AI153" s="50"/>
      <c r="AJ153" s="50"/>
      <c r="AK153" s="50" t="s">
        <v>1571</v>
      </c>
      <c r="AL153" s="50"/>
      <c r="AM153" s="50"/>
      <c r="AN153" s="50"/>
      <c r="AO153" s="50"/>
      <c r="AP153" s="50"/>
      <c r="AQ153" s="50"/>
      <c r="AR153" s="50"/>
      <c r="AS153" s="50"/>
      <c r="AT153" s="50" t="str">
        <f aca="false">IFERROR(IF(AND(AN153&gt;0,J153&gt;0),ROUND(J153*1000/(AN153*0.2),0),""),"")</f>
        <v/>
      </c>
      <c r="AU153" s="50" t="str">
        <f aca="false">IFERROR(IF(AND(AQ153&gt;0,M153&gt;0),ROUND(M153*1000/(AQ153*0.3),0),""),"")</f>
        <v/>
      </c>
      <c r="AV153" s="50" t="str">
        <f aca="false">IFERROR(IF(AND(AM153&gt;0,O153&gt;0),ROUND(O153*1000/(AM153*0.1),0),""),"")</f>
        <v/>
      </c>
      <c r="AW153" s="50" t="str">
        <f aca="false">IFERROR(IF(AND(AP153&gt;0,N153&gt;0),ROUND(N153*1000/(AP153*0.25),0),""),"")</f>
        <v/>
      </c>
      <c r="AX153" s="50" t="str">
        <f aca="false">IFERROR(IF(AND(AO153&gt;0,Q153&gt;0),ROUND(Q153*1000/(AO153*1),0),""),"")</f>
        <v/>
      </c>
      <c r="AY153" s="51" t="n">
        <f aca="false">IFERROR(ifs(I153="Tier S",0.65,I153="Tier 1",0.55,I153="Tier 2",0.45,I153="Tier 3",0.35,I153="Tier 4",0.25),0.35)</f>
        <v>0.35</v>
      </c>
      <c r="AZ153" s="52" t="n">
        <v>1</v>
      </c>
      <c r="BA153" s="52" t="n">
        <v>1</v>
      </c>
      <c r="BB153" s="52" t="n">
        <v>1</v>
      </c>
      <c r="BC153" s="53" t="n">
        <f aca="false">IFERROR(ROUND(S153*AY153*BA153*BB153*AZ153,0),0)</f>
        <v>4004</v>
      </c>
      <c r="BD153" s="39" t="str">
        <f aca="false">IF(COUNT(AM153,AN153,AO153,AP153,AQ153,AR153,AS153)&gt;0,"estimated","pending")</f>
        <v>pending</v>
      </c>
      <c r="BE153" s="50"/>
    </row>
    <row r="154" customFormat="false" ht="15" hidden="false" customHeight="true" outlineLevel="0" collapsed="false">
      <c r="B154" s="54" t="n">
        <f aca="false">IF($C154="","",COUNTA($C$6:C154))</f>
        <v>149</v>
      </c>
      <c r="C154" s="54" t="s">
        <v>1193</v>
      </c>
      <c r="D154" s="54" t="s">
        <v>208</v>
      </c>
      <c r="E154" s="54" t="s">
        <v>1192</v>
      </c>
      <c r="F154" s="54" t="s">
        <v>1192</v>
      </c>
      <c r="G154" s="54" t="s">
        <v>1356</v>
      </c>
      <c r="H154" s="54" t="n">
        <v>2</v>
      </c>
      <c r="I154" s="55" t="s">
        <v>337</v>
      </c>
      <c r="J154" s="56" t="n">
        <v>11250</v>
      </c>
      <c r="K154" s="56" t="n">
        <v>4500</v>
      </c>
      <c r="L154" s="57" t="n">
        <f aca="false">IF(J154="","",ROUND(J154*0.17,0))</f>
        <v>1913</v>
      </c>
      <c r="M154" s="56" t="n">
        <v>8000</v>
      </c>
      <c r="N154" s="56" t="n">
        <v>3500</v>
      </c>
      <c r="O154" s="56" t="n">
        <v>2000</v>
      </c>
      <c r="P154" s="56" t="n">
        <v>2000</v>
      </c>
      <c r="Q154" s="56" t="n">
        <v>13500</v>
      </c>
      <c r="R154" s="56" t="n">
        <v>6075</v>
      </c>
      <c r="S154" s="57" t="n">
        <f aca="false">IF(J154="","",ROUND(J154*2.2,0))</f>
        <v>24750</v>
      </c>
      <c r="T154" s="56" t="n">
        <v>4638</v>
      </c>
      <c r="U154" s="56" t="n">
        <v>4063</v>
      </c>
      <c r="V154" s="56" t="n">
        <v>2438</v>
      </c>
      <c r="W154" s="56" t="n">
        <v>2400</v>
      </c>
      <c r="X154" s="54" t="s">
        <v>1428</v>
      </c>
      <c r="Y154" s="49" t="n">
        <v>0.3</v>
      </c>
      <c r="Z154" s="49" t="n">
        <v>1</v>
      </c>
      <c r="AA154" s="50" t="s">
        <v>1194</v>
      </c>
      <c r="AB154" s="50" t="s">
        <v>1196</v>
      </c>
      <c r="AC154" s="50"/>
      <c r="AD154" s="50" t="s">
        <v>1198</v>
      </c>
      <c r="AE154" s="50"/>
      <c r="AF154" s="50"/>
      <c r="AG154" s="50"/>
      <c r="AH154" s="50"/>
      <c r="AI154" s="50"/>
      <c r="AJ154" s="50"/>
      <c r="AK154" s="50" t="s">
        <v>1801</v>
      </c>
      <c r="AL154" s="50"/>
      <c r="AM154" s="50"/>
      <c r="AN154" s="50"/>
      <c r="AO154" s="50"/>
      <c r="AP154" s="50"/>
      <c r="AQ154" s="50"/>
      <c r="AR154" s="50"/>
      <c r="AS154" s="50"/>
      <c r="AT154" s="50" t="str">
        <f aca="false">IFERROR(IF(AND(AN154&gt;0,J154&gt;0),ROUND(J154*1000/(AN154*0.2),0),""),"")</f>
        <v/>
      </c>
      <c r="AU154" s="50" t="str">
        <f aca="false">IFERROR(IF(AND(AQ154&gt;0,M154&gt;0),ROUND(M154*1000/(AQ154*0.3),0),""),"")</f>
        <v/>
      </c>
      <c r="AV154" s="50" t="str">
        <f aca="false">IFERROR(IF(AND(AM154&gt;0,O154&gt;0),ROUND(O154*1000/(AM154*0.1),0),""),"")</f>
        <v/>
      </c>
      <c r="AW154" s="50" t="str">
        <f aca="false">IFERROR(IF(AND(AP154&gt;0,N154&gt;0),ROUND(N154*1000/(AP154*0.25),0),""),"")</f>
        <v/>
      </c>
      <c r="AX154" s="50" t="str">
        <f aca="false">IFERROR(IF(AND(AO154&gt;0,Q154&gt;0),ROUND(Q154*1000/(AO154*1),0),""),"")</f>
        <v/>
      </c>
      <c r="AY154" s="51" t="n">
        <f aca="false">IFERROR(ifs(I154="Tier S",0.65,I154="Tier 1",0.55,I154="Tier 2",0.45,I154="Tier 3",0.35,I154="Tier 4",0.25),0.35)</f>
        <v>0.35</v>
      </c>
      <c r="AZ154" s="52" t="n">
        <v>1</v>
      </c>
      <c r="BA154" s="52" t="n">
        <v>1</v>
      </c>
      <c r="BB154" s="52" t="n">
        <v>1</v>
      </c>
      <c r="BC154" s="53" t="n">
        <f aca="false">IFERROR(ROUND(S154*AY154*BA154*BB154*AZ154,0),0)</f>
        <v>8663</v>
      </c>
      <c r="BD154" s="39" t="str">
        <f aca="false">IF(COUNT(AM154,AN154,AO154,AP154,AQ154,AR154,AS154)&gt;0,"estimated","pending")</f>
        <v>pending</v>
      </c>
      <c r="BE154" s="50"/>
    </row>
    <row r="155" customFormat="false" ht="15" hidden="false" customHeight="true" outlineLevel="0" collapsed="false">
      <c r="B155" s="54" t="n">
        <f aca="false">IF($C155="","",COUNTA($C$6:C155))</f>
        <v>150</v>
      </c>
      <c r="C155" s="54" t="s">
        <v>1199</v>
      </c>
      <c r="D155" s="54" t="s">
        <v>208</v>
      </c>
      <c r="E155" s="54" t="s">
        <v>1192</v>
      </c>
      <c r="F155" s="54" t="s">
        <v>1192</v>
      </c>
      <c r="G155" s="54" t="s">
        <v>1802</v>
      </c>
      <c r="H155" s="54" t="n">
        <v>1</v>
      </c>
      <c r="I155" s="55" t="s">
        <v>1357</v>
      </c>
      <c r="J155" s="56" t="n">
        <v>12100</v>
      </c>
      <c r="K155" s="56" t="n">
        <v>5100</v>
      </c>
      <c r="L155" s="57" t="n">
        <f aca="false">IF(J155="","",ROUND(J155*0.17,0))</f>
        <v>2057</v>
      </c>
      <c r="M155" s="56" t="n">
        <v>9450</v>
      </c>
      <c r="N155" s="56" t="n">
        <v>3850</v>
      </c>
      <c r="O155" s="56" t="n">
        <v>2400</v>
      </c>
      <c r="P155" s="56" t="n">
        <v>2400</v>
      </c>
      <c r="Q155" s="56" t="n">
        <v>17550</v>
      </c>
      <c r="R155" s="56" t="n">
        <v>7850</v>
      </c>
      <c r="S155" s="57" t="n">
        <f aca="false">IF(J155="","",ROUND(J155*2.2,0))</f>
        <v>26620</v>
      </c>
      <c r="T155" s="56" t="n">
        <v>4250</v>
      </c>
      <c r="U155" s="56" t="n">
        <v>3650</v>
      </c>
      <c r="V155" s="56" t="n">
        <v>2200</v>
      </c>
      <c r="W155" s="56" t="n">
        <v>2400</v>
      </c>
      <c r="X155" s="54" t="s">
        <v>1434</v>
      </c>
      <c r="Y155" s="49" t="n">
        <v>0.5</v>
      </c>
      <c r="Z155" s="49" t="n">
        <v>1</v>
      </c>
      <c r="AA155" s="50" t="s">
        <v>1200</v>
      </c>
      <c r="AB155" s="50" t="s">
        <v>1202</v>
      </c>
      <c r="AC155" s="50"/>
      <c r="AD155" s="50"/>
      <c r="AE155" s="50"/>
      <c r="AF155" s="50"/>
      <c r="AG155" s="50"/>
      <c r="AH155" s="50"/>
      <c r="AI155" s="50"/>
      <c r="AJ155" s="50"/>
      <c r="AK155" s="50" t="s">
        <v>1803</v>
      </c>
      <c r="AL155" s="50"/>
      <c r="AM155" s="50"/>
      <c r="AN155" s="50"/>
      <c r="AO155" s="50"/>
      <c r="AP155" s="50"/>
      <c r="AQ155" s="50"/>
      <c r="AR155" s="50"/>
      <c r="AS155" s="50"/>
      <c r="AT155" s="50" t="str">
        <f aca="false">IFERROR(IF(AND(AN155&gt;0,J155&gt;0),ROUND(J155*1000/(AN155*0.2),0),""),"")</f>
        <v/>
      </c>
      <c r="AU155" s="50" t="str">
        <f aca="false">IFERROR(IF(AND(AQ155&gt;0,M155&gt;0),ROUND(M155*1000/(AQ155*0.3),0),""),"")</f>
        <v/>
      </c>
      <c r="AV155" s="50" t="str">
        <f aca="false">IFERROR(IF(AND(AM155&gt;0,O155&gt;0),ROUND(O155*1000/(AM155*0.1),0),""),"")</f>
        <v/>
      </c>
      <c r="AW155" s="50" t="str">
        <f aca="false">IFERROR(IF(AND(AP155&gt;0,N155&gt;0),ROUND(N155*1000/(AP155*0.25),0),""),"")</f>
        <v/>
      </c>
      <c r="AX155" s="50" t="str">
        <f aca="false">IFERROR(IF(AND(AO155&gt;0,Q155&gt;0),ROUND(Q155*1000/(AO155*1),0),""),"")</f>
        <v/>
      </c>
      <c r="AY155" s="51" t="n">
        <f aca="false">IFERROR(ifs(I155="Tier S",0.65,I155="Tier 1",0.55,I155="Tier 2",0.45,I155="Tier 3",0.35,I155="Tier 4",0.25),0.35)</f>
        <v>0.35</v>
      </c>
      <c r="AZ155" s="52" t="n">
        <v>1</v>
      </c>
      <c r="BA155" s="52" t="n">
        <v>1</v>
      </c>
      <c r="BB155" s="52" t="n">
        <v>1</v>
      </c>
      <c r="BC155" s="53" t="n">
        <f aca="false">IFERROR(ROUND(S155*AY155*BA155*BB155*AZ155,0),0)</f>
        <v>9317</v>
      </c>
      <c r="BD155" s="39" t="str">
        <f aca="false">IF(COUNT(AM155,AN155,AO155,AP155,AQ155,AR155,AS155)&gt;0,"estimated","pending")</f>
        <v>pending</v>
      </c>
      <c r="BE155" s="50"/>
    </row>
    <row r="156" customFormat="false" ht="15" hidden="false" customHeight="true" outlineLevel="0" collapsed="false">
      <c r="B156" s="54" t="n">
        <f aca="false">IF($C156="","",COUNTA($C$6:C156))</f>
        <v>151</v>
      </c>
      <c r="C156" s="54" t="s">
        <v>1203</v>
      </c>
      <c r="D156" s="54" t="s">
        <v>208</v>
      </c>
      <c r="E156" s="54" t="s">
        <v>1192</v>
      </c>
      <c r="F156" s="54" t="s">
        <v>1192</v>
      </c>
      <c r="G156" s="54" t="s">
        <v>1802</v>
      </c>
      <c r="H156" s="54" t="n">
        <v>2</v>
      </c>
      <c r="I156" s="55" t="s">
        <v>337</v>
      </c>
      <c r="J156" s="56" t="n">
        <v>5200</v>
      </c>
      <c r="K156" s="56" t="n">
        <v>2200</v>
      </c>
      <c r="L156" s="57" t="n">
        <f aca="false">IF(J156="","",ROUND(J156*0.17,0))</f>
        <v>884</v>
      </c>
      <c r="M156" s="56" t="n">
        <v>4050</v>
      </c>
      <c r="N156" s="56" t="n">
        <v>1650</v>
      </c>
      <c r="O156" s="56" t="n">
        <v>1050</v>
      </c>
      <c r="P156" s="56" t="n">
        <v>1050</v>
      </c>
      <c r="Q156" s="56" t="n">
        <v>7550</v>
      </c>
      <c r="R156" s="56" t="n">
        <v>3400</v>
      </c>
      <c r="S156" s="57" t="n">
        <f aca="false">IF(J156="","",ROUND(J156*2.2,0))</f>
        <v>11440</v>
      </c>
      <c r="T156" s="56" t="n">
        <v>1800</v>
      </c>
      <c r="U156" s="56" t="n">
        <v>1550</v>
      </c>
      <c r="V156" s="56" t="n">
        <v>950</v>
      </c>
      <c r="W156" s="56" t="n">
        <v>2400</v>
      </c>
      <c r="X156" s="54" t="s">
        <v>1428</v>
      </c>
      <c r="Y156" s="49" t="n">
        <v>0.75</v>
      </c>
      <c r="Z156" s="49" t="n">
        <v>1</v>
      </c>
      <c r="AA156" s="50" t="s">
        <v>1204</v>
      </c>
      <c r="AB156" s="50" t="s">
        <v>1206</v>
      </c>
      <c r="AC156" s="50" t="s">
        <v>1208</v>
      </c>
      <c r="AD156" s="50"/>
      <c r="AE156" s="50"/>
      <c r="AF156" s="50"/>
      <c r="AG156" s="50"/>
      <c r="AH156" s="50"/>
      <c r="AI156" s="50"/>
      <c r="AJ156" s="50"/>
      <c r="AK156" s="50" t="s">
        <v>1804</v>
      </c>
      <c r="AL156" s="50"/>
      <c r="AM156" s="50"/>
      <c r="AN156" s="50"/>
      <c r="AO156" s="50"/>
      <c r="AP156" s="50"/>
      <c r="AQ156" s="50"/>
      <c r="AR156" s="50"/>
      <c r="AS156" s="50"/>
      <c r="AT156" s="50" t="str">
        <f aca="false">IFERROR(IF(AND(AN156&gt;0,J156&gt;0),ROUND(J156*1000/(AN156*0.2),0),""),"")</f>
        <v/>
      </c>
      <c r="AU156" s="50" t="str">
        <f aca="false">IFERROR(IF(AND(AQ156&gt;0,M156&gt;0),ROUND(M156*1000/(AQ156*0.3),0),""),"")</f>
        <v/>
      </c>
      <c r="AV156" s="50" t="str">
        <f aca="false">IFERROR(IF(AND(AM156&gt;0,O156&gt;0),ROUND(O156*1000/(AM156*0.1),0),""),"")</f>
        <v/>
      </c>
      <c r="AW156" s="50" t="str">
        <f aca="false">IFERROR(IF(AND(AP156&gt;0,N156&gt;0),ROUND(N156*1000/(AP156*0.25),0),""),"")</f>
        <v/>
      </c>
      <c r="AX156" s="50" t="str">
        <f aca="false">IFERROR(IF(AND(AO156&gt;0,Q156&gt;0),ROUND(Q156*1000/(AO156*1),0),""),"")</f>
        <v/>
      </c>
      <c r="AY156" s="51" t="n">
        <f aca="false">IFERROR(ifs(I156="Tier S",0.65,I156="Tier 1",0.55,I156="Tier 2",0.45,I156="Tier 3",0.35,I156="Tier 4",0.25),0.35)</f>
        <v>0.35</v>
      </c>
      <c r="AZ156" s="52" t="n">
        <v>1</v>
      </c>
      <c r="BA156" s="52" t="n">
        <v>1</v>
      </c>
      <c r="BB156" s="52" t="n">
        <v>1</v>
      </c>
      <c r="BC156" s="53" t="n">
        <f aca="false">IFERROR(ROUND(S156*AY156*BA156*BB156*AZ156,0),0)</f>
        <v>4004</v>
      </c>
      <c r="BD156" s="39" t="str">
        <f aca="false">IF(COUNT(AM156,AN156,AO156,AP156,AQ156,AR156,AS156)&gt;0,"estimated","pending")</f>
        <v>pending</v>
      </c>
      <c r="BE156" s="50"/>
    </row>
    <row r="157" customFormat="false" ht="15" hidden="false" customHeight="true" outlineLevel="0" collapsed="false">
      <c r="B157" s="54" t="n">
        <f aca="false">IF($C157="","",COUNTA($C$6:C157))</f>
        <v>152</v>
      </c>
      <c r="C157" s="54" t="s">
        <v>1209</v>
      </c>
      <c r="D157" s="54" t="s">
        <v>208</v>
      </c>
      <c r="E157" s="54" t="s">
        <v>1192</v>
      </c>
      <c r="F157" s="54" t="s">
        <v>1192</v>
      </c>
      <c r="G157" s="54" t="s">
        <v>1802</v>
      </c>
      <c r="H157" s="54" t="n">
        <v>1</v>
      </c>
      <c r="I157" s="55" t="s">
        <v>1357</v>
      </c>
      <c r="J157" s="56" t="n">
        <v>11000</v>
      </c>
      <c r="K157" s="56" t="n">
        <v>4600</v>
      </c>
      <c r="L157" s="57" t="n">
        <f aca="false">IF(J157="","",ROUND(J157*0.17,0))</f>
        <v>1870</v>
      </c>
      <c r="M157" s="56" t="n">
        <v>8600</v>
      </c>
      <c r="N157" s="56" t="n">
        <v>3500</v>
      </c>
      <c r="O157" s="56" t="n">
        <v>2200</v>
      </c>
      <c r="P157" s="56" t="n">
        <v>2200</v>
      </c>
      <c r="Q157" s="56" t="n">
        <v>15950</v>
      </c>
      <c r="R157" s="56" t="n">
        <v>7150</v>
      </c>
      <c r="S157" s="57" t="n">
        <f aca="false">IF(J157="","",ROUND(J157*2.2,0))</f>
        <v>24200</v>
      </c>
      <c r="T157" s="56" t="n">
        <v>3850</v>
      </c>
      <c r="U157" s="56" t="n">
        <v>3300</v>
      </c>
      <c r="V157" s="56" t="n">
        <v>2000</v>
      </c>
      <c r="W157" s="56" t="n">
        <v>2400</v>
      </c>
      <c r="X157" s="54" t="s">
        <v>1434</v>
      </c>
      <c r="Y157" s="49" t="n">
        <v>0.75</v>
      </c>
      <c r="Z157" s="49" t="n">
        <v>1</v>
      </c>
      <c r="AA157" s="50" t="s">
        <v>1210</v>
      </c>
      <c r="AB157" s="50" t="s">
        <v>1212</v>
      </c>
      <c r="AC157" s="50"/>
      <c r="AD157" s="50"/>
      <c r="AE157" s="50"/>
      <c r="AF157" s="50"/>
      <c r="AG157" s="50"/>
      <c r="AH157" s="50"/>
      <c r="AI157" s="50"/>
      <c r="AJ157" s="50"/>
      <c r="AK157" s="50" t="s">
        <v>1805</v>
      </c>
      <c r="AL157" s="50"/>
      <c r="AM157" s="50"/>
      <c r="AN157" s="50"/>
      <c r="AO157" s="50"/>
      <c r="AP157" s="50"/>
      <c r="AQ157" s="50"/>
      <c r="AR157" s="50"/>
      <c r="AS157" s="50"/>
      <c r="AT157" s="50" t="str">
        <f aca="false">IFERROR(IF(AND(AN157&gt;0,J157&gt;0),ROUND(J157*1000/(AN157*0.2),0),""),"")</f>
        <v/>
      </c>
      <c r="AU157" s="50" t="str">
        <f aca="false">IFERROR(IF(AND(AQ157&gt;0,M157&gt;0),ROUND(M157*1000/(AQ157*0.3),0),""),"")</f>
        <v/>
      </c>
      <c r="AV157" s="50" t="str">
        <f aca="false">IFERROR(IF(AND(AM157&gt;0,O157&gt;0),ROUND(O157*1000/(AM157*0.1),0),""),"")</f>
        <v/>
      </c>
      <c r="AW157" s="50" t="str">
        <f aca="false">IFERROR(IF(AND(AP157&gt;0,N157&gt;0),ROUND(N157*1000/(AP157*0.25),0),""),"")</f>
        <v/>
      </c>
      <c r="AX157" s="50" t="str">
        <f aca="false">IFERROR(IF(AND(AO157&gt;0,Q157&gt;0),ROUND(Q157*1000/(AO157*1),0),""),"")</f>
        <v/>
      </c>
      <c r="AY157" s="51" t="n">
        <f aca="false">IFERROR(ifs(I157="Tier S",0.65,I157="Tier 1",0.55,I157="Tier 2",0.45,I157="Tier 3",0.35,I157="Tier 4",0.25),0.35)</f>
        <v>0.35</v>
      </c>
      <c r="AZ157" s="52" t="n">
        <v>1</v>
      </c>
      <c r="BA157" s="52" t="n">
        <v>1</v>
      </c>
      <c r="BB157" s="52" t="n">
        <v>1</v>
      </c>
      <c r="BC157" s="53" t="n">
        <f aca="false">IFERROR(ROUND(S157*AY157*BA157*BB157*AZ157,0),0)</f>
        <v>8470</v>
      </c>
      <c r="BD157" s="39" t="str">
        <f aca="false">IF(COUNT(AM157,AN157,AO157,AP157,AQ157,AR157,AS157)&gt;0,"estimated","pending")</f>
        <v>pending</v>
      </c>
      <c r="BE157" s="50"/>
    </row>
    <row r="158" customFormat="false" ht="15" hidden="false" customHeight="true" outlineLevel="0" collapsed="false">
      <c r="B158" s="54" t="n">
        <f aca="false">IF($C158="","",COUNTA($C$6:C158))</f>
        <v>153</v>
      </c>
      <c r="C158" s="54" t="s">
        <v>1213</v>
      </c>
      <c r="D158" s="54" t="s">
        <v>208</v>
      </c>
      <c r="E158" s="54" t="s">
        <v>1192</v>
      </c>
      <c r="F158" s="54" t="s">
        <v>1192</v>
      </c>
      <c r="G158" s="54" t="s">
        <v>1802</v>
      </c>
      <c r="H158" s="54" t="n">
        <v>1</v>
      </c>
      <c r="I158" s="55" t="s">
        <v>1357</v>
      </c>
      <c r="J158" s="56" t="n">
        <v>5200</v>
      </c>
      <c r="K158" s="56" t="n">
        <v>2200</v>
      </c>
      <c r="L158" s="57" t="n">
        <f aca="false">IF(J158="","",ROUND(J158*0.17,0))</f>
        <v>884</v>
      </c>
      <c r="M158" s="56" t="n">
        <v>4050</v>
      </c>
      <c r="N158" s="56" t="n">
        <v>1650</v>
      </c>
      <c r="O158" s="56" t="n">
        <v>1050</v>
      </c>
      <c r="P158" s="56" t="n">
        <v>1050</v>
      </c>
      <c r="Q158" s="56" t="n">
        <v>7550</v>
      </c>
      <c r="R158" s="56" t="n">
        <v>3400</v>
      </c>
      <c r="S158" s="57" t="n">
        <f aca="false">IF(J158="","",ROUND(J158*2.2,0))</f>
        <v>11440</v>
      </c>
      <c r="T158" s="56" t="n">
        <v>1800</v>
      </c>
      <c r="U158" s="56" t="n">
        <v>1550</v>
      </c>
      <c r="V158" s="56" t="n">
        <v>950</v>
      </c>
      <c r="W158" s="56" t="n">
        <v>2400</v>
      </c>
      <c r="X158" s="54" t="s">
        <v>1434</v>
      </c>
      <c r="Y158" s="49" t="n">
        <v>0.75</v>
      </c>
      <c r="Z158" s="49" t="n">
        <v>1</v>
      </c>
      <c r="AA158" s="50" t="s">
        <v>1213</v>
      </c>
      <c r="AB158" s="50" t="s">
        <v>1215</v>
      </c>
      <c r="AC158" s="50"/>
      <c r="AD158" s="50"/>
      <c r="AE158" s="50"/>
      <c r="AF158" s="50"/>
      <c r="AG158" s="50"/>
      <c r="AH158" s="50"/>
      <c r="AI158" s="50"/>
      <c r="AJ158" s="50"/>
      <c r="AK158" s="50" t="s">
        <v>1806</v>
      </c>
      <c r="AL158" s="50"/>
      <c r="AM158" s="50"/>
      <c r="AN158" s="50"/>
      <c r="AO158" s="50"/>
      <c r="AP158" s="50"/>
      <c r="AQ158" s="50"/>
      <c r="AR158" s="50"/>
      <c r="AS158" s="50"/>
      <c r="AT158" s="50" t="str">
        <f aca="false">IFERROR(IF(AND(AN158&gt;0,J158&gt;0),ROUND(J158*1000/(AN158*0.2),0),""),"")</f>
        <v/>
      </c>
      <c r="AU158" s="50" t="str">
        <f aca="false">IFERROR(IF(AND(AQ158&gt;0,M158&gt;0),ROUND(M158*1000/(AQ158*0.3),0),""),"")</f>
        <v/>
      </c>
      <c r="AV158" s="50" t="str">
        <f aca="false">IFERROR(IF(AND(AM158&gt;0,O158&gt;0),ROUND(O158*1000/(AM158*0.1),0),""),"")</f>
        <v/>
      </c>
      <c r="AW158" s="50" t="str">
        <f aca="false">IFERROR(IF(AND(AP158&gt;0,N158&gt;0),ROUND(N158*1000/(AP158*0.25),0),""),"")</f>
        <v/>
      </c>
      <c r="AX158" s="50" t="str">
        <f aca="false">IFERROR(IF(AND(AO158&gt;0,Q158&gt;0),ROUND(Q158*1000/(AO158*1),0),""),"")</f>
        <v/>
      </c>
      <c r="AY158" s="51" t="n">
        <f aca="false">IFERROR(ifs(I158="Tier S",0.65,I158="Tier 1",0.55,I158="Tier 2",0.45,I158="Tier 3",0.35,I158="Tier 4",0.25),0.35)</f>
        <v>0.35</v>
      </c>
      <c r="AZ158" s="52" t="n">
        <v>1</v>
      </c>
      <c r="BA158" s="52" t="n">
        <v>1</v>
      </c>
      <c r="BB158" s="52" t="n">
        <v>1</v>
      </c>
      <c r="BC158" s="53" t="n">
        <f aca="false">IFERROR(ROUND(S158*AY158*BA158*BB158*AZ158,0),0)</f>
        <v>4004</v>
      </c>
      <c r="BD158" s="39" t="str">
        <f aca="false">IF(COUNT(AM158,AN158,AO158,AP158,AQ158,AR158,AS158)&gt;0,"estimated","pending")</f>
        <v>pending</v>
      </c>
      <c r="BE158" s="50"/>
    </row>
    <row r="159" customFormat="false" ht="15" hidden="false" customHeight="true" outlineLevel="0" collapsed="false">
      <c r="B159" s="58" t="n">
        <f aca="false">IF($C159="","",COUNTA($C$6:C159))</f>
        <v>154</v>
      </c>
      <c r="C159" s="58" t="s">
        <v>1567</v>
      </c>
      <c r="D159" s="58" t="s">
        <v>1439</v>
      </c>
      <c r="E159" s="58" t="s">
        <v>1192</v>
      </c>
      <c r="F159" s="58" t="s">
        <v>1192</v>
      </c>
      <c r="G159" s="58" t="s">
        <v>1568</v>
      </c>
      <c r="H159" s="58" t="n">
        <v>1</v>
      </c>
      <c r="I159" s="59" t="s">
        <v>1357</v>
      </c>
      <c r="J159" s="60" t="n">
        <v>5200</v>
      </c>
      <c r="K159" s="60" t="n">
        <v>2200</v>
      </c>
      <c r="L159" s="61" t="n">
        <f aca="false">IF(J159="","",ROUND(J159*0.17,0))</f>
        <v>884</v>
      </c>
      <c r="M159" s="60" t="n">
        <v>4050</v>
      </c>
      <c r="N159" s="60" t="n">
        <v>1650</v>
      </c>
      <c r="O159" s="60" t="n">
        <v>1050</v>
      </c>
      <c r="P159" s="60" t="n">
        <v>0</v>
      </c>
      <c r="Q159" s="60" t="n">
        <v>7550</v>
      </c>
      <c r="R159" s="60" t="n">
        <v>3400</v>
      </c>
      <c r="S159" s="61" t="n">
        <f aca="false">IF(J159="","",ROUND(J159*2.2,0))</f>
        <v>11440</v>
      </c>
      <c r="T159" s="60" t="n">
        <v>1800</v>
      </c>
      <c r="U159" s="60" t="n">
        <v>1550</v>
      </c>
      <c r="V159" s="60" t="n">
        <v>950</v>
      </c>
      <c r="W159" s="60" t="n">
        <v>0</v>
      </c>
      <c r="X159" s="58" t="s">
        <v>1434</v>
      </c>
      <c r="Y159" s="49" t="n">
        <v>0.25</v>
      </c>
      <c r="Z159" s="49" t="n">
        <v>1</v>
      </c>
      <c r="AA159" s="50" t="s">
        <v>1569</v>
      </c>
      <c r="AB159" s="50" t="s">
        <v>1570</v>
      </c>
      <c r="AC159" s="50"/>
      <c r="AD159" s="50"/>
      <c r="AE159" s="50"/>
      <c r="AF159" s="50"/>
      <c r="AG159" s="50"/>
      <c r="AH159" s="50"/>
      <c r="AI159" s="50"/>
      <c r="AJ159" s="50"/>
      <c r="AK159" s="50" t="s">
        <v>1571</v>
      </c>
      <c r="AL159" s="50"/>
      <c r="AM159" s="50"/>
      <c r="AN159" s="50"/>
      <c r="AO159" s="50"/>
      <c r="AP159" s="50"/>
      <c r="AQ159" s="50"/>
      <c r="AR159" s="50"/>
      <c r="AS159" s="50"/>
      <c r="AT159" s="50" t="str">
        <f aca="false">IFERROR(IF(AND(AN159&gt;0,J159&gt;0),ROUND(J159*1000/(AN159*0.2),0),""),"")</f>
        <v/>
      </c>
      <c r="AU159" s="50" t="str">
        <f aca="false">IFERROR(IF(AND(AQ159&gt;0,M159&gt;0),ROUND(M159*1000/(AQ159*0.3),0),""),"")</f>
        <v/>
      </c>
      <c r="AV159" s="50" t="str">
        <f aca="false">IFERROR(IF(AND(AM159&gt;0,O159&gt;0),ROUND(O159*1000/(AM159*0.1),0),""),"")</f>
        <v/>
      </c>
      <c r="AW159" s="50" t="str">
        <f aca="false">IFERROR(IF(AND(AP159&gt;0,N159&gt;0),ROUND(N159*1000/(AP159*0.25),0),""),"")</f>
        <v/>
      </c>
      <c r="AX159" s="50" t="str">
        <f aca="false">IFERROR(IF(AND(AO159&gt;0,Q159&gt;0),ROUND(Q159*1000/(AO159*1),0),""),"")</f>
        <v/>
      </c>
      <c r="AY159" s="51" t="n">
        <f aca="false">IFERROR(ifs(I159="Tier S",0.65,I159="Tier 1",0.55,I159="Tier 2",0.45,I159="Tier 3",0.35,I159="Tier 4",0.25),0.35)</f>
        <v>0.35</v>
      </c>
      <c r="AZ159" s="52" t="n">
        <v>1</v>
      </c>
      <c r="BA159" s="52" t="n">
        <v>1</v>
      </c>
      <c r="BB159" s="52" t="n">
        <v>1</v>
      </c>
      <c r="BC159" s="53" t="n">
        <f aca="false">IFERROR(ROUND(S159*AY159*BA159*BB159*AZ159,0),0)</f>
        <v>4004</v>
      </c>
      <c r="BD159" s="39" t="str">
        <f aca="false">IF(COUNT(AM159,AN159,AO159,AP159,AQ159,AR159,AS159)&gt;0,"estimated","pending")</f>
        <v>pending</v>
      </c>
      <c r="BE159" s="50"/>
    </row>
    <row r="160" customFormat="false" ht="15" hidden="false" customHeight="true" outlineLevel="0" collapsed="false">
      <c r="B160" s="54" t="n">
        <f aca="false">IF($C160="","",COUNTA($C$6:C160))</f>
        <v>155</v>
      </c>
      <c r="C160" s="54" t="s">
        <v>1218</v>
      </c>
      <c r="D160" s="54" t="s">
        <v>208</v>
      </c>
      <c r="E160" s="54" t="s">
        <v>1216</v>
      </c>
      <c r="F160" s="54" t="s">
        <v>1217</v>
      </c>
      <c r="G160" s="54" t="s">
        <v>1807</v>
      </c>
      <c r="H160" s="54" t="n">
        <v>3</v>
      </c>
      <c r="I160" s="55" t="s">
        <v>337</v>
      </c>
      <c r="J160" s="56" t="n">
        <v>11250</v>
      </c>
      <c r="K160" s="56" t="n">
        <v>4500</v>
      </c>
      <c r="L160" s="57" t="n">
        <f aca="false">IF(J160="","",ROUND(J160*0.17,0))</f>
        <v>1913</v>
      </c>
      <c r="M160" s="56" t="n">
        <v>8000</v>
      </c>
      <c r="N160" s="56" t="n">
        <v>3500</v>
      </c>
      <c r="O160" s="56" t="n">
        <v>2000</v>
      </c>
      <c r="P160" s="56" t="n">
        <v>2000</v>
      </c>
      <c r="Q160" s="56" t="n">
        <v>13500</v>
      </c>
      <c r="R160" s="56" t="n">
        <v>6075</v>
      </c>
      <c r="S160" s="57" t="n">
        <f aca="false">IF(J160="","",ROUND(J160*2.2,0))</f>
        <v>24750</v>
      </c>
      <c r="T160" s="56" t="n">
        <v>4638</v>
      </c>
      <c r="U160" s="56" t="n">
        <v>4063</v>
      </c>
      <c r="V160" s="56" t="n">
        <v>2438</v>
      </c>
      <c r="W160" s="56" t="n">
        <v>2400</v>
      </c>
      <c r="X160" s="54" t="s">
        <v>1383</v>
      </c>
      <c r="Y160" s="49" t="n">
        <v>0.3</v>
      </c>
      <c r="Z160" s="49" t="n">
        <v>1</v>
      </c>
      <c r="AA160" s="50" t="s">
        <v>1219</v>
      </c>
      <c r="AB160" s="50" t="s">
        <v>1221</v>
      </c>
      <c r="AC160" s="50"/>
      <c r="AD160" s="50" t="s">
        <v>1223</v>
      </c>
      <c r="AE160" s="50"/>
      <c r="AF160" s="50"/>
      <c r="AG160" s="50"/>
      <c r="AH160" s="50" t="s">
        <v>1225</v>
      </c>
      <c r="AI160" s="50"/>
      <c r="AJ160" s="50"/>
      <c r="AK160" s="50" t="s">
        <v>1808</v>
      </c>
      <c r="AL160" s="50"/>
      <c r="AM160" s="50"/>
      <c r="AN160" s="50"/>
      <c r="AO160" s="50"/>
      <c r="AP160" s="50"/>
      <c r="AQ160" s="50"/>
      <c r="AR160" s="50"/>
      <c r="AS160" s="50"/>
      <c r="AT160" s="50" t="str">
        <f aca="false">IFERROR(IF(AND(AN160&gt;0,J160&gt;0),ROUND(J160*1000/(AN160*0.2),0),""),"")</f>
        <v/>
      </c>
      <c r="AU160" s="50" t="str">
        <f aca="false">IFERROR(IF(AND(AQ160&gt;0,M160&gt;0),ROUND(M160*1000/(AQ160*0.3),0),""),"")</f>
        <v/>
      </c>
      <c r="AV160" s="50" t="str">
        <f aca="false">IFERROR(IF(AND(AM160&gt;0,O160&gt;0),ROUND(O160*1000/(AM160*0.1),0),""),"")</f>
        <v/>
      </c>
      <c r="AW160" s="50" t="str">
        <f aca="false">IFERROR(IF(AND(AP160&gt;0,N160&gt;0),ROUND(N160*1000/(AP160*0.25),0),""),"")</f>
        <v/>
      </c>
      <c r="AX160" s="50" t="str">
        <f aca="false">IFERROR(IF(AND(AO160&gt;0,Q160&gt;0),ROUND(Q160*1000/(AO160*1),0),""),"")</f>
        <v/>
      </c>
      <c r="AY160" s="51" t="n">
        <f aca="false">IFERROR(ifs(I160="Tier S",0.65,I160="Tier 1",0.55,I160="Tier 2",0.45,I160="Tier 3",0.35,I160="Tier 4",0.25),0.35)</f>
        <v>0.35</v>
      </c>
      <c r="AZ160" s="52" t="n">
        <v>1</v>
      </c>
      <c r="BA160" s="52" t="n">
        <v>1</v>
      </c>
      <c r="BB160" s="52" t="n">
        <v>1</v>
      </c>
      <c r="BC160" s="53" t="n">
        <f aca="false">IFERROR(ROUND(S160*AY160*BA160*BB160*AZ160,0),0)</f>
        <v>8663</v>
      </c>
      <c r="BD160" s="39" t="str">
        <f aca="false">IF(COUNT(AM160,AN160,AO160,AP160,AQ160,AR160,AS160)&gt;0,"estimated","pending")</f>
        <v>pending</v>
      </c>
      <c r="BE160" s="50"/>
    </row>
    <row r="161" customFormat="false" ht="15" hidden="false" customHeight="true" outlineLevel="0" collapsed="false">
      <c r="B161" s="54" t="n">
        <f aca="false">IF($C161="","",COUNTA($C$6:C161))</f>
        <v>156</v>
      </c>
      <c r="C161" s="54" t="s">
        <v>1226</v>
      </c>
      <c r="D161" s="54" t="s">
        <v>208</v>
      </c>
      <c r="E161" s="54" t="s">
        <v>1216</v>
      </c>
      <c r="F161" s="54" t="s">
        <v>1217</v>
      </c>
      <c r="G161" s="54" t="s">
        <v>1669</v>
      </c>
      <c r="H161" s="54" t="n">
        <v>2</v>
      </c>
      <c r="I161" s="55" t="s">
        <v>337</v>
      </c>
      <c r="J161" s="56" t="n">
        <v>11000</v>
      </c>
      <c r="K161" s="56" t="n">
        <v>4600</v>
      </c>
      <c r="L161" s="57" t="n">
        <f aca="false">IF(J161="","",ROUND(J161*0.17,0))</f>
        <v>1870</v>
      </c>
      <c r="M161" s="56" t="n">
        <v>8600</v>
      </c>
      <c r="N161" s="56" t="n">
        <v>3500</v>
      </c>
      <c r="O161" s="56" t="n">
        <v>2200</v>
      </c>
      <c r="P161" s="56" t="n">
        <v>2200</v>
      </c>
      <c r="Q161" s="56" t="n">
        <v>15950</v>
      </c>
      <c r="R161" s="56" t="n">
        <v>7150</v>
      </c>
      <c r="S161" s="57" t="n">
        <f aca="false">IF(J161="","",ROUND(J161*2.2,0))</f>
        <v>24200</v>
      </c>
      <c r="T161" s="56" t="n">
        <v>3850</v>
      </c>
      <c r="U161" s="56" t="n">
        <v>3300</v>
      </c>
      <c r="V161" s="56" t="n">
        <v>2000</v>
      </c>
      <c r="W161" s="56" t="n">
        <v>2400</v>
      </c>
      <c r="X161" s="54" t="s">
        <v>1428</v>
      </c>
      <c r="Y161" s="49" t="n">
        <v>0.3</v>
      </c>
      <c r="Z161" s="49" t="n">
        <v>1</v>
      </c>
      <c r="AA161" s="50" t="s">
        <v>1227</v>
      </c>
      <c r="AB161" s="50" t="s">
        <v>1229</v>
      </c>
      <c r="AC161" s="50"/>
      <c r="AD161" s="50" t="s">
        <v>1230</v>
      </c>
      <c r="AE161" s="50"/>
      <c r="AF161" s="50"/>
      <c r="AG161" s="50"/>
      <c r="AH161" s="50"/>
      <c r="AI161" s="50"/>
      <c r="AJ161" s="50"/>
      <c r="AK161" s="50" t="s">
        <v>1809</v>
      </c>
      <c r="AL161" s="50"/>
      <c r="AM161" s="50"/>
      <c r="AN161" s="50"/>
      <c r="AO161" s="50"/>
      <c r="AP161" s="50"/>
      <c r="AQ161" s="50"/>
      <c r="AR161" s="50"/>
      <c r="AS161" s="50"/>
      <c r="AT161" s="50" t="str">
        <f aca="false">IFERROR(IF(AND(AN161&gt;0,J161&gt;0),ROUND(J161*1000/(AN161*0.2),0),""),"")</f>
        <v/>
      </c>
      <c r="AU161" s="50" t="str">
        <f aca="false">IFERROR(IF(AND(AQ161&gt;0,M161&gt;0),ROUND(M161*1000/(AQ161*0.3),0),""),"")</f>
        <v/>
      </c>
      <c r="AV161" s="50" t="str">
        <f aca="false">IFERROR(IF(AND(AM161&gt;0,O161&gt;0),ROUND(O161*1000/(AM161*0.1),0),""),"")</f>
        <v/>
      </c>
      <c r="AW161" s="50" t="str">
        <f aca="false">IFERROR(IF(AND(AP161&gt;0,N161&gt;0),ROUND(N161*1000/(AP161*0.25),0),""),"")</f>
        <v/>
      </c>
      <c r="AX161" s="50" t="str">
        <f aca="false">IFERROR(IF(AND(AO161&gt;0,Q161&gt;0),ROUND(Q161*1000/(AO161*1),0),""),"")</f>
        <v/>
      </c>
      <c r="AY161" s="51" t="n">
        <f aca="false">IFERROR(ifs(I161="Tier S",0.65,I161="Tier 1",0.55,I161="Tier 2",0.45,I161="Tier 3",0.35,I161="Tier 4",0.25),0.35)</f>
        <v>0.35</v>
      </c>
      <c r="AZ161" s="52" t="n">
        <v>1</v>
      </c>
      <c r="BA161" s="52" t="n">
        <v>1</v>
      </c>
      <c r="BB161" s="52" t="n">
        <v>1</v>
      </c>
      <c r="BC161" s="53" t="n">
        <f aca="false">IFERROR(ROUND(S161*AY161*BA161*BB161*AZ161,0),0)</f>
        <v>8470</v>
      </c>
      <c r="BD161" s="39" t="str">
        <f aca="false">IF(COUNT(AM161,AN161,AO161,AP161,AQ161,AR161,AS161)&gt;0,"estimated","pending")</f>
        <v>pending</v>
      </c>
      <c r="BE161" s="50"/>
    </row>
    <row r="162" customFormat="false" ht="15" hidden="false" customHeight="true" outlineLevel="0" collapsed="false">
      <c r="B162" s="54" t="n">
        <f aca="false">IF($C162="","",COUNTA($C$6:C162))</f>
        <v>157</v>
      </c>
      <c r="C162" s="54" t="s">
        <v>1231</v>
      </c>
      <c r="D162" s="54" t="s">
        <v>208</v>
      </c>
      <c r="E162" s="54" t="s">
        <v>1216</v>
      </c>
      <c r="F162" s="54" t="s">
        <v>1217</v>
      </c>
      <c r="G162" s="54" t="s">
        <v>1807</v>
      </c>
      <c r="H162" s="54" t="n">
        <v>1</v>
      </c>
      <c r="I162" s="55" t="s">
        <v>1357</v>
      </c>
      <c r="J162" s="56" t="n">
        <v>11000</v>
      </c>
      <c r="K162" s="56" t="n">
        <v>4600</v>
      </c>
      <c r="L162" s="57" t="n">
        <f aca="false">IF(J162="","",ROUND(J162*0.17,0))</f>
        <v>1870</v>
      </c>
      <c r="M162" s="56" t="n">
        <v>8600</v>
      </c>
      <c r="N162" s="56" t="n">
        <v>3500</v>
      </c>
      <c r="O162" s="56" t="n">
        <v>2200</v>
      </c>
      <c r="P162" s="56" t="n">
        <v>2200</v>
      </c>
      <c r="Q162" s="56" t="n">
        <v>15950</v>
      </c>
      <c r="R162" s="56" t="n">
        <v>7150</v>
      </c>
      <c r="S162" s="57" t="n">
        <f aca="false">IF(J162="","",ROUND(J162*2.2,0))</f>
        <v>24200</v>
      </c>
      <c r="T162" s="56" t="n">
        <v>3850</v>
      </c>
      <c r="U162" s="56" t="n">
        <v>3300</v>
      </c>
      <c r="V162" s="56" t="n">
        <v>2000</v>
      </c>
      <c r="W162" s="56" t="n">
        <v>2400</v>
      </c>
      <c r="X162" s="54" t="s">
        <v>1434</v>
      </c>
      <c r="Y162" s="49" t="n">
        <v>0.4</v>
      </c>
      <c r="Z162" s="49" t="n">
        <v>1</v>
      </c>
      <c r="AA162" s="50" t="s">
        <v>1232</v>
      </c>
      <c r="AB162" s="50" t="s">
        <v>1234</v>
      </c>
      <c r="AC162" s="50"/>
      <c r="AD162" s="50"/>
      <c r="AE162" s="50"/>
      <c r="AF162" s="50"/>
      <c r="AG162" s="50"/>
      <c r="AH162" s="50"/>
      <c r="AI162" s="50"/>
      <c r="AJ162" s="50"/>
      <c r="AK162" s="50" t="s">
        <v>1810</v>
      </c>
      <c r="AL162" s="50"/>
      <c r="AM162" s="50"/>
      <c r="AN162" s="50"/>
      <c r="AO162" s="50"/>
      <c r="AP162" s="50"/>
      <c r="AQ162" s="50"/>
      <c r="AR162" s="50"/>
      <c r="AS162" s="50"/>
      <c r="AT162" s="50" t="str">
        <f aca="false">IFERROR(IF(AND(AN162&gt;0,J162&gt;0),ROUND(J162*1000/(AN162*0.2),0),""),"")</f>
        <v/>
      </c>
      <c r="AU162" s="50" t="str">
        <f aca="false">IFERROR(IF(AND(AQ162&gt;0,M162&gt;0),ROUND(M162*1000/(AQ162*0.3),0),""),"")</f>
        <v/>
      </c>
      <c r="AV162" s="50" t="str">
        <f aca="false">IFERROR(IF(AND(AM162&gt;0,O162&gt;0),ROUND(O162*1000/(AM162*0.1),0),""),"")</f>
        <v/>
      </c>
      <c r="AW162" s="50" t="str">
        <f aca="false">IFERROR(IF(AND(AP162&gt;0,N162&gt;0),ROUND(N162*1000/(AP162*0.25),0),""),"")</f>
        <v/>
      </c>
      <c r="AX162" s="50" t="str">
        <f aca="false">IFERROR(IF(AND(AO162&gt;0,Q162&gt;0),ROUND(Q162*1000/(AO162*1),0),""),"")</f>
        <v/>
      </c>
      <c r="AY162" s="51" t="n">
        <f aca="false">IFERROR(ifs(I162="Tier S",0.65,I162="Tier 1",0.55,I162="Tier 2",0.45,I162="Tier 3",0.35,I162="Tier 4",0.25),0.35)</f>
        <v>0.35</v>
      </c>
      <c r="AZ162" s="52" t="n">
        <v>1</v>
      </c>
      <c r="BA162" s="52" t="n">
        <v>1</v>
      </c>
      <c r="BB162" s="52" t="n">
        <v>1</v>
      </c>
      <c r="BC162" s="53" t="n">
        <f aca="false">IFERROR(ROUND(S162*AY162*BA162*BB162*AZ162,0),0)</f>
        <v>8470</v>
      </c>
      <c r="BD162" s="39" t="str">
        <f aca="false">IF(COUNT(AM162,AN162,AO162,AP162,AQ162,AR162,AS162)&gt;0,"estimated","pending")</f>
        <v>pending</v>
      </c>
      <c r="BE162" s="50"/>
    </row>
    <row r="163" customFormat="false" ht="15" hidden="false" customHeight="true" outlineLevel="0" collapsed="false">
      <c r="B163" s="54" t="n">
        <f aca="false">IF($C163="","",COUNTA($C$6:C163))</f>
        <v>158</v>
      </c>
      <c r="C163" s="54" t="s">
        <v>1235</v>
      </c>
      <c r="D163" s="54" t="s">
        <v>208</v>
      </c>
      <c r="E163" s="54" t="s">
        <v>1216</v>
      </c>
      <c r="F163" s="54" t="s">
        <v>1217</v>
      </c>
      <c r="G163" s="54" t="s">
        <v>1562</v>
      </c>
      <c r="H163" s="54" t="n">
        <v>2</v>
      </c>
      <c r="I163" s="55" t="s">
        <v>337</v>
      </c>
      <c r="J163" s="56" t="n">
        <v>5200</v>
      </c>
      <c r="K163" s="56" t="n">
        <v>2200</v>
      </c>
      <c r="L163" s="57" t="n">
        <f aca="false">IF(J163="","",ROUND(J163*0.17,0))</f>
        <v>884</v>
      </c>
      <c r="M163" s="56" t="n">
        <v>4050</v>
      </c>
      <c r="N163" s="56" t="n">
        <v>1650</v>
      </c>
      <c r="O163" s="56" t="n">
        <v>1050</v>
      </c>
      <c r="P163" s="56" t="n">
        <v>1050</v>
      </c>
      <c r="Q163" s="56" t="n">
        <v>7550</v>
      </c>
      <c r="R163" s="56" t="n">
        <v>3400</v>
      </c>
      <c r="S163" s="57" t="n">
        <f aca="false">IF(J163="","",ROUND(J163*2.2,0))</f>
        <v>11440</v>
      </c>
      <c r="T163" s="56" t="n">
        <v>1800</v>
      </c>
      <c r="U163" s="56" t="n">
        <v>1550</v>
      </c>
      <c r="V163" s="56" t="n">
        <v>950</v>
      </c>
      <c r="W163" s="56" t="n">
        <v>2400</v>
      </c>
      <c r="X163" s="54" t="s">
        <v>1428</v>
      </c>
      <c r="Y163" s="49" t="n">
        <v>0.2</v>
      </c>
      <c r="Z163" s="49" t="n">
        <v>1</v>
      </c>
      <c r="AA163" s="50" t="s">
        <v>1236</v>
      </c>
      <c r="AB163" s="50" t="s">
        <v>1238</v>
      </c>
      <c r="AC163" s="50"/>
      <c r="AD163" s="50" t="s">
        <v>1240</v>
      </c>
      <c r="AE163" s="50"/>
      <c r="AF163" s="50"/>
      <c r="AG163" s="50"/>
      <c r="AH163" s="50"/>
      <c r="AI163" s="50"/>
      <c r="AJ163" s="50"/>
      <c r="AK163" s="50" t="s">
        <v>1811</v>
      </c>
      <c r="AL163" s="50"/>
      <c r="AM163" s="50"/>
      <c r="AN163" s="50"/>
      <c r="AO163" s="50"/>
      <c r="AP163" s="50"/>
      <c r="AQ163" s="50"/>
      <c r="AR163" s="50"/>
      <c r="AS163" s="50"/>
      <c r="AT163" s="50" t="str">
        <f aca="false">IFERROR(IF(AND(AN163&gt;0,J163&gt;0),ROUND(J163*1000/(AN163*0.2),0),""),"")</f>
        <v/>
      </c>
      <c r="AU163" s="50" t="str">
        <f aca="false">IFERROR(IF(AND(AQ163&gt;0,M163&gt;0),ROUND(M163*1000/(AQ163*0.3),0),""),"")</f>
        <v/>
      </c>
      <c r="AV163" s="50" t="str">
        <f aca="false">IFERROR(IF(AND(AM163&gt;0,O163&gt;0),ROUND(O163*1000/(AM163*0.1),0),""),"")</f>
        <v/>
      </c>
      <c r="AW163" s="50" t="str">
        <f aca="false">IFERROR(IF(AND(AP163&gt;0,N163&gt;0),ROUND(N163*1000/(AP163*0.25),0),""),"")</f>
        <v/>
      </c>
      <c r="AX163" s="50" t="str">
        <f aca="false">IFERROR(IF(AND(AO163&gt;0,Q163&gt;0),ROUND(Q163*1000/(AO163*1),0),""),"")</f>
        <v/>
      </c>
      <c r="AY163" s="51" t="n">
        <f aca="false">IFERROR(ifs(I163="Tier S",0.65,I163="Tier 1",0.55,I163="Tier 2",0.45,I163="Tier 3",0.35,I163="Tier 4",0.25),0.35)</f>
        <v>0.35</v>
      </c>
      <c r="AZ163" s="52" t="n">
        <v>1</v>
      </c>
      <c r="BA163" s="52" t="n">
        <v>1</v>
      </c>
      <c r="BB163" s="52" t="n">
        <v>1</v>
      </c>
      <c r="BC163" s="53" t="n">
        <f aca="false">IFERROR(ROUND(S163*AY163*BA163*BB163*AZ163,0),0)</f>
        <v>4004</v>
      </c>
      <c r="BD163" s="39" t="str">
        <f aca="false">IF(COUNT(AM163,AN163,AO163,AP163,AQ163,AR163,AS163)&gt;0,"estimated","pending")</f>
        <v>pending</v>
      </c>
      <c r="BE163" s="50"/>
    </row>
    <row r="164" customFormat="false" ht="15" hidden="false" customHeight="true" outlineLevel="0" collapsed="false">
      <c r="B164" s="62" t="n">
        <f aca="false">IF($C164="","",COUNTA($C$6:C164))</f>
        <v>159</v>
      </c>
      <c r="C164" s="62" t="s">
        <v>1812</v>
      </c>
      <c r="D164" s="62" t="s">
        <v>1478</v>
      </c>
      <c r="E164" s="62" t="s">
        <v>1216</v>
      </c>
      <c r="F164" s="62" t="s">
        <v>1217</v>
      </c>
      <c r="G164" s="62" t="s">
        <v>1813</v>
      </c>
      <c r="H164" s="62" t="n">
        <v>1</v>
      </c>
      <c r="I164" s="63" t="s">
        <v>1357</v>
      </c>
      <c r="J164" s="64" t="n">
        <v>12100</v>
      </c>
      <c r="K164" s="64" t="n">
        <v>5100</v>
      </c>
      <c r="L164" s="65" t="n">
        <f aca="false">IF(J164="","",ROUND(J164*0.17,0))</f>
        <v>2057</v>
      </c>
      <c r="M164" s="64" t="n">
        <v>9450</v>
      </c>
      <c r="N164" s="64" t="n">
        <v>3850</v>
      </c>
      <c r="O164" s="64" t="n">
        <v>2400</v>
      </c>
      <c r="P164" s="64" t="n">
        <v>0</v>
      </c>
      <c r="Q164" s="64" t="n">
        <v>17550</v>
      </c>
      <c r="R164" s="64" t="n">
        <v>7850</v>
      </c>
      <c r="S164" s="65" t="n">
        <f aca="false">IF(J164="","",ROUND(J164*2.2,0))</f>
        <v>26620</v>
      </c>
      <c r="T164" s="64" t="n">
        <v>4250</v>
      </c>
      <c r="U164" s="64" t="n">
        <v>3650</v>
      </c>
      <c r="V164" s="64" t="n">
        <v>2200</v>
      </c>
      <c r="W164" s="64" t="n">
        <v>0</v>
      </c>
      <c r="X164" s="62" t="s">
        <v>1434</v>
      </c>
      <c r="Y164" s="49" t="n">
        <v>0.5</v>
      </c>
      <c r="Z164" s="49" t="n">
        <v>1</v>
      </c>
      <c r="AA164" s="50" t="s">
        <v>1814</v>
      </c>
      <c r="AB164" s="50" t="s">
        <v>1815</v>
      </c>
      <c r="AC164" s="50"/>
      <c r="AD164" s="50"/>
      <c r="AE164" s="50"/>
      <c r="AF164" s="50"/>
      <c r="AG164" s="50"/>
      <c r="AH164" s="50"/>
      <c r="AI164" s="50"/>
      <c r="AJ164" s="50"/>
      <c r="AK164" s="50" t="s">
        <v>1816</v>
      </c>
      <c r="AL164" s="50"/>
      <c r="AM164" s="50"/>
      <c r="AN164" s="50"/>
      <c r="AO164" s="50"/>
      <c r="AP164" s="50"/>
      <c r="AQ164" s="50"/>
      <c r="AR164" s="50"/>
      <c r="AS164" s="50"/>
      <c r="AT164" s="50" t="str">
        <f aca="false">IFERROR(IF(AND(AN164&gt;0,J164&gt;0),ROUND(J164*1000/(AN164*0.2),0),""),"")</f>
        <v/>
      </c>
      <c r="AU164" s="50" t="str">
        <f aca="false">IFERROR(IF(AND(AQ164&gt;0,M164&gt;0),ROUND(M164*1000/(AQ164*0.3),0),""),"")</f>
        <v/>
      </c>
      <c r="AV164" s="50" t="str">
        <f aca="false">IFERROR(IF(AND(AM164&gt;0,O164&gt;0),ROUND(O164*1000/(AM164*0.1),0),""),"")</f>
        <v/>
      </c>
      <c r="AW164" s="50" t="str">
        <f aca="false">IFERROR(IF(AND(AP164&gt;0,N164&gt;0),ROUND(N164*1000/(AP164*0.25),0),""),"")</f>
        <v/>
      </c>
      <c r="AX164" s="50" t="str">
        <f aca="false">IFERROR(IF(AND(AO164&gt;0,Q164&gt;0),ROUND(Q164*1000/(AO164*1),0),""),"")</f>
        <v/>
      </c>
      <c r="AY164" s="51" t="n">
        <f aca="false">IFERROR(ifs(I164="Tier S",0.65,I164="Tier 1",0.55,I164="Tier 2",0.45,I164="Tier 3",0.35,I164="Tier 4",0.25),0.35)</f>
        <v>0.35</v>
      </c>
      <c r="AZ164" s="52" t="n">
        <v>1</v>
      </c>
      <c r="BA164" s="52" t="n">
        <v>1</v>
      </c>
      <c r="BB164" s="52" t="n">
        <v>1</v>
      </c>
      <c r="BC164" s="53" t="n">
        <f aca="false">IFERROR(ROUND(S164*AY164*BA164*BB164*AZ164,0),0)</f>
        <v>9317</v>
      </c>
      <c r="BD164" s="39" t="str">
        <f aca="false">IF(COUNT(AM164,AN164,AO164,AP164,AQ164,AR164,AS164)&gt;0,"estimated","pending")</f>
        <v>pending</v>
      </c>
      <c r="BE164" s="50"/>
    </row>
    <row r="165" customFormat="false" ht="15" hidden="false" customHeight="true" outlineLevel="0" collapsed="false">
      <c r="B165" s="54" t="n">
        <f aca="false">IF($C165="","",COUNTA($C$6:C165))</f>
        <v>160</v>
      </c>
      <c r="C165" s="54" t="s">
        <v>1247</v>
      </c>
      <c r="D165" s="54" t="s">
        <v>208</v>
      </c>
      <c r="E165" s="54" t="s">
        <v>1246</v>
      </c>
      <c r="F165" s="54" t="s">
        <v>128</v>
      </c>
      <c r="G165" s="54" t="s">
        <v>1817</v>
      </c>
      <c r="H165" s="54" t="n">
        <v>5</v>
      </c>
      <c r="I165" s="55" t="s">
        <v>269</v>
      </c>
      <c r="J165" s="56" t="n">
        <v>5700</v>
      </c>
      <c r="K165" s="56" t="n">
        <v>2400</v>
      </c>
      <c r="L165" s="57" t="n">
        <f aca="false">IF(J165="","",ROUND(J165*0.17,0))</f>
        <v>969</v>
      </c>
      <c r="M165" s="56" t="n">
        <v>4450</v>
      </c>
      <c r="N165" s="56" t="n">
        <v>1850</v>
      </c>
      <c r="O165" s="56" t="n">
        <v>1150</v>
      </c>
      <c r="P165" s="56" t="n">
        <v>1150</v>
      </c>
      <c r="Q165" s="56" t="n">
        <v>8300</v>
      </c>
      <c r="R165" s="56" t="n">
        <v>3700</v>
      </c>
      <c r="S165" s="57" t="n">
        <f aca="false">IF(J165="","",ROUND(J165*2.2,0))</f>
        <v>12540</v>
      </c>
      <c r="T165" s="56" t="n">
        <v>2000</v>
      </c>
      <c r="U165" s="56" t="n">
        <v>1700</v>
      </c>
      <c r="V165" s="56" t="n">
        <v>1050</v>
      </c>
      <c r="W165" s="56" t="n">
        <v>2400</v>
      </c>
      <c r="X165" s="54" t="s">
        <v>1393</v>
      </c>
      <c r="Y165" s="49" t="n">
        <v>0.25</v>
      </c>
      <c r="Z165" s="49" t="n">
        <v>1</v>
      </c>
      <c r="AA165" s="50" t="s">
        <v>1248</v>
      </c>
      <c r="AB165" s="50" t="s">
        <v>1250</v>
      </c>
      <c r="AC165" s="50" t="s">
        <v>1252</v>
      </c>
      <c r="AD165" s="50" t="s">
        <v>1253</v>
      </c>
      <c r="AE165" s="50" t="s">
        <v>1255</v>
      </c>
      <c r="AF165" s="50" t="s">
        <v>1257</v>
      </c>
      <c r="AG165" s="50"/>
      <c r="AH165" s="50"/>
      <c r="AI165" s="50"/>
      <c r="AJ165" s="50"/>
      <c r="AK165" s="50" t="s">
        <v>1818</v>
      </c>
      <c r="AL165" s="50"/>
      <c r="AM165" s="50"/>
      <c r="AN165" s="50"/>
      <c r="AO165" s="50"/>
      <c r="AP165" s="50"/>
      <c r="AQ165" s="50"/>
      <c r="AR165" s="50"/>
      <c r="AS165" s="50"/>
      <c r="AT165" s="50" t="str">
        <f aca="false">IFERROR(IF(AND(AN165&gt;0,J165&gt;0),ROUND(J165*1000/(AN165*0.2),0),""),"")</f>
        <v/>
      </c>
      <c r="AU165" s="50" t="str">
        <f aca="false">IFERROR(IF(AND(AQ165&gt;0,M165&gt;0),ROUND(M165*1000/(AQ165*0.3),0),""),"")</f>
        <v/>
      </c>
      <c r="AV165" s="50" t="str">
        <f aca="false">IFERROR(IF(AND(AM165&gt;0,O165&gt;0),ROUND(O165*1000/(AM165*0.1),0),""),"")</f>
        <v/>
      </c>
      <c r="AW165" s="50" t="str">
        <f aca="false">IFERROR(IF(AND(AP165&gt;0,N165&gt;0),ROUND(N165*1000/(AP165*0.25),0),""),"")</f>
        <v/>
      </c>
      <c r="AX165" s="50" t="str">
        <f aca="false">IFERROR(IF(AND(AO165&gt;0,Q165&gt;0),ROUND(Q165*1000/(AO165*1),0),""),"")</f>
        <v/>
      </c>
      <c r="AY165" s="51" t="n">
        <f aca="false">IFERROR(ifs(I165="Tier S",0.65,I165="Tier 1",0.55,I165="Tier 2",0.45,I165="Tier 3",0.35,I165="Tier 4",0.25),0.35)</f>
        <v>0.35</v>
      </c>
      <c r="AZ165" s="52" t="n">
        <v>1</v>
      </c>
      <c r="BA165" s="52" t="n">
        <v>1</v>
      </c>
      <c r="BB165" s="52" t="n">
        <v>1</v>
      </c>
      <c r="BC165" s="53" t="n">
        <f aca="false">IFERROR(ROUND(S165*AY165*BA165*BB165*AZ165,0),0)</f>
        <v>4389</v>
      </c>
      <c r="BD165" s="39" t="str">
        <f aca="false">IF(COUNT(AM165,AN165,AO165,AP165,AQ165,AR165,AS165)&gt;0,"estimated","pending")</f>
        <v>pending</v>
      </c>
      <c r="BE165" s="50"/>
    </row>
    <row r="166" customFormat="false" ht="15" hidden="false" customHeight="true" outlineLevel="0" collapsed="false">
      <c r="B166" s="62" t="n">
        <f aca="false">IF($C166="","",COUNTA($C$6:C166))</f>
        <v>161</v>
      </c>
      <c r="C166" s="62" t="s">
        <v>1819</v>
      </c>
      <c r="D166" s="62" t="s">
        <v>1540</v>
      </c>
      <c r="E166" s="62" t="s">
        <v>1246</v>
      </c>
      <c r="F166" s="62" t="s">
        <v>128</v>
      </c>
      <c r="G166" s="62" t="s">
        <v>1820</v>
      </c>
      <c r="H166" s="62" t="n">
        <v>5</v>
      </c>
      <c r="I166" s="63" t="s">
        <v>269</v>
      </c>
      <c r="J166" s="64" t="n">
        <v>20700</v>
      </c>
      <c r="K166" s="64" t="n">
        <v>8700</v>
      </c>
      <c r="L166" s="65" t="n">
        <f aca="false">IF(J166="","",ROUND(J166*0.17,0))</f>
        <v>3519</v>
      </c>
      <c r="M166" s="64" t="n">
        <v>16150</v>
      </c>
      <c r="N166" s="64" t="n">
        <v>6600</v>
      </c>
      <c r="O166" s="64" t="n">
        <v>4150</v>
      </c>
      <c r="P166" s="64" t="n">
        <v>0</v>
      </c>
      <c r="Q166" s="64" t="n">
        <v>30000</v>
      </c>
      <c r="R166" s="64" t="n">
        <v>13450</v>
      </c>
      <c r="S166" s="65" t="n">
        <f aca="false">IF(J166="","",ROUND(J166*2.2,0))</f>
        <v>45540</v>
      </c>
      <c r="T166" s="64" t="n">
        <v>7250</v>
      </c>
      <c r="U166" s="64" t="n">
        <v>6200</v>
      </c>
      <c r="V166" s="64" t="n">
        <v>3750</v>
      </c>
      <c r="W166" s="64" t="n">
        <v>0</v>
      </c>
      <c r="X166" s="62" t="s">
        <v>1393</v>
      </c>
      <c r="Y166" s="49" t="n">
        <v>0.25</v>
      </c>
      <c r="Z166" s="49" t="n">
        <v>1</v>
      </c>
      <c r="AA166" s="50" t="s">
        <v>1821</v>
      </c>
      <c r="AB166" s="50" t="s">
        <v>1822</v>
      </c>
      <c r="AC166" s="50" t="s">
        <v>1823</v>
      </c>
      <c r="AD166" s="50" t="s">
        <v>1824</v>
      </c>
      <c r="AE166" s="50" t="s">
        <v>1825</v>
      </c>
      <c r="AF166" s="50"/>
      <c r="AG166" s="50"/>
      <c r="AH166" s="50" t="s">
        <v>1826</v>
      </c>
      <c r="AI166" s="50"/>
      <c r="AJ166" s="50"/>
      <c r="AK166" s="50" t="s">
        <v>1827</v>
      </c>
      <c r="AL166" s="50"/>
      <c r="AM166" s="50"/>
      <c r="AN166" s="50"/>
      <c r="AO166" s="50"/>
      <c r="AP166" s="50"/>
      <c r="AQ166" s="50"/>
      <c r="AR166" s="50"/>
      <c r="AS166" s="50"/>
      <c r="AT166" s="50" t="str">
        <f aca="false">IFERROR(IF(AND(AN166&gt;0,J166&gt;0),ROUND(J166*1000/(AN166*0.2),0),""),"")</f>
        <v/>
      </c>
      <c r="AU166" s="50" t="str">
        <f aca="false">IFERROR(IF(AND(AQ166&gt;0,M166&gt;0),ROUND(M166*1000/(AQ166*0.3),0),""),"")</f>
        <v/>
      </c>
      <c r="AV166" s="50" t="str">
        <f aca="false">IFERROR(IF(AND(AM166&gt;0,O166&gt;0),ROUND(O166*1000/(AM166*0.1),0),""),"")</f>
        <v/>
      </c>
      <c r="AW166" s="50" t="str">
        <f aca="false">IFERROR(IF(AND(AP166&gt;0,N166&gt;0),ROUND(N166*1000/(AP166*0.25),0),""),"")</f>
        <v/>
      </c>
      <c r="AX166" s="50" t="str">
        <f aca="false">IFERROR(IF(AND(AO166&gt;0,Q166&gt;0),ROUND(Q166*1000/(AO166*1),0),""),"")</f>
        <v/>
      </c>
      <c r="AY166" s="51" t="n">
        <f aca="false">IFERROR(ifs(I166="Tier S",0.65,I166="Tier 1",0.55,I166="Tier 2",0.45,I166="Tier 3",0.35,I166="Tier 4",0.25),0.35)</f>
        <v>0.35</v>
      </c>
      <c r="AZ166" s="52" t="n">
        <v>1</v>
      </c>
      <c r="BA166" s="52" t="n">
        <v>1</v>
      </c>
      <c r="BB166" s="52" t="n">
        <v>1</v>
      </c>
      <c r="BC166" s="53" t="n">
        <f aca="false">IFERROR(ROUND(S166*AY166*BA166*BB166*AZ166,0),0)</f>
        <v>15939</v>
      </c>
      <c r="BD166" s="39" t="str">
        <f aca="false">IF(COUNT(AM166,AN166,AO166,AP166,AQ166,AR166,AS166)&gt;0,"estimated","pending")</f>
        <v>pending</v>
      </c>
      <c r="BE166" s="50"/>
    </row>
    <row r="167" customFormat="false" ht="15" hidden="false" customHeight="true" outlineLevel="0" collapsed="false">
      <c r="B167" s="54" t="n">
        <f aca="false">IF($C167="","",COUNTA($C$6:C167))</f>
        <v>162</v>
      </c>
      <c r="C167" s="54" t="s">
        <v>501</v>
      </c>
      <c r="D167" s="54" t="s">
        <v>208</v>
      </c>
      <c r="E167" s="54" t="s">
        <v>472</v>
      </c>
      <c r="F167" s="54" t="s">
        <v>500</v>
      </c>
      <c r="G167" s="54" t="s">
        <v>1425</v>
      </c>
      <c r="H167" s="54" t="n">
        <v>1</v>
      </c>
      <c r="I167" s="55" t="s">
        <v>337</v>
      </c>
      <c r="J167" s="56" t="n">
        <v>8800</v>
      </c>
      <c r="K167" s="56" t="n">
        <v>3700</v>
      </c>
      <c r="L167" s="57" t="n">
        <f aca="false">IF(J167="","",ROUND(J167*0.17,0))</f>
        <v>1496</v>
      </c>
      <c r="M167" s="56" t="n">
        <v>6850</v>
      </c>
      <c r="N167" s="56" t="n">
        <v>2800</v>
      </c>
      <c r="O167" s="56" t="n">
        <v>1750</v>
      </c>
      <c r="P167" s="56" t="n">
        <v>1750</v>
      </c>
      <c r="Q167" s="56" t="n">
        <v>12750</v>
      </c>
      <c r="R167" s="56" t="n">
        <v>5700</v>
      </c>
      <c r="S167" s="57" t="n">
        <f aca="false">IF(J167="","",ROUND(J167*2.2,0))</f>
        <v>19360</v>
      </c>
      <c r="T167" s="56" t="n">
        <v>3100</v>
      </c>
      <c r="U167" s="56" t="n">
        <v>2650</v>
      </c>
      <c r="V167" s="56" t="n">
        <v>1600</v>
      </c>
      <c r="W167" s="56" t="n">
        <v>1320</v>
      </c>
      <c r="X167" s="54" t="s">
        <v>1434</v>
      </c>
      <c r="Y167" s="49" t="n">
        <v>0.3</v>
      </c>
      <c r="Z167" s="49" t="n">
        <v>1</v>
      </c>
      <c r="AA167" s="50" t="s">
        <v>502</v>
      </c>
      <c r="AB167" s="50" t="s">
        <v>504</v>
      </c>
      <c r="AC167" s="50"/>
      <c r="AD167" s="50"/>
      <c r="AE167" s="50"/>
      <c r="AF167" s="50"/>
      <c r="AG167" s="50"/>
      <c r="AH167" s="50"/>
      <c r="AI167" s="50"/>
      <c r="AJ167" s="50"/>
      <c r="AK167" s="50" t="s">
        <v>1828</v>
      </c>
      <c r="AL167" s="50"/>
      <c r="AM167" s="50"/>
      <c r="AN167" s="50"/>
      <c r="AO167" s="50"/>
      <c r="AP167" s="50"/>
      <c r="AQ167" s="50"/>
      <c r="AR167" s="50"/>
      <c r="AS167" s="50"/>
      <c r="AT167" s="50" t="str">
        <f aca="false">IFERROR(IF(AND(AN167&gt;0,J167&gt;0),ROUND(J167*1000/(AN167*0.2),0),""),"")</f>
        <v/>
      </c>
      <c r="AU167" s="50" t="str">
        <f aca="false">IFERROR(IF(AND(AQ167&gt;0,M167&gt;0),ROUND(M167*1000/(AQ167*0.3),0),""),"")</f>
        <v/>
      </c>
      <c r="AV167" s="50" t="str">
        <f aca="false">IFERROR(IF(AND(AM167&gt;0,O167&gt;0),ROUND(O167*1000/(AM167*0.1),0),""),"")</f>
        <v/>
      </c>
      <c r="AW167" s="50" t="str">
        <f aca="false">IFERROR(IF(AND(AP167&gt;0,N167&gt;0),ROUND(N167*1000/(AP167*0.25),0),""),"")</f>
        <v/>
      </c>
      <c r="AX167" s="50" t="str">
        <f aca="false">IFERROR(IF(AND(AO167&gt;0,Q167&gt;0),ROUND(Q167*1000/(AO167*1),0),""),"")</f>
        <v/>
      </c>
      <c r="AY167" s="51" t="n">
        <f aca="false">IFERROR(ifs(I167="Tier S",0.65,I167="Tier 1",0.55,I167="Tier 2",0.45,I167="Tier 3",0.35,I167="Tier 4",0.25),0.35)</f>
        <v>0.35</v>
      </c>
      <c r="AZ167" s="52" t="n">
        <v>1</v>
      </c>
      <c r="BA167" s="52" t="n">
        <v>1</v>
      </c>
      <c r="BB167" s="52" t="n">
        <v>1</v>
      </c>
      <c r="BC167" s="53" t="n">
        <f aca="false">IFERROR(ROUND(S167*AY167*BA167*BB167*AZ167,0),0)</f>
        <v>6776</v>
      </c>
      <c r="BD167" s="39" t="str">
        <f aca="false">IF(COUNT(AM167,AN167,AO167,AP167,AQ167,AR167,AS167)&gt;0,"estimated","pending")</f>
        <v>pending</v>
      </c>
      <c r="BE167" s="50"/>
    </row>
    <row r="168" customFormat="false" ht="15" hidden="false" customHeight="true" outlineLevel="0" collapsed="false">
      <c r="B168" s="54" t="n">
        <f aca="false">IF($C168="","",COUNTA($C$6:C168))</f>
        <v>163</v>
      </c>
      <c r="C168" s="54" t="s">
        <v>505</v>
      </c>
      <c r="D168" s="54" t="s">
        <v>208</v>
      </c>
      <c r="E168" s="54" t="s">
        <v>472</v>
      </c>
      <c r="F168" s="54" t="s">
        <v>500</v>
      </c>
      <c r="G168" s="54" t="s">
        <v>1425</v>
      </c>
      <c r="H168" s="54" t="n">
        <v>1</v>
      </c>
      <c r="I168" s="55" t="s">
        <v>337</v>
      </c>
      <c r="J168" s="56" t="n">
        <v>8800</v>
      </c>
      <c r="K168" s="56" t="n">
        <v>3700</v>
      </c>
      <c r="L168" s="57" t="n">
        <f aca="false">IF(J168="","",ROUND(J168*0.17,0))</f>
        <v>1496</v>
      </c>
      <c r="M168" s="56" t="n">
        <v>6850</v>
      </c>
      <c r="N168" s="56" t="n">
        <v>2800</v>
      </c>
      <c r="O168" s="56" t="n">
        <v>1750</v>
      </c>
      <c r="P168" s="56" t="n">
        <v>1750</v>
      </c>
      <c r="Q168" s="56" t="n">
        <v>12750</v>
      </c>
      <c r="R168" s="56" t="n">
        <v>5700</v>
      </c>
      <c r="S168" s="57" t="n">
        <f aca="false">IF(J168="","",ROUND(J168*2.2,0))</f>
        <v>19360</v>
      </c>
      <c r="T168" s="56" t="n">
        <v>3100</v>
      </c>
      <c r="U168" s="56" t="n">
        <v>2650</v>
      </c>
      <c r="V168" s="56" t="n">
        <v>1600</v>
      </c>
      <c r="W168" s="56" t="n">
        <v>1320</v>
      </c>
      <c r="X168" s="54" t="s">
        <v>1434</v>
      </c>
      <c r="Y168" s="49" t="n">
        <v>0.3</v>
      </c>
      <c r="Z168" s="49" t="n">
        <v>1</v>
      </c>
      <c r="AA168" s="50" t="s">
        <v>506</v>
      </c>
      <c r="AB168" s="50" t="s">
        <v>508</v>
      </c>
      <c r="AC168" s="50"/>
      <c r="AD168" s="50"/>
      <c r="AE168" s="50"/>
      <c r="AF168" s="50"/>
      <c r="AG168" s="50"/>
      <c r="AH168" s="50"/>
      <c r="AI168" s="50"/>
      <c r="AJ168" s="50"/>
      <c r="AK168" s="50" t="s">
        <v>1829</v>
      </c>
      <c r="AL168" s="50"/>
      <c r="AM168" s="50"/>
      <c r="AN168" s="50"/>
      <c r="AO168" s="50"/>
      <c r="AP168" s="50"/>
      <c r="AQ168" s="50"/>
      <c r="AR168" s="50"/>
      <c r="AS168" s="50"/>
      <c r="AT168" s="50" t="str">
        <f aca="false">IFERROR(IF(AND(AN168&gt;0,J168&gt;0),ROUND(J168*1000/(AN168*0.2),0),""),"")</f>
        <v/>
      </c>
      <c r="AU168" s="50" t="str">
        <f aca="false">IFERROR(IF(AND(AQ168&gt;0,M168&gt;0),ROUND(M168*1000/(AQ168*0.3),0),""),"")</f>
        <v/>
      </c>
      <c r="AV168" s="50" t="str">
        <f aca="false">IFERROR(IF(AND(AM168&gt;0,O168&gt;0),ROUND(O168*1000/(AM168*0.1),0),""),"")</f>
        <v/>
      </c>
      <c r="AW168" s="50" t="str">
        <f aca="false">IFERROR(IF(AND(AP168&gt;0,N168&gt;0),ROUND(N168*1000/(AP168*0.25),0),""),"")</f>
        <v/>
      </c>
      <c r="AX168" s="50" t="str">
        <f aca="false">IFERROR(IF(AND(AO168&gt;0,Q168&gt;0),ROUND(Q168*1000/(AO168*1),0),""),"")</f>
        <v/>
      </c>
      <c r="AY168" s="51" t="n">
        <f aca="false">IFERROR(ifs(I168="Tier S",0.65,I168="Tier 1",0.55,I168="Tier 2",0.45,I168="Tier 3",0.35,I168="Tier 4",0.25),0.35)</f>
        <v>0.35</v>
      </c>
      <c r="AZ168" s="52" t="n">
        <v>1</v>
      </c>
      <c r="BA168" s="52" t="n">
        <v>1</v>
      </c>
      <c r="BB168" s="52" t="n">
        <v>1</v>
      </c>
      <c r="BC168" s="53" t="n">
        <f aca="false">IFERROR(ROUND(S168*AY168*BA168*BB168*AZ168,0),0)</f>
        <v>6776</v>
      </c>
      <c r="BD168" s="39" t="str">
        <f aca="false">IF(COUNT(AM168,AN168,AO168,AP168,AQ168,AR168,AS168)&gt;0,"estimated","pending")</f>
        <v>pending</v>
      </c>
      <c r="BE168" s="50"/>
    </row>
    <row r="169" customFormat="false" ht="15" hidden="false" customHeight="true" outlineLevel="0" collapsed="false">
      <c r="B169" s="54" t="n">
        <f aca="false">IF($C169="","",COUNTA($C$6:C169))</f>
        <v>164</v>
      </c>
      <c r="C169" s="54" t="s">
        <v>533</v>
      </c>
      <c r="D169" s="54" t="s">
        <v>208</v>
      </c>
      <c r="E169" s="54" t="s">
        <v>472</v>
      </c>
      <c r="F169" s="54" t="s">
        <v>522</v>
      </c>
      <c r="G169" s="54"/>
      <c r="H169" s="54" t="n">
        <v>2</v>
      </c>
      <c r="I169" s="55" t="s">
        <v>337</v>
      </c>
      <c r="J169" s="56" t="n">
        <v>8800</v>
      </c>
      <c r="K169" s="56" t="n">
        <v>3700</v>
      </c>
      <c r="L169" s="57" t="n">
        <f aca="false">IF(J169="","",ROUND(J169*0.17,0))</f>
        <v>1496</v>
      </c>
      <c r="M169" s="56" t="n">
        <v>6850</v>
      </c>
      <c r="N169" s="56" t="n">
        <v>2800</v>
      </c>
      <c r="O169" s="56" t="n">
        <v>1750</v>
      </c>
      <c r="P169" s="56" t="n">
        <v>1750</v>
      </c>
      <c r="Q169" s="56" t="n">
        <v>12750</v>
      </c>
      <c r="R169" s="56" t="n">
        <v>5700</v>
      </c>
      <c r="S169" s="57" t="n">
        <f aca="false">IF(J169="","",ROUND(J169*2.2,0))</f>
        <v>19360</v>
      </c>
      <c r="T169" s="56" t="n">
        <v>3100</v>
      </c>
      <c r="U169" s="56" t="n">
        <v>2650</v>
      </c>
      <c r="V169" s="56" t="n">
        <v>1600</v>
      </c>
      <c r="W169" s="56" t="n">
        <v>1320</v>
      </c>
      <c r="X169" s="54" t="s">
        <v>1428</v>
      </c>
      <c r="Y169" s="49" t="n">
        <v>0.3</v>
      </c>
      <c r="Z169" s="49" t="n">
        <v>1</v>
      </c>
      <c r="AA169" s="50" t="s">
        <v>534</v>
      </c>
      <c r="AB169" s="50" t="s">
        <v>536</v>
      </c>
      <c r="AC169" s="50"/>
      <c r="AD169" s="50" t="s">
        <v>538</v>
      </c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 t="str">
        <f aca="false">IFERROR(IF(AND(AN169&gt;0,J169&gt;0),ROUND(J169*1000/(AN169*0.2),0),""),"")</f>
        <v/>
      </c>
      <c r="AU169" s="50" t="str">
        <f aca="false">IFERROR(IF(AND(AQ169&gt;0,M169&gt;0),ROUND(M169*1000/(AQ169*0.3),0),""),"")</f>
        <v/>
      </c>
      <c r="AV169" s="50" t="str">
        <f aca="false">IFERROR(IF(AND(AM169&gt;0,O169&gt;0),ROUND(O169*1000/(AM169*0.1),0),""),"")</f>
        <v/>
      </c>
      <c r="AW169" s="50" t="str">
        <f aca="false">IFERROR(IF(AND(AP169&gt;0,N169&gt;0),ROUND(N169*1000/(AP169*0.25),0),""),"")</f>
        <v/>
      </c>
      <c r="AX169" s="50" t="str">
        <f aca="false">IFERROR(IF(AND(AO169&gt;0,Q169&gt;0),ROUND(Q169*1000/(AO169*1),0),""),"")</f>
        <v/>
      </c>
      <c r="AY169" s="51" t="n">
        <f aca="false">IFERROR(ifs(I169="Tier S",0.65,I169="Tier 1",0.55,I169="Tier 2",0.45,I169="Tier 3",0.35,I169="Tier 4",0.25),0.35)</f>
        <v>0.35</v>
      </c>
      <c r="AZ169" s="52" t="n">
        <v>1</v>
      </c>
      <c r="BA169" s="52" t="n">
        <v>1</v>
      </c>
      <c r="BB169" s="52" t="n">
        <v>1</v>
      </c>
      <c r="BC169" s="53" t="n">
        <f aca="false">IFERROR(ROUND(S169*AY169*BA169*BB169*AZ169,0),0)</f>
        <v>6776</v>
      </c>
      <c r="BD169" s="39" t="str">
        <f aca="false">IF(COUNT(AM169,AN169,AO169,AP169,AQ169,AR169,AS169)&gt;0,"estimated","pending")</f>
        <v>pending</v>
      </c>
      <c r="BE169" s="50"/>
    </row>
    <row r="170" customFormat="false" ht="15" hidden="false" customHeight="true" outlineLevel="0" collapsed="false">
      <c r="B170" s="54" t="n">
        <f aca="false">IF($C170="","",COUNTA($C$6:C170))</f>
        <v>165</v>
      </c>
      <c r="C170" s="54" t="s">
        <v>539</v>
      </c>
      <c r="D170" s="54" t="s">
        <v>208</v>
      </c>
      <c r="E170" s="54" t="s">
        <v>472</v>
      </c>
      <c r="F170" s="54" t="s">
        <v>522</v>
      </c>
      <c r="G170" s="54" t="s">
        <v>1425</v>
      </c>
      <c r="H170" s="54" t="n">
        <v>3</v>
      </c>
      <c r="I170" s="55" t="s">
        <v>337</v>
      </c>
      <c r="J170" s="56" t="n">
        <v>11000</v>
      </c>
      <c r="K170" s="56" t="n">
        <v>4600</v>
      </c>
      <c r="L170" s="57" t="n">
        <f aca="false">IF(J170="","",ROUND(J170*0.17,0))</f>
        <v>1870</v>
      </c>
      <c r="M170" s="56" t="n">
        <v>8600</v>
      </c>
      <c r="N170" s="56" t="n">
        <v>3500</v>
      </c>
      <c r="O170" s="56" t="n">
        <v>2200</v>
      </c>
      <c r="P170" s="56" t="n">
        <v>2200</v>
      </c>
      <c r="Q170" s="56" t="n">
        <v>15950</v>
      </c>
      <c r="R170" s="56" t="n">
        <v>7150</v>
      </c>
      <c r="S170" s="57" t="n">
        <f aca="false">IF(J170="","",ROUND(J170*2.2,0))</f>
        <v>24200</v>
      </c>
      <c r="T170" s="56" t="n">
        <v>3850</v>
      </c>
      <c r="U170" s="56" t="n">
        <v>3300</v>
      </c>
      <c r="V170" s="56" t="n">
        <v>2000</v>
      </c>
      <c r="W170" s="56" t="n">
        <v>1650</v>
      </c>
      <c r="X170" s="54" t="s">
        <v>1383</v>
      </c>
      <c r="Y170" s="49" t="n">
        <v>0.3</v>
      </c>
      <c r="Z170" s="49" t="n">
        <v>1</v>
      </c>
      <c r="AA170" s="50" t="s">
        <v>540</v>
      </c>
      <c r="AB170" s="50" t="s">
        <v>542</v>
      </c>
      <c r="AC170" s="50"/>
      <c r="AD170" s="50" t="s">
        <v>544</v>
      </c>
      <c r="AE170" s="50" t="s">
        <v>546</v>
      </c>
      <c r="AF170" s="50"/>
      <c r="AG170" s="50"/>
      <c r="AH170" s="50"/>
      <c r="AI170" s="50"/>
      <c r="AJ170" s="50"/>
      <c r="AK170" s="50" t="s">
        <v>1830</v>
      </c>
      <c r="AL170" s="50"/>
      <c r="AM170" s="50"/>
      <c r="AN170" s="50"/>
      <c r="AO170" s="50"/>
      <c r="AP170" s="50"/>
      <c r="AQ170" s="50"/>
      <c r="AR170" s="50"/>
      <c r="AS170" s="50"/>
      <c r="AT170" s="50" t="str">
        <f aca="false">IFERROR(IF(AND(AN170&gt;0,J170&gt;0),ROUND(J170*1000/(AN170*0.2),0),""),"")</f>
        <v/>
      </c>
      <c r="AU170" s="50" t="str">
        <f aca="false">IFERROR(IF(AND(AQ170&gt;0,M170&gt;0),ROUND(M170*1000/(AQ170*0.3),0),""),"")</f>
        <v/>
      </c>
      <c r="AV170" s="50" t="str">
        <f aca="false">IFERROR(IF(AND(AM170&gt;0,O170&gt;0),ROUND(O170*1000/(AM170*0.1),0),""),"")</f>
        <v/>
      </c>
      <c r="AW170" s="50" t="str">
        <f aca="false">IFERROR(IF(AND(AP170&gt;0,N170&gt;0),ROUND(N170*1000/(AP170*0.25),0),""),"")</f>
        <v/>
      </c>
      <c r="AX170" s="50" t="str">
        <f aca="false">IFERROR(IF(AND(AO170&gt;0,Q170&gt;0),ROUND(Q170*1000/(AO170*1),0),""),"")</f>
        <v/>
      </c>
      <c r="AY170" s="51" t="n">
        <f aca="false">IFERROR(ifs(I170="Tier S",0.65,I170="Tier 1",0.55,I170="Tier 2",0.45,I170="Tier 3",0.35,I170="Tier 4",0.25),0.35)</f>
        <v>0.35</v>
      </c>
      <c r="AZ170" s="52" t="n">
        <v>1</v>
      </c>
      <c r="BA170" s="52" t="n">
        <v>1</v>
      </c>
      <c r="BB170" s="52" t="n">
        <v>1</v>
      </c>
      <c r="BC170" s="53" t="n">
        <f aca="false">IFERROR(ROUND(S170*AY170*BA170*BB170*AZ170,0),0)</f>
        <v>8470</v>
      </c>
      <c r="BD170" s="39" t="str">
        <f aca="false">IF(COUNT(AM170,AN170,AO170,AP170,AQ170,AR170,AS170)&gt;0,"estimated","pending")</f>
        <v>pending</v>
      </c>
      <c r="BE170" s="50"/>
    </row>
    <row r="171" customFormat="false" ht="15" hidden="false" customHeight="true" outlineLevel="0" collapsed="false">
      <c r="B171" s="54" t="n">
        <f aca="false">IF($C171="","",COUNTA($C$6:C171))</f>
        <v>166</v>
      </c>
      <c r="C171" s="54" t="s">
        <v>658</v>
      </c>
      <c r="D171" s="54" t="s">
        <v>208</v>
      </c>
      <c r="E171" s="54" t="s">
        <v>614</v>
      </c>
      <c r="F171" s="54" t="s">
        <v>657</v>
      </c>
      <c r="G171" s="54" t="s">
        <v>1831</v>
      </c>
      <c r="H171" s="54" t="n">
        <v>2</v>
      </c>
      <c r="I171" s="55" t="s">
        <v>337</v>
      </c>
      <c r="J171" s="56" t="n">
        <v>11000</v>
      </c>
      <c r="K171" s="56" t="n">
        <v>4600</v>
      </c>
      <c r="L171" s="57" t="n">
        <f aca="false">IF(J171="","",ROUND(J171*0.17,0))</f>
        <v>1870</v>
      </c>
      <c r="M171" s="56" t="n">
        <v>8600</v>
      </c>
      <c r="N171" s="56" t="n">
        <v>3500</v>
      </c>
      <c r="O171" s="56" t="n">
        <v>2200</v>
      </c>
      <c r="P171" s="56" t="n">
        <v>2200</v>
      </c>
      <c r="Q171" s="56" t="n">
        <v>15950</v>
      </c>
      <c r="R171" s="56" t="n">
        <v>7150</v>
      </c>
      <c r="S171" s="57" t="n">
        <f aca="false">IF(J171="","",ROUND(J171*2.2,0))</f>
        <v>24200</v>
      </c>
      <c r="T171" s="56" t="n">
        <v>3850</v>
      </c>
      <c r="U171" s="56" t="n">
        <v>3300</v>
      </c>
      <c r="V171" s="56" t="n">
        <v>2000</v>
      </c>
      <c r="W171" s="56" t="n">
        <v>1650</v>
      </c>
      <c r="X171" s="54" t="s">
        <v>1428</v>
      </c>
      <c r="Y171" s="49" t="n">
        <v>0.75</v>
      </c>
      <c r="Z171" s="49" t="n">
        <v>1</v>
      </c>
      <c r="AA171" s="50" t="s">
        <v>659</v>
      </c>
      <c r="AB171" s="50" t="s">
        <v>661</v>
      </c>
      <c r="AC171" s="50"/>
      <c r="AD171" s="50" t="s">
        <v>662</v>
      </c>
      <c r="AE171" s="50"/>
      <c r="AF171" s="50"/>
      <c r="AG171" s="50"/>
      <c r="AH171" s="50"/>
      <c r="AI171" s="50"/>
      <c r="AJ171" s="50"/>
      <c r="AK171" s="50" t="s">
        <v>1832</v>
      </c>
      <c r="AL171" s="50" t="s">
        <v>1458</v>
      </c>
      <c r="AM171" s="50"/>
      <c r="AN171" s="50"/>
      <c r="AO171" s="50"/>
      <c r="AP171" s="50"/>
      <c r="AQ171" s="50"/>
      <c r="AR171" s="50"/>
      <c r="AS171" s="50"/>
      <c r="AT171" s="50" t="str">
        <f aca="false">IFERROR(IF(AND(AN171&gt;0,J171&gt;0),ROUND(J171*1000/(AN171*0.2),0),""),"")</f>
        <v/>
      </c>
      <c r="AU171" s="50" t="str">
        <f aca="false">IFERROR(IF(AND(AQ171&gt;0,M171&gt;0),ROUND(M171*1000/(AQ171*0.3),0),""),"")</f>
        <v/>
      </c>
      <c r="AV171" s="50" t="str">
        <f aca="false">IFERROR(IF(AND(AM171&gt;0,O171&gt;0),ROUND(O171*1000/(AM171*0.1),0),""),"")</f>
        <v/>
      </c>
      <c r="AW171" s="50" t="str">
        <f aca="false">IFERROR(IF(AND(AP171&gt;0,N171&gt;0),ROUND(N171*1000/(AP171*0.25),0),""),"")</f>
        <v/>
      </c>
      <c r="AX171" s="50" t="str">
        <f aca="false">IFERROR(IF(AND(AO171&gt;0,Q171&gt;0),ROUND(Q171*1000/(AO171*1),0),""),"")</f>
        <v/>
      </c>
      <c r="AY171" s="51" t="n">
        <f aca="false">IFERROR(ifs(I171="Tier S",0.65,I171="Tier 1",0.55,I171="Tier 2",0.45,I171="Tier 3",0.35,I171="Tier 4",0.25),0.35)</f>
        <v>0.35</v>
      </c>
      <c r="AZ171" s="52" t="n">
        <v>1</v>
      </c>
      <c r="BA171" s="52" t="n">
        <v>1</v>
      </c>
      <c r="BB171" s="52" t="n">
        <v>1</v>
      </c>
      <c r="BC171" s="53" t="n">
        <f aca="false">IFERROR(ROUND(S171*AY171*BA171*BB171*AZ171,0),0)</f>
        <v>8470</v>
      </c>
      <c r="BD171" s="39" t="str">
        <f aca="false">IF(COUNT(AM171,AN171,AO171,AP171,AQ171,AR171,AS171)&gt;0,"estimated","pending")</f>
        <v>pending</v>
      </c>
      <c r="BE171" s="50"/>
    </row>
    <row r="172" customFormat="false" ht="15" hidden="false" customHeight="true" outlineLevel="0" collapsed="false">
      <c r="B172" s="54" t="n">
        <f aca="false">IF($C172="","",COUNTA($C$6:C172))</f>
        <v>167</v>
      </c>
      <c r="C172" s="54" t="s">
        <v>819</v>
      </c>
      <c r="D172" s="54" t="s">
        <v>208</v>
      </c>
      <c r="E172" s="54" t="s">
        <v>810</v>
      </c>
      <c r="F172" s="54" t="s">
        <v>810</v>
      </c>
      <c r="G172" s="54" t="s">
        <v>1833</v>
      </c>
      <c r="H172" s="54" t="n">
        <v>3</v>
      </c>
      <c r="I172" s="55" t="s">
        <v>337</v>
      </c>
      <c r="J172" s="56" t="n">
        <v>11000</v>
      </c>
      <c r="K172" s="56" t="n">
        <v>4600</v>
      </c>
      <c r="L172" s="57" t="n">
        <f aca="false">IF(J172="","",ROUND(J172*0.17,0))</f>
        <v>1870</v>
      </c>
      <c r="M172" s="56" t="n">
        <v>8600</v>
      </c>
      <c r="N172" s="56" t="n">
        <v>3500</v>
      </c>
      <c r="O172" s="56" t="n">
        <v>2200</v>
      </c>
      <c r="P172" s="56" t="n">
        <v>2200</v>
      </c>
      <c r="Q172" s="56" t="n">
        <v>15950</v>
      </c>
      <c r="R172" s="56" t="n">
        <v>7150</v>
      </c>
      <c r="S172" s="57" t="n">
        <f aca="false">IF(J172="","",ROUND(J172*2.2,0))</f>
        <v>24200</v>
      </c>
      <c r="T172" s="56" t="n">
        <v>3850</v>
      </c>
      <c r="U172" s="56" t="n">
        <v>3300</v>
      </c>
      <c r="V172" s="56" t="n">
        <v>2000</v>
      </c>
      <c r="W172" s="56" t="n">
        <v>1650</v>
      </c>
      <c r="X172" s="54" t="s">
        <v>1383</v>
      </c>
      <c r="Y172" s="49" t="n">
        <v>0.25</v>
      </c>
      <c r="Z172" s="49" t="n">
        <v>1</v>
      </c>
      <c r="AA172" s="50" t="s">
        <v>1834</v>
      </c>
      <c r="AB172" s="50" t="s">
        <v>822</v>
      </c>
      <c r="AC172" s="50"/>
      <c r="AD172" s="50" t="s">
        <v>823</v>
      </c>
      <c r="AE172" s="50" t="s">
        <v>825</v>
      </c>
      <c r="AF172" s="50"/>
      <c r="AG172" s="50"/>
      <c r="AH172" s="50"/>
      <c r="AI172" s="50"/>
      <c r="AJ172" s="50"/>
      <c r="AK172" s="50" t="s">
        <v>1835</v>
      </c>
      <c r="AL172" s="50"/>
      <c r="AM172" s="50"/>
      <c r="AN172" s="50"/>
      <c r="AO172" s="50"/>
      <c r="AP172" s="50"/>
      <c r="AQ172" s="50"/>
      <c r="AR172" s="50"/>
      <c r="AS172" s="50"/>
      <c r="AT172" s="50" t="str">
        <f aca="false">IFERROR(IF(AND(AN172&gt;0,J172&gt;0),ROUND(J172*1000/(AN172*0.2),0),""),"")</f>
        <v/>
      </c>
      <c r="AU172" s="50" t="str">
        <f aca="false">IFERROR(IF(AND(AQ172&gt;0,M172&gt;0),ROUND(M172*1000/(AQ172*0.3),0),""),"")</f>
        <v/>
      </c>
      <c r="AV172" s="50" t="str">
        <f aca="false">IFERROR(IF(AND(AM172&gt;0,O172&gt;0),ROUND(O172*1000/(AM172*0.1),0),""),"")</f>
        <v/>
      </c>
      <c r="AW172" s="50" t="str">
        <f aca="false">IFERROR(IF(AND(AP172&gt;0,N172&gt;0),ROUND(N172*1000/(AP172*0.25),0),""),"")</f>
        <v/>
      </c>
      <c r="AX172" s="50" t="str">
        <f aca="false">IFERROR(IF(AND(AO172&gt;0,Q172&gt;0),ROUND(Q172*1000/(AO172*1),0),""),"")</f>
        <v/>
      </c>
      <c r="AY172" s="51" t="n">
        <f aca="false">IFERROR(ifs(I172="Tier S",0.65,I172="Tier 1",0.55,I172="Tier 2",0.45,I172="Tier 3",0.35,I172="Tier 4",0.25),0.35)</f>
        <v>0.35</v>
      </c>
      <c r="AZ172" s="52" t="n">
        <v>1</v>
      </c>
      <c r="BA172" s="52" t="n">
        <v>1</v>
      </c>
      <c r="BB172" s="52" t="n">
        <v>1</v>
      </c>
      <c r="BC172" s="53" t="n">
        <f aca="false">IFERROR(ROUND(S172*AY172*BA172*BB172*AZ172,0),0)</f>
        <v>8470</v>
      </c>
      <c r="BD172" s="39" t="str">
        <f aca="false">IF(COUNT(AM172,AN172,AO172,AP172,AQ172,AR172,AS172)&gt;0,"estimated","pending")</f>
        <v>pending</v>
      </c>
      <c r="BE172" s="50"/>
    </row>
    <row r="173" customFormat="false" ht="15" hidden="false" customHeight="true" outlineLevel="0" collapsed="false">
      <c r="B173" s="54" t="n">
        <f aca="false">IF($C173="","",COUNTA($C$6:C173))</f>
        <v>168</v>
      </c>
      <c r="C173" s="54" t="s">
        <v>934</v>
      </c>
      <c r="D173" s="54" t="s">
        <v>208</v>
      </c>
      <c r="E173" s="54" t="s">
        <v>921</v>
      </c>
      <c r="F173" s="54" t="s">
        <v>933</v>
      </c>
      <c r="G173" s="54" t="s">
        <v>1621</v>
      </c>
      <c r="H173" s="54" t="n">
        <v>5</v>
      </c>
      <c r="I173" s="55" t="s">
        <v>337</v>
      </c>
      <c r="J173" s="56" t="n">
        <v>11000</v>
      </c>
      <c r="K173" s="56" t="n">
        <v>4600</v>
      </c>
      <c r="L173" s="57" t="n">
        <f aca="false">IF(J173="","",ROUND(J173*0.17,0))</f>
        <v>1870</v>
      </c>
      <c r="M173" s="56" t="n">
        <v>8600</v>
      </c>
      <c r="N173" s="56" t="n">
        <v>3500</v>
      </c>
      <c r="O173" s="56" t="n">
        <v>2200</v>
      </c>
      <c r="P173" s="56" t="n">
        <v>2200</v>
      </c>
      <c r="Q173" s="56" t="n">
        <v>15950</v>
      </c>
      <c r="R173" s="56" t="n">
        <v>7150</v>
      </c>
      <c r="S173" s="57" t="n">
        <f aca="false">IF(J173="","",ROUND(J173*2.2,0))</f>
        <v>24200</v>
      </c>
      <c r="T173" s="56" t="n">
        <v>3850</v>
      </c>
      <c r="U173" s="56" t="n">
        <v>3300</v>
      </c>
      <c r="V173" s="56" t="n">
        <v>2000</v>
      </c>
      <c r="W173" s="56" t="n">
        <v>1650</v>
      </c>
      <c r="X173" s="54" t="s">
        <v>1393</v>
      </c>
      <c r="Y173" s="49" t="n">
        <v>0.3</v>
      </c>
      <c r="Z173" s="49" t="n">
        <v>1</v>
      </c>
      <c r="AA173" s="50" t="s">
        <v>935</v>
      </c>
      <c r="AB173" s="50" t="s">
        <v>937</v>
      </c>
      <c r="AC173" s="50" t="s">
        <v>939</v>
      </c>
      <c r="AD173" s="50"/>
      <c r="AE173" s="50" t="s">
        <v>941</v>
      </c>
      <c r="AF173" s="50" t="s">
        <v>943</v>
      </c>
      <c r="AG173" s="50"/>
      <c r="AH173" s="50" t="s">
        <v>945</v>
      </c>
      <c r="AI173" s="50"/>
      <c r="AJ173" s="50"/>
      <c r="AK173" s="50" t="s">
        <v>1836</v>
      </c>
      <c r="AL173" s="50" t="s">
        <v>1837</v>
      </c>
      <c r="AM173" s="50"/>
      <c r="AN173" s="50"/>
      <c r="AO173" s="50"/>
      <c r="AP173" s="50"/>
      <c r="AQ173" s="50"/>
      <c r="AR173" s="50"/>
      <c r="AS173" s="50"/>
      <c r="AT173" s="50" t="str">
        <f aca="false">IFERROR(IF(AND(AN173&gt;0,J173&gt;0),ROUND(J173*1000/(AN173*0.2),0),""),"")</f>
        <v/>
      </c>
      <c r="AU173" s="50" t="str">
        <f aca="false">IFERROR(IF(AND(AQ173&gt;0,M173&gt;0),ROUND(M173*1000/(AQ173*0.3),0),""),"")</f>
        <v/>
      </c>
      <c r="AV173" s="50" t="str">
        <f aca="false">IFERROR(IF(AND(AM173&gt;0,O173&gt;0),ROUND(O173*1000/(AM173*0.1),0),""),"")</f>
        <v/>
      </c>
      <c r="AW173" s="50" t="str">
        <f aca="false">IFERROR(IF(AND(AP173&gt;0,N173&gt;0),ROUND(N173*1000/(AP173*0.25),0),""),"")</f>
        <v/>
      </c>
      <c r="AX173" s="50" t="str">
        <f aca="false">IFERROR(IF(AND(AO173&gt;0,Q173&gt;0),ROUND(Q173*1000/(AO173*1),0),""),"")</f>
        <v/>
      </c>
      <c r="AY173" s="51" t="n">
        <f aca="false">IFERROR(ifs(I173="Tier S",0.65,I173="Tier 1",0.55,I173="Tier 2",0.45,I173="Tier 3",0.35,I173="Tier 4",0.25),0.35)</f>
        <v>0.35</v>
      </c>
      <c r="AZ173" s="52" t="n">
        <v>1</v>
      </c>
      <c r="BA173" s="52" t="n">
        <v>1</v>
      </c>
      <c r="BB173" s="52" t="n">
        <v>1</v>
      </c>
      <c r="BC173" s="53" t="n">
        <f aca="false">IFERROR(ROUND(S173*AY173*BA173*BB173*AZ173,0),0)</f>
        <v>8470</v>
      </c>
      <c r="BD173" s="39" t="str">
        <f aca="false">IF(COUNT(AM173,AN173,AO173,AP173,AQ173,AR173,AS173)&gt;0,"estimated","pending")</f>
        <v>pending</v>
      </c>
      <c r="BE173" s="50"/>
    </row>
    <row r="174" customFormat="false" ht="15" hidden="false" customHeight="true" outlineLevel="0" collapsed="false">
      <c r="B174" s="54" t="n">
        <f aca="false">IF($C174="","",COUNTA($C$6:C174))</f>
        <v>169</v>
      </c>
      <c r="C174" s="54" t="s">
        <v>946</v>
      </c>
      <c r="D174" s="54" t="s">
        <v>208</v>
      </c>
      <c r="E174" s="54" t="s">
        <v>921</v>
      </c>
      <c r="F174" s="54" t="s">
        <v>933</v>
      </c>
      <c r="G174" s="54" t="s">
        <v>1621</v>
      </c>
      <c r="H174" s="54" t="n">
        <v>3</v>
      </c>
      <c r="I174" s="55" t="s">
        <v>337</v>
      </c>
      <c r="J174" s="56" t="n">
        <v>12650</v>
      </c>
      <c r="K174" s="56" t="n">
        <v>5300</v>
      </c>
      <c r="L174" s="57" t="n">
        <f aca="false">IF(J174="","",ROUND(J174*0.17,0))</f>
        <v>2151</v>
      </c>
      <c r="M174" s="56" t="n">
        <v>9850</v>
      </c>
      <c r="N174" s="56" t="n">
        <v>4050</v>
      </c>
      <c r="O174" s="56" t="n">
        <v>2550</v>
      </c>
      <c r="P174" s="56" t="n">
        <v>2550</v>
      </c>
      <c r="Q174" s="56" t="n">
        <v>18350</v>
      </c>
      <c r="R174" s="56" t="n">
        <v>8200</v>
      </c>
      <c r="S174" s="57" t="n">
        <f aca="false">IF(J174="","",ROUND(J174*2.2,0))</f>
        <v>27830</v>
      </c>
      <c r="T174" s="56" t="n">
        <v>4450</v>
      </c>
      <c r="U174" s="56" t="n">
        <v>3800</v>
      </c>
      <c r="V174" s="56" t="n">
        <v>2300</v>
      </c>
      <c r="W174" s="56" t="n">
        <v>1898</v>
      </c>
      <c r="X174" s="54" t="s">
        <v>1383</v>
      </c>
      <c r="Y174" s="49" t="n">
        <v>0.3</v>
      </c>
      <c r="Z174" s="49" t="n">
        <v>1</v>
      </c>
      <c r="AA174" s="50" t="s">
        <v>947</v>
      </c>
      <c r="AB174" s="50"/>
      <c r="AC174" s="50" t="s">
        <v>949</v>
      </c>
      <c r="AD174" s="50"/>
      <c r="AE174" s="50"/>
      <c r="AF174" s="50" t="s">
        <v>951</v>
      </c>
      <c r="AG174" s="50"/>
      <c r="AH174" s="50" t="s">
        <v>953</v>
      </c>
      <c r="AI174" s="50"/>
      <c r="AJ174" s="50"/>
      <c r="AK174" s="50" t="s">
        <v>1838</v>
      </c>
      <c r="AL174" s="50" t="s">
        <v>1623</v>
      </c>
      <c r="AM174" s="50"/>
      <c r="AN174" s="50"/>
      <c r="AO174" s="50"/>
      <c r="AP174" s="50"/>
      <c r="AQ174" s="50"/>
      <c r="AR174" s="50"/>
      <c r="AS174" s="50"/>
      <c r="AT174" s="50" t="str">
        <f aca="false">IFERROR(IF(AND(AN174&gt;0,J174&gt;0),ROUND(J174*1000/(AN174*0.2),0),""),"")</f>
        <v/>
      </c>
      <c r="AU174" s="50" t="str">
        <f aca="false">IFERROR(IF(AND(AQ174&gt;0,M174&gt;0),ROUND(M174*1000/(AQ174*0.3),0),""),"")</f>
        <v/>
      </c>
      <c r="AV174" s="50" t="str">
        <f aca="false">IFERROR(IF(AND(AM174&gt;0,O174&gt;0),ROUND(O174*1000/(AM174*0.1),0),""),"")</f>
        <v/>
      </c>
      <c r="AW174" s="50" t="str">
        <f aca="false">IFERROR(IF(AND(AP174&gt;0,N174&gt;0),ROUND(N174*1000/(AP174*0.25),0),""),"")</f>
        <v/>
      </c>
      <c r="AX174" s="50" t="str">
        <f aca="false">IFERROR(IF(AND(AO174&gt;0,Q174&gt;0),ROUND(Q174*1000/(AO174*1),0),""),"")</f>
        <v/>
      </c>
      <c r="AY174" s="51" t="n">
        <f aca="false">IFERROR(ifs(I174="Tier S",0.65,I174="Tier 1",0.55,I174="Tier 2",0.45,I174="Tier 3",0.35,I174="Tier 4",0.25),0.35)</f>
        <v>0.35</v>
      </c>
      <c r="AZ174" s="52" t="n">
        <v>1</v>
      </c>
      <c r="BA174" s="52" t="n">
        <v>1</v>
      </c>
      <c r="BB174" s="52" t="n">
        <v>1</v>
      </c>
      <c r="BC174" s="53" t="n">
        <f aca="false">IFERROR(ROUND(S174*AY174*BA174*BB174*AZ174,0),0)</f>
        <v>9741</v>
      </c>
      <c r="BD174" s="39" t="str">
        <f aca="false">IF(COUNT(AM174,AN174,AO174,AP174,AQ174,AR174,AS174)&gt;0,"estimated","pending")</f>
        <v>pending</v>
      </c>
      <c r="BE174" s="50"/>
    </row>
    <row r="175" customFormat="false" ht="15" hidden="false" customHeight="true" outlineLevel="0" collapsed="false">
      <c r="B175" s="54" t="n">
        <f aca="false">IF($C175="","",COUNTA($C$6:C175))</f>
        <v>170</v>
      </c>
      <c r="C175" s="54" t="s">
        <v>963</v>
      </c>
      <c r="D175" s="54" t="s">
        <v>208</v>
      </c>
      <c r="E175" s="54" t="s">
        <v>921</v>
      </c>
      <c r="F175" s="54" t="s">
        <v>933</v>
      </c>
      <c r="G175" s="54" t="s">
        <v>1621</v>
      </c>
      <c r="H175" s="54" t="n">
        <v>2</v>
      </c>
      <c r="I175" s="55" t="s">
        <v>337</v>
      </c>
      <c r="J175" s="56" t="n">
        <v>11000</v>
      </c>
      <c r="K175" s="56" t="n">
        <v>4600</v>
      </c>
      <c r="L175" s="57" t="n">
        <f aca="false">IF(J175="","",ROUND(J175*0.17,0))</f>
        <v>1870</v>
      </c>
      <c r="M175" s="56" t="n">
        <v>8600</v>
      </c>
      <c r="N175" s="56" t="n">
        <v>3500</v>
      </c>
      <c r="O175" s="56" t="n">
        <v>2200</v>
      </c>
      <c r="P175" s="56" t="n">
        <v>2200</v>
      </c>
      <c r="Q175" s="56" t="n">
        <v>15950</v>
      </c>
      <c r="R175" s="56" t="n">
        <v>7150</v>
      </c>
      <c r="S175" s="57" t="n">
        <f aca="false">IF(J175="","",ROUND(J175*2.2,0))</f>
        <v>24200</v>
      </c>
      <c r="T175" s="56" t="n">
        <v>3850</v>
      </c>
      <c r="U175" s="56" t="n">
        <v>3300</v>
      </c>
      <c r="V175" s="56" t="n">
        <v>2000</v>
      </c>
      <c r="W175" s="56" t="n">
        <v>1650</v>
      </c>
      <c r="X175" s="54" t="s">
        <v>1428</v>
      </c>
      <c r="Y175" s="49" t="n">
        <v>0.3</v>
      </c>
      <c r="Z175" s="49" t="n">
        <v>1</v>
      </c>
      <c r="AA175" s="50" t="s">
        <v>964</v>
      </c>
      <c r="AB175" s="50"/>
      <c r="AC175" s="50" t="s">
        <v>966</v>
      </c>
      <c r="AD175" s="50"/>
      <c r="AE175" s="50"/>
      <c r="AF175" s="50"/>
      <c r="AG175" s="50"/>
      <c r="AH175" s="50" t="s">
        <v>967</v>
      </c>
      <c r="AI175" s="50"/>
      <c r="AJ175" s="50"/>
      <c r="AK175" s="50" t="s">
        <v>1839</v>
      </c>
      <c r="AL175" s="50" t="s">
        <v>1837</v>
      </c>
      <c r="AM175" s="50"/>
      <c r="AN175" s="50"/>
      <c r="AO175" s="50"/>
      <c r="AP175" s="50"/>
      <c r="AQ175" s="50"/>
      <c r="AR175" s="50"/>
      <c r="AS175" s="50"/>
      <c r="AT175" s="50" t="str">
        <f aca="false">IFERROR(IF(AND(AN175&gt;0,J175&gt;0),ROUND(J175*1000/(AN175*0.2),0),""),"")</f>
        <v/>
      </c>
      <c r="AU175" s="50" t="str">
        <f aca="false">IFERROR(IF(AND(AQ175&gt;0,M175&gt;0),ROUND(M175*1000/(AQ175*0.3),0),""),"")</f>
        <v/>
      </c>
      <c r="AV175" s="50" t="str">
        <f aca="false">IFERROR(IF(AND(AM175&gt;0,O175&gt;0),ROUND(O175*1000/(AM175*0.1),0),""),"")</f>
        <v/>
      </c>
      <c r="AW175" s="50" t="str">
        <f aca="false">IFERROR(IF(AND(AP175&gt;0,N175&gt;0),ROUND(N175*1000/(AP175*0.25),0),""),"")</f>
        <v/>
      </c>
      <c r="AX175" s="50" t="str">
        <f aca="false">IFERROR(IF(AND(AO175&gt;0,Q175&gt;0),ROUND(Q175*1000/(AO175*1),0),""),"")</f>
        <v/>
      </c>
      <c r="AY175" s="51" t="n">
        <f aca="false">IFERROR(ifs(I175="Tier S",0.65,I175="Tier 1",0.55,I175="Tier 2",0.45,I175="Tier 3",0.35,I175="Tier 4",0.25),0.35)</f>
        <v>0.35</v>
      </c>
      <c r="AZ175" s="52" t="n">
        <v>1</v>
      </c>
      <c r="BA175" s="52" t="n">
        <v>1</v>
      </c>
      <c r="BB175" s="52" t="n">
        <v>1</v>
      </c>
      <c r="BC175" s="53" t="n">
        <f aca="false">IFERROR(ROUND(S175*AY175*BA175*BB175*AZ175,0),0)</f>
        <v>8470</v>
      </c>
      <c r="BD175" s="39" t="str">
        <f aca="false">IF(COUNT(AM175,AN175,AO175,AP175,AQ175,AR175,AS175)&gt;0,"estimated","pending")</f>
        <v>pending</v>
      </c>
      <c r="BE175" s="50"/>
    </row>
    <row r="176" customFormat="false" ht="15" hidden="false" customHeight="true" outlineLevel="0" collapsed="false">
      <c r="B176" s="62" t="n">
        <f aca="false">IF($C176="","",COUNTA($C$6:C176))</f>
        <v>171</v>
      </c>
      <c r="C176" s="62" t="s">
        <v>1840</v>
      </c>
      <c r="D176" s="62" t="s">
        <v>1478</v>
      </c>
      <c r="E176" s="62" t="s">
        <v>921</v>
      </c>
      <c r="F176" s="62" t="s">
        <v>933</v>
      </c>
      <c r="G176" s="62" t="s">
        <v>1621</v>
      </c>
      <c r="H176" s="62" t="n">
        <v>3</v>
      </c>
      <c r="I176" s="63" t="s">
        <v>1357</v>
      </c>
      <c r="J176" s="64" t="n">
        <v>11000</v>
      </c>
      <c r="K176" s="64" t="n">
        <v>4600</v>
      </c>
      <c r="L176" s="65" t="n">
        <f aca="false">IF(J176="","",ROUND(J176*0.17,0))</f>
        <v>1870</v>
      </c>
      <c r="M176" s="64" t="n">
        <v>8600</v>
      </c>
      <c r="N176" s="64" t="n">
        <v>3500</v>
      </c>
      <c r="O176" s="64" t="n">
        <v>2200</v>
      </c>
      <c r="P176" s="64" t="n">
        <v>0</v>
      </c>
      <c r="Q176" s="64" t="n">
        <v>15950</v>
      </c>
      <c r="R176" s="64" t="n">
        <v>7150</v>
      </c>
      <c r="S176" s="65" t="n">
        <f aca="false">IF(J176="","",ROUND(J176*2.2,0))</f>
        <v>24200</v>
      </c>
      <c r="T176" s="64" t="n">
        <v>3850</v>
      </c>
      <c r="U176" s="64" t="n">
        <v>3300</v>
      </c>
      <c r="V176" s="64" t="n">
        <v>2000</v>
      </c>
      <c r="W176" s="64" t="n">
        <v>0</v>
      </c>
      <c r="X176" s="62" t="s">
        <v>1383</v>
      </c>
      <c r="Y176" s="49" t="n">
        <v>0.3</v>
      </c>
      <c r="Z176" s="49" t="n">
        <v>1</v>
      </c>
      <c r="AA176" s="50" t="s">
        <v>1841</v>
      </c>
      <c r="AB176" s="50"/>
      <c r="AC176" s="50" t="s">
        <v>1842</v>
      </c>
      <c r="AD176" s="50"/>
      <c r="AE176" s="50"/>
      <c r="AF176" s="50" t="s">
        <v>1843</v>
      </c>
      <c r="AG176" s="50"/>
      <c r="AH176" s="50" t="s">
        <v>1844</v>
      </c>
      <c r="AI176" s="50"/>
      <c r="AJ176" s="50"/>
      <c r="AK176" s="50" t="s">
        <v>1845</v>
      </c>
      <c r="AL176" s="50"/>
      <c r="AM176" s="50"/>
      <c r="AN176" s="50"/>
      <c r="AO176" s="50"/>
      <c r="AP176" s="50"/>
      <c r="AQ176" s="50"/>
      <c r="AR176" s="50"/>
      <c r="AS176" s="50"/>
      <c r="AT176" s="50" t="str">
        <f aca="false">IFERROR(IF(AND(AN176&gt;0,J176&gt;0),ROUND(J176*1000/(AN176*0.2),0),""),"")</f>
        <v/>
      </c>
      <c r="AU176" s="50" t="str">
        <f aca="false">IFERROR(IF(AND(AQ176&gt;0,M176&gt;0),ROUND(M176*1000/(AQ176*0.3),0),""),"")</f>
        <v/>
      </c>
      <c r="AV176" s="50" t="str">
        <f aca="false">IFERROR(IF(AND(AM176&gt;0,O176&gt;0),ROUND(O176*1000/(AM176*0.1),0),""),"")</f>
        <v/>
      </c>
      <c r="AW176" s="50" t="str">
        <f aca="false">IFERROR(IF(AND(AP176&gt;0,N176&gt;0),ROUND(N176*1000/(AP176*0.25),0),""),"")</f>
        <v/>
      </c>
      <c r="AX176" s="50" t="str">
        <f aca="false">IFERROR(IF(AND(AO176&gt;0,Q176&gt;0),ROUND(Q176*1000/(AO176*1),0),""),"")</f>
        <v/>
      </c>
      <c r="AY176" s="51" t="n">
        <f aca="false">IFERROR(ifs(I176="Tier S",0.65,I176="Tier 1",0.55,I176="Tier 2",0.45,I176="Tier 3",0.35,I176="Tier 4",0.25),0.35)</f>
        <v>0.35</v>
      </c>
      <c r="AZ176" s="52" t="n">
        <v>1</v>
      </c>
      <c r="BA176" s="52" t="n">
        <v>1</v>
      </c>
      <c r="BB176" s="52" t="n">
        <v>1</v>
      </c>
      <c r="BC176" s="53" t="n">
        <f aca="false">IFERROR(ROUND(S176*AY176*BA176*BB176*AZ176,0),0)</f>
        <v>8470</v>
      </c>
      <c r="BD176" s="39" t="str">
        <f aca="false">IF(COUNT(AM176,AN176,AO176,AP176,AQ176,AR176,AS176)&gt;0,"estimated","pending")</f>
        <v>pending</v>
      </c>
      <c r="BE176" s="50"/>
    </row>
    <row r="177" customFormat="false" ht="15" hidden="false" customHeight="true" outlineLevel="0" collapsed="false">
      <c r="B177" s="54" t="n">
        <f aca="false">IF($C177="","",COUNTA($C$6:C177))</f>
        <v>172</v>
      </c>
      <c r="C177" s="54" t="s">
        <v>1072</v>
      </c>
      <c r="D177" s="54" t="s">
        <v>208</v>
      </c>
      <c r="E177" s="54" t="s">
        <v>1045</v>
      </c>
      <c r="F177" s="54" t="s">
        <v>128</v>
      </c>
      <c r="G177" s="54" t="s">
        <v>1580</v>
      </c>
      <c r="H177" s="54" t="n">
        <v>2</v>
      </c>
      <c r="I177" s="55" t="s">
        <v>337</v>
      </c>
      <c r="J177" s="56" t="n">
        <v>8000</v>
      </c>
      <c r="K177" s="56" t="n">
        <v>4000</v>
      </c>
      <c r="L177" s="57" t="n">
        <f aca="false">IF(J177="","",ROUND(J177*0.17,0))</f>
        <v>1360</v>
      </c>
      <c r="M177" s="56" t="n">
        <v>6000</v>
      </c>
      <c r="N177" s="56" t="n">
        <v>3000</v>
      </c>
      <c r="O177" s="56" t="n">
        <v>2000</v>
      </c>
      <c r="P177" s="56" t="n">
        <v>2000</v>
      </c>
      <c r="Q177" s="56" t="n">
        <v>6000</v>
      </c>
      <c r="R177" s="56" t="n">
        <v>5000</v>
      </c>
      <c r="S177" s="57" t="n">
        <f aca="false">IF(J177="","",ROUND(J177*2.2,0))</f>
        <v>17600</v>
      </c>
      <c r="T177" s="56" t="n">
        <v>3000</v>
      </c>
      <c r="U177" s="56" t="n">
        <v>2000</v>
      </c>
      <c r="V177" s="56" t="n">
        <v>1500</v>
      </c>
      <c r="W177" s="56" t="n">
        <v>1200</v>
      </c>
      <c r="X177" s="54" t="s">
        <v>1428</v>
      </c>
      <c r="Y177" s="49" t="n">
        <v>0.75</v>
      </c>
      <c r="Z177" s="49" t="n">
        <v>1</v>
      </c>
      <c r="AA177" s="50" t="s">
        <v>1073</v>
      </c>
      <c r="AB177" s="50" t="s">
        <v>1075</v>
      </c>
      <c r="AC177" s="50"/>
      <c r="AD177" s="50" t="s">
        <v>1076</v>
      </c>
      <c r="AE177" s="50"/>
      <c r="AF177" s="50"/>
      <c r="AG177" s="50"/>
      <c r="AH177" s="50"/>
      <c r="AI177" s="50"/>
      <c r="AJ177" s="50"/>
      <c r="AK177" s="50" t="s">
        <v>1846</v>
      </c>
      <c r="AL177" s="50" t="s">
        <v>1708</v>
      </c>
      <c r="AM177" s="50"/>
      <c r="AN177" s="50"/>
      <c r="AO177" s="50"/>
      <c r="AP177" s="50"/>
      <c r="AQ177" s="50"/>
      <c r="AR177" s="50"/>
      <c r="AS177" s="50"/>
      <c r="AT177" s="50" t="str">
        <f aca="false">IFERROR(IF(AND(AN177&gt;0,J177&gt;0),ROUND(J177*1000/(AN177*0.2),0),""),"")</f>
        <v/>
      </c>
      <c r="AU177" s="50" t="str">
        <f aca="false">IFERROR(IF(AND(AQ177&gt;0,M177&gt;0),ROUND(M177*1000/(AQ177*0.3),0),""),"")</f>
        <v/>
      </c>
      <c r="AV177" s="50" t="str">
        <f aca="false">IFERROR(IF(AND(AM177&gt;0,O177&gt;0),ROUND(O177*1000/(AM177*0.1),0),""),"")</f>
        <v/>
      </c>
      <c r="AW177" s="50" t="str">
        <f aca="false">IFERROR(IF(AND(AP177&gt;0,N177&gt;0),ROUND(N177*1000/(AP177*0.25),0),""),"")</f>
        <v/>
      </c>
      <c r="AX177" s="50" t="str">
        <f aca="false">IFERROR(IF(AND(AO177&gt;0,Q177&gt;0),ROUND(Q177*1000/(AO177*1),0),""),"")</f>
        <v/>
      </c>
      <c r="AY177" s="51" t="n">
        <f aca="false">IFERROR(ifs(I177="Tier S",0.65,I177="Tier 1",0.55,I177="Tier 2",0.45,I177="Tier 3",0.35,I177="Tier 4",0.25),0.35)</f>
        <v>0.35</v>
      </c>
      <c r="AZ177" s="52" t="n">
        <v>1</v>
      </c>
      <c r="BA177" s="52" t="n">
        <v>1</v>
      </c>
      <c r="BB177" s="52" t="n">
        <v>1</v>
      </c>
      <c r="BC177" s="53" t="n">
        <f aca="false">IFERROR(ROUND(S177*AY177*BA177*BB177*AZ177,0),0)</f>
        <v>6160</v>
      </c>
      <c r="BD177" s="39" t="str">
        <f aca="false">IF(COUNT(AM177,AN177,AO177,AP177,AQ177,AR177,AS177)&gt;0,"estimated","pending")</f>
        <v>pending</v>
      </c>
      <c r="BE177" s="50"/>
    </row>
    <row r="178" customFormat="false" ht="15" hidden="false" customHeight="true" outlineLevel="0" collapsed="false">
      <c r="B178" s="54" t="n">
        <f aca="false">IF($C178="","",COUNTA($C$6:C178))</f>
        <v>173</v>
      </c>
      <c r="C178" s="54" t="s">
        <v>1140</v>
      </c>
      <c r="D178" s="54" t="s">
        <v>208</v>
      </c>
      <c r="E178" s="54" t="s">
        <v>1123</v>
      </c>
      <c r="F178" s="54" t="s">
        <v>128</v>
      </c>
      <c r="G178" s="54" t="s">
        <v>1847</v>
      </c>
      <c r="H178" s="54" t="n">
        <v>4</v>
      </c>
      <c r="I178" s="55" t="s">
        <v>337</v>
      </c>
      <c r="J178" s="56" t="n">
        <v>11000</v>
      </c>
      <c r="K178" s="56" t="n">
        <v>4600</v>
      </c>
      <c r="L178" s="57" t="n">
        <f aca="false">IF(J178="","",ROUND(J178*0.17,0))</f>
        <v>1870</v>
      </c>
      <c r="M178" s="56" t="n">
        <v>8600</v>
      </c>
      <c r="N178" s="56" t="n">
        <v>3500</v>
      </c>
      <c r="O178" s="56" t="n">
        <v>2200</v>
      </c>
      <c r="P178" s="56" t="n">
        <v>2200</v>
      </c>
      <c r="Q178" s="56" t="n">
        <v>15950</v>
      </c>
      <c r="R178" s="56" t="n">
        <v>7150</v>
      </c>
      <c r="S178" s="57" t="n">
        <f aca="false">IF(J178="","",ROUND(J178*2.2,0))</f>
        <v>24200</v>
      </c>
      <c r="T178" s="56" t="n">
        <v>3850</v>
      </c>
      <c r="U178" s="56" t="n">
        <v>3300</v>
      </c>
      <c r="V178" s="56" t="n">
        <v>2000</v>
      </c>
      <c r="W178" s="56" t="n">
        <v>1650</v>
      </c>
      <c r="X178" s="54" t="s">
        <v>1369</v>
      </c>
      <c r="Y178" s="49" t="n">
        <v>0.75</v>
      </c>
      <c r="Z178" s="49" t="n">
        <v>1</v>
      </c>
      <c r="AA178" s="50" t="s">
        <v>1141</v>
      </c>
      <c r="AB178" s="50" t="s">
        <v>1143</v>
      </c>
      <c r="AC178" s="50" t="s">
        <v>1145</v>
      </c>
      <c r="AD178" s="50" t="s">
        <v>1147</v>
      </c>
      <c r="AE178" s="50" t="s">
        <v>1149</v>
      </c>
      <c r="AF178" s="50"/>
      <c r="AG178" s="50"/>
      <c r="AH178" s="50"/>
      <c r="AI178" s="50"/>
      <c r="AJ178" s="50"/>
      <c r="AK178" s="50" t="s">
        <v>1848</v>
      </c>
      <c r="AL178" s="50" t="s">
        <v>1849</v>
      </c>
      <c r="AM178" s="50"/>
      <c r="AN178" s="50"/>
      <c r="AO178" s="50"/>
      <c r="AP178" s="50"/>
      <c r="AQ178" s="50"/>
      <c r="AR178" s="50"/>
      <c r="AS178" s="50"/>
      <c r="AT178" s="50" t="str">
        <f aca="false">IFERROR(IF(AND(AN178&gt;0,J178&gt;0),ROUND(J178*1000/(AN178*0.2),0),""),"")</f>
        <v/>
      </c>
      <c r="AU178" s="50" t="str">
        <f aca="false">IFERROR(IF(AND(AQ178&gt;0,M178&gt;0),ROUND(M178*1000/(AQ178*0.3),0),""),"")</f>
        <v/>
      </c>
      <c r="AV178" s="50" t="str">
        <f aca="false">IFERROR(IF(AND(AM178&gt;0,O178&gt;0),ROUND(O178*1000/(AM178*0.1),0),""),"")</f>
        <v/>
      </c>
      <c r="AW178" s="50" t="str">
        <f aca="false">IFERROR(IF(AND(AP178&gt;0,N178&gt;0),ROUND(N178*1000/(AP178*0.25),0),""),"")</f>
        <v/>
      </c>
      <c r="AX178" s="50" t="str">
        <f aca="false">IFERROR(IF(AND(AO178&gt;0,Q178&gt;0),ROUND(Q178*1000/(AO178*1),0),""),"")</f>
        <v/>
      </c>
      <c r="AY178" s="51" t="n">
        <f aca="false">IFERROR(ifs(I178="Tier S",0.65,I178="Tier 1",0.55,I178="Tier 2",0.45,I178="Tier 3",0.35,I178="Tier 4",0.25),0.35)</f>
        <v>0.35</v>
      </c>
      <c r="AZ178" s="52" t="n">
        <v>1</v>
      </c>
      <c r="BA178" s="52" t="n">
        <v>1</v>
      </c>
      <c r="BB178" s="52" t="n">
        <v>1</v>
      </c>
      <c r="BC178" s="53" t="n">
        <f aca="false">IFERROR(ROUND(S178*AY178*BA178*BB178*AZ178,0),0)</f>
        <v>8470</v>
      </c>
      <c r="BD178" s="39" t="str">
        <f aca="false">IF(COUNT(AM178,AN178,AO178,AP178,AQ178,AR178,AS178)&gt;0,"estimated","pending")</f>
        <v>pending</v>
      </c>
      <c r="BE178" s="50"/>
    </row>
    <row r="179" customFormat="false" ht="15" hidden="false" customHeight="true" outlineLevel="0" collapsed="false">
      <c r="B179" s="54" t="n">
        <f aca="false">IF($C179="","",COUNTA($C$6:C179))</f>
        <v>174</v>
      </c>
      <c r="C179" s="54" t="s">
        <v>1850</v>
      </c>
      <c r="D179" s="54" t="s">
        <v>208</v>
      </c>
      <c r="E179" s="54" t="s">
        <v>1216</v>
      </c>
      <c r="F179" s="54" t="s">
        <v>1217</v>
      </c>
      <c r="G179" s="54" t="s">
        <v>1356</v>
      </c>
      <c r="H179" s="54" t="n">
        <v>0</v>
      </c>
      <c r="I179" s="55" t="s">
        <v>337</v>
      </c>
      <c r="J179" s="56" t="n">
        <v>12650</v>
      </c>
      <c r="K179" s="56" t="n">
        <v>5300</v>
      </c>
      <c r="L179" s="57" t="n">
        <f aca="false">IF(J179="","",ROUND(J179*0.17,0))</f>
        <v>2151</v>
      </c>
      <c r="M179" s="56" t="n">
        <v>9850</v>
      </c>
      <c r="N179" s="56" t="n">
        <v>4050</v>
      </c>
      <c r="O179" s="56" t="n">
        <v>2550</v>
      </c>
      <c r="P179" s="56" t="n">
        <v>2550</v>
      </c>
      <c r="Q179" s="56" t="n">
        <v>18350</v>
      </c>
      <c r="R179" s="56" t="n">
        <v>8200</v>
      </c>
      <c r="S179" s="57" t="n">
        <f aca="false">IF(J179="","",ROUND(J179*2.2,0))</f>
        <v>27830</v>
      </c>
      <c r="T179" s="56" t="n">
        <v>4450</v>
      </c>
      <c r="U179" s="56" t="n">
        <v>3800</v>
      </c>
      <c r="V179" s="56" t="n">
        <v>2300</v>
      </c>
      <c r="W179" s="56" t="n">
        <v>1898</v>
      </c>
      <c r="X179" s="54" t="s">
        <v>1451</v>
      </c>
      <c r="Y179" s="49" t="n">
        <v>0.75</v>
      </c>
      <c r="Z179" s="49" t="n">
        <v>1</v>
      </c>
      <c r="AA179" s="50" t="s">
        <v>1851</v>
      </c>
      <c r="AB179" s="50"/>
      <c r="AC179" s="50"/>
      <c r="AD179" s="50"/>
      <c r="AE179" s="50"/>
      <c r="AF179" s="50"/>
      <c r="AG179" s="50"/>
      <c r="AH179" s="50"/>
      <c r="AI179" s="50"/>
      <c r="AJ179" s="50"/>
      <c r="AK179" s="50" t="s">
        <v>1810</v>
      </c>
      <c r="AL179" s="50"/>
      <c r="AM179" s="50"/>
      <c r="AN179" s="50"/>
      <c r="AO179" s="50"/>
      <c r="AP179" s="50"/>
      <c r="AQ179" s="50"/>
      <c r="AR179" s="50"/>
      <c r="AS179" s="50"/>
      <c r="AT179" s="50" t="str">
        <f aca="false">IFERROR(IF(AND(AN179&gt;0,J179&gt;0),ROUND(J179*1000/(AN179*0.2),0),""),"")</f>
        <v/>
      </c>
      <c r="AU179" s="50" t="str">
        <f aca="false">IFERROR(IF(AND(AQ179&gt;0,M179&gt;0),ROUND(M179*1000/(AQ179*0.3),0),""),"")</f>
        <v/>
      </c>
      <c r="AV179" s="50" t="str">
        <f aca="false">IFERROR(IF(AND(AM179&gt;0,O179&gt;0),ROUND(O179*1000/(AM179*0.1),0),""),"")</f>
        <v/>
      </c>
      <c r="AW179" s="50" t="str">
        <f aca="false">IFERROR(IF(AND(AP179&gt;0,N179&gt;0),ROUND(N179*1000/(AP179*0.25),0),""),"")</f>
        <v/>
      </c>
      <c r="AX179" s="50" t="str">
        <f aca="false">IFERROR(IF(AND(AO179&gt;0,Q179&gt;0),ROUND(Q179*1000/(AO179*1),0),""),"")</f>
        <v/>
      </c>
      <c r="AY179" s="51" t="n">
        <f aca="false">IFERROR(ifs(I179="Tier S",0.65,I179="Tier 1",0.55,I179="Tier 2",0.45,I179="Tier 3",0.35,I179="Tier 4",0.25),0.35)</f>
        <v>0.35</v>
      </c>
      <c r="AZ179" s="52" t="n">
        <v>1</v>
      </c>
      <c r="BA179" s="52" t="n">
        <v>1</v>
      </c>
      <c r="BB179" s="52" t="n">
        <v>1</v>
      </c>
      <c r="BC179" s="53" t="n">
        <f aca="false">IFERROR(ROUND(S179*AY179*BA179*BB179*AZ179,0),0)</f>
        <v>9741</v>
      </c>
      <c r="BD179" s="39" t="str">
        <f aca="false">IF(COUNT(AM179,AN179,AO179,AP179,AQ179,AR179,AS179)&gt;0,"estimated","pending")</f>
        <v>pending</v>
      </c>
      <c r="BE179" s="50"/>
    </row>
    <row r="180" customFormat="false" ht="15" hidden="false" customHeight="true" outlineLevel="0" collapsed="false">
      <c r="B180" s="54" t="n">
        <f aca="false">IF($C180="","",COUNTA($C$6:C180))</f>
        <v>175</v>
      </c>
      <c r="C180" s="54" t="s">
        <v>1241</v>
      </c>
      <c r="D180" s="54" t="s">
        <v>208</v>
      </c>
      <c r="E180" s="54" t="s">
        <v>1216</v>
      </c>
      <c r="F180" s="54" t="s">
        <v>1217</v>
      </c>
      <c r="G180" s="54" t="s">
        <v>1807</v>
      </c>
      <c r="H180" s="54" t="n">
        <v>2</v>
      </c>
      <c r="I180" s="55" t="s">
        <v>337</v>
      </c>
      <c r="J180" s="56" t="n">
        <v>9700</v>
      </c>
      <c r="K180" s="56" t="n">
        <v>4050</v>
      </c>
      <c r="L180" s="57" t="n">
        <f aca="false">IF(J180="","",ROUND(J180*0.17,0))</f>
        <v>1649</v>
      </c>
      <c r="M180" s="56" t="n">
        <v>7550</v>
      </c>
      <c r="N180" s="56" t="n">
        <v>3100</v>
      </c>
      <c r="O180" s="56" t="n">
        <v>1950</v>
      </c>
      <c r="P180" s="56" t="n">
        <v>1950</v>
      </c>
      <c r="Q180" s="56" t="n">
        <v>14050</v>
      </c>
      <c r="R180" s="56" t="n">
        <v>6300</v>
      </c>
      <c r="S180" s="57" t="n">
        <f aca="false">IF(J180="","",ROUND(J180*2.2,0))</f>
        <v>21340</v>
      </c>
      <c r="T180" s="56" t="n">
        <v>3400</v>
      </c>
      <c r="U180" s="56" t="n">
        <v>2900</v>
      </c>
      <c r="V180" s="56" t="n">
        <v>1750</v>
      </c>
      <c r="W180" s="56" t="n">
        <v>1455</v>
      </c>
      <c r="X180" s="54" t="s">
        <v>1428</v>
      </c>
      <c r="Y180" s="49" t="n">
        <v>0.75</v>
      </c>
      <c r="Z180" s="49" t="n">
        <v>1</v>
      </c>
      <c r="AA180" s="50" t="s">
        <v>1242</v>
      </c>
      <c r="AB180" s="50" t="s">
        <v>1244</v>
      </c>
      <c r="AC180" s="50" t="s">
        <v>1245</v>
      </c>
      <c r="AD180" s="50"/>
      <c r="AE180" s="50"/>
      <c r="AF180" s="50"/>
      <c r="AG180" s="50"/>
      <c r="AH180" s="50"/>
      <c r="AI180" s="50"/>
      <c r="AJ180" s="50"/>
      <c r="AK180" s="50" t="s">
        <v>1852</v>
      </c>
      <c r="AL180" s="50"/>
      <c r="AM180" s="50"/>
      <c r="AN180" s="50"/>
      <c r="AO180" s="50"/>
      <c r="AP180" s="50"/>
      <c r="AQ180" s="50"/>
      <c r="AR180" s="50"/>
      <c r="AS180" s="50"/>
      <c r="AT180" s="50" t="str">
        <f aca="false">IFERROR(IF(AND(AN180&gt;0,J180&gt;0),ROUND(J180*1000/(AN180*0.2),0),""),"")</f>
        <v/>
      </c>
      <c r="AU180" s="50" t="str">
        <f aca="false">IFERROR(IF(AND(AQ180&gt;0,M180&gt;0),ROUND(M180*1000/(AQ180*0.3),0),""),"")</f>
        <v/>
      </c>
      <c r="AV180" s="50" t="str">
        <f aca="false">IFERROR(IF(AND(AM180&gt;0,O180&gt;0),ROUND(O180*1000/(AM180*0.1),0),""),"")</f>
        <v/>
      </c>
      <c r="AW180" s="50" t="str">
        <f aca="false">IFERROR(IF(AND(AP180&gt;0,N180&gt;0),ROUND(N180*1000/(AP180*0.25),0),""),"")</f>
        <v/>
      </c>
      <c r="AX180" s="50" t="str">
        <f aca="false">IFERROR(IF(AND(AO180&gt;0,Q180&gt;0),ROUND(Q180*1000/(AO180*1),0),""),"")</f>
        <v/>
      </c>
      <c r="AY180" s="51" t="n">
        <f aca="false">IFERROR(ifs(I180="Tier S",0.65,I180="Tier 1",0.55,I180="Tier 2",0.45,I180="Tier 3",0.35,I180="Tier 4",0.25),0.35)</f>
        <v>0.35</v>
      </c>
      <c r="AZ180" s="52" t="n">
        <v>1</v>
      </c>
      <c r="BA180" s="52" t="n">
        <v>1</v>
      </c>
      <c r="BB180" s="52" t="n">
        <v>1</v>
      </c>
      <c r="BC180" s="53" t="n">
        <f aca="false">IFERROR(ROUND(S180*AY180*BA180*BB180*AZ180,0),0)</f>
        <v>7469</v>
      </c>
      <c r="BD180" s="39" t="str">
        <f aca="false">IF(COUNT(AM180,AN180,AO180,AP180,AQ180,AR180,AS180)&gt;0,"estimated","pending")</f>
        <v>pending</v>
      </c>
      <c r="BE180" s="50"/>
    </row>
    <row r="181" customFormat="false" ht="15" hidden="false" customHeight="true" outlineLevel="0" collapsed="false">
      <c r="B181" s="54" t="n">
        <f aca="false">IF($C181="","",COUNTA($C$6:C181))</f>
        <v>176</v>
      </c>
      <c r="C181" s="54" t="s">
        <v>1853</v>
      </c>
      <c r="D181" s="54" t="s">
        <v>208</v>
      </c>
      <c r="E181" s="54" t="s">
        <v>1258</v>
      </c>
      <c r="F181" s="54" t="s">
        <v>128</v>
      </c>
      <c r="G181" s="54" t="s">
        <v>1854</v>
      </c>
      <c r="H181" s="54" t="n">
        <v>0</v>
      </c>
      <c r="I181" s="55" t="s">
        <v>337</v>
      </c>
      <c r="J181" s="56" t="n">
        <v>11000</v>
      </c>
      <c r="K181" s="56" t="n">
        <v>4600</v>
      </c>
      <c r="L181" s="57" t="n">
        <f aca="false">IF(J181="","",ROUND(J181*0.17,0))</f>
        <v>1870</v>
      </c>
      <c r="M181" s="56" t="n">
        <v>8600</v>
      </c>
      <c r="N181" s="56" t="n">
        <v>3500</v>
      </c>
      <c r="O181" s="56" t="n">
        <v>2200</v>
      </c>
      <c r="P181" s="56" t="n">
        <v>2200</v>
      </c>
      <c r="Q181" s="56" t="n">
        <v>15950</v>
      </c>
      <c r="R181" s="56" t="n">
        <v>7150</v>
      </c>
      <c r="S181" s="57" t="n">
        <f aca="false">IF(J181="","",ROUND(J181*2.2,0))</f>
        <v>24200</v>
      </c>
      <c r="T181" s="56" t="n">
        <v>3850</v>
      </c>
      <c r="U181" s="56" t="n">
        <v>3300</v>
      </c>
      <c r="V181" s="56" t="n">
        <v>2000</v>
      </c>
      <c r="W181" s="56" t="n">
        <v>1650</v>
      </c>
      <c r="X181" s="54" t="s">
        <v>1451</v>
      </c>
      <c r="Y181" s="49" t="n">
        <v>0.3</v>
      </c>
      <c r="Z181" s="49" t="n">
        <v>1</v>
      </c>
      <c r="AA181" s="50" t="s">
        <v>1855</v>
      </c>
      <c r="AB181" s="50"/>
      <c r="AC181" s="50"/>
      <c r="AD181" s="50"/>
      <c r="AE181" s="50"/>
      <c r="AF181" s="50"/>
      <c r="AG181" s="50"/>
      <c r="AH181" s="50"/>
      <c r="AI181" s="50"/>
      <c r="AJ181" s="50"/>
      <c r="AK181" s="50" t="s">
        <v>1856</v>
      </c>
      <c r="AL181" s="50"/>
      <c r="AM181" s="50"/>
      <c r="AN181" s="50"/>
      <c r="AO181" s="50"/>
      <c r="AP181" s="50"/>
      <c r="AQ181" s="50"/>
      <c r="AR181" s="50"/>
      <c r="AS181" s="50"/>
      <c r="AT181" s="50" t="str">
        <f aca="false">IFERROR(IF(AND(AN181&gt;0,J181&gt;0),ROUND(J181*1000/(AN181*0.2),0),""),"")</f>
        <v/>
      </c>
      <c r="AU181" s="50" t="str">
        <f aca="false">IFERROR(IF(AND(AQ181&gt;0,M181&gt;0),ROUND(M181*1000/(AQ181*0.3),0),""),"")</f>
        <v/>
      </c>
      <c r="AV181" s="50" t="str">
        <f aca="false">IFERROR(IF(AND(AM181&gt;0,O181&gt;0),ROUND(O181*1000/(AM181*0.1),0),""),"")</f>
        <v/>
      </c>
      <c r="AW181" s="50" t="str">
        <f aca="false">IFERROR(IF(AND(AP181&gt;0,N181&gt;0),ROUND(N181*1000/(AP181*0.25),0),""),"")</f>
        <v/>
      </c>
      <c r="AX181" s="50" t="str">
        <f aca="false">IFERROR(IF(AND(AO181&gt;0,Q181&gt;0),ROUND(Q181*1000/(AO181*1),0),""),"")</f>
        <v/>
      </c>
      <c r="AY181" s="51" t="n">
        <f aca="false">IFERROR(ifs(I181="Tier S",0.65,I181="Tier 1",0.55,I181="Tier 2",0.45,I181="Tier 3",0.35,I181="Tier 4",0.25),0.35)</f>
        <v>0.35</v>
      </c>
      <c r="AZ181" s="52" t="n">
        <v>1</v>
      </c>
      <c r="BA181" s="52" t="n">
        <v>1</v>
      </c>
      <c r="BB181" s="52" t="n">
        <v>1</v>
      </c>
      <c r="BC181" s="53" t="n">
        <f aca="false">IFERROR(ROUND(S181*AY181*BA181*BB181*AZ181,0),0)</f>
        <v>8470</v>
      </c>
      <c r="BD181" s="39" t="str">
        <f aca="false">IF(COUNT(AM181,AN181,AO181,AP181,AQ181,AR181,AS181)&gt;0,"estimated","pending")</f>
        <v>pending</v>
      </c>
      <c r="BE181" s="50"/>
    </row>
    <row r="182" customFormat="false" ht="15" hidden="false" customHeight="true" outlineLevel="0" collapsed="false">
      <c r="B182" s="54" t="n">
        <f aca="false">IF($C182="","",COUNTA($C$6:C182))</f>
        <v>177</v>
      </c>
      <c r="C182" s="54" t="s">
        <v>1857</v>
      </c>
      <c r="D182" s="54" t="s">
        <v>208</v>
      </c>
      <c r="E182" s="54" t="s">
        <v>1258</v>
      </c>
      <c r="F182" s="54" t="s">
        <v>128</v>
      </c>
      <c r="G182" s="54" t="s">
        <v>1854</v>
      </c>
      <c r="H182" s="54" t="n">
        <v>0</v>
      </c>
      <c r="I182" s="55" t="s">
        <v>337</v>
      </c>
      <c r="J182" s="56" t="n">
        <v>8800</v>
      </c>
      <c r="K182" s="56" t="n">
        <v>3700</v>
      </c>
      <c r="L182" s="57" t="n">
        <f aca="false">IF(J182="","",ROUND(J182*0.17,0))</f>
        <v>1496</v>
      </c>
      <c r="M182" s="56" t="n">
        <v>6850</v>
      </c>
      <c r="N182" s="56" t="n">
        <v>2800</v>
      </c>
      <c r="O182" s="56" t="n">
        <v>1750</v>
      </c>
      <c r="P182" s="56" t="n">
        <v>1750</v>
      </c>
      <c r="Q182" s="56" t="n">
        <v>12750</v>
      </c>
      <c r="R182" s="56" t="n">
        <v>5700</v>
      </c>
      <c r="S182" s="57" t="n">
        <f aca="false">IF(J182="","",ROUND(J182*2.2,0))</f>
        <v>19360</v>
      </c>
      <c r="T182" s="56" t="n">
        <v>3100</v>
      </c>
      <c r="U182" s="56" t="n">
        <v>2650</v>
      </c>
      <c r="V182" s="56" t="n">
        <v>1600</v>
      </c>
      <c r="W182" s="56" t="n">
        <v>1320</v>
      </c>
      <c r="X182" s="54" t="s">
        <v>1451</v>
      </c>
      <c r="Y182" s="49" t="n">
        <v>0.3</v>
      </c>
      <c r="Z182" s="49" t="n">
        <v>1</v>
      </c>
      <c r="AA182" s="50" t="s">
        <v>1858</v>
      </c>
      <c r="AB182" s="50"/>
      <c r="AC182" s="50"/>
      <c r="AD182" s="50"/>
      <c r="AE182" s="50"/>
      <c r="AF182" s="50"/>
      <c r="AG182" s="50"/>
      <c r="AH182" s="50"/>
      <c r="AI182" s="50"/>
      <c r="AJ182" s="50"/>
      <c r="AK182" s="50" t="s">
        <v>1859</v>
      </c>
      <c r="AL182" s="50"/>
      <c r="AM182" s="50"/>
      <c r="AN182" s="50"/>
      <c r="AO182" s="50"/>
      <c r="AP182" s="50"/>
      <c r="AQ182" s="50"/>
      <c r="AR182" s="50"/>
      <c r="AS182" s="50"/>
      <c r="AT182" s="50" t="str">
        <f aca="false">IFERROR(IF(AND(AN182&gt;0,J182&gt;0),ROUND(J182*1000/(AN182*0.2),0),""),"")</f>
        <v/>
      </c>
      <c r="AU182" s="50" t="str">
        <f aca="false">IFERROR(IF(AND(AQ182&gt;0,M182&gt;0),ROUND(M182*1000/(AQ182*0.3),0),""),"")</f>
        <v/>
      </c>
      <c r="AV182" s="50" t="str">
        <f aca="false">IFERROR(IF(AND(AM182&gt;0,O182&gt;0),ROUND(O182*1000/(AM182*0.1),0),""),"")</f>
        <v/>
      </c>
      <c r="AW182" s="50" t="str">
        <f aca="false">IFERROR(IF(AND(AP182&gt;0,N182&gt;0),ROUND(N182*1000/(AP182*0.25),0),""),"")</f>
        <v/>
      </c>
      <c r="AX182" s="50" t="str">
        <f aca="false">IFERROR(IF(AND(AO182&gt;0,Q182&gt;0),ROUND(Q182*1000/(AO182*1),0),""),"")</f>
        <v/>
      </c>
      <c r="AY182" s="51" t="n">
        <f aca="false">IFERROR(ifs(I182="Tier S",0.65,I182="Tier 1",0.55,I182="Tier 2",0.45,I182="Tier 3",0.35,I182="Tier 4",0.25),0.35)</f>
        <v>0.35</v>
      </c>
      <c r="AZ182" s="52" t="n">
        <v>1</v>
      </c>
      <c r="BA182" s="52" t="n">
        <v>1</v>
      </c>
      <c r="BB182" s="52" t="n">
        <v>1</v>
      </c>
      <c r="BC182" s="53" t="n">
        <f aca="false">IFERROR(ROUND(S182*AY182*BA182*BB182*AZ182,0),0)</f>
        <v>6776</v>
      </c>
      <c r="BD182" s="39" t="str">
        <f aca="false">IF(COUNT(AM182,AN182,AO182,AP182,AQ182,AR182,AS182)&gt;0,"estimated","pending")</f>
        <v>pending</v>
      </c>
      <c r="BE182" s="50"/>
    </row>
    <row r="183" customFormat="false" ht="15" hidden="false" customHeight="true" outlineLevel="0" collapsed="false">
      <c r="B183" s="54" t="n">
        <f aca="false">IF($C183="","",COUNTA($C$6:C183))</f>
        <v>178</v>
      </c>
      <c r="C183" s="54" t="s">
        <v>1860</v>
      </c>
      <c r="D183" s="54" t="s">
        <v>208</v>
      </c>
      <c r="E183" s="54" t="s">
        <v>1258</v>
      </c>
      <c r="F183" s="54" t="s">
        <v>128</v>
      </c>
      <c r="G183" s="54" t="s">
        <v>1854</v>
      </c>
      <c r="H183" s="54" t="n">
        <v>0</v>
      </c>
      <c r="I183" s="55" t="s">
        <v>337</v>
      </c>
      <c r="J183" s="56" t="n">
        <v>8800</v>
      </c>
      <c r="K183" s="56" t="n">
        <v>3700</v>
      </c>
      <c r="L183" s="57" t="n">
        <f aca="false">IF(J183="","",ROUND(J183*0.17,0))</f>
        <v>1496</v>
      </c>
      <c r="M183" s="56" t="n">
        <v>6850</v>
      </c>
      <c r="N183" s="56" t="n">
        <v>2800</v>
      </c>
      <c r="O183" s="56" t="n">
        <v>1750</v>
      </c>
      <c r="P183" s="56" t="n">
        <v>1750</v>
      </c>
      <c r="Q183" s="56" t="n">
        <v>12750</v>
      </c>
      <c r="R183" s="56" t="n">
        <v>5700</v>
      </c>
      <c r="S183" s="57" t="n">
        <f aca="false">IF(J183="","",ROUND(J183*2.2,0))</f>
        <v>19360</v>
      </c>
      <c r="T183" s="56" t="n">
        <v>3100</v>
      </c>
      <c r="U183" s="56" t="n">
        <v>2650</v>
      </c>
      <c r="V183" s="56" t="n">
        <v>1600</v>
      </c>
      <c r="W183" s="56" t="n">
        <v>1320</v>
      </c>
      <c r="X183" s="54" t="s">
        <v>1451</v>
      </c>
      <c r="Y183" s="49" t="n">
        <v>0.3</v>
      </c>
      <c r="Z183" s="49" t="n">
        <v>1</v>
      </c>
      <c r="AA183" s="50" t="s">
        <v>1861</v>
      </c>
      <c r="AB183" s="50"/>
      <c r="AC183" s="50"/>
      <c r="AD183" s="50"/>
      <c r="AE183" s="50"/>
      <c r="AF183" s="50"/>
      <c r="AG183" s="50"/>
      <c r="AH183" s="50"/>
      <c r="AI183" s="50"/>
      <c r="AJ183" s="50"/>
      <c r="AK183" s="50" t="s">
        <v>1862</v>
      </c>
      <c r="AL183" s="50"/>
      <c r="AM183" s="50"/>
      <c r="AN183" s="50"/>
      <c r="AO183" s="50"/>
      <c r="AP183" s="50"/>
      <c r="AQ183" s="50"/>
      <c r="AR183" s="50"/>
      <c r="AS183" s="50"/>
      <c r="AT183" s="50" t="str">
        <f aca="false">IFERROR(IF(AND(AN183&gt;0,J183&gt;0),ROUND(J183*1000/(AN183*0.2),0),""),"")</f>
        <v/>
      </c>
      <c r="AU183" s="50" t="str">
        <f aca="false">IFERROR(IF(AND(AQ183&gt;0,M183&gt;0),ROUND(M183*1000/(AQ183*0.3),0),""),"")</f>
        <v/>
      </c>
      <c r="AV183" s="50" t="str">
        <f aca="false">IFERROR(IF(AND(AM183&gt;0,O183&gt;0),ROUND(O183*1000/(AM183*0.1),0),""),"")</f>
        <v/>
      </c>
      <c r="AW183" s="50" t="str">
        <f aca="false">IFERROR(IF(AND(AP183&gt;0,N183&gt;0),ROUND(N183*1000/(AP183*0.25),0),""),"")</f>
        <v/>
      </c>
      <c r="AX183" s="50" t="str">
        <f aca="false">IFERROR(IF(AND(AO183&gt;0,Q183&gt;0),ROUND(Q183*1000/(AO183*1),0),""),"")</f>
        <v/>
      </c>
      <c r="AY183" s="51" t="n">
        <f aca="false">IFERROR(ifs(I183="Tier S",0.65,I183="Tier 1",0.55,I183="Tier 2",0.45,I183="Tier 3",0.35,I183="Tier 4",0.25),0.35)</f>
        <v>0.35</v>
      </c>
      <c r="AZ183" s="52" t="n">
        <v>1</v>
      </c>
      <c r="BA183" s="52" t="n">
        <v>1</v>
      </c>
      <c r="BB183" s="52" t="n">
        <v>1</v>
      </c>
      <c r="BC183" s="53" t="n">
        <f aca="false">IFERROR(ROUND(S183*AY183*BA183*BB183*AZ183,0),0)</f>
        <v>6776</v>
      </c>
      <c r="BD183" s="39" t="str">
        <f aca="false">IF(COUNT(AM183,AN183,AO183,AP183,AQ183,AR183,AS183)&gt;0,"estimated","pending")</f>
        <v>pending</v>
      </c>
      <c r="BE183" s="50"/>
    </row>
    <row r="184" customFormat="false" ht="15" hidden="false" customHeight="true" outlineLevel="0" collapsed="false">
      <c r="B184" s="54" t="n">
        <f aca="false">IF($C184="","",COUNTA($C$6:C184))</f>
        <v>179</v>
      </c>
      <c r="C184" s="54" t="s">
        <v>1259</v>
      </c>
      <c r="D184" s="54" t="s">
        <v>208</v>
      </c>
      <c r="E184" s="54" t="s">
        <v>1258</v>
      </c>
      <c r="F184" s="54" t="s">
        <v>128</v>
      </c>
      <c r="G184" s="54" t="s">
        <v>1854</v>
      </c>
      <c r="H184" s="54" t="n">
        <v>1</v>
      </c>
      <c r="I184" s="55" t="s">
        <v>337</v>
      </c>
      <c r="J184" s="56" t="n">
        <v>8800</v>
      </c>
      <c r="K184" s="56" t="n">
        <v>3700</v>
      </c>
      <c r="L184" s="57" t="n">
        <f aca="false">IF(J184="","",ROUND(J184*0.17,0))</f>
        <v>1496</v>
      </c>
      <c r="M184" s="56" t="n">
        <v>6850</v>
      </c>
      <c r="N184" s="56" t="n">
        <v>2800</v>
      </c>
      <c r="O184" s="56" t="n">
        <v>1750</v>
      </c>
      <c r="P184" s="56" t="n">
        <v>1750</v>
      </c>
      <c r="Q184" s="56" t="n">
        <v>12750</v>
      </c>
      <c r="R184" s="56" t="n">
        <v>5700</v>
      </c>
      <c r="S184" s="57" t="n">
        <f aca="false">IF(J184="","",ROUND(J184*2.2,0))</f>
        <v>19360</v>
      </c>
      <c r="T184" s="56" t="n">
        <v>3100</v>
      </c>
      <c r="U184" s="56" t="n">
        <v>2650</v>
      </c>
      <c r="V184" s="56" t="n">
        <v>1600</v>
      </c>
      <c r="W184" s="56" t="n">
        <v>1320</v>
      </c>
      <c r="X184" s="54" t="s">
        <v>1434</v>
      </c>
      <c r="Y184" s="49" t="n">
        <v>0.3</v>
      </c>
      <c r="Z184" s="49" t="n">
        <v>1</v>
      </c>
      <c r="AA184" s="50" t="s">
        <v>1260</v>
      </c>
      <c r="AB184" s="50"/>
      <c r="AC184" s="50"/>
      <c r="AD184" s="50"/>
      <c r="AE184" s="50"/>
      <c r="AF184" s="50"/>
      <c r="AG184" s="50"/>
      <c r="AH184" s="50" t="s">
        <v>1262</v>
      </c>
      <c r="AI184" s="50"/>
      <c r="AJ184" s="50"/>
      <c r="AK184" s="50" t="s">
        <v>1863</v>
      </c>
      <c r="AL184" s="50"/>
      <c r="AM184" s="50"/>
      <c r="AN184" s="50"/>
      <c r="AO184" s="50"/>
      <c r="AP184" s="50"/>
      <c r="AQ184" s="50"/>
      <c r="AR184" s="50"/>
      <c r="AS184" s="50"/>
      <c r="AT184" s="50" t="str">
        <f aca="false">IFERROR(IF(AND(AN184&gt;0,J184&gt;0),ROUND(J184*1000/(AN184*0.2),0),""),"")</f>
        <v/>
      </c>
      <c r="AU184" s="50" t="str">
        <f aca="false">IFERROR(IF(AND(AQ184&gt;0,M184&gt;0),ROUND(M184*1000/(AQ184*0.3),0),""),"")</f>
        <v/>
      </c>
      <c r="AV184" s="50" t="str">
        <f aca="false">IFERROR(IF(AND(AM184&gt;0,O184&gt;0),ROUND(O184*1000/(AM184*0.1),0),""),"")</f>
        <v/>
      </c>
      <c r="AW184" s="50" t="str">
        <f aca="false">IFERROR(IF(AND(AP184&gt;0,N184&gt;0),ROUND(N184*1000/(AP184*0.25),0),""),"")</f>
        <v/>
      </c>
      <c r="AX184" s="50" t="str">
        <f aca="false">IFERROR(IF(AND(AO184&gt;0,Q184&gt;0),ROUND(Q184*1000/(AO184*1),0),""),"")</f>
        <v/>
      </c>
      <c r="AY184" s="51" t="n">
        <f aca="false">IFERROR(ifs(I184="Tier S",0.65,I184="Tier 1",0.55,I184="Tier 2",0.45,I184="Tier 3",0.35,I184="Tier 4",0.25),0.35)</f>
        <v>0.35</v>
      </c>
      <c r="AZ184" s="52" t="n">
        <v>1</v>
      </c>
      <c r="BA184" s="52" t="n">
        <v>1</v>
      </c>
      <c r="BB184" s="52" t="n">
        <v>1</v>
      </c>
      <c r="BC184" s="53" t="n">
        <f aca="false">IFERROR(ROUND(S184*AY184*BA184*BB184*AZ184,0),0)</f>
        <v>6776</v>
      </c>
      <c r="BD184" s="39" t="str">
        <f aca="false">IF(COUNT(AM184,AN184,AO184,AP184,AQ184,AR184,AS184)&gt;0,"estimated","pending")</f>
        <v>pending</v>
      </c>
      <c r="BE184" s="50"/>
    </row>
    <row r="185" customFormat="false" ht="15" hidden="false" customHeight="true" outlineLevel="0" collapsed="false">
      <c r="B185" s="54" t="n">
        <f aca="false">IF($C185="","",COUNTA($C$6:C185))</f>
        <v>180</v>
      </c>
      <c r="C185" s="54" t="s">
        <v>1263</v>
      </c>
      <c r="D185" s="54" t="s">
        <v>208</v>
      </c>
      <c r="E185" s="54" t="s">
        <v>1258</v>
      </c>
      <c r="F185" s="54" t="s">
        <v>128</v>
      </c>
      <c r="G185" s="54" t="s">
        <v>1854</v>
      </c>
      <c r="H185" s="54" t="n">
        <v>2</v>
      </c>
      <c r="I185" s="55" t="s">
        <v>337</v>
      </c>
      <c r="J185" s="56" t="n">
        <v>8800</v>
      </c>
      <c r="K185" s="56" t="n">
        <v>3700</v>
      </c>
      <c r="L185" s="57" t="n">
        <f aca="false">IF(J185="","",ROUND(J185*0.17,0))</f>
        <v>1496</v>
      </c>
      <c r="M185" s="56" t="n">
        <v>6850</v>
      </c>
      <c r="N185" s="56" t="n">
        <v>2800</v>
      </c>
      <c r="O185" s="56" t="n">
        <v>1750</v>
      </c>
      <c r="P185" s="56" t="n">
        <v>1750</v>
      </c>
      <c r="Q185" s="56" t="n">
        <v>12750</v>
      </c>
      <c r="R185" s="56" t="n">
        <v>5700</v>
      </c>
      <c r="S185" s="57" t="n">
        <f aca="false">IF(J185="","",ROUND(J185*2.2,0))</f>
        <v>19360</v>
      </c>
      <c r="T185" s="56" t="n">
        <v>3100</v>
      </c>
      <c r="U185" s="56" t="n">
        <v>2650</v>
      </c>
      <c r="V185" s="56" t="n">
        <v>1600</v>
      </c>
      <c r="W185" s="56" t="n">
        <v>1320</v>
      </c>
      <c r="X185" s="54" t="s">
        <v>1428</v>
      </c>
      <c r="Y185" s="49" t="n">
        <v>0.3</v>
      </c>
      <c r="Z185" s="49" t="n">
        <v>1</v>
      </c>
      <c r="AA185" s="50" t="s">
        <v>1264</v>
      </c>
      <c r="AB185" s="50"/>
      <c r="AC185" s="50"/>
      <c r="AD185" s="50"/>
      <c r="AE185" s="50" t="s">
        <v>1266</v>
      </c>
      <c r="AF185" s="50"/>
      <c r="AG185" s="50"/>
      <c r="AH185" s="50" t="s">
        <v>1268</v>
      </c>
      <c r="AI185" s="50"/>
      <c r="AJ185" s="50"/>
      <c r="AK185" s="50" t="s">
        <v>1864</v>
      </c>
      <c r="AL185" s="50"/>
      <c r="AM185" s="50"/>
      <c r="AN185" s="50"/>
      <c r="AO185" s="50"/>
      <c r="AP185" s="50"/>
      <c r="AQ185" s="50"/>
      <c r="AR185" s="50"/>
      <c r="AS185" s="50"/>
      <c r="AT185" s="50" t="str">
        <f aca="false">IFERROR(IF(AND(AN185&gt;0,J185&gt;0),ROUND(J185*1000/(AN185*0.2),0),""),"")</f>
        <v/>
      </c>
      <c r="AU185" s="50" t="str">
        <f aca="false">IFERROR(IF(AND(AQ185&gt;0,M185&gt;0),ROUND(M185*1000/(AQ185*0.3),0),""),"")</f>
        <v/>
      </c>
      <c r="AV185" s="50" t="str">
        <f aca="false">IFERROR(IF(AND(AM185&gt;0,O185&gt;0),ROUND(O185*1000/(AM185*0.1),0),""),"")</f>
        <v/>
      </c>
      <c r="AW185" s="50" t="str">
        <f aca="false">IFERROR(IF(AND(AP185&gt;0,N185&gt;0),ROUND(N185*1000/(AP185*0.25),0),""),"")</f>
        <v/>
      </c>
      <c r="AX185" s="50" t="str">
        <f aca="false">IFERROR(IF(AND(AO185&gt;0,Q185&gt;0),ROUND(Q185*1000/(AO185*1),0),""),"")</f>
        <v/>
      </c>
      <c r="AY185" s="51" t="n">
        <f aca="false">IFERROR(ifs(I185="Tier S",0.65,I185="Tier 1",0.55,I185="Tier 2",0.45,I185="Tier 3",0.35,I185="Tier 4",0.25),0.35)</f>
        <v>0.35</v>
      </c>
      <c r="AZ185" s="52" t="n">
        <v>1</v>
      </c>
      <c r="BA185" s="52" t="n">
        <v>1</v>
      </c>
      <c r="BB185" s="52" t="n">
        <v>1</v>
      </c>
      <c r="BC185" s="53" t="n">
        <f aca="false">IFERROR(ROUND(S185*AY185*BA185*BB185*AZ185,0),0)</f>
        <v>6776</v>
      </c>
      <c r="BD185" s="39" t="str">
        <f aca="false">IF(COUNT(AM185,AN185,AO185,AP185,AQ185,AR185,AS185)&gt;0,"estimated","pending")</f>
        <v>pending</v>
      </c>
      <c r="BE185" s="50"/>
    </row>
    <row r="186" customFormat="false" ht="15" hidden="false" customHeight="true" outlineLevel="0" collapsed="false">
      <c r="B186" s="58" t="n">
        <f aca="false">IF($C186="","",COUNTA($C$6:C186))</f>
        <v>181</v>
      </c>
      <c r="C186" s="58" t="s">
        <v>1438</v>
      </c>
      <c r="D186" s="58" t="s">
        <v>1439</v>
      </c>
      <c r="E186" s="58" t="s">
        <v>447</v>
      </c>
      <c r="F186" s="58" t="s">
        <v>447</v>
      </c>
      <c r="G186" s="58" t="s">
        <v>1425</v>
      </c>
      <c r="H186" s="58" t="n">
        <v>1</v>
      </c>
      <c r="I186" s="59" t="s">
        <v>1357</v>
      </c>
      <c r="J186" s="60" t="n">
        <v>0</v>
      </c>
      <c r="K186" s="60" t="n">
        <v>0</v>
      </c>
      <c r="L186" s="61" t="n">
        <f aca="false">IF(J186="","",ROUND(J186*0.17,0))</f>
        <v>0</v>
      </c>
      <c r="M186" s="60" t="n">
        <v>0</v>
      </c>
      <c r="N186" s="60" t="n">
        <v>0</v>
      </c>
      <c r="O186" s="60" t="n">
        <v>0</v>
      </c>
      <c r="P186" s="60" t="n">
        <v>0</v>
      </c>
      <c r="Q186" s="60" t="n">
        <v>0</v>
      </c>
      <c r="R186" s="60" t="n">
        <v>0</v>
      </c>
      <c r="S186" s="61" t="n">
        <f aca="false">IF(J186="","",ROUND(J186*2.2,0))</f>
        <v>0</v>
      </c>
      <c r="T186" s="60" t="n">
        <v>0</v>
      </c>
      <c r="U186" s="60" t="n">
        <v>0</v>
      </c>
      <c r="V186" s="60" t="n">
        <v>600</v>
      </c>
      <c r="W186" s="60" t="n">
        <v>0</v>
      </c>
      <c r="X186" s="58" t="s">
        <v>1434</v>
      </c>
      <c r="Y186" s="49" t="n">
        <v>0.3</v>
      </c>
      <c r="Z186" s="49" t="n">
        <v>1</v>
      </c>
      <c r="AA186" s="50" t="s">
        <v>1440</v>
      </c>
      <c r="AB186" s="50" t="s">
        <v>1441</v>
      </c>
      <c r="AC186" s="50"/>
      <c r="AD186" s="50"/>
      <c r="AE186" s="50"/>
      <c r="AF186" s="50"/>
      <c r="AG186" s="50"/>
      <c r="AH186" s="50"/>
      <c r="AI186" s="50"/>
      <c r="AJ186" s="50"/>
      <c r="AK186" s="50" t="s">
        <v>1442</v>
      </c>
      <c r="AL186" s="50"/>
      <c r="AM186" s="50"/>
      <c r="AN186" s="50"/>
      <c r="AO186" s="50"/>
      <c r="AP186" s="50"/>
      <c r="AQ186" s="50"/>
      <c r="AR186" s="50"/>
      <c r="AS186" s="50"/>
      <c r="AT186" s="50" t="str">
        <f aca="false">IFERROR(IF(AND(AN186&gt;0,J186&gt;0),ROUND(J186*1000/(AN186*0.2),0),""),"")</f>
        <v/>
      </c>
      <c r="AU186" s="50" t="str">
        <f aca="false">IFERROR(IF(AND(AQ186&gt;0,M186&gt;0),ROUND(M186*1000/(AQ186*0.3),0),""),"")</f>
        <v/>
      </c>
      <c r="AV186" s="50" t="str">
        <f aca="false">IFERROR(IF(AND(AM186&gt;0,O186&gt;0),ROUND(O186*1000/(AM186*0.1),0),""),"")</f>
        <v/>
      </c>
      <c r="AW186" s="50" t="str">
        <f aca="false">IFERROR(IF(AND(AP186&gt;0,N186&gt;0),ROUND(N186*1000/(AP186*0.25),0),""),"")</f>
        <v/>
      </c>
      <c r="AX186" s="50" t="str">
        <f aca="false">IFERROR(IF(AND(AO186&gt;0,Q186&gt;0),ROUND(Q186*1000/(AO186*1),0),""),"")</f>
        <v/>
      </c>
      <c r="AY186" s="51" t="n">
        <f aca="false">IFERROR(ifs(I186="Tier S",0.65,I186="Tier 1",0.55,I186="Tier 2",0.45,I186="Tier 3",0.35,I186="Tier 4",0.25),0.35)</f>
        <v>0.35</v>
      </c>
      <c r="AZ186" s="52" t="n">
        <v>1</v>
      </c>
      <c r="BA186" s="52" t="n">
        <v>1</v>
      </c>
      <c r="BB186" s="52" t="n">
        <v>1</v>
      </c>
      <c r="BC186" s="53" t="n">
        <f aca="false">IFERROR(ROUND(S186*AY186*BA186*BB186*AZ186,0),0)</f>
        <v>0</v>
      </c>
      <c r="BD186" s="39" t="str">
        <f aca="false">IF(COUNT(AM186,AN186,AO186,AP186,AQ186,AR186,AS186)&gt;0,"estimated","pending")</f>
        <v>pending</v>
      </c>
      <c r="BE186" s="50"/>
    </row>
    <row r="187" customFormat="false" ht="15" hidden="false" customHeight="true" outlineLevel="0" collapsed="false">
      <c r="B187" s="62" t="n">
        <f aca="false">IF($C187="","",COUNTA($C$6:C187))</f>
        <v>182</v>
      </c>
      <c r="C187" s="62" t="s">
        <v>1865</v>
      </c>
      <c r="D187" s="62" t="s">
        <v>1478</v>
      </c>
      <c r="E187" s="62" t="s">
        <v>447</v>
      </c>
      <c r="F187" s="62" t="s">
        <v>447</v>
      </c>
      <c r="G187" s="62" t="s">
        <v>1732</v>
      </c>
      <c r="H187" s="62" t="n">
        <v>2</v>
      </c>
      <c r="I187" s="63" t="s">
        <v>337</v>
      </c>
      <c r="J187" s="64" t="n">
        <v>0</v>
      </c>
      <c r="K187" s="64" t="n">
        <v>0</v>
      </c>
      <c r="L187" s="65" t="n">
        <f aca="false">IF(J187="","",ROUND(J187*0.17,0))</f>
        <v>0</v>
      </c>
      <c r="M187" s="64" t="n">
        <v>0</v>
      </c>
      <c r="N187" s="64" t="n">
        <v>0</v>
      </c>
      <c r="O187" s="64" t="n">
        <v>0</v>
      </c>
      <c r="P187" s="64" t="n">
        <v>0</v>
      </c>
      <c r="Q187" s="64" t="n">
        <v>0</v>
      </c>
      <c r="R187" s="64" t="n">
        <v>0</v>
      </c>
      <c r="S187" s="65" t="n">
        <f aca="false">IF(J187="","",ROUND(J187*2.2,0))</f>
        <v>0</v>
      </c>
      <c r="T187" s="64" t="n">
        <v>0</v>
      </c>
      <c r="U187" s="64" t="n">
        <v>0</v>
      </c>
      <c r="V187" s="64" t="n">
        <v>1200</v>
      </c>
      <c r="W187" s="64" t="n">
        <v>0</v>
      </c>
      <c r="X187" s="62" t="s">
        <v>1428</v>
      </c>
      <c r="Y187" s="49" t="n">
        <v>0.3</v>
      </c>
      <c r="Z187" s="49" t="n">
        <v>1</v>
      </c>
      <c r="AA187" s="50" t="s">
        <v>1866</v>
      </c>
      <c r="AB187" s="50" t="s">
        <v>1867</v>
      </c>
      <c r="AC187" s="50"/>
      <c r="AD187" s="50" t="s">
        <v>1868</v>
      </c>
      <c r="AE187" s="50"/>
      <c r="AF187" s="50"/>
      <c r="AG187" s="50"/>
      <c r="AH187" s="50"/>
      <c r="AI187" s="50"/>
      <c r="AJ187" s="50"/>
      <c r="AK187" s="50" t="s">
        <v>1869</v>
      </c>
      <c r="AL187" s="50"/>
      <c r="AM187" s="50"/>
      <c r="AN187" s="50"/>
      <c r="AO187" s="50"/>
      <c r="AP187" s="50"/>
      <c r="AQ187" s="50"/>
      <c r="AR187" s="50"/>
      <c r="AS187" s="50"/>
      <c r="AT187" s="50" t="str">
        <f aca="false">IFERROR(IF(AND(AN187&gt;0,J187&gt;0),ROUND(J187*1000/(AN187*0.2),0),""),"")</f>
        <v/>
      </c>
      <c r="AU187" s="50" t="str">
        <f aca="false">IFERROR(IF(AND(AQ187&gt;0,M187&gt;0),ROUND(M187*1000/(AQ187*0.3),0),""),"")</f>
        <v/>
      </c>
      <c r="AV187" s="50" t="str">
        <f aca="false">IFERROR(IF(AND(AM187&gt;0,O187&gt;0),ROUND(O187*1000/(AM187*0.1),0),""),"")</f>
        <v/>
      </c>
      <c r="AW187" s="50" t="str">
        <f aca="false">IFERROR(IF(AND(AP187&gt;0,N187&gt;0),ROUND(N187*1000/(AP187*0.25),0),""),"")</f>
        <v/>
      </c>
      <c r="AX187" s="50" t="str">
        <f aca="false">IFERROR(IF(AND(AO187&gt;0,Q187&gt;0),ROUND(Q187*1000/(AO187*1),0),""),"")</f>
        <v/>
      </c>
      <c r="AY187" s="51" t="n">
        <f aca="false">IFERROR(ifs(I187="Tier S",0.65,I187="Tier 1",0.55,I187="Tier 2",0.45,I187="Tier 3",0.35,I187="Tier 4",0.25),0.35)</f>
        <v>0.35</v>
      </c>
      <c r="AZ187" s="52" t="n">
        <v>1</v>
      </c>
      <c r="BA187" s="52" t="n">
        <v>1</v>
      </c>
      <c r="BB187" s="52" t="n">
        <v>1</v>
      </c>
      <c r="BC187" s="53" t="n">
        <f aca="false">IFERROR(ROUND(S187*AY187*BA187*BB187*AZ187,0),0)</f>
        <v>0</v>
      </c>
      <c r="BD187" s="39" t="str">
        <f aca="false">IF(COUNT(AM187,AN187,AO187,AP187,AQ187,AR187,AS187)&gt;0,"estimated","pending")</f>
        <v>pending</v>
      </c>
      <c r="BE187" s="50"/>
    </row>
    <row r="188" customFormat="false" ht="15" hidden="false" customHeight="true" outlineLevel="0" collapsed="false">
      <c r="B188" s="54" t="n">
        <f aca="false">IF($C188="","",COUNTA($C$6:C188))</f>
        <v>183</v>
      </c>
      <c r="C188" s="54" t="s">
        <v>456</v>
      </c>
      <c r="D188" s="54" t="s">
        <v>208</v>
      </c>
      <c r="E188" s="54" t="s">
        <v>447</v>
      </c>
      <c r="F188" s="54" t="s">
        <v>447</v>
      </c>
      <c r="G188" s="54" t="s">
        <v>1425</v>
      </c>
      <c r="H188" s="54" t="n">
        <v>2</v>
      </c>
      <c r="I188" s="55" t="s">
        <v>269</v>
      </c>
      <c r="J188" s="56" t="n">
        <v>11000</v>
      </c>
      <c r="K188" s="56" t="n">
        <v>4600</v>
      </c>
      <c r="L188" s="57" t="n">
        <f aca="false">IF(J188="","",ROUND(J188*0.17,0))</f>
        <v>1870</v>
      </c>
      <c r="M188" s="56" t="n">
        <v>8600</v>
      </c>
      <c r="N188" s="56" t="n">
        <v>3500</v>
      </c>
      <c r="O188" s="56" t="n">
        <v>2200</v>
      </c>
      <c r="P188" s="56" t="n">
        <v>2200</v>
      </c>
      <c r="Q188" s="56" t="n">
        <v>15950</v>
      </c>
      <c r="R188" s="56" t="n">
        <v>7150</v>
      </c>
      <c r="S188" s="57" t="n">
        <f aca="false">IF(J188="","",ROUND(J188*2.2,0))</f>
        <v>24200</v>
      </c>
      <c r="T188" s="56" t="n">
        <v>3850</v>
      </c>
      <c r="U188" s="56" t="n">
        <v>3300</v>
      </c>
      <c r="V188" s="56" t="n">
        <v>2000</v>
      </c>
      <c r="W188" s="56" t="n">
        <v>2400</v>
      </c>
      <c r="X188" s="54" t="s">
        <v>1428</v>
      </c>
      <c r="Y188" s="49" t="n">
        <v>0.15</v>
      </c>
      <c r="Z188" s="49" t="n">
        <v>1</v>
      </c>
      <c r="AA188" s="50" t="s">
        <v>457</v>
      </c>
      <c r="AB188" s="50" t="s">
        <v>458</v>
      </c>
      <c r="AC188" s="50" t="s">
        <v>1870</v>
      </c>
      <c r="AD188" s="50" t="s">
        <v>462</v>
      </c>
      <c r="AE188" s="50" t="s">
        <v>1871</v>
      </c>
      <c r="AF188" s="50"/>
      <c r="AG188" s="50"/>
      <c r="AH188" s="50"/>
      <c r="AI188" s="50"/>
      <c r="AJ188" s="50"/>
      <c r="AK188" s="50" t="s">
        <v>1872</v>
      </c>
      <c r="AL188" s="50"/>
      <c r="AM188" s="50"/>
      <c r="AN188" s="50"/>
      <c r="AO188" s="50"/>
      <c r="AP188" s="50"/>
      <c r="AQ188" s="50"/>
      <c r="AR188" s="50"/>
      <c r="AS188" s="50"/>
      <c r="AT188" s="50" t="str">
        <f aca="false">IFERROR(IF(AND(AN188&gt;0,J188&gt;0),ROUND(J188*1000/(AN188*0.2),0),""),"")</f>
        <v/>
      </c>
      <c r="AU188" s="50" t="str">
        <f aca="false">IFERROR(IF(AND(AQ188&gt;0,M188&gt;0),ROUND(M188*1000/(AQ188*0.3),0),""),"")</f>
        <v/>
      </c>
      <c r="AV188" s="50" t="str">
        <f aca="false">IFERROR(IF(AND(AM188&gt;0,O188&gt;0),ROUND(O188*1000/(AM188*0.1),0),""),"")</f>
        <v/>
      </c>
      <c r="AW188" s="50" t="str">
        <f aca="false">IFERROR(IF(AND(AP188&gt;0,N188&gt;0),ROUND(N188*1000/(AP188*0.25),0),""),"")</f>
        <v/>
      </c>
      <c r="AX188" s="50" t="str">
        <f aca="false">IFERROR(IF(AND(AO188&gt;0,Q188&gt;0),ROUND(Q188*1000/(AO188*1),0),""),"")</f>
        <v/>
      </c>
      <c r="AY188" s="51" t="n">
        <f aca="false">IFERROR(ifs(I188="Tier S",0.65,I188="Tier 1",0.55,I188="Tier 2",0.45,I188="Tier 3",0.35,I188="Tier 4",0.25),0.35)</f>
        <v>0.35</v>
      </c>
      <c r="AZ188" s="52" t="n">
        <v>1</v>
      </c>
      <c r="BA188" s="52" t="n">
        <v>1</v>
      </c>
      <c r="BB188" s="52" t="n">
        <v>1</v>
      </c>
      <c r="BC188" s="53" t="n">
        <f aca="false">IFERROR(ROUND(S188*AY188*BA188*BB188*AZ188,0),0)</f>
        <v>8470</v>
      </c>
      <c r="BD188" s="39" t="str">
        <f aca="false">IF(COUNT(AM188,AN188,AO188,AP188,AQ188,AR188,AS188)&gt;0,"estimated","pending")</f>
        <v>pending</v>
      </c>
      <c r="BE188" s="50"/>
    </row>
    <row r="189" customFormat="false" ht="15" hidden="false" customHeight="true" outlineLevel="0" collapsed="false">
      <c r="B189" s="66" t="n">
        <f aca="false">IF($C189="","",COUNTA($C$6:C189))</f>
        <v>184</v>
      </c>
      <c r="C189" s="66" t="s">
        <v>1873</v>
      </c>
      <c r="D189" s="66" t="s">
        <v>1533</v>
      </c>
      <c r="E189" s="66" t="s">
        <v>447</v>
      </c>
      <c r="F189" s="66" t="s">
        <v>447</v>
      </c>
      <c r="G189" s="66" t="s">
        <v>1874</v>
      </c>
      <c r="H189" s="66" t="n">
        <v>4</v>
      </c>
      <c r="I189" s="67" t="s">
        <v>269</v>
      </c>
      <c r="J189" s="68" t="n">
        <v>20700</v>
      </c>
      <c r="K189" s="68" t="n">
        <v>8700</v>
      </c>
      <c r="L189" s="69" t="n">
        <f aca="false">IF(J189="","",ROUND(J189*0.17,0))</f>
        <v>3519</v>
      </c>
      <c r="M189" s="68" t="n">
        <v>16150</v>
      </c>
      <c r="N189" s="68" t="n">
        <v>6600</v>
      </c>
      <c r="O189" s="68" t="n">
        <v>4150</v>
      </c>
      <c r="P189" s="68" t="n">
        <v>0</v>
      </c>
      <c r="Q189" s="68" t="n">
        <v>30000</v>
      </c>
      <c r="R189" s="68" t="n">
        <v>13450</v>
      </c>
      <c r="S189" s="69" t="n">
        <f aca="false">IF(J189="","",ROUND(J189*2.2,0))</f>
        <v>45540</v>
      </c>
      <c r="T189" s="68" t="n">
        <v>7250</v>
      </c>
      <c r="U189" s="68" t="n">
        <v>6200</v>
      </c>
      <c r="V189" s="68" t="n">
        <v>3750</v>
      </c>
      <c r="W189" s="68" t="n">
        <v>0</v>
      </c>
      <c r="X189" s="66" t="s">
        <v>1369</v>
      </c>
      <c r="Y189" s="49" t="n">
        <v>0.3</v>
      </c>
      <c r="Z189" s="49" t="n">
        <v>1</v>
      </c>
      <c r="AA189" s="50" t="s">
        <v>1875</v>
      </c>
      <c r="AB189" s="50" t="s">
        <v>1876</v>
      </c>
      <c r="AC189" s="50"/>
      <c r="AD189" s="50" t="s">
        <v>1877</v>
      </c>
      <c r="AE189" s="50" t="s">
        <v>1878</v>
      </c>
      <c r="AF189" s="50" t="s">
        <v>1879</v>
      </c>
      <c r="AG189" s="50"/>
      <c r="AH189" s="50"/>
      <c r="AI189" s="50"/>
      <c r="AJ189" s="50"/>
      <c r="AK189" s="50" t="s">
        <v>1880</v>
      </c>
      <c r="AL189" s="50"/>
      <c r="AM189" s="50"/>
      <c r="AN189" s="50"/>
      <c r="AO189" s="50"/>
      <c r="AP189" s="50"/>
      <c r="AQ189" s="50"/>
      <c r="AR189" s="50"/>
      <c r="AS189" s="50"/>
      <c r="AT189" s="50" t="str">
        <f aca="false">IFERROR(IF(AND(AN189&gt;0,J189&gt;0),ROUND(J189*1000/(AN189*0.2),0),""),"")</f>
        <v/>
      </c>
      <c r="AU189" s="50" t="str">
        <f aca="false">IFERROR(IF(AND(AQ189&gt;0,M189&gt;0),ROUND(M189*1000/(AQ189*0.3),0),""),"")</f>
        <v/>
      </c>
      <c r="AV189" s="50" t="str">
        <f aca="false">IFERROR(IF(AND(AM189&gt;0,O189&gt;0),ROUND(O189*1000/(AM189*0.1),0),""),"")</f>
        <v/>
      </c>
      <c r="AW189" s="50" t="str">
        <f aca="false">IFERROR(IF(AND(AP189&gt;0,N189&gt;0),ROUND(N189*1000/(AP189*0.25),0),""),"")</f>
        <v/>
      </c>
      <c r="AX189" s="50" t="str">
        <f aca="false">IFERROR(IF(AND(AO189&gt;0,Q189&gt;0),ROUND(Q189*1000/(AO189*1),0),""),"")</f>
        <v/>
      </c>
      <c r="AY189" s="51" t="n">
        <f aca="false">IFERROR(ifs(I189="Tier S",0.65,I189="Tier 1",0.55,I189="Tier 2",0.45,I189="Tier 3",0.35,I189="Tier 4",0.25),0.35)</f>
        <v>0.35</v>
      </c>
      <c r="AZ189" s="52" t="n">
        <v>1</v>
      </c>
      <c r="BA189" s="52" t="n">
        <v>1</v>
      </c>
      <c r="BB189" s="52" t="n">
        <v>1</v>
      </c>
      <c r="BC189" s="53" t="n">
        <f aca="false">IFERROR(ROUND(S189*AY189*BA189*BB189*AZ189,0),0)</f>
        <v>15939</v>
      </c>
      <c r="BD189" s="39" t="str">
        <f aca="false">IF(COUNT(AM189,AN189,AO189,AP189,AQ189,AR189,AS189)&gt;0,"estimated","pending")</f>
        <v>pending</v>
      </c>
      <c r="BE189" s="50"/>
    </row>
    <row r="190" customFormat="false" ht="15" hidden="false" customHeight="true" outlineLevel="0" collapsed="false">
      <c r="B190" s="54" t="n">
        <f aca="false">IF($C190="","",COUNTA($C$6:C190))</f>
        <v>185</v>
      </c>
      <c r="C190" s="54" t="s">
        <v>466</v>
      </c>
      <c r="D190" s="54" t="s">
        <v>208</v>
      </c>
      <c r="E190" s="54" t="s">
        <v>447</v>
      </c>
      <c r="F190" s="54" t="s">
        <v>447</v>
      </c>
      <c r="G190" s="54" t="s">
        <v>1732</v>
      </c>
      <c r="H190" s="54" t="n">
        <v>2</v>
      </c>
      <c r="I190" s="55" t="s">
        <v>337</v>
      </c>
      <c r="J190" s="56" t="n">
        <v>11250</v>
      </c>
      <c r="K190" s="56" t="n">
        <v>4500</v>
      </c>
      <c r="L190" s="57" t="n">
        <f aca="false">IF(J190="","",ROUND(J190*0.17,0))</f>
        <v>1913</v>
      </c>
      <c r="M190" s="56" t="n">
        <v>8000</v>
      </c>
      <c r="N190" s="56" t="n">
        <v>3500</v>
      </c>
      <c r="O190" s="56" t="n">
        <v>2000</v>
      </c>
      <c r="P190" s="56" t="n">
        <v>2000</v>
      </c>
      <c r="Q190" s="56" t="n">
        <v>13500</v>
      </c>
      <c r="R190" s="56" t="n">
        <v>6075</v>
      </c>
      <c r="S190" s="57" t="n">
        <f aca="false">IF(J190="","",ROUND(J190*2.2,0))</f>
        <v>24750</v>
      </c>
      <c r="T190" s="56" t="n">
        <v>4638</v>
      </c>
      <c r="U190" s="56" t="n">
        <v>4063</v>
      </c>
      <c r="V190" s="56" t="n">
        <v>2438</v>
      </c>
      <c r="W190" s="56" t="n">
        <v>2400</v>
      </c>
      <c r="X190" s="54" t="s">
        <v>1428</v>
      </c>
      <c r="Y190" s="49" t="n">
        <v>0.75</v>
      </c>
      <c r="Z190" s="49" t="n">
        <v>1</v>
      </c>
      <c r="AA190" s="50" t="s">
        <v>467</v>
      </c>
      <c r="AB190" s="50" t="s">
        <v>468</v>
      </c>
      <c r="AC190" s="50" t="s">
        <v>1881</v>
      </c>
      <c r="AD190" s="50" t="s">
        <v>471</v>
      </c>
      <c r="AE190" s="50"/>
      <c r="AF190" s="50"/>
      <c r="AG190" s="50"/>
      <c r="AH190" s="50"/>
      <c r="AI190" s="50"/>
      <c r="AJ190" s="50"/>
      <c r="AK190" s="50" t="s">
        <v>1882</v>
      </c>
      <c r="AL190" s="50"/>
      <c r="AM190" s="50"/>
      <c r="AN190" s="50"/>
      <c r="AO190" s="50"/>
      <c r="AP190" s="50"/>
      <c r="AQ190" s="50"/>
      <c r="AR190" s="50"/>
      <c r="AS190" s="50"/>
      <c r="AT190" s="50" t="str">
        <f aca="false">IFERROR(IF(AND(AN190&gt;0,J190&gt;0),ROUND(J190*1000/(AN190*0.2),0),""),"")</f>
        <v/>
      </c>
      <c r="AU190" s="50" t="str">
        <f aca="false">IFERROR(IF(AND(AQ190&gt;0,M190&gt;0),ROUND(M190*1000/(AQ190*0.3),0),""),"")</f>
        <v/>
      </c>
      <c r="AV190" s="50" t="str">
        <f aca="false">IFERROR(IF(AND(AM190&gt;0,O190&gt;0),ROUND(O190*1000/(AM190*0.1),0),""),"")</f>
        <v/>
      </c>
      <c r="AW190" s="50" t="str">
        <f aca="false">IFERROR(IF(AND(AP190&gt;0,N190&gt;0),ROUND(N190*1000/(AP190*0.25),0),""),"")</f>
        <v/>
      </c>
      <c r="AX190" s="50" t="str">
        <f aca="false">IFERROR(IF(AND(AO190&gt;0,Q190&gt;0),ROUND(Q190*1000/(AO190*1),0),""),"")</f>
        <v/>
      </c>
      <c r="AY190" s="51" t="n">
        <f aca="false">IFERROR(ifs(I190="Tier S",0.65,I190="Tier 1",0.55,I190="Tier 2",0.45,I190="Tier 3",0.35,I190="Tier 4",0.25),0.35)</f>
        <v>0.35</v>
      </c>
      <c r="AZ190" s="52" t="n">
        <v>1</v>
      </c>
      <c r="BA190" s="52" t="n">
        <v>1</v>
      </c>
      <c r="BB190" s="52" t="n">
        <v>1</v>
      </c>
      <c r="BC190" s="53" t="n">
        <f aca="false">IFERROR(ROUND(S190*AY190*BA190*BB190*AZ190,0),0)</f>
        <v>8663</v>
      </c>
      <c r="BD190" s="39" t="str">
        <f aca="false">IF(COUNT(AM190,AN190,AO190,AP190,AQ190,AR190,AS190)&gt;0,"estimated","pending")</f>
        <v>pending</v>
      </c>
      <c r="BE190" s="50"/>
    </row>
    <row r="191" customFormat="false" ht="15" hidden="false" customHeight="true" outlineLevel="0" collapsed="false">
      <c r="B191" s="62" t="n">
        <f aca="false">IF($C191="","",COUNTA($C$6:C191))</f>
        <v>186</v>
      </c>
      <c r="C191" s="62" t="s">
        <v>1883</v>
      </c>
      <c r="D191" s="62" t="s">
        <v>1478</v>
      </c>
      <c r="E191" s="62" t="s">
        <v>472</v>
      </c>
      <c r="F191" s="62" t="s">
        <v>473</v>
      </c>
      <c r="G191" s="62" t="s">
        <v>1425</v>
      </c>
      <c r="H191" s="62" t="n">
        <v>3</v>
      </c>
      <c r="I191" s="63" t="s">
        <v>337</v>
      </c>
      <c r="J191" s="64" t="n">
        <v>5700</v>
      </c>
      <c r="K191" s="64" t="n">
        <v>2400</v>
      </c>
      <c r="L191" s="65" t="n">
        <f aca="false">IF(J191="","",ROUND(J191*0.17,0))</f>
        <v>969</v>
      </c>
      <c r="M191" s="64" t="n">
        <v>4450</v>
      </c>
      <c r="N191" s="64" t="n">
        <v>1850</v>
      </c>
      <c r="O191" s="64" t="n">
        <v>1150</v>
      </c>
      <c r="P191" s="64" t="n">
        <v>0</v>
      </c>
      <c r="Q191" s="64" t="n">
        <v>8300</v>
      </c>
      <c r="R191" s="64" t="n">
        <v>3700</v>
      </c>
      <c r="S191" s="65" t="n">
        <f aca="false">IF(J191="","",ROUND(J191*2.2,0))</f>
        <v>12540</v>
      </c>
      <c r="T191" s="64" t="n">
        <v>2000</v>
      </c>
      <c r="U191" s="64" t="n">
        <v>1700</v>
      </c>
      <c r="V191" s="64" t="n">
        <v>1050</v>
      </c>
      <c r="W191" s="64" t="n">
        <v>0</v>
      </c>
      <c r="X191" s="62" t="s">
        <v>1383</v>
      </c>
      <c r="Y191" s="49" t="n">
        <v>0.3</v>
      </c>
      <c r="Z191" s="49" t="n">
        <v>1</v>
      </c>
      <c r="AA191" s="50" t="s">
        <v>1884</v>
      </c>
      <c r="AB191" s="50" t="s">
        <v>1885</v>
      </c>
      <c r="AC191" s="50" t="s">
        <v>1886</v>
      </c>
      <c r="AD191" s="50" t="s">
        <v>1887</v>
      </c>
      <c r="AE191" s="50"/>
      <c r="AF191" s="50"/>
      <c r="AG191" s="50"/>
      <c r="AH191" s="50"/>
      <c r="AI191" s="50"/>
      <c r="AJ191" s="50"/>
      <c r="AK191" s="50" t="s">
        <v>1888</v>
      </c>
      <c r="AL191" s="50" t="s">
        <v>1889</v>
      </c>
      <c r="AM191" s="50"/>
      <c r="AN191" s="50"/>
      <c r="AO191" s="50"/>
      <c r="AP191" s="50"/>
      <c r="AQ191" s="50"/>
      <c r="AR191" s="50"/>
      <c r="AS191" s="50"/>
      <c r="AT191" s="50" t="str">
        <f aca="false">IFERROR(IF(AND(AN191&gt;0,J191&gt;0),ROUND(J191*1000/(AN191*0.2),0),""),"")</f>
        <v/>
      </c>
      <c r="AU191" s="50" t="str">
        <f aca="false">IFERROR(IF(AND(AQ191&gt;0,M191&gt;0),ROUND(M191*1000/(AQ191*0.3),0),""),"")</f>
        <v/>
      </c>
      <c r="AV191" s="50" t="str">
        <f aca="false">IFERROR(IF(AND(AM191&gt;0,O191&gt;0),ROUND(O191*1000/(AM191*0.1),0),""),"")</f>
        <v/>
      </c>
      <c r="AW191" s="50" t="str">
        <f aca="false">IFERROR(IF(AND(AP191&gt;0,N191&gt;0),ROUND(N191*1000/(AP191*0.25),0),""),"")</f>
        <v/>
      </c>
      <c r="AX191" s="50" t="str">
        <f aca="false">IFERROR(IF(AND(AO191&gt;0,Q191&gt;0),ROUND(Q191*1000/(AO191*1),0),""),"")</f>
        <v/>
      </c>
      <c r="AY191" s="51" t="n">
        <f aca="false">IFERROR(ifs(I191="Tier S",0.65,I191="Tier 1",0.55,I191="Tier 2",0.45,I191="Tier 3",0.35,I191="Tier 4",0.25),0.35)</f>
        <v>0.35</v>
      </c>
      <c r="AZ191" s="52" t="n">
        <v>1</v>
      </c>
      <c r="BA191" s="52" t="n">
        <v>1</v>
      </c>
      <c r="BB191" s="52" t="n">
        <v>1</v>
      </c>
      <c r="BC191" s="53" t="n">
        <f aca="false">IFERROR(ROUND(S191*AY191*BA191*BB191*AZ191,0),0)</f>
        <v>4389</v>
      </c>
      <c r="BD191" s="39" t="str">
        <f aca="false">IF(COUNT(AM191,AN191,AO191,AP191,AQ191,AR191,AS191)&gt;0,"estimated","pending")</f>
        <v>pending</v>
      </c>
      <c r="BE191" s="50"/>
    </row>
    <row r="192" customFormat="false" ht="15" hidden="false" customHeight="true" outlineLevel="0" collapsed="false">
      <c r="B192" s="54" t="n">
        <f aca="false">IF($C192="","",COUNTA($C$6:C192))</f>
        <v>187</v>
      </c>
      <c r="C192" s="54" t="s">
        <v>448</v>
      </c>
      <c r="D192" s="54" t="s">
        <v>208</v>
      </c>
      <c r="E192" s="54" t="s">
        <v>447</v>
      </c>
      <c r="F192" s="54" t="s">
        <v>447</v>
      </c>
      <c r="G192" s="54" t="s">
        <v>1425</v>
      </c>
      <c r="H192" s="54" t="n">
        <v>2</v>
      </c>
      <c r="I192" s="55" t="s">
        <v>337</v>
      </c>
      <c r="J192" s="56" t="n">
        <v>5700</v>
      </c>
      <c r="K192" s="56" t="n">
        <v>8500</v>
      </c>
      <c r="L192" s="57" t="n">
        <f aca="false">IF(J192="","",ROUND(J192*0.17,0))</f>
        <v>969</v>
      </c>
      <c r="M192" s="56" t="n">
        <v>3500</v>
      </c>
      <c r="N192" s="56" t="n">
        <v>2100</v>
      </c>
      <c r="O192" s="56" t="n">
        <v>13500</v>
      </c>
      <c r="P192" s="56" t="n">
        <v>13500</v>
      </c>
      <c r="Q192" s="56" t="n">
        <v>6300</v>
      </c>
      <c r="R192" s="56" t="n">
        <v>3700</v>
      </c>
      <c r="S192" s="57" t="n">
        <f aca="false">IF(J192="","",ROUND(J192*2.2,0))</f>
        <v>12540</v>
      </c>
      <c r="T192" s="56" t="n">
        <v>18000</v>
      </c>
      <c r="U192" s="56" t="n">
        <v>1710</v>
      </c>
      <c r="V192" s="56" t="n">
        <v>3420</v>
      </c>
      <c r="W192" s="56" t="n">
        <v>1282</v>
      </c>
      <c r="X192" s="54"/>
      <c r="Y192" s="49" t="n">
        <v>0.75</v>
      </c>
      <c r="Z192" s="49" t="n">
        <v>1</v>
      </c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 t="str">
        <f aca="false">IFERROR(IF(AND(AN192&gt;0,J192&gt;0),ROUND(J192*1000/(AN192*0.2),0),""),"")</f>
        <v/>
      </c>
      <c r="AU192" s="50" t="str">
        <f aca="false">IFERROR(IF(AND(AQ192&gt;0,M192&gt;0),ROUND(M192*1000/(AQ192*0.3),0),""),"")</f>
        <v/>
      </c>
      <c r="AV192" s="50" t="str">
        <f aca="false">IFERROR(IF(AND(AM192&gt;0,O192&gt;0),ROUND(O192*1000/(AM192*0.1),0),""),"")</f>
        <v/>
      </c>
      <c r="AW192" s="50" t="str">
        <f aca="false">IFERROR(IF(AND(AP192&gt;0,N192&gt;0),ROUND(N192*1000/(AP192*0.25),0),""),"")</f>
        <v/>
      </c>
      <c r="AX192" s="50" t="str">
        <f aca="false">IFERROR(IF(AND(AO192&gt;0,Q192&gt;0),ROUND(Q192*1000/(AO192*1),0),""),"")</f>
        <v/>
      </c>
      <c r="AY192" s="51" t="n">
        <f aca="false">IFERROR(ifs(I192="Tier S",0.65,I192="Tier 1",0.55,I192="Tier 2",0.45,I192="Tier 3",0.35,I192="Tier 4",0.25),0.35)</f>
        <v>0.35</v>
      </c>
      <c r="AZ192" s="52" t="n">
        <v>1</v>
      </c>
      <c r="BA192" s="52" t="n">
        <v>1</v>
      </c>
      <c r="BB192" s="52" t="n">
        <v>1</v>
      </c>
      <c r="BC192" s="53" t="n">
        <f aca="false">IFERROR(ROUND(S192*AY192*BA192*BB192*AZ192,0),0)</f>
        <v>4389</v>
      </c>
      <c r="BD192" s="39" t="str">
        <f aca="false">IF(COUNT(AM192,AN192,AO192,AP192,AQ192,AR192,AS192)&gt;0,"estimated","pending")</f>
        <v>pending</v>
      </c>
      <c r="BE192" s="50"/>
    </row>
    <row r="193" customFormat="false" ht="15" hidden="false" customHeight="true" outlineLevel="0" collapsed="false">
      <c r="B193" s="62" t="n">
        <f aca="false">IF($C193="","",COUNTA($C$6:C193))</f>
        <v>188</v>
      </c>
      <c r="C193" s="62" t="s">
        <v>1890</v>
      </c>
      <c r="D193" s="62" t="s">
        <v>1472</v>
      </c>
      <c r="E193" s="62" t="s">
        <v>472</v>
      </c>
      <c r="F193" s="62" t="s">
        <v>473</v>
      </c>
      <c r="G193" s="62" t="s">
        <v>1356</v>
      </c>
      <c r="H193" s="62" t="n">
        <v>1</v>
      </c>
      <c r="I193" s="63" t="s">
        <v>337</v>
      </c>
      <c r="J193" s="64" t="n">
        <v>0</v>
      </c>
      <c r="K193" s="64" t="n">
        <v>0</v>
      </c>
      <c r="L193" s="65" t="n">
        <f aca="false">IF(J193="","",ROUND(J193*0.17,0))</f>
        <v>0</v>
      </c>
      <c r="M193" s="64" t="n">
        <v>0</v>
      </c>
      <c r="N193" s="64" t="n">
        <v>0</v>
      </c>
      <c r="O193" s="64" t="n">
        <v>0</v>
      </c>
      <c r="P193" s="64" t="n">
        <v>0</v>
      </c>
      <c r="Q193" s="64" t="n">
        <v>0</v>
      </c>
      <c r="R193" s="64" t="n">
        <v>0</v>
      </c>
      <c r="S193" s="65" t="n">
        <f aca="false">IF(J193="","",ROUND(J193*2.2,0))</f>
        <v>0</v>
      </c>
      <c r="T193" s="64" t="n">
        <v>0</v>
      </c>
      <c r="U193" s="64" t="n">
        <v>0</v>
      </c>
      <c r="V193" s="64" t="n">
        <v>1200</v>
      </c>
      <c r="W193" s="64" t="n">
        <v>0</v>
      </c>
      <c r="X193" s="62" t="s">
        <v>1434</v>
      </c>
      <c r="Y193" s="49" t="n">
        <v>0.3</v>
      </c>
      <c r="Z193" s="49" t="n">
        <v>1</v>
      </c>
      <c r="AA193" s="50" t="s">
        <v>1891</v>
      </c>
      <c r="AB193" s="50" t="s">
        <v>1892</v>
      </c>
      <c r="AC193" s="50"/>
      <c r="AD193" s="50"/>
      <c r="AE193" s="50"/>
      <c r="AF193" s="50"/>
      <c r="AG193" s="50"/>
      <c r="AH193" s="50"/>
      <c r="AI193" s="50"/>
      <c r="AJ193" s="50"/>
      <c r="AK193" s="50" t="s">
        <v>1893</v>
      </c>
      <c r="AL193" s="50" t="s">
        <v>1894</v>
      </c>
      <c r="AM193" s="50"/>
      <c r="AN193" s="50"/>
      <c r="AO193" s="50"/>
      <c r="AP193" s="50"/>
      <c r="AQ193" s="50"/>
      <c r="AR193" s="50"/>
      <c r="AS193" s="50"/>
      <c r="AT193" s="50" t="str">
        <f aca="false">IFERROR(IF(AND(AN193&gt;0,J193&gt;0),ROUND(J193*1000/(AN193*0.2),0),""),"")</f>
        <v/>
      </c>
      <c r="AU193" s="50" t="str">
        <f aca="false">IFERROR(IF(AND(AQ193&gt;0,M193&gt;0),ROUND(M193*1000/(AQ193*0.3),0),""),"")</f>
        <v/>
      </c>
      <c r="AV193" s="50" t="str">
        <f aca="false">IFERROR(IF(AND(AM193&gt;0,O193&gt;0),ROUND(O193*1000/(AM193*0.1),0),""),"")</f>
        <v/>
      </c>
      <c r="AW193" s="50" t="str">
        <f aca="false">IFERROR(IF(AND(AP193&gt;0,N193&gt;0),ROUND(N193*1000/(AP193*0.25),0),""),"")</f>
        <v/>
      </c>
      <c r="AX193" s="50" t="str">
        <f aca="false">IFERROR(IF(AND(AO193&gt;0,Q193&gt;0),ROUND(Q193*1000/(AO193*1),0),""),"")</f>
        <v/>
      </c>
      <c r="AY193" s="51" t="n">
        <f aca="false">IFERROR(ifs(I193="Tier S",0.65,I193="Tier 1",0.55,I193="Tier 2",0.45,I193="Tier 3",0.35,I193="Tier 4",0.25),0.35)</f>
        <v>0.35</v>
      </c>
      <c r="AZ193" s="52" t="n">
        <v>1</v>
      </c>
      <c r="BA193" s="52" t="n">
        <v>1</v>
      </c>
      <c r="BB193" s="52" t="n">
        <v>1</v>
      </c>
      <c r="BC193" s="53" t="n">
        <f aca="false">IFERROR(ROUND(S193*AY193*BA193*BB193*AZ193,0),0)</f>
        <v>0</v>
      </c>
      <c r="BD193" s="39" t="str">
        <f aca="false">IF(COUNT(AM193,AN193,AO193,AP193,AQ193,AR193,AS193)&gt;0,"estimated","pending")</f>
        <v>pending</v>
      </c>
      <c r="BE193" s="50"/>
    </row>
    <row r="194" customFormat="false" ht="15" hidden="false" customHeight="true" outlineLevel="0" collapsed="false">
      <c r="B194" s="66" t="n">
        <f aca="false">IF($C194="","",COUNTA($C$6:C194))</f>
        <v>189</v>
      </c>
      <c r="C194" s="66" t="s">
        <v>1895</v>
      </c>
      <c r="D194" s="66" t="s">
        <v>1533</v>
      </c>
      <c r="E194" s="66" t="s">
        <v>472</v>
      </c>
      <c r="F194" s="66" t="s">
        <v>473</v>
      </c>
      <c r="G194" s="66" t="s">
        <v>1896</v>
      </c>
      <c r="H194" s="66" t="n">
        <v>1</v>
      </c>
      <c r="I194" s="67" t="s">
        <v>337</v>
      </c>
      <c r="J194" s="68" t="n">
        <v>0</v>
      </c>
      <c r="K194" s="68" t="n">
        <v>0</v>
      </c>
      <c r="L194" s="69" t="n">
        <f aca="false">IF(J194="","",ROUND(J194*0.17,0))</f>
        <v>0</v>
      </c>
      <c r="M194" s="68" t="n">
        <v>0</v>
      </c>
      <c r="N194" s="68" t="n">
        <v>0</v>
      </c>
      <c r="O194" s="68" t="n">
        <v>0</v>
      </c>
      <c r="P194" s="68" t="n">
        <v>0</v>
      </c>
      <c r="Q194" s="68" t="n">
        <v>0</v>
      </c>
      <c r="R194" s="68" t="n">
        <v>0</v>
      </c>
      <c r="S194" s="69" t="n">
        <f aca="false">IF(J194="","",ROUND(J194*2.2,0))</f>
        <v>0</v>
      </c>
      <c r="T194" s="68" t="n">
        <v>0</v>
      </c>
      <c r="U194" s="68" t="n">
        <v>0</v>
      </c>
      <c r="V194" s="68" t="n">
        <v>1200</v>
      </c>
      <c r="W194" s="68" t="n">
        <v>0</v>
      </c>
      <c r="X194" s="66" t="s">
        <v>1434</v>
      </c>
      <c r="Y194" s="49" t="n">
        <v>0.3</v>
      </c>
      <c r="Z194" s="49" t="n">
        <v>1</v>
      </c>
      <c r="AA194" s="50" t="s">
        <v>1897</v>
      </c>
      <c r="AB194" s="50" t="s">
        <v>1898</v>
      </c>
      <c r="AC194" s="50"/>
      <c r="AD194" s="50"/>
      <c r="AE194" s="50"/>
      <c r="AF194" s="50"/>
      <c r="AG194" s="50"/>
      <c r="AH194" s="50"/>
      <c r="AI194" s="50"/>
      <c r="AJ194" s="50"/>
      <c r="AK194" s="50" t="s">
        <v>1899</v>
      </c>
      <c r="AL194" s="50"/>
      <c r="AM194" s="50"/>
      <c r="AN194" s="50"/>
      <c r="AO194" s="50"/>
      <c r="AP194" s="50"/>
      <c r="AQ194" s="50"/>
      <c r="AR194" s="50"/>
      <c r="AS194" s="50"/>
      <c r="AT194" s="50" t="str">
        <f aca="false">IFERROR(IF(AND(AN194&gt;0,J194&gt;0),ROUND(J194*1000/(AN194*0.2),0),""),"")</f>
        <v/>
      </c>
      <c r="AU194" s="50" t="str">
        <f aca="false">IFERROR(IF(AND(AQ194&gt;0,M194&gt;0),ROUND(M194*1000/(AQ194*0.3),0),""),"")</f>
        <v/>
      </c>
      <c r="AV194" s="50" t="str">
        <f aca="false">IFERROR(IF(AND(AM194&gt;0,O194&gt;0),ROUND(O194*1000/(AM194*0.1),0),""),"")</f>
        <v/>
      </c>
      <c r="AW194" s="50" t="str">
        <f aca="false">IFERROR(IF(AND(AP194&gt;0,N194&gt;0),ROUND(N194*1000/(AP194*0.25),0),""),"")</f>
        <v/>
      </c>
      <c r="AX194" s="50" t="str">
        <f aca="false">IFERROR(IF(AND(AO194&gt;0,Q194&gt;0),ROUND(Q194*1000/(AO194*1),0),""),"")</f>
        <v/>
      </c>
      <c r="AY194" s="51" t="n">
        <f aca="false">IFERROR(ifs(I194="Tier S",0.65,I194="Tier 1",0.55,I194="Tier 2",0.45,I194="Tier 3",0.35,I194="Tier 4",0.25),0.35)</f>
        <v>0.35</v>
      </c>
      <c r="AZ194" s="52" t="n">
        <v>1</v>
      </c>
      <c r="BA194" s="52" t="n">
        <v>1</v>
      </c>
      <c r="BB194" s="52" t="n">
        <v>1</v>
      </c>
      <c r="BC194" s="53" t="n">
        <f aca="false">IFERROR(ROUND(S194*AY194*BA194*BB194*AZ194,0),0)</f>
        <v>0</v>
      </c>
      <c r="BD194" s="39" t="str">
        <f aca="false">IF(COUNT(AM194,AN194,AO194,AP194,AQ194,AR194,AS194)&gt;0,"estimated","pending")</f>
        <v>pending</v>
      </c>
      <c r="BE194" s="50"/>
    </row>
    <row r="196" customFormat="false" ht="3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B197" s="31" t="s">
        <v>132</v>
      </c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</row>
  </sheetData>
  <autoFilter ref="B5:BE194"/>
  <mergeCells count="11">
    <mergeCell ref="B2:T2"/>
    <mergeCell ref="B3:X3"/>
    <mergeCell ref="B4:I4"/>
    <mergeCell ref="J4:S4"/>
    <mergeCell ref="T4:W4"/>
    <mergeCell ref="X4:Z4"/>
    <mergeCell ref="AA4:AL4"/>
    <mergeCell ref="AM4:AS4"/>
    <mergeCell ref="AT4:AX4"/>
    <mergeCell ref="AY4:BE4"/>
    <mergeCell ref="B197:X197"/>
  </mergeCells>
  <conditionalFormatting sqref="BD6:BD194">
    <cfRule type="expression" priority="2" aboveAverage="0" equalAverage="0" bottom="0" percent="0" rank="0" text="" dxfId="11">
      <formula>BD6="pending"</formula>
    </cfRule>
    <cfRule type="expression" priority="3" aboveAverage="0" equalAverage="0" bottom="0" percent="0" rank="0" text="" dxfId="12">
      <formula>BD6="estimated"</formula>
    </cfRule>
    <cfRule type="expression" priority="4" aboveAverage="0" equalAverage="0" bottom="0" percent="0" rank="0" text="" dxfId="13">
      <formula>OR(BD6="exact",BD6="rounded")</formula>
    </cfRule>
  </conditionalFormatting>
  <dataValidations count="1">
    <dataValidation allowBlank="true" errorStyle="stop" operator="between" showDropDown="false" showErrorMessage="false" showInputMessage="false" sqref="I6:I194" type="list">
      <formula1>'02_Lookups'!$B$7:$B$11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21" min="4" style="1" width="15"/>
    <col collapsed="false" customWidth="true" hidden="false" outlineLevel="0" max="22" min="22" style="1" width="40"/>
    <col collapsed="false" customWidth="true" hidden="false" outlineLevel="0" max="38" min="23" style="1" width="15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27.75" hidden="false" customHeight="true" outlineLevel="0" collapsed="false">
      <c r="B2" s="23" t="s">
        <v>1900</v>
      </c>
      <c r="C2" s="23"/>
      <c r="D2" s="23"/>
      <c r="E2" s="23"/>
      <c r="F2" s="23"/>
      <c r="G2" s="23"/>
      <c r="H2" s="23"/>
      <c r="I2" s="23"/>
      <c r="J2" s="23"/>
      <c r="K2" s="41"/>
      <c r="L2" s="41"/>
      <c r="M2" s="41"/>
      <c r="N2" s="41"/>
      <c r="O2" s="41"/>
      <c r="P2" s="41"/>
      <c r="Q2" s="41"/>
      <c r="R2" s="41"/>
    </row>
    <row r="3" customFormat="false" ht="18" hidden="false" customHeight="true" outlineLevel="0" collapsed="false">
      <c r="B3" s="24" t="s">
        <v>1901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customFormat="false" ht="15" hidden="false" customHeight="true" outlineLevel="0" collapsed="false">
      <c r="B4" s="11" t="s">
        <v>1304</v>
      </c>
      <c r="C4" s="11"/>
      <c r="D4" s="11"/>
      <c r="E4" s="11"/>
      <c r="F4" s="11" t="s">
        <v>1902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1903</v>
      </c>
      <c r="V4" s="11"/>
      <c r="W4" s="11"/>
      <c r="X4" s="11"/>
      <c r="Y4" s="11"/>
      <c r="Z4" s="11" t="s">
        <v>453</v>
      </c>
      <c r="AA4" s="11"/>
      <c r="AB4" s="11"/>
      <c r="AC4" s="11"/>
      <c r="AD4" s="11"/>
      <c r="AE4" s="11"/>
      <c r="AF4" s="11" t="s">
        <v>1311</v>
      </c>
      <c r="AG4" s="11"/>
      <c r="AH4" s="11"/>
      <c r="AI4" s="11"/>
      <c r="AJ4" s="11"/>
      <c r="AK4" s="11"/>
      <c r="AL4" s="11"/>
    </row>
    <row r="5" customFormat="false" ht="33.75" hidden="false" customHeight="true" outlineLevel="0" collapsed="false">
      <c r="B5" s="26" t="s">
        <v>1312</v>
      </c>
      <c r="C5" s="26" t="s">
        <v>209</v>
      </c>
      <c r="D5" s="26" t="s">
        <v>1904</v>
      </c>
      <c r="E5" s="26" t="s">
        <v>137</v>
      </c>
      <c r="F5" s="26" t="s">
        <v>245</v>
      </c>
      <c r="G5" s="26" t="s">
        <v>246</v>
      </c>
      <c r="H5" s="26" t="s">
        <v>236</v>
      </c>
      <c r="I5" s="26" t="s">
        <v>234</v>
      </c>
      <c r="J5" s="26" t="s">
        <v>235</v>
      </c>
      <c r="K5" s="26" t="s">
        <v>242</v>
      </c>
      <c r="L5" s="26" t="s">
        <v>243</v>
      </c>
      <c r="M5" s="26" t="s">
        <v>241</v>
      </c>
      <c r="N5" s="26" t="s">
        <v>253</v>
      </c>
      <c r="O5" s="26" t="s">
        <v>238</v>
      </c>
      <c r="P5" s="26" t="s">
        <v>239</v>
      </c>
      <c r="Q5" s="26" t="s">
        <v>254</v>
      </c>
      <c r="R5" s="26" t="s">
        <v>250</v>
      </c>
      <c r="S5" s="26" t="s">
        <v>251</v>
      </c>
      <c r="T5" s="26" t="s">
        <v>252</v>
      </c>
      <c r="U5" s="26" t="s">
        <v>1905</v>
      </c>
      <c r="V5" s="26" t="s">
        <v>71</v>
      </c>
      <c r="W5" s="26" t="s">
        <v>1906</v>
      </c>
      <c r="X5" s="26" t="s">
        <v>1329</v>
      </c>
      <c r="Y5" s="26" t="s">
        <v>1907</v>
      </c>
      <c r="Z5" s="26" t="s">
        <v>1334</v>
      </c>
      <c r="AA5" s="26" t="s">
        <v>1335</v>
      </c>
      <c r="AB5" s="26" t="s">
        <v>1336</v>
      </c>
      <c r="AC5" s="26" t="s">
        <v>1337</v>
      </c>
      <c r="AD5" s="26" t="s">
        <v>1338</v>
      </c>
      <c r="AE5" s="26" t="s">
        <v>1339</v>
      </c>
      <c r="AF5" s="26" t="s">
        <v>1346</v>
      </c>
      <c r="AG5" s="26" t="s">
        <v>1347</v>
      </c>
      <c r="AH5" s="26" t="s">
        <v>1348</v>
      </c>
      <c r="AI5" s="26" t="s">
        <v>1349</v>
      </c>
      <c r="AJ5" s="26" t="s">
        <v>1350</v>
      </c>
      <c r="AK5" s="26" t="s">
        <v>1351</v>
      </c>
      <c r="AL5" s="26" t="s">
        <v>1352</v>
      </c>
    </row>
    <row r="6" customFormat="false" ht="15" hidden="false" customHeight="true" outlineLevel="0" collapsed="false">
      <c r="B6" s="50" t="n">
        <f aca="false">IF($C6="","",COUNTA($C$6:C6))</f>
        <v>1</v>
      </c>
      <c r="C6" s="50" t="s">
        <v>1908</v>
      </c>
      <c r="D6" s="50" t="n">
        <v>75659</v>
      </c>
      <c r="E6" s="50" t="s">
        <v>269</v>
      </c>
      <c r="F6" s="70" t="n">
        <v>37500</v>
      </c>
      <c r="G6" s="70" t="n">
        <v>18750</v>
      </c>
      <c r="H6" s="70" t="n">
        <v>60000</v>
      </c>
      <c r="I6" s="70" t="n">
        <v>41250</v>
      </c>
      <c r="J6" s="70" t="n">
        <v>56250</v>
      </c>
      <c r="K6" s="70" t="n">
        <v>165000</v>
      </c>
      <c r="L6" s="70" t="n">
        <v>82500</v>
      </c>
      <c r="M6" s="70" t="n">
        <v>41250</v>
      </c>
      <c r="N6" s="70" t="n">
        <v>56250</v>
      </c>
      <c r="O6" s="70" t="n">
        <v>56250</v>
      </c>
      <c r="P6" s="70" t="n">
        <v>37500</v>
      </c>
      <c r="Q6" s="70" t="n">
        <v>120000</v>
      </c>
      <c r="R6" s="71" t="n">
        <v>0</v>
      </c>
      <c r="S6" s="71" t="n">
        <v>0</v>
      </c>
      <c r="T6" s="71" t="n">
        <v>0</v>
      </c>
      <c r="U6" s="70" t="n">
        <v>300000</v>
      </c>
      <c r="V6" s="50" t="s">
        <v>1909</v>
      </c>
      <c r="W6" s="51" t="n">
        <v>0.75</v>
      </c>
      <c r="X6" s="49" t="n">
        <v>0.15</v>
      </c>
      <c r="Y6" s="49" t="n">
        <v>0.2</v>
      </c>
      <c r="Z6" s="50"/>
      <c r="AA6" s="50"/>
      <c r="AB6" s="50"/>
      <c r="AC6" s="50"/>
      <c r="AD6" s="50"/>
      <c r="AE6" s="50"/>
      <c r="AF6" s="51" t="n">
        <f aca="false">IFERROR(ifs(E6="Tier 1",0.55,E6="Tier 2",0.45,E6="Tier 3",0.35,E6="Tier 4",0.25),0.35)</f>
        <v>0.35</v>
      </c>
      <c r="AG6" s="52" t="n">
        <v>1</v>
      </c>
      <c r="AH6" s="52" t="n">
        <v>1</v>
      </c>
      <c r="AI6" s="52" t="n">
        <v>1</v>
      </c>
      <c r="AJ6" s="53" t="n">
        <f aca="false">IFERROR(ROUND(Q6*AF6*AH6*AI6*AG6,0),0)</f>
        <v>42000</v>
      </c>
      <c r="AK6" s="39" t="str">
        <f aca="false">IF(COUNT(Z6,AA6,AB6,AC6,AD6,AE6)&gt;0,"estimated","pending")</f>
        <v>pending</v>
      </c>
      <c r="AL6" s="50"/>
    </row>
    <row r="7" customFormat="false" ht="15" hidden="false" customHeight="true" outlineLevel="0" collapsed="false">
      <c r="B7" s="50" t="n">
        <f aca="false">IF($C7="","",COUNTA($C$6:C7))</f>
        <v>2</v>
      </c>
      <c r="C7" s="50" t="s">
        <v>1910</v>
      </c>
      <c r="D7" s="50" t="n">
        <v>39210</v>
      </c>
      <c r="E7" s="50" t="s">
        <v>337</v>
      </c>
      <c r="F7" s="70" t="n">
        <v>11250</v>
      </c>
      <c r="G7" s="70" t="n">
        <v>5625</v>
      </c>
      <c r="H7" s="70" t="n">
        <v>22500</v>
      </c>
      <c r="I7" s="70" t="n">
        <v>16875</v>
      </c>
      <c r="J7" s="70" t="n">
        <v>26250</v>
      </c>
      <c r="K7" s="70" t="n">
        <v>90000</v>
      </c>
      <c r="L7" s="70" t="n">
        <v>45000</v>
      </c>
      <c r="M7" s="70" t="n">
        <v>26250</v>
      </c>
      <c r="N7" s="70" t="n">
        <v>26250</v>
      </c>
      <c r="O7" s="70" t="n">
        <v>26250</v>
      </c>
      <c r="P7" s="70" t="n">
        <v>15000</v>
      </c>
      <c r="Q7" s="70" t="n">
        <v>75000</v>
      </c>
      <c r="R7" s="71" t="n">
        <v>0</v>
      </c>
      <c r="S7" s="71" t="n">
        <v>0</v>
      </c>
      <c r="T7" s="71" t="n">
        <v>0</v>
      </c>
      <c r="U7" s="70" t="n">
        <v>75000</v>
      </c>
      <c r="V7" s="50" t="s">
        <v>1909</v>
      </c>
      <c r="W7" s="51" t="n">
        <v>0.75</v>
      </c>
      <c r="X7" s="49" t="n">
        <v>0.15</v>
      </c>
      <c r="Y7" s="49" t="n">
        <v>0.2</v>
      </c>
      <c r="Z7" s="50"/>
      <c r="AA7" s="50"/>
      <c r="AB7" s="50"/>
      <c r="AC7" s="50"/>
      <c r="AD7" s="50"/>
      <c r="AE7" s="50"/>
      <c r="AF7" s="51" t="n">
        <f aca="false">IFERROR(ifs(E7="Tier 1",0.55,E7="Tier 2",0.45,E7="Tier 3",0.35,E7="Tier 4",0.25),0.35)</f>
        <v>0.35</v>
      </c>
      <c r="AG7" s="52" t="n">
        <v>1</v>
      </c>
      <c r="AH7" s="52" t="n">
        <v>1</v>
      </c>
      <c r="AI7" s="52" t="n">
        <v>1</v>
      </c>
      <c r="AJ7" s="53" t="n">
        <f aca="false">IFERROR(ROUND(Q7*AF7*AH7*AI7*AG7,0),0)</f>
        <v>26250</v>
      </c>
      <c r="AK7" s="39" t="str">
        <f aca="false">IF(COUNT(Z7,AA7,AB7,AC7,AD7,AE7)&gt;0,"estimated","pending")</f>
        <v>pending</v>
      </c>
      <c r="AL7" s="50"/>
    </row>
    <row r="8" customFormat="false" ht="15" hidden="false" customHeight="true" outlineLevel="0" collapsed="false">
      <c r="B8" s="50" t="n">
        <f aca="false">IF($C8="","",COUNTA($C$6:C8))</f>
        <v>3</v>
      </c>
      <c r="C8" s="50" t="s">
        <v>736</v>
      </c>
      <c r="D8" s="50" t="n">
        <v>27400</v>
      </c>
      <c r="E8" s="50" t="s">
        <v>337</v>
      </c>
      <c r="F8" s="70" t="n">
        <v>10000</v>
      </c>
      <c r="G8" s="71" t="n">
        <v>0</v>
      </c>
      <c r="H8" s="70" t="n">
        <v>8000</v>
      </c>
      <c r="I8" s="70" t="n">
        <v>7000</v>
      </c>
      <c r="J8" s="71" t="n">
        <v>0</v>
      </c>
      <c r="K8" s="71" t="n">
        <v>0</v>
      </c>
      <c r="L8" s="71" t="n">
        <v>0</v>
      </c>
      <c r="M8" s="71" t="n">
        <v>0</v>
      </c>
      <c r="N8" s="70" t="n">
        <v>25000</v>
      </c>
      <c r="O8" s="71" t="n">
        <v>0</v>
      </c>
      <c r="P8" s="71" t="n">
        <v>0</v>
      </c>
      <c r="Q8" s="70" t="n">
        <v>60000</v>
      </c>
      <c r="R8" s="71" t="n">
        <v>0</v>
      </c>
      <c r="S8" s="71" t="n">
        <v>0</v>
      </c>
      <c r="T8" s="71" t="n">
        <v>0</v>
      </c>
      <c r="U8" s="70" t="n">
        <v>75000</v>
      </c>
      <c r="V8" s="50" t="s">
        <v>1909</v>
      </c>
      <c r="W8" s="51" t="n">
        <v>0.75</v>
      </c>
      <c r="X8" s="49" t="n">
        <v>0.15</v>
      </c>
      <c r="Y8" s="49" t="n">
        <v>0.2</v>
      </c>
      <c r="Z8" s="50"/>
      <c r="AA8" s="50"/>
      <c r="AB8" s="50"/>
      <c r="AC8" s="50"/>
      <c r="AD8" s="50"/>
      <c r="AE8" s="50"/>
      <c r="AF8" s="51" t="n">
        <f aca="false">IFERROR(ifs(E8="Tier 1",0.55,E8="Tier 2",0.45,E8="Tier 3",0.35,E8="Tier 4",0.25),0.35)</f>
        <v>0.35</v>
      </c>
      <c r="AG8" s="52" t="n">
        <v>1</v>
      </c>
      <c r="AH8" s="52" t="n">
        <v>1</v>
      </c>
      <c r="AI8" s="52" t="n">
        <v>1</v>
      </c>
      <c r="AJ8" s="53" t="n">
        <f aca="false">IFERROR(ROUND(Q8*AF8*AH8*AI8*AG8,0),0)</f>
        <v>21000</v>
      </c>
      <c r="AK8" s="39" t="str">
        <f aca="false">IF(COUNT(Z8,AA8,AB8,AC8,AD8,AE8)&gt;0,"estimated","pending")</f>
        <v>pending</v>
      </c>
      <c r="AL8" s="50"/>
    </row>
    <row r="9" customFormat="false" ht="15" hidden="false" customHeight="true" outlineLevel="0" collapsed="false">
      <c r="B9" s="50" t="n">
        <f aca="false">IF($C9="","",COUNTA($C$6:C9))</f>
        <v>4</v>
      </c>
      <c r="C9" s="50" t="s">
        <v>1911</v>
      </c>
      <c r="D9" s="50" t="n">
        <v>18657</v>
      </c>
      <c r="E9" s="50" t="s">
        <v>1357</v>
      </c>
      <c r="F9" s="70" t="n">
        <v>7500</v>
      </c>
      <c r="G9" s="70" t="n">
        <v>3750</v>
      </c>
      <c r="H9" s="70" t="n">
        <v>7500</v>
      </c>
      <c r="I9" s="70" t="n">
        <v>5625</v>
      </c>
      <c r="J9" s="70" t="n">
        <v>13125</v>
      </c>
      <c r="K9" s="70" t="n">
        <v>45000</v>
      </c>
      <c r="L9" s="70" t="n">
        <v>20625</v>
      </c>
      <c r="M9" s="70" t="n">
        <v>11250</v>
      </c>
      <c r="N9" s="70" t="n">
        <v>16875</v>
      </c>
      <c r="O9" s="70" t="n">
        <v>13125</v>
      </c>
      <c r="P9" s="70" t="n">
        <v>5625</v>
      </c>
      <c r="Q9" s="70" t="n">
        <v>39375</v>
      </c>
      <c r="R9" s="70" t="n">
        <v>13125</v>
      </c>
      <c r="S9" s="71" t="n">
        <v>0</v>
      </c>
      <c r="T9" s="71" t="n">
        <v>0</v>
      </c>
      <c r="U9" s="70" t="n">
        <v>45000</v>
      </c>
      <c r="V9" s="50" t="s">
        <v>1909</v>
      </c>
      <c r="W9" s="51" t="n">
        <v>0.75</v>
      </c>
      <c r="X9" s="49" t="n">
        <v>0.15</v>
      </c>
      <c r="Y9" s="49" t="n">
        <v>0.2</v>
      </c>
      <c r="Z9" s="50"/>
      <c r="AA9" s="50"/>
      <c r="AB9" s="50"/>
      <c r="AC9" s="50"/>
      <c r="AD9" s="50"/>
      <c r="AE9" s="50"/>
      <c r="AF9" s="51" t="n">
        <f aca="false">IFERROR(ifs(E9="Tier 1",0.55,E9="Tier 2",0.45,E9="Tier 3",0.35,E9="Tier 4",0.25),0.35)</f>
        <v>0.35</v>
      </c>
      <c r="AG9" s="52" t="n">
        <v>1</v>
      </c>
      <c r="AH9" s="52" t="n">
        <v>1</v>
      </c>
      <c r="AI9" s="52" t="n">
        <v>1</v>
      </c>
      <c r="AJ9" s="53" t="n">
        <f aca="false">IFERROR(ROUND(Q9*AF9*AH9*AI9*AG9,0),0)</f>
        <v>13781</v>
      </c>
      <c r="AK9" s="39" t="str">
        <f aca="false">IF(COUNT(Z9,AA9,AB9,AC9,AD9,AE9)&gt;0,"estimated","pending")</f>
        <v>pending</v>
      </c>
      <c r="AL9" s="50"/>
    </row>
    <row r="10" customFormat="false" ht="15" hidden="false" customHeight="true" outlineLevel="0" collapsed="false">
      <c r="B10" s="50" t="n">
        <f aca="false">IF($C10="","",COUNTA($C$6:C10))</f>
        <v>5</v>
      </c>
      <c r="C10" s="50" t="s">
        <v>1912</v>
      </c>
      <c r="D10" s="50" t="n">
        <v>34084</v>
      </c>
      <c r="E10" s="50" t="s">
        <v>337</v>
      </c>
      <c r="F10" s="70" t="n">
        <v>7500</v>
      </c>
      <c r="G10" s="70" t="n">
        <v>3750</v>
      </c>
      <c r="H10" s="70" t="n">
        <v>16875</v>
      </c>
      <c r="I10" s="70" t="n">
        <v>13125</v>
      </c>
      <c r="J10" s="70" t="n">
        <v>20625</v>
      </c>
      <c r="K10" s="70" t="n">
        <v>120000</v>
      </c>
      <c r="L10" s="70" t="n">
        <v>30000</v>
      </c>
      <c r="M10" s="70" t="n">
        <v>15000</v>
      </c>
      <c r="N10" s="70" t="n">
        <v>20000</v>
      </c>
      <c r="O10" s="70" t="n">
        <v>30000</v>
      </c>
      <c r="P10" s="70" t="n">
        <v>9375</v>
      </c>
      <c r="Q10" s="70" t="n">
        <v>45000</v>
      </c>
      <c r="R10" s="70" t="n">
        <v>22500</v>
      </c>
      <c r="S10" s="71" t="n">
        <v>0</v>
      </c>
      <c r="T10" s="71" t="n">
        <v>0</v>
      </c>
      <c r="U10" s="70" t="n">
        <v>48750</v>
      </c>
      <c r="V10" s="50" t="s">
        <v>1909</v>
      </c>
      <c r="W10" s="51" t="n">
        <v>0.75</v>
      </c>
      <c r="X10" s="49" t="n">
        <v>0.15</v>
      </c>
      <c r="Y10" s="49" t="n">
        <v>0.2</v>
      </c>
      <c r="Z10" s="50"/>
      <c r="AA10" s="50"/>
      <c r="AB10" s="50"/>
      <c r="AC10" s="50"/>
      <c r="AD10" s="50"/>
      <c r="AE10" s="50"/>
      <c r="AF10" s="51" t="n">
        <f aca="false">IFERROR(ifs(E10="Tier 1",0.55,E10="Tier 2",0.45,E10="Tier 3",0.35,E10="Tier 4",0.25),0.35)</f>
        <v>0.35</v>
      </c>
      <c r="AG10" s="52" t="n">
        <v>1</v>
      </c>
      <c r="AH10" s="52" t="n">
        <v>1</v>
      </c>
      <c r="AI10" s="52" t="n">
        <v>1</v>
      </c>
      <c r="AJ10" s="53" t="n">
        <f aca="false">IFERROR(ROUND(Q10*AF10*AH10*AI10*AG10,0),0)</f>
        <v>15750</v>
      </c>
      <c r="AK10" s="39" t="str">
        <f aca="false">IF(COUNT(Z10,AA10,AB10,AC10,AD10,AE10)&gt;0,"estimated","pending")</f>
        <v>pending</v>
      </c>
      <c r="AL10" s="50"/>
    </row>
    <row r="11" customFormat="false" ht="15" hidden="false" customHeight="true" outlineLevel="0" collapsed="false">
      <c r="B11" s="50" t="n">
        <f aca="false">IF($C11="","",COUNTA($C$6:C11))</f>
        <v>6</v>
      </c>
      <c r="C11" s="50" t="s">
        <v>1913</v>
      </c>
      <c r="D11" s="50" t="n">
        <v>20365</v>
      </c>
      <c r="E11" s="50" t="s">
        <v>337</v>
      </c>
      <c r="F11" s="70" t="n">
        <v>7500</v>
      </c>
      <c r="G11" s="70" t="n">
        <v>3750</v>
      </c>
      <c r="H11" s="70" t="n">
        <v>11250</v>
      </c>
      <c r="I11" s="70" t="n">
        <v>5625</v>
      </c>
      <c r="J11" s="70" t="n">
        <v>13125</v>
      </c>
      <c r="K11" s="70" t="n">
        <v>45000</v>
      </c>
      <c r="L11" s="70" t="n">
        <v>24375</v>
      </c>
      <c r="M11" s="70" t="n">
        <v>11250</v>
      </c>
      <c r="N11" s="70" t="n">
        <v>16875</v>
      </c>
      <c r="O11" s="70" t="n">
        <v>13125</v>
      </c>
      <c r="P11" s="70" t="n">
        <v>5625</v>
      </c>
      <c r="Q11" s="70" t="n">
        <v>39375</v>
      </c>
      <c r="R11" s="70" t="n">
        <v>24375</v>
      </c>
      <c r="S11" s="71" t="n">
        <v>0</v>
      </c>
      <c r="T11" s="71" t="n">
        <v>0</v>
      </c>
      <c r="U11" s="70" t="n">
        <v>48750</v>
      </c>
      <c r="V11" s="50" t="s">
        <v>1909</v>
      </c>
      <c r="W11" s="51" t="n">
        <v>0.75</v>
      </c>
      <c r="X11" s="49" t="n">
        <v>0.15</v>
      </c>
      <c r="Y11" s="49" t="n">
        <v>0.2</v>
      </c>
      <c r="Z11" s="50"/>
      <c r="AA11" s="50"/>
      <c r="AB11" s="50"/>
      <c r="AC11" s="50"/>
      <c r="AD11" s="50"/>
      <c r="AE11" s="50"/>
      <c r="AF11" s="51" t="n">
        <f aca="false">IFERROR(ifs(E11="Tier 1",0.55,E11="Tier 2",0.45,E11="Tier 3",0.35,E11="Tier 4",0.25),0.35)</f>
        <v>0.35</v>
      </c>
      <c r="AG11" s="52" t="n">
        <v>1</v>
      </c>
      <c r="AH11" s="52" t="n">
        <v>1</v>
      </c>
      <c r="AI11" s="52" t="n">
        <v>1</v>
      </c>
      <c r="AJ11" s="53" t="n">
        <f aca="false">IFERROR(ROUND(Q11*AF11*AH11*AI11*AG11,0),0)</f>
        <v>13781</v>
      </c>
      <c r="AK11" s="39" t="str">
        <f aca="false">IF(COUNT(Z11,AA11,AB11,AC11,AD11,AE11)&gt;0,"estimated","pending")</f>
        <v>pending</v>
      </c>
      <c r="AL11" s="50"/>
    </row>
    <row r="12" customFormat="false" ht="15" hidden="false" customHeight="true" outlineLevel="0" collapsed="false">
      <c r="B12" s="50" t="n">
        <f aca="false">IF($C12="","",COUNTA($C$6:C12))</f>
        <v>7</v>
      </c>
      <c r="C12" s="50" t="s">
        <v>1914</v>
      </c>
      <c r="D12" s="50" t="n">
        <v>27149</v>
      </c>
      <c r="E12" s="50" t="s">
        <v>337</v>
      </c>
      <c r="F12" s="70" t="n">
        <v>7500</v>
      </c>
      <c r="G12" s="70" t="n">
        <v>3750</v>
      </c>
      <c r="H12" s="70" t="n">
        <v>15000</v>
      </c>
      <c r="I12" s="70" t="n">
        <v>10000</v>
      </c>
      <c r="J12" s="70" t="n">
        <v>28000</v>
      </c>
      <c r="K12" s="70" t="n">
        <v>45000</v>
      </c>
      <c r="L12" s="70" t="n">
        <v>30000</v>
      </c>
      <c r="M12" s="70" t="n">
        <v>28000</v>
      </c>
      <c r="N12" s="70" t="n">
        <v>20000</v>
      </c>
      <c r="O12" s="70" t="n">
        <v>28000</v>
      </c>
      <c r="P12" s="70" t="n">
        <v>25000</v>
      </c>
      <c r="Q12" s="70" t="n">
        <v>36000</v>
      </c>
      <c r="R12" s="70" t="n">
        <v>30000</v>
      </c>
      <c r="S12" s="71" t="n">
        <v>0</v>
      </c>
      <c r="T12" s="71" t="n">
        <v>0</v>
      </c>
      <c r="U12" s="70" t="n">
        <v>50000</v>
      </c>
      <c r="V12" s="50" t="s">
        <v>1909</v>
      </c>
      <c r="W12" s="51" t="n">
        <v>0.75</v>
      </c>
      <c r="X12" s="49" t="n">
        <v>0.15</v>
      </c>
      <c r="Y12" s="49" t="n">
        <v>0.2</v>
      </c>
      <c r="Z12" s="50"/>
      <c r="AA12" s="50"/>
      <c r="AB12" s="50"/>
      <c r="AC12" s="50"/>
      <c r="AD12" s="50"/>
      <c r="AE12" s="50"/>
      <c r="AF12" s="51" t="n">
        <f aca="false">IFERROR(ifs(E12="Tier 1",0.55,E12="Tier 2",0.45,E12="Tier 3",0.35,E12="Tier 4",0.25),0.35)</f>
        <v>0.35</v>
      </c>
      <c r="AG12" s="52" t="n">
        <v>1</v>
      </c>
      <c r="AH12" s="52" t="n">
        <v>1</v>
      </c>
      <c r="AI12" s="52" t="n">
        <v>1</v>
      </c>
      <c r="AJ12" s="53" t="n">
        <f aca="false">IFERROR(ROUND(Q12*AF12*AH12*AI12*AG12,0),0)</f>
        <v>12600</v>
      </c>
      <c r="AK12" s="39" t="str">
        <f aca="false">IF(COUNT(Z12,AA12,AB12,AC12,AD12,AE12)&gt;0,"estimated","pending")</f>
        <v>pending</v>
      </c>
      <c r="AL12" s="50"/>
    </row>
    <row r="13" customFormat="false" ht="15" hidden="false" customHeight="true" outlineLevel="0" collapsed="false">
      <c r="B13" s="50" t="n">
        <f aca="false">IF($C13="","",COUNTA($C$6:C13))</f>
        <v>8</v>
      </c>
      <c r="C13" s="50" t="s">
        <v>1915</v>
      </c>
      <c r="D13" s="50" t="n">
        <v>16467</v>
      </c>
      <c r="E13" s="50" t="s">
        <v>1357</v>
      </c>
      <c r="F13" s="70" t="n">
        <v>7500</v>
      </c>
      <c r="G13" s="70" t="n">
        <v>3750</v>
      </c>
      <c r="H13" s="70" t="n">
        <v>9375</v>
      </c>
      <c r="I13" s="70" t="n">
        <v>5625</v>
      </c>
      <c r="J13" s="70" t="n">
        <v>7500</v>
      </c>
      <c r="K13" s="70" t="n">
        <v>37500</v>
      </c>
      <c r="L13" s="70" t="n">
        <v>18750</v>
      </c>
      <c r="M13" s="70" t="n">
        <v>11250</v>
      </c>
      <c r="N13" s="70" t="n">
        <v>15000</v>
      </c>
      <c r="O13" s="70" t="n">
        <v>15000</v>
      </c>
      <c r="P13" s="70" t="n">
        <v>5625</v>
      </c>
      <c r="Q13" s="70" t="n">
        <v>31875</v>
      </c>
      <c r="R13" s="70" t="n">
        <v>13125</v>
      </c>
      <c r="S13" s="71" t="n">
        <v>0</v>
      </c>
      <c r="T13" s="71" t="n">
        <v>0</v>
      </c>
      <c r="U13" s="70" t="n">
        <v>48750</v>
      </c>
      <c r="V13" s="50" t="s">
        <v>1909</v>
      </c>
      <c r="W13" s="51" t="n">
        <v>0.75</v>
      </c>
      <c r="X13" s="49" t="n">
        <v>0.15</v>
      </c>
      <c r="Y13" s="49" t="n">
        <v>0.2</v>
      </c>
      <c r="Z13" s="50"/>
      <c r="AA13" s="50"/>
      <c r="AB13" s="50"/>
      <c r="AC13" s="50"/>
      <c r="AD13" s="50"/>
      <c r="AE13" s="50"/>
      <c r="AF13" s="51" t="n">
        <f aca="false">IFERROR(ifs(E13="Tier 1",0.55,E13="Tier 2",0.45,E13="Tier 3",0.35,E13="Tier 4",0.25),0.35)</f>
        <v>0.35</v>
      </c>
      <c r="AG13" s="52" t="n">
        <v>1</v>
      </c>
      <c r="AH13" s="52" t="n">
        <v>1</v>
      </c>
      <c r="AI13" s="52" t="n">
        <v>1</v>
      </c>
      <c r="AJ13" s="53" t="n">
        <f aca="false">IFERROR(ROUND(Q13*AF13*AH13*AI13*AG13,0),0)</f>
        <v>11156</v>
      </c>
      <c r="AK13" s="39" t="str">
        <f aca="false">IF(COUNT(Z13,AA13,AB13,AC13,AD13,AE13)&gt;0,"estimated","pending")</f>
        <v>pending</v>
      </c>
      <c r="AL13" s="50"/>
    </row>
    <row r="14" customFormat="false" ht="15" hidden="false" customHeight="true" outlineLevel="0" collapsed="false">
      <c r="B14" s="50" t="n">
        <f aca="false">IF($C14="","",COUNTA($C$6:C14))</f>
        <v>9</v>
      </c>
      <c r="C14" s="50" t="s">
        <v>1916</v>
      </c>
      <c r="D14" s="50" t="n">
        <v>16741</v>
      </c>
      <c r="E14" s="50" t="s">
        <v>1357</v>
      </c>
      <c r="F14" s="70" t="n">
        <v>9375</v>
      </c>
      <c r="G14" s="70" t="n">
        <v>5625</v>
      </c>
      <c r="H14" s="70" t="n">
        <v>10500</v>
      </c>
      <c r="I14" s="70" t="n">
        <v>7500</v>
      </c>
      <c r="J14" s="70" t="n">
        <v>9375</v>
      </c>
      <c r="K14" s="70" t="n">
        <v>37500</v>
      </c>
      <c r="L14" s="70" t="n">
        <v>18750</v>
      </c>
      <c r="M14" s="70" t="n">
        <v>9375</v>
      </c>
      <c r="N14" s="70" t="n">
        <v>13125</v>
      </c>
      <c r="O14" s="70" t="n">
        <v>9375</v>
      </c>
      <c r="P14" s="70" t="n">
        <v>7500</v>
      </c>
      <c r="Q14" s="70" t="n">
        <v>39375</v>
      </c>
      <c r="R14" s="70" t="n">
        <v>9375</v>
      </c>
      <c r="S14" s="71" t="n">
        <v>0</v>
      </c>
      <c r="T14" s="71" t="n">
        <v>0</v>
      </c>
      <c r="U14" s="70" t="n">
        <v>48750</v>
      </c>
      <c r="V14" s="50" t="s">
        <v>1909</v>
      </c>
      <c r="W14" s="51" t="n">
        <v>0.75</v>
      </c>
      <c r="X14" s="49" t="n">
        <v>0.15</v>
      </c>
      <c r="Y14" s="49" t="n">
        <v>0.2</v>
      </c>
      <c r="Z14" s="50"/>
      <c r="AA14" s="50"/>
      <c r="AB14" s="50"/>
      <c r="AC14" s="50"/>
      <c r="AD14" s="50"/>
      <c r="AE14" s="50"/>
      <c r="AF14" s="51" t="n">
        <f aca="false">IFERROR(ifs(E14="Tier 1",0.55,E14="Tier 2",0.45,E14="Tier 3",0.35,E14="Tier 4",0.25),0.35)</f>
        <v>0.35</v>
      </c>
      <c r="AG14" s="52" t="n">
        <v>1</v>
      </c>
      <c r="AH14" s="52" t="n">
        <v>1</v>
      </c>
      <c r="AI14" s="52" t="n">
        <v>1</v>
      </c>
      <c r="AJ14" s="53" t="n">
        <f aca="false">IFERROR(ROUND(Q14*AF14*AH14*AI14*AG14,0),0)</f>
        <v>13781</v>
      </c>
      <c r="AK14" s="39" t="str">
        <f aca="false">IF(COUNT(Z14,AA14,AB14,AC14,AD14,AE14)&gt;0,"estimated","pending")</f>
        <v>pending</v>
      </c>
      <c r="AL14" s="50"/>
    </row>
    <row r="15" customFormat="false" ht="15" hidden="false" customHeight="true" outlineLevel="0" collapsed="false">
      <c r="B15" s="50" t="n">
        <f aca="false">IF($C15="","",COUNTA($C$6:C15))</f>
        <v>10</v>
      </c>
      <c r="C15" s="50" t="s">
        <v>1917</v>
      </c>
      <c r="D15" s="50" t="n">
        <v>21386</v>
      </c>
      <c r="E15" s="50" t="s">
        <v>337</v>
      </c>
      <c r="F15" s="70" t="n">
        <v>7500</v>
      </c>
      <c r="G15" s="70" t="n">
        <v>5625</v>
      </c>
      <c r="H15" s="70" t="n">
        <v>15000</v>
      </c>
      <c r="I15" s="70" t="n">
        <v>11250</v>
      </c>
      <c r="J15" s="70" t="n">
        <v>18750</v>
      </c>
      <c r="K15" s="70" t="n">
        <v>48750</v>
      </c>
      <c r="L15" s="70" t="n">
        <v>24375</v>
      </c>
      <c r="M15" s="70" t="n">
        <v>16875</v>
      </c>
      <c r="N15" s="70" t="n">
        <v>16875</v>
      </c>
      <c r="O15" s="70" t="n">
        <v>20625</v>
      </c>
      <c r="P15" s="70" t="n">
        <v>11250</v>
      </c>
      <c r="Q15" s="70" t="n">
        <v>31875</v>
      </c>
      <c r="R15" s="70" t="n">
        <v>11250</v>
      </c>
      <c r="S15" s="71" t="n">
        <v>0</v>
      </c>
      <c r="T15" s="71" t="n">
        <v>0</v>
      </c>
      <c r="U15" s="70" t="n">
        <v>48750</v>
      </c>
      <c r="V15" s="50" t="s">
        <v>1909</v>
      </c>
      <c r="W15" s="51" t="n">
        <v>0.75</v>
      </c>
      <c r="X15" s="49" t="n">
        <v>0.15</v>
      </c>
      <c r="Y15" s="49" t="n">
        <v>0.2</v>
      </c>
      <c r="Z15" s="50"/>
      <c r="AA15" s="50"/>
      <c r="AB15" s="50"/>
      <c r="AC15" s="50"/>
      <c r="AD15" s="50"/>
      <c r="AE15" s="50"/>
      <c r="AF15" s="51" t="n">
        <f aca="false">IFERROR(ifs(E15="Tier 1",0.55,E15="Tier 2",0.45,E15="Tier 3",0.35,E15="Tier 4",0.25),0.35)</f>
        <v>0.35</v>
      </c>
      <c r="AG15" s="52" t="n">
        <v>1</v>
      </c>
      <c r="AH15" s="52" t="n">
        <v>1</v>
      </c>
      <c r="AI15" s="52" t="n">
        <v>1</v>
      </c>
      <c r="AJ15" s="53" t="n">
        <f aca="false">IFERROR(ROUND(Q15*AF15*AH15*AI15*AG15,0),0)</f>
        <v>11156</v>
      </c>
      <c r="AK15" s="39" t="str">
        <f aca="false">IF(COUNT(Z15,AA15,AB15,AC15,AD15,AE15)&gt;0,"estimated","pending")</f>
        <v>pending</v>
      </c>
      <c r="AL15" s="50"/>
    </row>
    <row r="16" customFormat="false" ht="15" hidden="false" customHeight="true" outlineLevel="0" collapsed="false">
      <c r="B16" s="50" t="n">
        <f aca="false">IF($C16="","",COUNTA($C$6:C16))</f>
        <v>11</v>
      </c>
      <c r="C16" s="50" t="s">
        <v>1918</v>
      </c>
      <c r="D16" s="50" t="n">
        <v>20402</v>
      </c>
      <c r="E16" s="50" t="s">
        <v>337</v>
      </c>
      <c r="F16" s="70" t="n">
        <v>11250</v>
      </c>
      <c r="G16" s="70" t="n">
        <v>5625</v>
      </c>
      <c r="H16" s="70" t="n">
        <v>15000</v>
      </c>
      <c r="I16" s="70" t="n">
        <v>9375</v>
      </c>
      <c r="J16" s="70" t="n">
        <v>9375</v>
      </c>
      <c r="K16" s="70" t="n">
        <v>52500</v>
      </c>
      <c r="L16" s="70" t="n">
        <v>26250</v>
      </c>
      <c r="M16" s="70" t="n">
        <v>13125</v>
      </c>
      <c r="N16" s="70" t="n">
        <v>15000</v>
      </c>
      <c r="O16" s="70" t="n">
        <v>13125</v>
      </c>
      <c r="P16" s="70" t="n">
        <v>7500</v>
      </c>
      <c r="Q16" s="70" t="n">
        <v>39375</v>
      </c>
      <c r="R16" s="70" t="n">
        <v>9375</v>
      </c>
      <c r="S16" s="71" t="n">
        <v>0</v>
      </c>
      <c r="T16" s="71" t="n">
        <v>0</v>
      </c>
      <c r="U16" s="70" t="n">
        <v>48750</v>
      </c>
      <c r="V16" s="50" t="s">
        <v>1909</v>
      </c>
      <c r="W16" s="51" t="n">
        <v>0.75</v>
      </c>
      <c r="X16" s="49" t="n">
        <v>0.15</v>
      </c>
      <c r="Y16" s="49" t="n">
        <v>0.2</v>
      </c>
      <c r="Z16" s="50"/>
      <c r="AA16" s="50"/>
      <c r="AB16" s="50"/>
      <c r="AC16" s="50"/>
      <c r="AD16" s="50"/>
      <c r="AE16" s="50"/>
      <c r="AF16" s="51" t="n">
        <f aca="false">IFERROR(ifs(E16="Tier 1",0.55,E16="Tier 2",0.45,E16="Tier 3",0.35,E16="Tier 4",0.25),0.35)</f>
        <v>0.35</v>
      </c>
      <c r="AG16" s="52" t="n">
        <v>1</v>
      </c>
      <c r="AH16" s="52" t="n">
        <v>1</v>
      </c>
      <c r="AI16" s="52" t="n">
        <v>1</v>
      </c>
      <c r="AJ16" s="53" t="n">
        <f aca="false">IFERROR(ROUND(Q16*AF16*AH16*AI16*AG16,0),0)</f>
        <v>13781</v>
      </c>
      <c r="AK16" s="39" t="str">
        <f aca="false">IF(COUNT(Z16,AA16,AB16,AC16,AD16,AE16)&gt;0,"estimated","pending")</f>
        <v>pending</v>
      </c>
      <c r="AL16" s="50"/>
    </row>
    <row r="17" customFormat="false" ht="15" hidden="false" customHeight="true" outlineLevel="0" collapsed="false">
      <c r="B17" s="50" t="n">
        <f aca="false">IF($C17="","",COUNTA($C$6:C17))</f>
        <v>12</v>
      </c>
      <c r="C17" s="50" t="s">
        <v>1919</v>
      </c>
      <c r="D17" s="50" t="n">
        <v>60974</v>
      </c>
      <c r="E17" s="50" t="s">
        <v>269</v>
      </c>
      <c r="F17" s="70" t="n">
        <v>18750</v>
      </c>
      <c r="G17" s="70" t="n">
        <v>9375</v>
      </c>
      <c r="H17" s="70" t="n">
        <v>15000</v>
      </c>
      <c r="I17" s="70" t="n">
        <v>9375</v>
      </c>
      <c r="J17" s="70" t="n">
        <v>56250</v>
      </c>
      <c r="K17" s="70" t="n">
        <v>165000</v>
      </c>
      <c r="L17" s="70" t="n">
        <v>82500</v>
      </c>
      <c r="M17" s="70" t="n">
        <v>50625</v>
      </c>
      <c r="N17" s="71" t="n">
        <v>0</v>
      </c>
      <c r="O17" s="70" t="n">
        <v>56250</v>
      </c>
      <c r="P17" s="70" t="n">
        <v>37500</v>
      </c>
      <c r="Q17" s="71" t="n">
        <v>0</v>
      </c>
      <c r="R17" s="71" t="n">
        <v>0</v>
      </c>
      <c r="S17" s="71" t="n">
        <v>0</v>
      </c>
      <c r="T17" s="70" t="n">
        <v>11250</v>
      </c>
      <c r="U17" s="71" t="n">
        <v>0</v>
      </c>
      <c r="V17" s="50" t="s">
        <v>1909</v>
      </c>
      <c r="W17" s="51" t="n">
        <v>0.75</v>
      </c>
      <c r="X17" s="49" t="n">
        <v>0.15</v>
      </c>
      <c r="Y17" s="49" t="n">
        <v>0.2</v>
      </c>
      <c r="Z17" s="50"/>
      <c r="AA17" s="50"/>
      <c r="AB17" s="50"/>
      <c r="AC17" s="50"/>
      <c r="AD17" s="50"/>
      <c r="AE17" s="50"/>
      <c r="AF17" s="51" t="n">
        <f aca="false">IFERROR(ifs(E17="Tier 1",0.55,E17="Tier 2",0.45,E17="Tier 3",0.35,E17="Tier 4",0.25),0.35)</f>
        <v>0.35</v>
      </c>
      <c r="AG17" s="52" t="n">
        <v>1</v>
      </c>
      <c r="AH17" s="52" t="n">
        <v>1</v>
      </c>
      <c r="AI17" s="52" t="n">
        <v>1</v>
      </c>
      <c r="AJ17" s="53" t="n">
        <f aca="false">IFERROR(ROUND(Q17*AF17*AH17*AI17*AG17,0),0)</f>
        <v>0</v>
      </c>
      <c r="AK17" s="39" t="str">
        <f aca="false">IF(COUNT(Z17,AA17,AB17,AC17,AD17,AE17)&gt;0,"estimated","pending")</f>
        <v>pending</v>
      </c>
      <c r="AL17" s="50"/>
    </row>
    <row r="18" customFormat="false" ht="15" hidden="false" customHeight="true" outlineLevel="0" collapsed="false">
      <c r="B18" s="50" t="n">
        <f aca="false">IF($C18="","",COUNTA($C$6:C18))</f>
        <v>13</v>
      </c>
      <c r="C18" s="50" t="s">
        <v>1920</v>
      </c>
      <c r="D18" s="50" t="n">
        <v>35068</v>
      </c>
      <c r="E18" s="50" t="s">
        <v>337</v>
      </c>
      <c r="F18" s="70" t="n">
        <v>11250</v>
      </c>
      <c r="G18" s="70" t="n">
        <v>5625</v>
      </c>
      <c r="H18" s="70" t="n">
        <v>13125</v>
      </c>
      <c r="I18" s="70" t="n">
        <v>11250</v>
      </c>
      <c r="J18" s="70" t="n">
        <v>15000</v>
      </c>
      <c r="K18" s="70" t="n">
        <v>82500</v>
      </c>
      <c r="L18" s="70" t="n">
        <v>45000</v>
      </c>
      <c r="M18" s="70" t="n">
        <v>30000</v>
      </c>
      <c r="N18" s="70" t="n">
        <v>28125</v>
      </c>
      <c r="O18" s="70" t="n">
        <v>18750</v>
      </c>
      <c r="P18" s="70" t="n">
        <v>9375</v>
      </c>
      <c r="Q18" s="70" t="n">
        <v>56250</v>
      </c>
      <c r="R18" s="70" t="n">
        <v>56250</v>
      </c>
      <c r="S18" s="71" t="n">
        <v>0</v>
      </c>
      <c r="T18" s="71" t="n">
        <v>0</v>
      </c>
      <c r="U18" s="70" t="n">
        <v>131250</v>
      </c>
      <c r="V18" s="50" t="s">
        <v>1909</v>
      </c>
      <c r="W18" s="51" t="n">
        <v>0.75</v>
      </c>
      <c r="X18" s="49" t="n">
        <v>0.15</v>
      </c>
      <c r="Y18" s="49" t="n">
        <v>0.2</v>
      </c>
      <c r="Z18" s="50"/>
      <c r="AA18" s="50"/>
      <c r="AB18" s="50"/>
      <c r="AC18" s="50"/>
      <c r="AD18" s="50"/>
      <c r="AE18" s="50"/>
      <c r="AF18" s="51" t="n">
        <f aca="false">IFERROR(ifs(E18="Tier 1",0.55,E18="Tier 2",0.45,E18="Tier 3",0.35,E18="Tier 4",0.25),0.35)</f>
        <v>0.35</v>
      </c>
      <c r="AG18" s="52" t="n">
        <v>1</v>
      </c>
      <c r="AH18" s="52" t="n">
        <v>1</v>
      </c>
      <c r="AI18" s="52" t="n">
        <v>1</v>
      </c>
      <c r="AJ18" s="53" t="n">
        <f aca="false">IFERROR(ROUND(Q18*AF18*AH18*AI18*AG18,0),0)</f>
        <v>19688</v>
      </c>
      <c r="AK18" s="39" t="str">
        <f aca="false">IF(COUNT(Z18,AA18,AB18,AC18,AD18,AE18)&gt;0,"estimated","pending")</f>
        <v>pending</v>
      </c>
      <c r="AL18" s="50"/>
    </row>
    <row r="19" customFormat="false" ht="15" hidden="false" customHeight="true" outlineLevel="0" collapsed="false">
      <c r="B19" s="50" t="n">
        <f aca="false">IF($C19="","",COUNTA($C$6:C19))</f>
        <v>14</v>
      </c>
      <c r="C19" s="50" t="s">
        <v>1921</v>
      </c>
      <c r="D19" s="50" t="n">
        <v>17011</v>
      </c>
      <c r="E19" s="50" t="s">
        <v>1357</v>
      </c>
      <c r="F19" s="70" t="n">
        <v>4500</v>
      </c>
      <c r="G19" s="70" t="n">
        <v>3000</v>
      </c>
      <c r="H19" s="70" t="n">
        <v>9000</v>
      </c>
      <c r="I19" s="70" t="n">
        <v>7500</v>
      </c>
      <c r="J19" s="70" t="n">
        <v>12000</v>
      </c>
      <c r="K19" s="70" t="n">
        <v>41000</v>
      </c>
      <c r="L19" s="70" t="n">
        <v>20000</v>
      </c>
      <c r="M19" s="70" t="n">
        <v>11000</v>
      </c>
      <c r="N19" s="70" t="n">
        <v>15000</v>
      </c>
      <c r="O19" s="70" t="n">
        <v>16875</v>
      </c>
      <c r="P19" s="70" t="n">
        <v>9000</v>
      </c>
      <c r="Q19" s="70" t="n">
        <v>28125</v>
      </c>
      <c r="R19" s="70" t="n">
        <v>10000</v>
      </c>
      <c r="S19" s="71" t="n">
        <v>0</v>
      </c>
      <c r="T19" s="71" t="n">
        <v>0</v>
      </c>
      <c r="U19" s="70" t="n">
        <v>43000</v>
      </c>
      <c r="V19" s="50" t="s">
        <v>1909</v>
      </c>
      <c r="W19" s="51" t="n">
        <v>0.75</v>
      </c>
      <c r="X19" s="49" t="n">
        <v>0.15</v>
      </c>
      <c r="Y19" s="49" t="n">
        <v>0.2</v>
      </c>
      <c r="Z19" s="50"/>
      <c r="AA19" s="50"/>
      <c r="AB19" s="50"/>
      <c r="AC19" s="50"/>
      <c r="AD19" s="50"/>
      <c r="AE19" s="50"/>
      <c r="AF19" s="51" t="n">
        <f aca="false">IFERROR(ifs(E19="Tier 1",0.55,E19="Tier 2",0.45,E19="Tier 3",0.35,E19="Tier 4",0.25),0.35)</f>
        <v>0.35</v>
      </c>
      <c r="AG19" s="52" t="n">
        <v>1</v>
      </c>
      <c r="AH19" s="52" t="n">
        <v>1</v>
      </c>
      <c r="AI19" s="52" t="n">
        <v>1</v>
      </c>
      <c r="AJ19" s="53" t="n">
        <f aca="false">IFERROR(ROUND(Q19*AF19*AH19*AI19*AG19,0),0)</f>
        <v>9844</v>
      </c>
      <c r="AK19" s="39" t="str">
        <f aca="false">IF(COUNT(Z19,AA19,AB19,AC19,AD19,AE19)&gt;0,"estimated","pending")</f>
        <v>pending</v>
      </c>
      <c r="AL19" s="50"/>
    </row>
    <row r="20" customFormat="false" ht="15" hidden="false" customHeight="true" outlineLevel="0" collapsed="false">
      <c r="B20" s="50" t="n">
        <f aca="false">IF($C20="","",COUNTA($C$6:C20))</f>
        <v>15</v>
      </c>
      <c r="C20" s="50" t="s">
        <v>1922</v>
      </c>
      <c r="D20" s="50" t="n">
        <v>16949</v>
      </c>
      <c r="E20" s="50" t="s">
        <v>1357</v>
      </c>
      <c r="F20" s="70" t="n">
        <v>7500</v>
      </c>
      <c r="G20" s="70" t="n">
        <v>3750</v>
      </c>
      <c r="H20" s="70" t="n">
        <v>9375</v>
      </c>
      <c r="I20" s="70" t="n">
        <v>5625</v>
      </c>
      <c r="J20" s="70" t="n">
        <v>15000</v>
      </c>
      <c r="K20" s="70" t="n">
        <v>37500</v>
      </c>
      <c r="L20" s="70" t="n">
        <v>18750</v>
      </c>
      <c r="M20" s="70" t="n">
        <v>9375</v>
      </c>
      <c r="N20" s="70" t="n">
        <v>15000</v>
      </c>
      <c r="O20" s="70" t="n">
        <v>15000</v>
      </c>
      <c r="P20" s="70" t="n">
        <v>9375</v>
      </c>
      <c r="Q20" s="70" t="n">
        <v>30000</v>
      </c>
      <c r="R20" s="70" t="n">
        <v>11250</v>
      </c>
      <c r="S20" s="71" t="n">
        <v>0</v>
      </c>
      <c r="T20" s="71" t="n">
        <v>0</v>
      </c>
      <c r="U20" s="70" t="n">
        <v>37500</v>
      </c>
      <c r="V20" s="50" t="s">
        <v>1909</v>
      </c>
      <c r="W20" s="51" t="n">
        <v>0.75</v>
      </c>
      <c r="X20" s="49" t="n">
        <v>0.15</v>
      </c>
      <c r="Y20" s="49" t="n">
        <v>0.2</v>
      </c>
      <c r="Z20" s="50"/>
      <c r="AA20" s="50"/>
      <c r="AB20" s="50"/>
      <c r="AC20" s="50"/>
      <c r="AD20" s="50"/>
      <c r="AE20" s="50"/>
      <c r="AF20" s="51" t="n">
        <f aca="false">IFERROR(ifs(E20="Tier 1",0.55,E20="Tier 2",0.45,E20="Tier 3",0.35,E20="Tier 4",0.25),0.35)</f>
        <v>0.35</v>
      </c>
      <c r="AG20" s="52" t="n">
        <v>1</v>
      </c>
      <c r="AH20" s="52" t="n">
        <v>1</v>
      </c>
      <c r="AI20" s="52" t="n">
        <v>1</v>
      </c>
      <c r="AJ20" s="53" t="n">
        <f aca="false">IFERROR(ROUND(Q20*AF20*AH20*AI20*AG20,0),0)</f>
        <v>10500</v>
      </c>
      <c r="AK20" s="39" t="str">
        <f aca="false">IF(COUNT(Z20,AA20,AB20,AC20,AD20,AE20)&gt;0,"estimated","pending")</f>
        <v>pending</v>
      </c>
      <c r="AL20" s="50"/>
    </row>
    <row r="21" customFormat="false" ht="15" hidden="false" customHeight="true" outlineLevel="0" collapsed="false">
      <c r="B21" s="50" t="n">
        <f aca="false">IF($C21="","",COUNTA($C$6:C21))</f>
        <v>16</v>
      </c>
      <c r="C21" s="50" t="s">
        <v>1923</v>
      </c>
      <c r="D21" s="50" t="n">
        <v>13189</v>
      </c>
      <c r="E21" s="50" t="s">
        <v>1357</v>
      </c>
      <c r="F21" s="70" t="n">
        <v>3750</v>
      </c>
      <c r="G21" s="70" t="n">
        <v>2625</v>
      </c>
      <c r="H21" s="70" t="n">
        <v>5625</v>
      </c>
      <c r="I21" s="70" t="n">
        <v>4125</v>
      </c>
      <c r="J21" s="70" t="n">
        <v>9375</v>
      </c>
      <c r="K21" s="70" t="n">
        <v>30000</v>
      </c>
      <c r="L21" s="70" t="n">
        <v>13125</v>
      </c>
      <c r="M21" s="70" t="n">
        <v>7500</v>
      </c>
      <c r="N21" s="70" t="n">
        <v>11250</v>
      </c>
      <c r="O21" s="70" t="n">
        <v>13125</v>
      </c>
      <c r="P21" s="70" t="n">
        <v>5625</v>
      </c>
      <c r="Q21" s="70" t="n">
        <v>18750</v>
      </c>
      <c r="R21" s="70" t="n">
        <v>13125</v>
      </c>
      <c r="S21" s="70" t="n">
        <v>18750</v>
      </c>
      <c r="T21" s="71" t="n">
        <v>0</v>
      </c>
      <c r="U21" s="70" t="n">
        <v>18750</v>
      </c>
      <c r="V21" s="50" t="s">
        <v>1909</v>
      </c>
      <c r="W21" s="51" t="n">
        <v>0.75</v>
      </c>
      <c r="X21" s="49" t="n">
        <v>0.15</v>
      </c>
      <c r="Y21" s="49" t="n">
        <v>0.2</v>
      </c>
      <c r="Z21" s="50"/>
      <c r="AA21" s="50"/>
      <c r="AB21" s="50"/>
      <c r="AC21" s="50"/>
      <c r="AD21" s="50"/>
      <c r="AE21" s="50"/>
      <c r="AF21" s="51" t="n">
        <f aca="false">IFERROR(ifs(E21="Tier 1",0.55,E21="Tier 2",0.45,E21="Tier 3",0.35,E21="Tier 4",0.25),0.35)</f>
        <v>0.35</v>
      </c>
      <c r="AG21" s="52" t="n">
        <v>1</v>
      </c>
      <c r="AH21" s="52" t="n">
        <v>1</v>
      </c>
      <c r="AI21" s="52" t="n">
        <v>1</v>
      </c>
      <c r="AJ21" s="53" t="n">
        <f aca="false">IFERROR(ROUND(Q21*AF21*AH21*AI21*AG21,0),0)</f>
        <v>6563</v>
      </c>
      <c r="AK21" s="39" t="str">
        <f aca="false">IF(COUNT(Z21,AA21,AB21,AC21,AD21,AE21)&gt;0,"estimated","pending")</f>
        <v>pending</v>
      </c>
      <c r="AL21" s="50"/>
    </row>
    <row r="22" customFormat="false" ht="15" hidden="false" customHeight="true" outlineLevel="0" collapsed="false">
      <c r="B22" s="50" t="n">
        <f aca="false">IF($C22="","",COUNTA($C$6:C22))</f>
        <v>17</v>
      </c>
      <c r="C22" s="50" t="s">
        <v>1924</v>
      </c>
      <c r="D22" s="50" t="n">
        <v>12733</v>
      </c>
      <c r="E22" s="50" t="s">
        <v>1357</v>
      </c>
      <c r="F22" s="70" t="n">
        <v>3750</v>
      </c>
      <c r="G22" s="70" t="n">
        <v>2625</v>
      </c>
      <c r="H22" s="70" t="n">
        <v>5625</v>
      </c>
      <c r="I22" s="70" t="n">
        <v>4125</v>
      </c>
      <c r="J22" s="70" t="n">
        <v>9375</v>
      </c>
      <c r="K22" s="70" t="n">
        <v>30000</v>
      </c>
      <c r="L22" s="70" t="n">
        <v>13125</v>
      </c>
      <c r="M22" s="70" t="n">
        <v>7500</v>
      </c>
      <c r="N22" s="70" t="n">
        <v>11250</v>
      </c>
      <c r="O22" s="70" t="n">
        <v>9375</v>
      </c>
      <c r="P22" s="70" t="n">
        <v>3750</v>
      </c>
      <c r="Q22" s="70" t="n">
        <v>18750</v>
      </c>
      <c r="R22" s="70" t="n">
        <v>13125</v>
      </c>
      <c r="S22" s="70" t="n">
        <v>18750</v>
      </c>
      <c r="T22" s="71" t="n">
        <v>0</v>
      </c>
      <c r="U22" s="70" t="n">
        <v>18750</v>
      </c>
      <c r="V22" s="50" t="s">
        <v>1909</v>
      </c>
      <c r="W22" s="51" t="n">
        <v>0.75</v>
      </c>
      <c r="X22" s="49" t="n">
        <v>0.15</v>
      </c>
      <c r="Y22" s="49" t="n">
        <v>0.2</v>
      </c>
      <c r="Z22" s="50"/>
      <c r="AA22" s="50"/>
      <c r="AB22" s="50"/>
      <c r="AC22" s="50"/>
      <c r="AD22" s="50"/>
      <c r="AE22" s="50"/>
      <c r="AF22" s="51" t="n">
        <f aca="false">IFERROR(ifs(E22="Tier 1",0.55,E22="Tier 2",0.45,E22="Tier 3",0.35,E22="Tier 4",0.25),0.35)</f>
        <v>0.35</v>
      </c>
      <c r="AG22" s="52" t="n">
        <v>1</v>
      </c>
      <c r="AH22" s="52" t="n">
        <v>1</v>
      </c>
      <c r="AI22" s="52" t="n">
        <v>1</v>
      </c>
      <c r="AJ22" s="53" t="n">
        <f aca="false">IFERROR(ROUND(Q22*AF22*AH22*AI22*AG22,0),0)</f>
        <v>6563</v>
      </c>
      <c r="AK22" s="39" t="str">
        <f aca="false">IF(COUNT(Z22,AA22,AB22,AC22,AD22,AE22)&gt;0,"estimated","pending")</f>
        <v>pending</v>
      </c>
      <c r="AL22" s="50"/>
    </row>
    <row r="24" customFormat="false" ht="3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customFormat="false" ht="15.75" hidden="false" customHeight="true" outlineLevel="0" collapsed="false">
      <c r="B25" s="31" t="s">
        <v>132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</row>
  </sheetData>
  <autoFilter ref="B5:AL22"/>
  <mergeCells count="8">
    <mergeCell ref="B2:J2"/>
    <mergeCell ref="B3:R3"/>
    <mergeCell ref="B4:E4"/>
    <mergeCell ref="F4:T4"/>
    <mergeCell ref="U4:Y4"/>
    <mergeCell ref="Z4:AE4"/>
    <mergeCell ref="AF4:AL4"/>
    <mergeCell ref="B25:R25"/>
  </mergeCells>
  <conditionalFormatting sqref="AK6:AK22">
    <cfRule type="expression" priority="2" aboveAverage="0" equalAverage="0" bottom="0" percent="0" rank="0" text="" dxfId="11">
      <formula>AK6="pending"</formula>
    </cfRule>
    <cfRule type="expression" priority="3" aboveAverage="0" equalAverage="0" bottom="0" percent="0" rank="0" text="" dxfId="12">
      <formula>AK6="estimated"</formula>
    </cfRule>
  </conditionalFormatting>
  <dataValidations count="1">
    <dataValidation allowBlank="true" errorStyle="stop" operator="between" showDropDown="false" showErrorMessage="false" showInputMessage="false" sqref="E6:E22" type="list">
      <formula1>'02_Lookups'!$B$7:$B$11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2"/>
    <col collapsed="false" customWidth="true" hidden="false" outlineLevel="0" max="5" min="5" style="1" width="20"/>
    <col collapsed="false" customWidth="true" hidden="false" outlineLevel="0" max="6" min="6" style="1" width="48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</row>
    <row r="2" customFormat="false" ht="27.75" hidden="false" customHeight="true" outlineLevel="0" collapsed="false">
      <c r="B2" s="23" t="s">
        <v>1925</v>
      </c>
      <c r="C2" s="23"/>
      <c r="D2" s="23"/>
      <c r="E2" s="23"/>
      <c r="F2" s="23"/>
    </row>
    <row r="3" customFormat="false" ht="18" hidden="false" customHeight="true" outlineLevel="0" collapsed="false">
      <c r="B3" s="24" t="s">
        <v>1926</v>
      </c>
      <c r="C3" s="24"/>
      <c r="D3" s="24"/>
      <c r="E3" s="24"/>
      <c r="F3" s="24"/>
    </row>
    <row r="4" customFormat="false" ht="3" hidden="false" customHeight="true" outlineLevel="0" collapsed="false">
      <c r="B4" s="2"/>
      <c r="C4" s="2"/>
      <c r="D4" s="2"/>
      <c r="E4" s="2"/>
      <c r="F4" s="2"/>
    </row>
    <row r="5" customFormat="false" ht="15" hidden="false" customHeight="true" outlineLevel="0" collapsed="false">
      <c r="B5" s="25" t="s">
        <v>1927</v>
      </c>
      <c r="C5" s="25"/>
      <c r="D5" s="25"/>
      <c r="E5" s="25"/>
      <c r="F5" s="25"/>
    </row>
    <row r="6" customFormat="false" ht="15" hidden="false" customHeight="true" outlineLevel="0" collapsed="false">
      <c r="B6" s="26" t="s">
        <v>1928</v>
      </c>
      <c r="C6" s="26" t="s">
        <v>1929</v>
      </c>
      <c r="D6" s="26" t="s">
        <v>439</v>
      </c>
      <c r="E6" s="26" t="s">
        <v>1930</v>
      </c>
      <c r="F6" s="26" t="s">
        <v>1931</v>
      </c>
    </row>
    <row r="7" customFormat="false" ht="23.25" hidden="false" customHeight="true" outlineLevel="0" collapsed="false">
      <c r="B7" s="72" t="s">
        <v>1932</v>
      </c>
      <c r="C7" s="36" t="s">
        <v>1933</v>
      </c>
      <c r="D7" s="36" t="s">
        <v>1934</v>
      </c>
      <c r="E7" s="36" t="s">
        <v>1935</v>
      </c>
      <c r="F7" s="36" t="s">
        <v>1936</v>
      </c>
    </row>
    <row r="8" customFormat="false" ht="23.25" hidden="false" customHeight="true" outlineLevel="0" collapsed="false">
      <c r="B8" s="72" t="s">
        <v>1937</v>
      </c>
      <c r="C8" s="36" t="s">
        <v>1938</v>
      </c>
      <c r="D8" s="36" t="s">
        <v>1939</v>
      </c>
      <c r="E8" s="36" t="s">
        <v>1940</v>
      </c>
      <c r="F8" s="36" t="s">
        <v>1941</v>
      </c>
    </row>
    <row r="9" customFormat="false" ht="23.25" hidden="false" customHeight="true" outlineLevel="0" collapsed="false">
      <c r="B9" s="72" t="s">
        <v>1942</v>
      </c>
      <c r="C9" s="36" t="s">
        <v>1943</v>
      </c>
      <c r="D9" s="36" t="s">
        <v>1944</v>
      </c>
      <c r="E9" s="36" t="s">
        <v>1945</v>
      </c>
      <c r="F9" s="36" t="s">
        <v>1946</v>
      </c>
    </row>
    <row r="10" customFormat="false" ht="23.25" hidden="false" customHeight="true" outlineLevel="0" collapsed="false">
      <c r="B10" s="72" t="s">
        <v>1947</v>
      </c>
      <c r="C10" s="36" t="s">
        <v>1948</v>
      </c>
      <c r="D10" s="36" t="s">
        <v>1949</v>
      </c>
      <c r="E10" s="36" t="s">
        <v>1950</v>
      </c>
      <c r="F10" s="36" t="s">
        <v>1951</v>
      </c>
    </row>
    <row r="11" customFormat="false" ht="23.25" hidden="false" customHeight="true" outlineLevel="0" collapsed="false">
      <c r="B11" s="72" t="s">
        <v>1952</v>
      </c>
      <c r="C11" s="36" t="s">
        <v>1953</v>
      </c>
      <c r="D11" s="36" t="s">
        <v>1954</v>
      </c>
      <c r="E11" s="36" t="s">
        <v>1955</v>
      </c>
      <c r="F11" s="36" t="s">
        <v>1956</v>
      </c>
    </row>
    <row r="12" customFormat="false" ht="23.25" hidden="false" customHeight="true" outlineLevel="0" collapsed="false">
      <c r="B12" s="72" t="s">
        <v>1957</v>
      </c>
      <c r="C12" s="36" t="s">
        <v>1958</v>
      </c>
      <c r="D12" s="36" t="s">
        <v>1959</v>
      </c>
      <c r="E12" s="36" t="s">
        <v>1960</v>
      </c>
      <c r="F12" s="36" t="s">
        <v>1961</v>
      </c>
    </row>
    <row r="13" customFormat="false" ht="23.25" hidden="false" customHeight="true" outlineLevel="0" collapsed="false">
      <c r="B13" s="72" t="s">
        <v>1962</v>
      </c>
      <c r="C13" s="36" t="s">
        <v>1351</v>
      </c>
      <c r="D13" s="36" t="s">
        <v>1963</v>
      </c>
      <c r="E13" s="36" t="s">
        <v>1964</v>
      </c>
      <c r="F13" s="36" t="s">
        <v>1965</v>
      </c>
    </row>
    <row r="14" customFormat="false" ht="23.25" hidden="false" customHeight="true" outlineLevel="0" collapsed="false">
      <c r="B14" s="72" t="s">
        <v>1966</v>
      </c>
      <c r="C14" s="36" t="s">
        <v>1967</v>
      </c>
      <c r="D14" s="36" t="s">
        <v>1968</v>
      </c>
      <c r="E14" s="36" t="s">
        <v>1969</v>
      </c>
      <c r="F14" s="36" t="s">
        <v>1970</v>
      </c>
    </row>
    <row r="15" customFormat="false" ht="23.25" hidden="false" customHeight="true" outlineLevel="0" collapsed="false">
      <c r="B15" s="72" t="s">
        <v>1971</v>
      </c>
      <c r="C15" s="36" t="s">
        <v>1972</v>
      </c>
      <c r="D15" s="36" t="s">
        <v>1973</v>
      </c>
      <c r="E15" s="36" t="s">
        <v>31</v>
      </c>
      <c r="F15" s="36" t="s">
        <v>1974</v>
      </c>
    </row>
    <row r="17" customFormat="false" ht="15" hidden="false" customHeight="true" outlineLevel="0" collapsed="false">
      <c r="B17" s="25" t="s">
        <v>1975</v>
      </c>
      <c r="C17" s="25"/>
      <c r="D17" s="25"/>
      <c r="E17" s="25"/>
      <c r="F17" s="25"/>
    </row>
    <row r="18" customFormat="false" ht="15" hidden="false" customHeight="true" outlineLevel="0" collapsed="false">
      <c r="B18" s="32" t="s">
        <v>1976</v>
      </c>
      <c r="C18" s="73" t="s">
        <v>1977</v>
      </c>
      <c r="D18" s="73"/>
      <c r="E18" s="73"/>
      <c r="F18" s="73"/>
    </row>
    <row r="19" customFormat="false" ht="15" hidden="false" customHeight="true" outlineLevel="0" collapsed="false">
      <c r="B19" s="32" t="s">
        <v>1978</v>
      </c>
      <c r="C19" s="73" t="s">
        <v>1979</v>
      </c>
      <c r="D19" s="73"/>
      <c r="E19" s="73"/>
      <c r="F19" s="73"/>
    </row>
    <row r="20" customFormat="false" ht="15" hidden="false" customHeight="true" outlineLevel="0" collapsed="false">
      <c r="B20" s="32" t="s">
        <v>1980</v>
      </c>
      <c r="C20" s="73" t="s">
        <v>1981</v>
      </c>
      <c r="D20" s="73"/>
      <c r="E20" s="73"/>
      <c r="F20" s="73"/>
    </row>
    <row r="21" customFormat="false" ht="15" hidden="false" customHeight="true" outlineLevel="0" collapsed="false">
      <c r="B21" s="32" t="s">
        <v>1982</v>
      </c>
      <c r="C21" s="73" t="s">
        <v>1983</v>
      </c>
      <c r="D21" s="73"/>
      <c r="E21" s="73"/>
      <c r="F21" s="73"/>
    </row>
    <row r="22" customFormat="false" ht="15" hidden="false" customHeight="true" outlineLevel="0" collapsed="false">
      <c r="B22" s="32" t="s">
        <v>1984</v>
      </c>
      <c r="C22" s="73" t="s">
        <v>1985</v>
      </c>
      <c r="D22" s="73"/>
      <c r="E22" s="73"/>
      <c r="F22" s="73"/>
    </row>
    <row r="23" customFormat="false" ht="15" hidden="false" customHeight="true" outlineLevel="0" collapsed="false">
      <c r="B23" s="32" t="s">
        <v>1986</v>
      </c>
      <c r="C23" s="73" t="s">
        <v>1987</v>
      </c>
      <c r="D23" s="73"/>
      <c r="E23" s="73"/>
      <c r="F23" s="73"/>
    </row>
    <row r="25" customFormat="false" ht="15" hidden="false" customHeight="true" outlineLevel="0" collapsed="false">
      <c r="B25" s="25" t="s">
        <v>1988</v>
      </c>
      <c r="C25" s="25"/>
      <c r="D25" s="25"/>
      <c r="E25" s="25"/>
      <c r="F25" s="25"/>
    </row>
    <row r="26" customFormat="false" ht="15" hidden="false" customHeight="true" outlineLevel="0" collapsed="false">
      <c r="B26" s="26" t="s">
        <v>446</v>
      </c>
      <c r="C26" s="26" t="s">
        <v>1989</v>
      </c>
      <c r="D26" s="26" t="s">
        <v>1990</v>
      </c>
      <c r="E26" s="26" t="s">
        <v>1991</v>
      </c>
      <c r="F26" s="26" t="s">
        <v>1992</v>
      </c>
    </row>
    <row r="27" customFormat="false" ht="15" hidden="false" customHeight="true" outlineLevel="0" collapsed="false">
      <c r="B27" s="27" t="s">
        <v>1276</v>
      </c>
      <c r="C27" s="74" t="s">
        <v>207</v>
      </c>
      <c r="D27" s="74" t="s">
        <v>207</v>
      </c>
      <c r="E27" s="74" t="s">
        <v>207</v>
      </c>
      <c r="F27" s="75" t="n">
        <v>1</v>
      </c>
    </row>
    <row r="28" customFormat="false" ht="15" hidden="false" customHeight="true" outlineLevel="0" collapsed="false">
      <c r="B28" s="27" t="s">
        <v>1280</v>
      </c>
      <c r="C28" s="74" t="s">
        <v>207</v>
      </c>
      <c r="D28" s="74" t="s">
        <v>207</v>
      </c>
      <c r="E28" s="74" t="s">
        <v>207</v>
      </c>
      <c r="F28" s="75" t="n">
        <v>1</v>
      </c>
    </row>
    <row r="29" customFormat="false" ht="15" hidden="false" customHeight="true" outlineLevel="0" collapsed="false">
      <c r="B29" s="27" t="s">
        <v>1282</v>
      </c>
      <c r="C29" s="75" t="n">
        <v>1.2</v>
      </c>
      <c r="D29" s="75" t="n">
        <v>1.3</v>
      </c>
      <c r="E29" s="75" t="n">
        <v>1.25</v>
      </c>
      <c r="F29" s="75" t="n">
        <v>0.9</v>
      </c>
    </row>
    <row r="30" customFormat="false" ht="15" hidden="false" customHeight="true" outlineLevel="0" collapsed="false">
      <c r="B30" s="27" t="s">
        <v>1286</v>
      </c>
      <c r="C30" s="75" t="n">
        <v>1</v>
      </c>
      <c r="D30" s="75" t="n">
        <v>1</v>
      </c>
      <c r="E30" s="75" t="n">
        <v>1</v>
      </c>
      <c r="F30" s="75" t="n">
        <v>0.75</v>
      </c>
    </row>
    <row r="32" customFormat="false" ht="21.75" hidden="false" customHeight="true" outlineLevel="0" collapsed="false">
      <c r="A32" s="76"/>
      <c r="B32" s="77" t="s">
        <v>1993</v>
      </c>
      <c r="C32" s="77"/>
      <c r="D32" s="77"/>
      <c r="E32" s="77"/>
      <c r="F32" s="77"/>
      <c r="G32" s="76"/>
    </row>
    <row r="33" customFormat="false" ht="15" hidden="false" customHeight="true" outlineLevel="0" collapsed="false">
      <c r="A33" s="76"/>
      <c r="B33" s="78" t="s">
        <v>1994</v>
      </c>
      <c r="C33" s="78"/>
      <c r="D33" s="78"/>
      <c r="E33" s="78"/>
      <c r="F33" s="78"/>
      <c r="G33" s="76"/>
    </row>
    <row r="34" customFormat="false" ht="15" hidden="false" customHeight="true" outlineLevel="0" collapsed="false">
      <c r="A34" s="76"/>
      <c r="B34" s="17"/>
      <c r="C34" s="79"/>
      <c r="D34" s="17"/>
      <c r="E34" s="13"/>
      <c r="F34" s="76"/>
      <c r="G34" s="76"/>
    </row>
    <row r="35" customFormat="false" ht="19.5" hidden="false" customHeight="true" outlineLevel="0" collapsed="false">
      <c r="A35" s="76"/>
      <c r="B35" s="80" t="s">
        <v>1995</v>
      </c>
      <c r="C35" s="81" t="s">
        <v>1996</v>
      </c>
      <c r="D35" s="80" t="s">
        <v>1997</v>
      </c>
      <c r="E35" s="80" t="s">
        <v>71</v>
      </c>
      <c r="F35" s="76"/>
      <c r="G35" s="76"/>
    </row>
    <row r="36" customFormat="false" ht="15" hidden="false" customHeight="true" outlineLevel="0" collapsed="false">
      <c r="A36" s="76"/>
      <c r="B36" s="82" t="s">
        <v>1998</v>
      </c>
      <c r="C36" s="82" t="s">
        <v>1999</v>
      </c>
      <c r="D36" s="83" t="s">
        <v>207</v>
      </c>
      <c r="E36" s="82" t="s">
        <v>2000</v>
      </c>
      <c r="F36" s="76"/>
      <c r="G36" s="76"/>
    </row>
    <row r="37" customFormat="false" ht="15" hidden="false" customHeight="true" outlineLevel="0" collapsed="false">
      <c r="A37" s="76"/>
      <c r="B37" s="84" t="s">
        <v>2001</v>
      </c>
      <c r="C37" s="84" t="s">
        <v>2002</v>
      </c>
      <c r="D37" s="85" t="s">
        <v>2003</v>
      </c>
      <c r="E37" s="84" t="s">
        <v>2004</v>
      </c>
      <c r="F37" s="76"/>
      <c r="G37" s="76"/>
    </row>
    <row r="38" customFormat="false" ht="15" hidden="false" customHeight="true" outlineLevel="0" collapsed="false">
      <c r="A38" s="76"/>
      <c r="B38" s="82" t="s">
        <v>2005</v>
      </c>
      <c r="C38" s="82" t="s">
        <v>2006</v>
      </c>
      <c r="D38" s="86" t="s">
        <v>2007</v>
      </c>
      <c r="E38" s="82" t="s">
        <v>2008</v>
      </c>
      <c r="F38" s="76"/>
      <c r="G38" s="76"/>
    </row>
    <row r="39" customFormat="false" ht="15" hidden="false" customHeight="true" outlineLevel="0" collapsed="false">
      <c r="A39" s="76"/>
      <c r="B39" s="84" t="s">
        <v>1933</v>
      </c>
      <c r="C39" s="84" t="s">
        <v>2009</v>
      </c>
      <c r="D39" s="85" t="s">
        <v>2010</v>
      </c>
      <c r="E39" s="84" t="s">
        <v>2011</v>
      </c>
      <c r="F39" s="76"/>
      <c r="G39" s="76"/>
    </row>
    <row r="40" customFormat="false" ht="15" hidden="false" customHeight="true" outlineLevel="0" collapsed="false">
      <c r="A40" s="76"/>
      <c r="B40" s="82" t="s">
        <v>2012</v>
      </c>
      <c r="C40" s="82" t="s">
        <v>160</v>
      </c>
      <c r="D40" s="86" t="s">
        <v>2013</v>
      </c>
      <c r="E40" s="82"/>
      <c r="F40" s="76"/>
      <c r="G40" s="76"/>
    </row>
    <row r="41" customFormat="false" ht="15" hidden="false" customHeight="true" outlineLevel="0" collapsed="false">
      <c r="A41" s="76"/>
      <c r="B41" s="84" t="s">
        <v>2014</v>
      </c>
      <c r="C41" s="84" t="s">
        <v>169</v>
      </c>
      <c r="D41" s="85" t="s">
        <v>2015</v>
      </c>
      <c r="E41" s="84" t="s">
        <v>2016</v>
      </c>
      <c r="F41" s="76"/>
      <c r="G41" s="76"/>
    </row>
    <row r="42" customFormat="false" ht="15" hidden="false" customHeight="true" outlineLevel="0" collapsed="false">
      <c r="A42" s="76"/>
      <c r="B42" s="82" t="s">
        <v>2017</v>
      </c>
      <c r="C42" s="82" t="s">
        <v>174</v>
      </c>
      <c r="D42" s="86" t="s">
        <v>2018</v>
      </c>
      <c r="E42" s="82"/>
      <c r="F42" s="76"/>
      <c r="G42" s="76"/>
    </row>
    <row r="43" customFormat="false" ht="15" hidden="false" customHeight="true" outlineLevel="0" collapsed="false">
      <c r="A43" s="76"/>
      <c r="B43" s="84" t="s">
        <v>2019</v>
      </c>
      <c r="C43" s="84" t="s">
        <v>181</v>
      </c>
      <c r="D43" s="85" t="s">
        <v>2018</v>
      </c>
      <c r="E43" s="84"/>
      <c r="F43" s="76"/>
      <c r="G43" s="76"/>
    </row>
    <row r="44" customFormat="false" ht="15" hidden="false" customHeight="true" outlineLevel="0" collapsed="false">
      <c r="A44" s="76"/>
      <c r="B44" s="82" t="s">
        <v>1958</v>
      </c>
      <c r="C44" s="82" t="s">
        <v>185</v>
      </c>
      <c r="D44" s="86" t="s">
        <v>2020</v>
      </c>
      <c r="E44" s="82"/>
      <c r="F44" s="76"/>
      <c r="G44" s="76"/>
    </row>
    <row r="45" customFormat="false" ht="15" hidden="false" customHeight="true" outlineLevel="0" collapsed="false">
      <c r="A45" s="76"/>
      <c r="B45" s="84" t="s">
        <v>362</v>
      </c>
      <c r="C45" s="84" t="s">
        <v>192</v>
      </c>
      <c r="D45" s="85" t="s">
        <v>2010</v>
      </c>
      <c r="E45" s="84"/>
      <c r="F45" s="76"/>
      <c r="G45" s="76"/>
    </row>
    <row r="46" customFormat="false" ht="15" hidden="false" customHeight="true" outlineLevel="0" collapsed="false">
      <c r="A46" s="76"/>
      <c r="B46" s="82" t="s">
        <v>446</v>
      </c>
      <c r="C46" s="87" t="s">
        <v>2021</v>
      </c>
      <c r="D46" s="83" t="s">
        <v>2022</v>
      </c>
      <c r="E46" s="82" t="s">
        <v>2023</v>
      </c>
      <c r="F46" s="76"/>
      <c r="G46" s="76"/>
    </row>
    <row r="47" customFormat="false" ht="15" hidden="false" customHeight="false" outlineLevel="0" collapsed="false">
      <c r="A47" s="76"/>
      <c r="B47" s="84" t="s">
        <v>2024</v>
      </c>
      <c r="C47" s="84" t="s">
        <v>2025</v>
      </c>
      <c r="D47" s="88" t="s">
        <v>2026</v>
      </c>
      <c r="E47" s="84"/>
      <c r="F47" s="76"/>
      <c r="G47" s="76"/>
    </row>
    <row r="48" customFormat="false" ht="15" hidden="false" customHeight="true" outlineLevel="0" collapsed="false">
      <c r="A48" s="76"/>
      <c r="B48" s="82" t="s">
        <v>2027</v>
      </c>
      <c r="C48" s="82" t="s">
        <v>2028</v>
      </c>
      <c r="D48" s="83" t="s">
        <v>2029</v>
      </c>
      <c r="E48" s="82"/>
      <c r="F48" s="76"/>
      <c r="G48" s="76"/>
    </row>
    <row r="49" customFormat="false" ht="15" hidden="false" customHeight="true" outlineLevel="0" collapsed="false">
      <c r="A49" s="76"/>
      <c r="B49" s="84" t="s">
        <v>1967</v>
      </c>
      <c r="C49" s="84" t="s">
        <v>2030</v>
      </c>
      <c r="D49" s="88" t="s">
        <v>2031</v>
      </c>
      <c r="E49" s="84"/>
      <c r="F49" s="76"/>
      <c r="G49" s="76"/>
    </row>
    <row r="50" customFormat="false" ht="21.75" hidden="false" customHeight="true" outlineLevel="0" collapsed="false">
      <c r="A50" s="76"/>
      <c r="B50" s="89" t="s">
        <v>2032</v>
      </c>
      <c r="C50" s="90" t="s">
        <v>2033</v>
      </c>
      <c r="D50" s="91" t="s">
        <v>2029</v>
      </c>
      <c r="E50" s="89"/>
      <c r="F50" s="76"/>
      <c r="G50" s="76"/>
    </row>
    <row r="51" customFormat="false" ht="21.75" hidden="false" customHeight="true" outlineLevel="0" collapsed="false">
      <c r="A51" s="76"/>
      <c r="B51" s="92" t="s">
        <v>2034</v>
      </c>
      <c r="C51" s="93" t="s">
        <v>2035</v>
      </c>
      <c r="D51" s="94" t="s">
        <v>2036</v>
      </c>
      <c r="E51" s="92"/>
      <c r="F51" s="76"/>
      <c r="G51" s="76"/>
    </row>
    <row r="52" customFormat="false" ht="21.75" hidden="false" customHeight="true" outlineLevel="0" collapsed="false">
      <c r="A52" s="76"/>
      <c r="B52" s="82" t="s">
        <v>2037</v>
      </c>
      <c r="C52" s="95" t="s">
        <v>2038</v>
      </c>
      <c r="D52" s="83" t="s">
        <v>2039</v>
      </c>
      <c r="E52" s="82" t="s">
        <v>2040</v>
      </c>
      <c r="F52" s="76"/>
      <c r="G52" s="76"/>
    </row>
    <row r="53" customFormat="false" ht="21.75" hidden="false" customHeight="true" outlineLevel="0" collapsed="false">
      <c r="A53" s="76"/>
      <c r="B53" s="96" t="s">
        <v>2041</v>
      </c>
      <c r="C53" s="97" t="s">
        <v>2042</v>
      </c>
      <c r="D53" s="98" t="s">
        <v>2043</v>
      </c>
      <c r="E53" s="96" t="s">
        <v>2044</v>
      </c>
      <c r="F53" s="76"/>
      <c r="G53" s="76"/>
    </row>
    <row r="54" customFormat="false" ht="32.25" hidden="false" customHeight="true" outlineLevel="0" collapsed="false">
      <c r="A54" s="76"/>
      <c r="B54" s="17"/>
      <c r="C54" s="99"/>
      <c r="D54" s="13"/>
      <c r="E54" s="17"/>
      <c r="F54" s="76"/>
      <c r="G54" s="76"/>
    </row>
    <row r="55" customFormat="false" ht="32.25" hidden="false" customHeight="true" outlineLevel="0" collapsed="false">
      <c r="A55" s="76"/>
      <c r="B55" s="17"/>
      <c r="C55" s="99"/>
      <c r="D55" s="13"/>
      <c r="E55" s="17"/>
      <c r="F55" s="76"/>
      <c r="G55" s="76"/>
    </row>
    <row r="56" customFormat="false" ht="15" hidden="false" customHeight="true" outlineLevel="0" collapsed="false">
      <c r="A56" s="76"/>
      <c r="B56" s="78" t="s">
        <v>2045</v>
      </c>
      <c r="C56" s="78"/>
      <c r="D56" s="78"/>
      <c r="E56" s="78"/>
      <c r="F56" s="78"/>
      <c r="G56" s="76"/>
    </row>
    <row r="57" customFormat="false" ht="21.75" hidden="false" customHeight="true" outlineLevel="0" collapsed="false">
      <c r="A57" s="76"/>
      <c r="B57" s="17"/>
      <c r="C57" s="99"/>
      <c r="D57" s="13"/>
      <c r="E57" s="17"/>
      <c r="F57" s="76"/>
      <c r="G57" s="76"/>
    </row>
    <row r="58" customFormat="false" ht="21.75" hidden="false" customHeight="true" outlineLevel="0" collapsed="false">
      <c r="A58" s="76"/>
      <c r="B58" s="17"/>
      <c r="C58" s="99"/>
      <c r="D58" s="13"/>
      <c r="E58" s="17"/>
      <c r="F58" s="76"/>
      <c r="G58" s="76"/>
    </row>
    <row r="59" customFormat="false" ht="15" hidden="false" customHeight="false" outlineLevel="0" collapsed="false">
      <c r="A59" s="76"/>
      <c r="B59" s="76"/>
      <c r="C59" s="76"/>
      <c r="D59" s="76"/>
      <c r="E59" s="76"/>
      <c r="F59" s="76"/>
      <c r="G59" s="76"/>
    </row>
    <row r="60" customFormat="false" ht="3.75" hidden="false" customHeight="true" outlineLevel="0" collapsed="false">
      <c r="A60" s="17"/>
      <c r="B60" s="17"/>
      <c r="C60" s="17"/>
      <c r="D60" s="17"/>
      <c r="E60" s="17"/>
      <c r="F60" s="17"/>
      <c r="G60" s="76"/>
    </row>
    <row r="61" customFormat="false" ht="15.75" hidden="false" customHeight="true" outlineLevel="0" collapsed="false">
      <c r="B61" s="100" t="s">
        <v>132</v>
      </c>
    </row>
  </sheetData>
  <mergeCells count="14">
    <mergeCell ref="B2:F2"/>
    <mergeCell ref="B3:F3"/>
    <mergeCell ref="B5:F5"/>
    <mergeCell ref="B17:F17"/>
    <mergeCell ref="C18:F18"/>
    <mergeCell ref="C19:F19"/>
    <mergeCell ref="C20:F20"/>
    <mergeCell ref="C21:F21"/>
    <mergeCell ref="C22:F22"/>
    <mergeCell ref="C23:F23"/>
    <mergeCell ref="B25:F25"/>
    <mergeCell ref="B32:F32"/>
    <mergeCell ref="B33:F33"/>
    <mergeCell ref="B56:F56"/>
  </mergeCells>
  <dataValidations count="9">
    <dataValidation allowBlank="true" errorStyle="stop" operator="between" showDropDown="false" showErrorMessage="false" showInputMessage="false" sqref="C37" type="list">
      <formula1>'02_Lookups'!$B$15:$B$20</formula1>
      <formula2>0</formula2>
    </dataValidation>
    <dataValidation allowBlank="true" errorStyle="stop" operator="between" showDropDown="false" showErrorMessage="false" showInputMessage="false" sqref="C38" type="list">
      <formula1>'02_Lookups'!$B$24:$B$31</formula1>
      <formula2>0</formula2>
    </dataValidation>
    <dataValidation allowBlank="true" errorStyle="stop" operator="between" showDropDown="false" showErrorMessage="false" showInputMessage="false" sqref="C39" type="list">
      <formula1>'02_Lookups'!$B$35:$B$37</formula1>
      <formula2>0</formula2>
    </dataValidation>
    <dataValidation allowBlank="true" errorStyle="stop" operator="between" showDropDown="false" showErrorMessage="false" showInputMessage="false" sqref="C40" type="list">
      <formula1>'02_Lookups'!$B$41:$B$44</formula1>
      <formula2>0</formula2>
    </dataValidation>
    <dataValidation allowBlank="true" errorStyle="stop" operator="between" showDropDown="false" showErrorMessage="false" showInputMessage="false" sqref="C41" type="list">
      <formula1>'02_Lookups'!$B$48:$B$51</formula1>
      <formula2>0</formula2>
    </dataValidation>
    <dataValidation allowBlank="true" errorStyle="stop" operator="between" showDropDown="false" showErrorMessage="false" showInputMessage="false" sqref="C42" type="list">
      <formula1>'02_Lookups'!$B$55:$B$62</formula1>
      <formula2>0</formula2>
    </dataValidation>
    <dataValidation allowBlank="true" errorStyle="stop" operator="between" showDropDown="false" showErrorMessage="false" showInputMessage="false" sqref="C43" type="list">
      <formula1>'02_Lookups'!$B$66:$B$67</formula1>
      <formula2>0</formula2>
    </dataValidation>
    <dataValidation allowBlank="true" errorStyle="stop" operator="between" showDropDown="false" showErrorMessage="false" showInputMessage="false" sqref="C44" type="list">
      <formula1>'02_Lookups'!$B$71:$B$74</formula1>
      <formula2>0</formula2>
    </dataValidation>
    <dataValidation allowBlank="true" errorStyle="stop" operator="between" showDropDown="false" showErrorMessage="false" showInputMessage="false" sqref="C45" type="list">
      <formula1>'02_Lookups'!$B$78:$B$82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52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</row>
    <row r="2" customFormat="false" ht="27.75" hidden="false" customHeight="true" outlineLevel="0" collapsed="false">
      <c r="B2" s="23" t="s">
        <v>2046</v>
      </c>
      <c r="C2" s="23"/>
      <c r="D2" s="23"/>
      <c r="E2" s="23"/>
      <c r="F2" s="23"/>
    </row>
    <row r="3" customFormat="false" ht="18" hidden="false" customHeight="true" outlineLevel="0" collapsed="false">
      <c r="B3" s="24" t="s">
        <v>2047</v>
      </c>
      <c r="C3" s="24"/>
      <c r="D3" s="24"/>
      <c r="E3" s="24"/>
      <c r="F3" s="24"/>
    </row>
    <row r="4" customFormat="false" ht="3" hidden="false" customHeight="true" outlineLevel="0" collapsed="false">
      <c r="B4" s="2"/>
      <c r="C4" s="2"/>
      <c r="D4" s="2"/>
      <c r="E4" s="2"/>
      <c r="F4" s="2"/>
    </row>
    <row r="5" customFormat="false" ht="15" hidden="false" customHeight="true" outlineLevel="0" collapsed="false">
      <c r="B5" s="25" t="s">
        <v>2048</v>
      </c>
      <c r="C5" s="25"/>
      <c r="D5" s="25"/>
      <c r="E5" s="25"/>
      <c r="F5" s="25"/>
    </row>
    <row r="6" customFormat="false" ht="15" hidden="false" customHeight="true" outlineLevel="0" collapsed="false">
      <c r="B6" s="26" t="s">
        <v>2049</v>
      </c>
      <c r="C6" s="26" t="s">
        <v>2050</v>
      </c>
      <c r="D6" s="26" t="s">
        <v>2051</v>
      </c>
      <c r="E6" s="26" t="s">
        <v>2052</v>
      </c>
      <c r="F6" s="26" t="s">
        <v>2053</v>
      </c>
    </row>
    <row r="7" customFormat="false" ht="15" hidden="false" customHeight="true" outlineLevel="0" collapsed="false">
      <c r="B7" s="72" t="s">
        <v>2054</v>
      </c>
      <c r="C7" s="101" t="n">
        <v>0</v>
      </c>
      <c r="D7" s="36" t="s">
        <v>207</v>
      </c>
      <c r="E7" s="36" t="s">
        <v>207</v>
      </c>
      <c r="F7" s="36" t="s">
        <v>2055</v>
      </c>
    </row>
    <row r="8" customFormat="false" ht="15" hidden="false" customHeight="true" outlineLevel="0" collapsed="false">
      <c r="B8" s="72" t="s">
        <v>2056</v>
      </c>
      <c r="C8" s="101" t="n">
        <v>0.25</v>
      </c>
      <c r="D8" s="36" t="s">
        <v>321</v>
      </c>
      <c r="E8" s="36" t="s">
        <v>2057</v>
      </c>
      <c r="F8" s="36" t="s">
        <v>2058</v>
      </c>
    </row>
    <row r="9" customFormat="false" ht="15" hidden="false" customHeight="true" outlineLevel="0" collapsed="false">
      <c r="B9" s="72" t="s">
        <v>2059</v>
      </c>
      <c r="C9" s="101" t="n">
        <v>0.4</v>
      </c>
      <c r="D9" s="36" t="s">
        <v>321</v>
      </c>
      <c r="E9" s="36" t="s">
        <v>2060</v>
      </c>
      <c r="F9" s="36" t="s">
        <v>2061</v>
      </c>
    </row>
    <row r="10" customFormat="false" ht="15" hidden="false" customHeight="true" outlineLevel="0" collapsed="false">
      <c r="B10" s="72" t="s">
        <v>2062</v>
      </c>
      <c r="C10" s="101" t="n">
        <v>0.6</v>
      </c>
      <c r="D10" s="36" t="s">
        <v>321</v>
      </c>
      <c r="E10" s="36" t="s">
        <v>2063</v>
      </c>
      <c r="F10" s="36" t="s">
        <v>2064</v>
      </c>
    </row>
    <row r="11" customFormat="false" ht="15" hidden="false" customHeight="true" outlineLevel="0" collapsed="false">
      <c r="B11" s="72" t="s">
        <v>2065</v>
      </c>
      <c r="C11" s="101" t="n">
        <v>0.45</v>
      </c>
      <c r="D11" s="36" t="s">
        <v>2066</v>
      </c>
      <c r="E11" s="36" t="s">
        <v>2063</v>
      </c>
      <c r="F11" s="36" t="s">
        <v>2067</v>
      </c>
    </row>
    <row r="12" customFormat="false" ht="15" hidden="false" customHeight="true" outlineLevel="0" collapsed="false">
      <c r="B12" s="72" t="s">
        <v>2068</v>
      </c>
      <c r="C12" s="101" t="n">
        <v>0.9</v>
      </c>
      <c r="D12" s="36" t="s">
        <v>2066</v>
      </c>
      <c r="E12" s="36" t="s">
        <v>2063</v>
      </c>
      <c r="F12" s="36" t="s">
        <v>2069</v>
      </c>
    </row>
    <row r="13" customFormat="false" ht="15" hidden="false" customHeight="true" outlineLevel="0" collapsed="false">
      <c r="B13" s="72" t="s">
        <v>2070</v>
      </c>
      <c r="C13" s="101" t="n">
        <v>0.3</v>
      </c>
      <c r="D13" s="36" t="s">
        <v>268</v>
      </c>
      <c r="E13" s="36" t="s">
        <v>2071</v>
      </c>
      <c r="F13" s="36" t="s">
        <v>2072</v>
      </c>
    </row>
    <row r="14" customFormat="false" ht="15" hidden="false" customHeight="true" outlineLevel="0" collapsed="false">
      <c r="B14" s="72" t="s">
        <v>2073</v>
      </c>
      <c r="C14" s="101" t="n">
        <v>0.55</v>
      </c>
      <c r="D14" s="36" t="s">
        <v>268</v>
      </c>
      <c r="E14" s="36" t="s">
        <v>2074</v>
      </c>
      <c r="F14" s="36" t="s">
        <v>2072</v>
      </c>
    </row>
    <row r="15" customFormat="false" ht="15" hidden="false" customHeight="true" outlineLevel="0" collapsed="false">
      <c r="B15" s="72" t="s">
        <v>2075</v>
      </c>
      <c r="C15" s="101" t="n">
        <v>0.35</v>
      </c>
      <c r="D15" s="36" t="s">
        <v>207</v>
      </c>
      <c r="E15" s="36" t="s">
        <v>2063</v>
      </c>
      <c r="F15" s="36" t="s">
        <v>2076</v>
      </c>
    </row>
    <row r="16" customFormat="false" ht="15" hidden="false" customHeight="true" outlineLevel="0" collapsed="false">
      <c r="B16" s="72" t="s">
        <v>2077</v>
      </c>
      <c r="C16" s="101" t="n">
        <v>0.65</v>
      </c>
      <c r="D16" s="36" t="s">
        <v>207</v>
      </c>
      <c r="E16" s="36" t="s">
        <v>2071</v>
      </c>
      <c r="F16" s="36" t="s">
        <v>2078</v>
      </c>
    </row>
    <row r="17" customFormat="false" ht="15" hidden="false" customHeight="true" outlineLevel="0" collapsed="false">
      <c r="B17" s="72" t="s">
        <v>2079</v>
      </c>
      <c r="C17" s="101" t="n">
        <v>1</v>
      </c>
      <c r="D17" s="36" t="s">
        <v>207</v>
      </c>
      <c r="E17" s="36" t="s">
        <v>2074</v>
      </c>
      <c r="F17" s="36" t="s">
        <v>2080</v>
      </c>
    </row>
    <row r="18" customFormat="false" ht="23.25" hidden="false" customHeight="true" outlineLevel="0" collapsed="false">
      <c r="B18" s="72" t="s">
        <v>2081</v>
      </c>
      <c r="C18" s="101" t="n">
        <v>1.5</v>
      </c>
      <c r="D18" s="36" t="s">
        <v>207</v>
      </c>
      <c r="E18" s="36" t="s">
        <v>2071</v>
      </c>
      <c r="F18" s="36" t="s">
        <v>2082</v>
      </c>
    </row>
    <row r="19" customFormat="false" ht="15" hidden="false" customHeight="true" outlineLevel="0" collapsed="false">
      <c r="B19" s="72" t="s">
        <v>2083</v>
      </c>
      <c r="C19" s="101" t="n">
        <v>0.25</v>
      </c>
      <c r="D19" s="36" t="s">
        <v>207</v>
      </c>
      <c r="E19" s="36" t="s">
        <v>207</v>
      </c>
      <c r="F19" s="36" t="s">
        <v>2084</v>
      </c>
    </row>
    <row r="20" customFormat="false" ht="15" hidden="false" customHeight="true" outlineLevel="0" collapsed="false">
      <c r="B20" s="72" t="s">
        <v>2085</v>
      </c>
      <c r="C20" s="101" t="n">
        <v>0.4</v>
      </c>
      <c r="D20" s="36" t="s">
        <v>207</v>
      </c>
      <c r="E20" s="36" t="s">
        <v>207</v>
      </c>
      <c r="F20" s="36" t="s">
        <v>2086</v>
      </c>
    </row>
    <row r="21" customFormat="false" ht="15" hidden="false" customHeight="true" outlineLevel="0" collapsed="false">
      <c r="B21" s="72" t="s">
        <v>2087</v>
      </c>
      <c r="C21" s="101" t="n">
        <v>0.3</v>
      </c>
      <c r="D21" s="36" t="s">
        <v>207</v>
      </c>
      <c r="E21" s="36" t="s">
        <v>2088</v>
      </c>
      <c r="F21" s="36" t="s">
        <v>2089</v>
      </c>
    </row>
    <row r="22" customFormat="false" ht="15" hidden="false" customHeight="true" outlineLevel="0" collapsed="false">
      <c r="B22" s="72" t="s">
        <v>2090</v>
      </c>
      <c r="C22" s="101" t="n">
        <v>0.35</v>
      </c>
      <c r="D22" s="36" t="s">
        <v>207</v>
      </c>
      <c r="E22" s="36" t="s">
        <v>2088</v>
      </c>
      <c r="F22" s="36" t="s">
        <v>2091</v>
      </c>
    </row>
    <row r="23" customFormat="false" ht="15" hidden="false" customHeight="true" outlineLevel="0" collapsed="false">
      <c r="B23" s="72" t="s">
        <v>2092</v>
      </c>
      <c r="C23" s="101" t="n">
        <v>0.8</v>
      </c>
      <c r="D23" s="36" t="s">
        <v>2066</v>
      </c>
      <c r="E23" s="36" t="s">
        <v>2063</v>
      </c>
      <c r="F23" s="36" t="s">
        <v>2093</v>
      </c>
    </row>
    <row r="24" customFormat="false" ht="15" hidden="false" customHeight="true" outlineLevel="0" collapsed="false">
      <c r="B24" s="72" t="s">
        <v>2094</v>
      </c>
      <c r="C24" s="101" t="n">
        <v>0.05</v>
      </c>
      <c r="D24" s="36" t="s">
        <v>207</v>
      </c>
      <c r="E24" s="36" t="s">
        <v>207</v>
      </c>
      <c r="F24" s="36" t="s">
        <v>2095</v>
      </c>
    </row>
    <row r="26" customFormat="false" ht="15" hidden="false" customHeight="true" outlineLevel="0" collapsed="false">
      <c r="B26" s="25" t="s">
        <v>2096</v>
      </c>
      <c r="C26" s="25"/>
      <c r="D26" s="25"/>
      <c r="E26" s="25"/>
      <c r="F26" s="25"/>
    </row>
    <row r="27" customFormat="false" ht="15" hidden="false" customHeight="true" outlineLevel="0" collapsed="false">
      <c r="B27" s="26" t="s">
        <v>2097</v>
      </c>
      <c r="C27" s="26" t="s">
        <v>2050</v>
      </c>
      <c r="D27" s="26" t="s">
        <v>2098</v>
      </c>
      <c r="E27" s="26" t="s">
        <v>2051</v>
      </c>
      <c r="F27" s="26" t="s">
        <v>71</v>
      </c>
    </row>
    <row r="28" customFormat="false" ht="15" hidden="false" customHeight="true" outlineLevel="0" collapsed="false">
      <c r="B28" s="36" t="s">
        <v>2099</v>
      </c>
      <c r="C28" s="101" t="n">
        <v>0</v>
      </c>
      <c r="D28" s="36" t="s">
        <v>2100</v>
      </c>
      <c r="E28" s="36" t="s">
        <v>207</v>
      </c>
      <c r="F28" s="36" t="s">
        <v>2101</v>
      </c>
    </row>
    <row r="29" customFormat="false" ht="23.25" hidden="false" customHeight="true" outlineLevel="0" collapsed="false">
      <c r="B29" s="36" t="s">
        <v>2102</v>
      </c>
      <c r="C29" s="101" t="n">
        <v>0.25</v>
      </c>
      <c r="D29" s="36" t="s">
        <v>2103</v>
      </c>
      <c r="E29" s="36" t="s">
        <v>321</v>
      </c>
      <c r="F29" s="36" t="s">
        <v>2104</v>
      </c>
    </row>
    <row r="30" customFormat="false" ht="23.25" hidden="false" customHeight="true" outlineLevel="0" collapsed="false">
      <c r="B30" s="36" t="s">
        <v>2105</v>
      </c>
      <c r="C30" s="101" t="n">
        <v>0.7</v>
      </c>
      <c r="D30" s="36" t="s">
        <v>2106</v>
      </c>
      <c r="E30" s="36" t="s">
        <v>2066</v>
      </c>
      <c r="F30" s="36" t="s">
        <v>2107</v>
      </c>
    </row>
    <row r="31" customFormat="false" ht="23.25" hidden="false" customHeight="true" outlineLevel="0" collapsed="false">
      <c r="B31" s="36" t="s">
        <v>2108</v>
      </c>
      <c r="C31" s="101" t="n">
        <v>1.25</v>
      </c>
      <c r="D31" s="36" t="s">
        <v>2109</v>
      </c>
      <c r="E31" s="36" t="s">
        <v>2066</v>
      </c>
      <c r="F31" s="36" t="s">
        <v>2110</v>
      </c>
    </row>
    <row r="32" customFormat="false" ht="34.5" hidden="false" customHeight="true" outlineLevel="0" collapsed="false">
      <c r="B32" s="36" t="s">
        <v>2111</v>
      </c>
      <c r="C32" s="101" t="n">
        <v>1.85</v>
      </c>
      <c r="D32" s="36" t="s">
        <v>2112</v>
      </c>
      <c r="E32" s="36" t="s">
        <v>2066</v>
      </c>
      <c r="F32" s="36" t="s">
        <v>2113</v>
      </c>
    </row>
    <row r="34" customFormat="false" ht="3.75" hidden="false" customHeight="true" outlineLevel="0" collapsed="false">
      <c r="A34" s="2"/>
      <c r="B34" s="2"/>
      <c r="C34" s="2"/>
      <c r="D34" s="2"/>
      <c r="E34" s="2"/>
      <c r="F34" s="2"/>
    </row>
    <row r="35" customFormat="false" ht="15.75" hidden="false" customHeight="true" outlineLevel="0" collapsed="false">
      <c r="B35" s="31" t="s">
        <v>132</v>
      </c>
      <c r="C35" s="31"/>
      <c r="D35" s="31"/>
      <c r="E35" s="31"/>
      <c r="F35" s="31"/>
    </row>
  </sheetData>
  <mergeCells count="5">
    <mergeCell ref="B2:F2"/>
    <mergeCell ref="B3:F3"/>
    <mergeCell ref="B5:F5"/>
    <mergeCell ref="B26:F26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6" min="6" style="1" width="2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</row>
    <row r="2" customFormat="false" ht="27.75" hidden="false" customHeight="true" outlineLevel="0" collapsed="false">
      <c r="B2" s="23" t="s">
        <v>2114</v>
      </c>
      <c r="C2" s="23"/>
      <c r="D2" s="23"/>
      <c r="E2" s="23"/>
    </row>
    <row r="3" customFormat="false" ht="27.75" hidden="false" customHeight="true" outlineLevel="0" collapsed="false">
      <c r="B3" s="24" t="s">
        <v>2115</v>
      </c>
      <c r="C3" s="24"/>
      <c r="D3" s="24"/>
      <c r="E3" s="24"/>
    </row>
    <row r="4" customFormat="false" ht="3" hidden="false" customHeight="true" outlineLevel="0" collapsed="false">
      <c r="B4" s="2"/>
      <c r="C4" s="2"/>
      <c r="D4" s="2"/>
      <c r="E4" s="2"/>
    </row>
    <row r="5" customFormat="false" ht="21.75" hidden="false" customHeight="true" outlineLevel="0" collapsed="false">
      <c r="B5" s="77" t="s">
        <v>2116</v>
      </c>
      <c r="C5" s="77"/>
      <c r="D5" s="77"/>
      <c r="E5" s="77"/>
      <c r="F5" s="77"/>
    </row>
    <row r="6" customFormat="false" ht="19.5" hidden="false" customHeight="true" outlineLevel="0" collapsed="false">
      <c r="B6" s="102" t="s">
        <v>2117</v>
      </c>
      <c r="C6" s="102" t="s">
        <v>70</v>
      </c>
      <c r="D6" s="102" t="s">
        <v>2118</v>
      </c>
      <c r="E6" s="102" t="s">
        <v>266</v>
      </c>
      <c r="F6" s="103"/>
    </row>
    <row r="7" customFormat="false" ht="19.5" hidden="false" customHeight="true" outlineLevel="0" collapsed="false">
      <c r="B7" s="104" t="s">
        <v>2119</v>
      </c>
      <c r="C7" s="105" t="s">
        <v>208</v>
      </c>
      <c r="D7" s="106"/>
      <c r="E7" s="107" t="s">
        <v>2120</v>
      </c>
      <c r="F7" s="103"/>
    </row>
    <row r="8" customFormat="false" ht="19.5" hidden="false" customHeight="true" outlineLevel="0" collapsed="false">
      <c r="B8" s="104" t="s">
        <v>2121</v>
      </c>
      <c r="C8" s="105" t="s">
        <v>474</v>
      </c>
      <c r="D8" s="106"/>
      <c r="E8" s="107" t="s">
        <v>2122</v>
      </c>
      <c r="F8" s="103"/>
    </row>
    <row r="9" customFormat="false" ht="19.5" hidden="false" customHeight="true" outlineLevel="0" collapsed="false">
      <c r="B9" s="104" t="s">
        <v>2123</v>
      </c>
      <c r="C9" s="108" t="str">
        <f aca="false">IF($C$7="Player",IFERROR(VLOOKUP($C$8,'20_Player_Rate_Card'!$C$6:$I$500,2,FALSE()),"—"),"Creator")</f>
        <v>Player</v>
      </c>
      <c r="D9" s="106"/>
      <c r="E9" s="107" t="s">
        <v>2124</v>
      </c>
      <c r="F9" s="103"/>
    </row>
    <row r="10" customFormat="false" ht="19.5" hidden="false" customHeight="true" outlineLevel="0" collapsed="false">
      <c r="B10" s="104" t="s">
        <v>2125</v>
      </c>
      <c r="C10" s="108" t="str">
        <f aca="false">IF($C$7="Player",IFERROR(VLOOKUP($C$8,'20_Player_Rate_Card'!$C$6:$I$500,3,FALSE()),"—"),"Gaming / Lifestyle")</f>
        <v>Call of Duty Black Ops 7</v>
      </c>
      <c r="D10" s="106"/>
      <c r="E10" s="107" t="s">
        <v>2126</v>
      </c>
      <c r="F10" s="103"/>
    </row>
    <row r="11" customFormat="false" ht="19.5" hidden="false" customHeight="true" outlineLevel="0" collapsed="false">
      <c r="B11" s="104" t="s">
        <v>2127</v>
      </c>
      <c r="C11" s="108" t="str">
        <f aca="false">IF($C$7="Player",IFERROR(VLOOKUP($C$8,'20_Player_Rate_Card'!$C$6:$I$500,4,FALSE()),"—"),"—")</f>
        <v>Riyadh Falcons</v>
      </c>
      <c r="D11" s="106"/>
      <c r="E11" s="107" t="s">
        <v>2128</v>
      </c>
      <c r="F11" s="103"/>
    </row>
    <row r="12" customFormat="false" ht="19.5" hidden="false" customHeight="true" outlineLevel="0" collapsed="false">
      <c r="B12" s="104" t="s">
        <v>137</v>
      </c>
      <c r="C12" s="108" t="str">
        <f aca="false">IF($C$7="Player",IFERROR(VLOOKUP($C$8,'20_Player_Rate_Card'!$C$6:$I$500,7,FALSE()),"—"),IFERROR(VLOOKUP($C$8,'30_Creator_Rate_Card'!$C$6:$E$500,3,FALSE()),"—"))</f>
        <v>Tier 2</v>
      </c>
      <c r="D12" s="109"/>
      <c r="E12" s="107" t="s">
        <v>2129</v>
      </c>
      <c r="F12" s="103"/>
    </row>
    <row r="13" customFormat="false" ht="19.5" hidden="false" customHeight="true" outlineLevel="0" collapsed="false">
      <c r="B13" s="104" t="s">
        <v>2130</v>
      </c>
      <c r="C13" s="110" t="s">
        <v>232</v>
      </c>
      <c r="D13" s="111" t="n">
        <f aca="false">IF($C$7="Player",IFERROR(INDEX('20_Player_Rate_Card'!$J$6:$R$500,MATCH($C$8,'20_Player_Rate_Card'!$C$6:$C$500,0),MATCH($C$13&amp;"*",'20_Player_Rate_Card'!$J$5:$R$5,0)),0),IFERROR(INDEX('30_Creator_Rate_Card'!$F$6:$T$500,MATCH($C$8,'30_Creator_Rate_Card'!$C$6:$C$500,0),MATCH($C$13&amp;"*",'30_Creator_Rate_Card'!$F$5:$T$5,0)),0))</f>
        <v>11250</v>
      </c>
      <c r="E13" s="107" t="s">
        <v>2131</v>
      </c>
      <c r="F13" s="103"/>
    </row>
    <row r="14" customFormat="false" ht="19.5" hidden="false" customHeight="true" outlineLevel="0" collapsed="false">
      <c r="B14" s="104" t="s">
        <v>2132</v>
      </c>
      <c r="C14" s="110" t="n">
        <f aca="false">D13</f>
        <v>11250</v>
      </c>
      <c r="D14" s="111" t="n">
        <f aca="false">D13</f>
        <v>11250</v>
      </c>
      <c r="E14" s="107" t="s">
        <v>2133</v>
      </c>
      <c r="F14" s="103"/>
    </row>
    <row r="15" customFormat="false" ht="21.75" hidden="false" customHeight="true" outlineLevel="0" collapsed="false">
      <c r="B15" s="104" t="s">
        <v>2134</v>
      </c>
      <c r="C15" s="112" t="n">
        <f aca="false">IF($C$7="Player",IFERROR(VLOOKUP($C$8,'20_Player_Rate_Card'!$C$6:$S$500,17,FALSE()),0),0)</f>
        <v>24750</v>
      </c>
      <c r="D15" s="106"/>
      <c r="E15" s="107" t="s">
        <v>2135</v>
      </c>
      <c r="F15" s="103"/>
    </row>
    <row r="16" customFormat="false" ht="21.75" hidden="false" customHeight="true" outlineLevel="0" collapsed="false">
      <c r="B16" s="113" t="s">
        <v>2136</v>
      </c>
      <c r="C16" s="113"/>
      <c r="D16" s="113"/>
      <c r="E16" s="113"/>
    </row>
    <row r="17" customFormat="false" ht="15.75" hidden="false" customHeight="true" outlineLevel="0" collapsed="false">
      <c r="B17" s="114" t="s">
        <v>1928</v>
      </c>
      <c r="C17" s="114" t="s">
        <v>2137</v>
      </c>
      <c r="D17" s="114" t="s">
        <v>2138</v>
      </c>
      <c r="E17" s="114" t="s">
        <v>2139</v>
      </c>
    </row>
    <row r="18" customFormat="false" ht="18" hidden="false" customHeight="true" outlineLevel="0" collapsed="false">
      <c r="B18" s="115" t="s">
        <v>2140</v>
      </c>
      <c r="C18" s="116" t="s">
        <v>153</v>
      </c>
      <c r="D18" s="117" t="n">
        <f aca="false">IFERROR(VLOOKUP($C18,'02_Lookups'!$B:$C,2,FALSE()),1)</f>
        <v>1</v>
      </c>
      <c r="E18" s="118" t="s">
        <v>2141</v>
      </c>
    </row>
    <row r="19" customFormat="false" ht="18" hidden="false" customHeight="true" outlineLevel="0" collapsed="false">
      <c r="B19" s="115" t="s">
        <v>2142</v>
      </c>
      <c r="C19" s="116" t="s">
        <v>160</v>
      </c>
      <c r="D19" s="117" t="n">
        <f aca="false">IFERROR(VLOOKUP($C19,'02_Lookups'!$B:$C,2,FALSE()),1)</f>
        <v>1.2</v>
      </c>
      <c r="E19" s="118" t="s">
        <v>2143</v>
      </c>
    </row>
    <row r="20" customFormat="false" ht="18" hidden="false" customHeight="true" outlineLevel="0" collapsed="false">
      <c r="B20" s="115" t="s">
        <v>1943</v>
      </c>
      <c r="C20" s="116" t="s">
        <v>169</v>
      </c>
      <c r="D20" s="117" t="n">
        <f aca="false">IFERROR(VLOOKUP($C20,'02_Lookups'!$B:$C,2,FALSE()),1)</f>
        <v>0.4</v>
      </c>
      <c r="E20" s="118" t="s">
        <v>2144</v>
      </c>
    </row>
    <row r="21" customFormat="false" ht="18" hidden="false" customHeight="true" outlineLevel="0" collapsed="false">
      <c r="B21" s="115" t="s">
        <v>1948</v>
      </c>
      <c r="C21" s="116" t="s">
        <v>174</v>
      </c>
      <c r="D21" s="117" t="n">
        <f aca="false">IFERROR(VLOOKUP($C21,'02_Lookups'!$B:$C,2,FALSE()),1)</f>
        <v>1.15</v>
      </c>
      <c r="E21" s="118" t="s">
        <v>2145</v>
      </c>
    </row>
    <row r="22" customFormat="false" ht="18" hidden="false" customHeight="true" outlineLevel="0" collapsed="false">
      <c r="B22" s="115" t="s">
        <v>1953</v>
      </c>
      <c r="C22" s="116" t="s">
        <v>181</v>
      </c>
      <c r="D22" s="117" t="n">
        <f aca="false">IFERROR(VLOOKUP($C22,'02_Lookups'!$B:$C,2,FALSE()),1)</f>
        <v>1.15</v>
      </c>
      <c r="E22" s="118" t="s">
        <v>2146</v>
      </c>
    </row>
    <row r="23" customFormat="false" ht="18" hidden="false" customHeight="true" outlineLevel="0" collapsed="false">
      <c r="B23" s="115" t="s">
        <v>2147</v>
      </c>
      <c r="C23" s="116" t="s">
        <v>185</v>
      </c>
      <c r="D23" s="117" t="n">
        <f aca="false">IFERROR(VLOOKUP($C23,'02_Lookups'!$B:$C,2,FALSE()),1)</f>
        <v>1.25</v>
      </c>
      <c r="E23" s="118" t="s">
        <v>2148</v>
      </c>
    </row>
    <row r="24" customFormat="false" ht="18" hidden="false" customHeight="true" outlineLevel="0" collapsed="false">
      <c r="B24" s="115" t="s">
        <v>362</v>
      </c>
      <c r="C24" s="116" t="s">
        <v>192</v>
      </c>
      <c r="D24" s="117" t="n">
        <f aca="false">IFERROR(VLOOKUP($C24,'02_Lookups'!$B:$C,2,FALSE()),1)</f>
        <v>1</v>
      </c>
      <c r="E24" s="118" t="s">
        <v>2149</v>
      </c>
    </row>
    <row r="25" customFormat="false" ht="18" hidden="false" customHeight="true" outlineLevel="0" collapsed="false">
      <c r="B25" s="115" t="s">
        <v>1351</v>
      </c>
      <c r="C25" s="116" t="s">
        <v>198</v>
      </c>
      <c r="D25" s="117" t="n">
        <f aca="false">IFERROR(VLOOKUP($C25,'02_Lookups'!$B:$C,2,FALSE()),1)</f>
        <v>0.9</v>
      </c>
      <c r="E25" s="118" t="s">
        <v>2150</v>
      </c>
    </row>
    <row r="26" customFormat="false" ht="18" hidden="false" customHeight="true" outlineLevel="0" collapsed="false">
      <c r="B26" s="115" t="s">
        <v>2151</v>
      </c>
      <c r="C26" s="116" t="s">
        <v>203</v>
      </c>
      <c r="D26" s="117" t="n">
        <f aca="false">IFERROR(VLOOKUP($C26,'02_Lookups'!$B:$C,2,FALSE()),1)</f>
        <v>0.5</v>
      </c>
      <c r="E26" s="118" t="s">
        <v>2152</v>
      </c>
    </row>
    <row r="27" customFormat="false" ht="18" hidden="false" customHeight="true" outlineLevel="0" collapsed="false">
      <c r="B27" s="115" t="s">
        <v>2153</v>
      </c>
      <c r="C27" s="119" t="n">
        <f aca="false">C83</f>
        <v>0</v>
      </c>
      <c r="D27" s="120" t="s">
        <v>207</v>
      </c>
      <c r="E27" s="118" t="s">
        <v>2154</v>
      </c>
    </row>
    <row r="29" customFormat="false" ht="21.75" hidden="false" customHeight="true" outlineLevel="0" collapsed="false">
      <c r="B29" s="25" t="s">
        <v>2155</v>
      </c>
      <c r="C29" s="25"/>
      <c r="D29" s="25"/>
      <c r="E29" s="25"/>
    </row>
    <row r="30" customFormat="false" ht="18" hidden="false" customHeight="true" outlineLevel="0" collapsed="false">
      <c r="B30" s="115" t="s">
        <v>2156</v>
      </c>
      <c r="C30" s="121" t="n">
        <f aca="false">IF($C$7="Player",IFERROR(VLOOKUP($C$8,'20_Player_Rate_Card'!$C$6:$BE$500,49,FALSE()),"—"),0)</f>
        <v>0.35</v>
      </c>
      <c r="E30" s="118" t="s">
        <v>2157</v>
      </c>
    </row>
    <row r="31" customFormat="false" ht="18" hidden="false" customHeight="true" outlineLevel="0" collapsed="false">
      <c r="B31" s="115" t="s">
        <v>2158</v>
      </c>
      <c r="C31" s="122" t="n">
        <f aca="false">IF($C$7="Player",IFERROR(VLOOKUP($C$8,'20_Player_Rate_Card'!$C$6:$BE$500,50,FALSE()),"—"),1)</f>
        <v>1</v>
      </c>
      <c r="E31" s="118" t="s">
        <v>2159</v>
      </c>
    </row>
    <row r="32" customFormat="false" ht="18" hidden="false" customHeight="true" outlineLevel="0" collapsed="false">
      <c r="B32" s="115" t="s">
        <v>1348</v>
      </c>
      <c r="C32" s="122" t="n">
        <f aca="false">IF($C$7="Player",IFERROR(VLOOKUP($C$8,'20_Player_Rate_Card'!$C$6:$BE$500,51,FALSE()),"—"),1)</f>
        <v>1</v>
      </c>
      <c r="E32" s="118" t="s">
        <v>2160</v>
      </c>
    </row>
    <row r="33" customFormat="false" ht="18" hidden="false" customHeight="true" outlineLevel="0" collapsed="false">
      <c r="B33" s="115" t="s">
        <v>1349</v>
      </c>
      <c r="C33" s="122" t="n">
        <f aca="false">IF($C$7="Player",IFERROR(VLOOKUP($C$8,'20_Player_Rate_Card'!$C$6:$BE$500,52,FALSE()),"—"),1)</f>
        <v>1</v>
      </c>
      <c r="E33" s="118" t="s">
        <v>2161</v>
      </c>
    </row>
    <row r="34" customFormat="false" ht="18" hidden="false" customHeight="true" outlineLevel="0" collapsed="false">
      <c r="B34" s="115" t="s">
        <v>1350</v>
      </c>
      <c r="C34" s="123" t="n">
        <f aca="false">IF($C$7="Player",IFERROR(VLOOKUP($C$8,'20_Player_Rate_Card'!$C$6:$BE$500,53,FALSE()),"—"),0)</f>
        <v>8663</v>
      </c>
      <c r="E34" s="118" t="s">
        <v>2162</v>
      </c>
    </row>
    <row r="35" customFormat="false" ht="18" hidden="false" customHeight="true" outlineLevel="0" collapsed="false">
      <c r="B35" s="115" t="s">
        <v>2163</v>
      </c>
      <c r="C35" s="124" t="str">
        <f aca="false">IF($C$7="Player",IFERROR(VLOOKUP($C$8,'20_Player_Rate_Card'!$C$6:$BE$500,54,FALSE()),"—"),"estimated — partial data")</f>
        <v>pending</v>
      </c>
      <c r="E35" s="118" t="s">
        <v>2164</v>
      </c>
    </row>
    <row r="37" customFormat="false" ht="21.75" hidden="false" customHeight="true" outlineLevel="0" collapsed="false">
      <c r="B37" s="42" t="s">
        <v>2165</v>
      </c>
      <c r="C37" s="42"/>
      <c r="D37" s="42"/>
      <c r="E37" s="42"/>
    </row>
    <row r="38" customFormat="false" ht="15.75" hidden="false" customHeight="true" outlineLevel="0" collapsed="false">
      <c r="B38" s="114" t="s">
        <v>2166</v>
      </c>
      <c r="C38" s="114" t="s">
        <v>70</v>
      </c>
      <c r="D38" s="114" t="s">
        <v>2167</v>
      </c>
      <c r="E38" s="114" t="s">
        <v>2168</v>
      </c>
    </row>
    <row r="39" customFormat="false" ht="18" hidden="false" customHeight="true" outlineLevel="0" collapsed="false">
      <c r="B39" s="115" t="s">
        <v>2169</v>
      </c>
      <c r="C39" s="117" t="n">
        <f aca="false">ROUND(1+D20*(D21-1),3)</f>
        <v>1.06</v>
      </c>
      <c r="D39" s="120" t="s">
        <v>207</v>
      </c>
      <c r="E39" s="118" t="s">
        <v>2170</v>
      </c>
    </row>
    <row r="40" customFormat="false" ht="18" hidden="false" customHeight="true" outlineLevel="0" collapsed="false">
      <c r="B40" s="115" t="s">
        <v>2171</v>
      </c>
      <c r="C40" s="117" t="n">
        <f aca="false">IF(ISNUMBER(SEARCH("pending",C25)),1,IF(ISNUMBER(SEARCH("estimated",C25)),MIN(D18,1.2),D18))</f>
        <v>1</v>
      </c>
      <c r="D40" s="120" t="s">
        <v>207</v>
      </c>
      <c r="E40" s="118" t="s">
        <v>2172</v>
      </c>
    </row>
    <row r="41" customFormat="false" ht="18" hidden="false" customHeight="true" outlineLevel="0" collapsed="false">
      <c r="B41" s="115" t="s">
        <v>2173</v>
      </c>
      <c r="C41" s="117" t="n">
        <f aca="false">IF(ISNUMBER(SEARCH("pending",C25)),1,IF(ISNUMBER(SEARCH("estimated",C25)),MIN(1+D20*(D21-1),1.3),1+D20*(D21-1)))</f>
        <v>1.06</v>
      </c>
      <c r="D41" s="120" t="s">
        <v>207</v>
      </c>
      <c r="E41" s="118" t="s">
        <v>2174</v>
      </c>
    </row>
    <row r="42" customFormat="false" ht="18" hidden="false" customHeight="true" outlineLevel="0" collapsed="false">
      <c r="B42" s="115" t="s">
        <v>2175</v>
      </c>
      <c r="C42" s="117" t="n">
        <f aca="false">IF(ISNUMBER(SEARCH("pending",C25)),1,IF(ISNUMBER(SEARCH("estimated",C25)),MIN(D23,1.25),D23))</f>
        <v>1.25</v>
      </c>
      <c r="D42" s="120" t="s">
        <v>207</v>
      </c>
      <c r="E42" s="118" t="s">
        <v>2176</v>
      </c>
    </row>
    <row r="43" customFormat="false" ht="18" hidden="false" customHeight="true" outlineLevel="0" collapsed="false">
      <c r="B43" s="115" t="s">
        <v>2177</v>
      </c>
      <c r="C43" s="117" t="n">
        <f aca="false">D25</f>
        <v>0.9</v>
      </c>
      <c r="D43" s="120" t="s">
        <v>207</v>
      </c>
      <c r="E43" s="118" t="s">
        <v>2178</v>
      </c>
    </row>
    <row r="44" customFormat="false" ht="19.5" hidden="false" customHeight="true" outlineLevel="0" collapsed="false">
      <c r="B44" s="115" t="s">
        <v>2179</v>
      </c>
      <c r="C44" s="125" t="n">
        <f aca="false">ROUND(C14*C40*D19*C42*D24*D22*C41,0)</f>
        <v>20571</v>
      </c>
      <c r="D44" s="120"/>
      <c r="E44" s="118" t="s">
        <v>2180</v>
      </c>
    </row>
    <row r="45" customFormat="false" ht="19.5" hidden="false" customHeight="true" outlineLevel="0" collapsed="false">
      <c r="B45" s="115" t="s">
        <v>2181</v>
      </c>
      <c r="C45" s="125" t="n">
        <f aca="false">ROUND(C15*D26*C42*D22*C41,0)</f>
        <v>18856</v>
      </c>
      <c r="E45" s="118" t="s">
        <v>2182</v>
      </c>
    </row>
    <row r="46" customFormat="false" ht="19.5" hidden="false" customHeight="true" outlineLevel="0" collapsed="false">
      <c r="B46" s="115" t="s">
        <v>2183</v>
      </c>
      <c r="C46" s="125" t="n">
        <f aca="false">MAX(C44,C45)</f>
        <v>20571</v>
      </c>
      <c r="E46" s="118" t="s">
        <v>2184</v>
      </c>
    </row>
    <row r="47" customFormat="false" ht="19.5" hidden="false" customHeight="true" outlineLevel="0" collapsed="false">
      <c r="B47" s="115" t="s">
        <v>2034</v>
      </c>
      <c r="C47" s="125" t="n">
        <f aca="false">ROUND(C46*C43,0)</f>
        <v>18514</v>
      </c>
      <c r="E47" s="118" t="s">
        <v>2185</v>
      </c>
    </row>
    <row r="48" customFormat="false" ht="27.75" hidden="false" customHeight="true" outlineLevel="0" collapsed="false">
      <c r="B48" s="126" t="s">
        <v>2186</v>
      </c>
      <c r="C48" s="127" t="n">
        <f aca="false">ROUND(C47*(1+C27),0)</f>
        <v>18514</v>
      </c>
      <c r="D48" s="128"/>
      <c r="E48" s="129" t="s">
        <v>2187</v>
      </c>
    </row>
    <row r="51" customFormat="false" ht="3.75" hidden="false" customHeight="true" outlineLevel="0" collapsed="false">
      <c r="A51" s="2"/>
      <c r="B51" s="2"/>
      <c r="C51" s="2"/>
      <c r="D51" s="2"/>
      <c r="E51" s="2"/>
      <c r="F51" s="2"/>
    </row>
    <row r="52" customFormat="false" ht="21.75" hidden="false" customHeight="true" outlineLevel="0" collapsed="false">
      <c r="B52" s="130" t="s">
        <v>2188</v>
      </c>
      <c r="C52" s="130"/>
      <c r="D52" s="130"/>
      <c r="E52" s="130"/>
    </row>
    <row r="60" customFormat="false" ht="21.75" hidden="false" customHeight="true" outlineLevel="0" collapsed="false">
      <c r="B60" s="77" t="s">
        <v>2189</v>
      </c>
      <c r="C60" s="77"/>
      <c r="D60" s="77"/>
      <c r="E60" s="77"/>
      <c r="F60" s="77"/>
    </row>
    <row r="61" customFormat="false" ht="15" hidden="false" customHeight="true" outlineLevel="0" collapsed="false">
      <c r="B61" s="78" t="s">
        <v>2190</v>
      </c>
      <c r="C61" s="78"/>
      <c r="D61" s="78"/>
      <c r="E61" s="78"/>
      <c r="F61" s="78"/>
    </row>
    <row r="63" customFormat="false" ht="19.5" hidden="false" customHeight="true" outlineLevel="0" collapsed="false">
      <c r="B63" s="102" t="s">
        <v>2191</v>
      </c>
      <c r="C63" s="102" t="s">
        <v>2049</v>
      </c>
      <c r="D63" s="102" t="s">
        <v>2050</v>
      </c>
      <c r="E63" s="102" t="s">
        <v>2051</v>
      </c>
      <c r="F63" s="102" t="s">
        <v>2052</v>
      </c>
    </row>
    <row r="64" customFormat="false" ht="15" hidden="false" customHeight="false" outlineLevel="0" collapsed="false">
      <c r="B64" s="131" t="s">
        <v>2192</v>
      </c>
      <c r="C64" s="132" t="str">
        <f aca="false">'41_Add_On_Rights'!B7</f>
        <v>Organic Social Only (baseline)</v>
      </c>
      <c r="D64" s="133" t="n">
        <f aca="false">'41_Add_On_Rights'!C7</f>
        <v>0</v>
      </c>
      <c r="E64" s="132" t="str">
        <f aca="false">'41_Add_On_Rights'!D7</f>
        <v>—</v>
      </c>
      <c r="F64" s="132" t="str">
        <f aca="false">'41_Add_On_Rights'!E7</f>
        <v>—</v>
      </c>
    </row>
    <row r="65" customFormat="false" ht="79.85" hidden="false" customHeight="false" outlineLevel="0" collapsed="false">
      <c r="B65" s="131" t="s">
        <v>2192</v>
      </c>
      <c r="C65" s="134" t="str">
        <f aca="false">'41_Add_On_Rights'!B8</f>
        <v>Whitelisting / Dark Posts — 30d</v>
      </c>
      <c r="D65" s="135" t="n">
        <f aca="false">'41_Add_On_Rights'!C8</f>
        <v>0.25</v>
      </c>
      <c r="E65" s="134" t="str">
        <f aca="false">'41_Add_On_Rights'!D8</f>
        <v>KSA/MENA</v>
      </c>
      <c r="F65" s="134" t="str">
        <f aca="false">'41_Add_On_Rights'!E8</f>
        <v>30 days</v>
      </c>
    </row>
    <row r="66" customFormat="false" ht="79.85" hidden="false" customHeight="false" outlineLevel="0" collapsed="false">
      <c r="B66" s="131" t="s">
        <v>2192</v>
      </c>
      <c r="C66" s="132" t="str">
        <f aca="false">'41_Add_On_Rights'!B9</f>
        <v>Whitelisting / Dark Posts — 60d</v>
      </c>
      <c r="D66" s="133" t="n">
        <f aca="false">'41_Add_On_Rights'!C9</f>
        <v>0.4</v>
      </c>
      <c r="E66" s="132" t="str">
        <f aca="false">'41_Add_On_Rights'!D9</f>
        <v>KSA/MENA</v>
      </c>
      <c r="F66" s="132" t="str">
        <f aca="false">'41_Add_On_Rights'!E9</f>
        <v>60 days</v>
      </c>
    </row>
    <row r="67" customFormat="false" ht="79.85" hidden="false" customHeight="false" outlineLevel="0" collapsed="false">
      <c r="B67" s="131" t="s">
        <v>2192</v>
      </c>
      <c r="C67" s="134" t="str">
        <f aca="false">'41_Add_On_Rights'!B10</f>
        <v>Whitelisting / Dark Posts — 90d</v>
      </c>
      <c r="D67" s="135" t="n">
        <f aca="false">'41_Add_On_Rights'!C10</f>
        <v>0.6</v>
      </c>
      <c r="E67" s="134" t="str">
        <f aca="false">'41_Add_On_Rights'!D10</f>
        <v>KSA/MENA</v>
      </c>
      <c r="F67" s="134" t="str">
        <f aca="false">'41_Add_On_Rights'!E10</f>
        <v>90 days</v>
      </c>
    </row>
    <row r="68" customFormat="false" ht="79.85" hidden="false" customHeight="false" outlineLevel="0" collapsed="false">
      <c r="B68" s="131" t="s">
        <v>2192</v>
      </c>
      <c r="C68" s="132" t="str">
        <f aca="false">'41_Add_On_Rights'!B11</f>
        <v>Paid Media Usage — 1M Views</v>
      </c>
      <c r="D68" s="133" t="n">
        <f aca="false">'41_Add_On_Rights'!C11</f>
        <v>0.45</v>
      </c>
      <c r="E68" s="132" t="str">
        <f aca="false">'41_Add_On_Rights'!D11</f>
        <v>Regional</v>
      </c>
      <c r="F68" s="132" t="str">
        <f aca="false">'41_Add_On_Rights'!E11</f>
        <v>90 days</v>
      </c>
    </row>
    <row r="69" customFormat="false" ht="79.85" hidden="false" customHeight="false" outlineLevel="0" collapsed="false">
      <c r="B69" s="131" t="s">
        <v>2192</v>
      </c>
      <c r="C69" s="134" t="str">
        <f aca="false">'41_Add_On_Rights'!B12</f>
        <v>Paid Media Usage — 5M Views</v>
      </c>
      <c r="D69" s="135" t="n">
        <f aca="false">'41_Add_On_Rights'!C12</f>
        <v>0.9</v>
      </c>
      <c r="E69" s="134" t="str">
        <f aca="false">'41_Add_On_Rights'!D12</f>
        <v>Regional</v>
      </c>
      <c r="F69" s="134" t="str">
        <f aca="false">'41_Add_On_Rights'!E12</f>
        <v>90 days</v>
      </c>
    </row>
    <row r="70" customFormat="false" ht="91" hidden="false" customHeight="false" outlineLevel="0" collapsed="false">
      <c r="B70" s="131" t="s">
        <v>2192</v>
      </c>
      <c r="C70" s="132" t="str">
        <f aca="false">'41_Add_On_Rights'!B13</f>
        <v>Organic Rights — 6 months</v>
      </c>
      <c r="D70" s="133" t="n">
        <f aca="false">'41_Add_On_Rights'!C13</f>
        <v>0.3</v>
      </c>
      <c r="E70" s="132" t="str">
        <f aca="false">'41_Add_On_Rights'!D13</f>
        <v>Global</v>
      </c>
      <c r="F70" s="132" t="str">
        <f aca="false">'41_Add_On_Rights'!E13</f>
        <v>6 months</v>
      </c>
    </row>
    <row r="71" customFormat="false" ht="102.2" hidden="false" customHeight="false" outlineLevel="0" collapsed="false">
      <c r="B71" s="131" t="s">
        <v>2192</v>
      </c>
      <c r="C71" s="134" t="str">
        <f aca="false">'41_Add_On_Rights'!B14</f>
        <v>Organic Rights — 12 months</v>
      </c>
      <c r="D71" s="135" t="n">
        <f aca="false">'41_Add_On_Rights'!C14</f>
        <v>0.55</v>
      </c>
      <c r="E71" s="134" t="str">
        <f aca="false">'41_Add_On_Rights'!D14</f>
        <v>Global</v>
      </c>
      <c r="F71" s="134" t="str">
        <f aca="false">'41_Add_On_Rights'!E14</f>
        <v>12 months</v>
      </c>
    </row>
    <row r="72" customFormat="false" ht="79.85" hidden="false" customHeight="false" outlineLevel="0" collapsed="false">
      <c r="B72" s="131" t="s">
        <v>2192</v>
      </c>
      <c r="C72" s="132" t="str">
        <f aca="false">'41_Add_On_Rights'!B15</f>
        <v>Exclusivity — Category (90d)</v>
      </c>
      <c r="D72" s="133" t="n">
        <f aca="false">'41_Add_On_Rights'!C15</f>
        <v>0.35</v>
      </c>
      <c r="E72" s="132" t="str">
        <f aca="false">'41_Add_On_Rights'!D15</f>
        <v>—</v>
      </c>
      <c r="F72" s="132" t="str">
        <f aca="false">'41_Add_On_Rights'!E15</f>
        <v>90 days</v>
      </c>
    </row>
    <row r="73" customFormat="false" ht="91" hidden="false" customHeight="false" outlineLevel="0" collapsed="false">
      <c r="B73" s="131" t="s">
        <v>2192</v>
      </c>
      <c r="C73" s="134" t="str">
        <f aca="false">'41_Add_On_Rights'!B16</f>
        <v>Exclusivity — Category (6 months)</v>
      </c>
      <c r="D73" s="135" t="n">
        <f aca="false">'41_Add_On_Rights'!C16</f>
        <v>0.65</v>
      </c>
      <c r="E73" s="134" t="str">
        <f aca="false">'41_Add_On_Rights'!D16</f>
        <v>—</v>
      </c>
      <c r="F73" s="134" t="str">
        <f aca="false">'41_Add_On_Rights'!E16</f>
        <v>6 months</v>
      </c>
    </row>
    <row r="74" customFormat="false" ht="102.2" hidden="false" customHeight="false" outlineLevel="0" collapsed="false">
      <c r="B74" s="131" t="s">
        <v>2192</v>
      </c>
      <c r="C74" s="132" t="str">
        <f aca="false">'41_Add_On_Rights'!B17</f>
        <v>Exclusivity — Category (12 months)</v>
      </c>
      <c r="D74" s="133" t="n">
        <f aca="false">'41_Add_On_Rights'!C17</f>
        <v>1</v>
      </c>
      <c r="E74" s="132" t="str">
        <f aca="false">'41_Add_On_Rights'!D17</f>
        <v>—</v>
      </c>
      <c r="F74" s="132" t="str">
        <f aca="false">'41_Add_On_Rights'!E17</f>
        <v>12 months</v>
      </c>
    </row>
    <row r="75" customFormat="false" ht="91" hidden="false" customHeight="false" outlineLevel="0" collapsed="false">
      <c r="B75" s="131" t="s">
        <v>2192</v>
      </c>
      <c r="C75" s="134" t="str">
        <f aca="false">'41_Add_On_Rights'!B18</f>
        <v>Exclusivity — Brand-wide (6 months)</v>
      </c>
      <c r="D75" s="135" t="n">
        <f aca="false">'41_Add_On_Rights'!C18</f>
        <v>1.5</v>
      </c>
      <c r="E75" s="134" t="str">
        <f aca="false">'41_Add_On_Rights'!D18</f>
        <v>—</v>
      </c>
      <c r="F75" s="134" t="str">
        <f aca="false">'41_Add_On_Rights'!E18</f>
        <v>6 months</v>
      </c>
    </row>
    <row r="76" customFormat="false" ht="15" hidden="false" customHeight="false" outlineLevel="0" collapsed="false">
      <c r="B76" s="131" t="s">
        <v>2192</v>
      </c>
      <c r="C76" s="132" t="str">
        <f aca="false">'41_Add_On_Rights'!B19</f>
        <v>Rush — Delivery &lt;72h</v>
      </c>
      <c r="D76" s="133" t="n">
        <f aca="false">'41_Add_On_Rights'!C19</f>
        <v>0.25</v>
      </c>
      <c r="E76" s="132" t="str">
        <f aca="false">'41_Add_On_Rights'!D19</f>
        <v>—</v>
      </c>
      <c r="F76" s="132" t="str">
        <f aca="false">'41_Add_On_Rights'!E19</f>
        <v>—</v>
      </c>
    </row>
    <row r="77" customFormat="false" ht="15" hidden="false" customHeight="false" outlineLevel="0" collapsed="false">
      <c r="B77" s="131" t="s">
        <v>2192</v>
      </c>
      <c r="C77" s="134" t="str">
        <f aca="false">'41_Add_On_Rights'!B20</f>
        <v>Rush — Delivery &lt;24h</v>
      </c>
      <c r="D77" s="135" t="n">
        <f aca="false">'41_Add_On_Rights'!C20</f>
        <v>0.4</v>
      </c>
      <c r="E77" s="134" t="str">
        <f aca="false">'41_Add_On_Rights'!D20</f>
        <v>—</v>
      </c>
      <c r="F77" s="134" t="str">
        <f aca="false">'41_Add_On_Rights'!E20</f>
        <v>—</v>
      </c>
    </row>
    <row r="78" customFormat="false" ht="57.45" hidden="false" customHeight="false" outlineLevel="0" collapsed="false">
      <c r="B78" s="131" t="s">
        <v>2192</v>
      </c>
      <c r="C78" s="132" t="str">
        <f aca="false">'41_Add_On_Rights'!B21</f>
        <v>Event / IRL Appearance</v>
      </c>
      <c r="D78" s="133" t="n">
        <f aca="false">'41_Add_On_Rights'!C21</f>
        <v>0.3</v>
      </c>
      <c r="E78" s="132" t="str">
        <f aca="false">'41_Add_On_Rights'!D21</f>
        <v>—</v>
      </c>
      <c r="F78" s="132" t="str">
        <f aca="false">'41_Add_On_Rights'!E21</f>
        <v>1 day</v>
      </c>
    </row>
    <row r="79" customFormat="false" ht="57.45" hidden="false" customHeight="false" outlineLevel="0" collapsed="false">
      <c r="B79" s="131" t="s">
        <v>2192</v>
      </c>
      <c r="C79" s="134" t="str">
        <f aca="false">'41_Add_On_Rights'!B22</f>
        <v>Photoshoot / Asset Production</v>
      </c>
      <c r="D79" s="135" t="n">
        <f aca="false">'41_Add_On_Rights'!C22</f>
        <v>0.35</v>
      </c>
      <c r="E79" s="134" t="str">
        <f aca="false">'41_Add_On_Rights'!D22</f>
        <v>—</v>
      </c>
      <c r="F79" s="134" t="str">
        <f aca="false">'41_Add_On_Rights'!E22</f>
        <v>1 day</v>
      </c>
    </row>
    <row r="80" customFormat="false" ht="79.85" hidden="false" customHeight="false" outlineLevel="0" collapsed="false">
      <c r="B80" s="131" t="s">
        <v>2192</v>
      </c>
      <c r="C80" s="132" t="str">
        <f aca="false">'41_Add_On_Rights'!B23</f>
        <v>Ad Voice-over / TV Commercial</v>
      </c>
      <c r="D80" s="133" t="n">
        <f aca="false">'41_Add_On_Rights'!C23</f>
        <v>0.8</v>
      </c>
      <c r="E80" s="132" t="str">
        <f aca="false">'41_Add_On_Rights'!D23</f>
        <v>Regional</v>
      </c>
      <c r="F80" s="132" t="str">
        <f aca="false">'41_Add_On_Rights'!E23</f>
        <v>90 days</v>
      </c>
    </row>
    <row r="81" customFormat="false" ht="15" hidden="false" customHeight="false" outlineLevel="0" collapsed="false">
      <c r="B81" s="131" t="s">
        <v>2192</v>
      </c>
      <c r="C81" s="134" t="str">
        <f aca="false">'41_Add_On_Rights'!B24</f>
        <v>NDA / Confidentiality</v>
      </c>
      <c r="D81" s="135" t="n">
        <f aca="false">'41_Add_On_Rights'!C24</f>
        <v>0.05</v>
      </c>
      <c r="E81" s="134" t="str">
        <f aca="false">'41_Add_On_Rights'!D24</f>
        <v>—</v>
      </c>
      <c r="F81" s="134" t="str">
        <f aca="false">'41_Add_On_Rights'!E24</f>
        <v>—</v>
      </c>
    </row>
    <row r="83" customFormat="false" ht="21.75" hidden="false" customHeight="true" outlineLevel="0" collapsed="false">
      <c r="B83" s="136" t="s">
        <v>2193</v>
      </c>
      <c r="C83" s="137" t="n">
        <f aca="false">SUMPRODUCT((B64:B81="Yes")*D64:D81)</f>
        <v>0</v>
      </c>
      <c r="D83" s="138"/>
      <c r="E83" s="138"/>
      <c r="F83" s="138"/>
    </row>
  </sheetData>
  <mergeCells count="9">
    <mergeCell ref="B2:E2"/>
    <mergeCell ref="B3:E3"/>
    <mergeCell ref="B5:F5"/>
    <mergeCell ref="B16:E16"/>
    <mergeCell ref="B29:E29"/>
    <mergeCell ref="B37:E37"/>
    <mergeCell ref="B52:E52"/>
    <mergeCell ref="B60:F60"/>
    <mergeCell ref="B61:F61"/>
  </mergeCells>
  <dataValidations count="5">
    <dataValidation allowBlank="true" errorStyle="stop" operator="between" showDropDown="false" showErrorMessage="false" showInputMessage="false" sqref="C12" type="list">
      <formula1>"IG Reel,IG Static,IG Story,TikTok Video,YT Short,X Post,FB Post/Video,Twitch Stream 2h,Twitch Integ."</formula1>
      <formula2>0</formula2>
    </dataValidation>
    <dataValidation allowBlank="false" errorStyle="stop" operator="between" showDropDown="false" showErrorMessage="false" showInputMessage="false" sqref="C7" type="list">
      <formula1>"Player,Creator"</formula1>
      <formula2>0</formula2>
    </dataValidation>
    <dataValidation allowBlank="true" errorStyle="stop" operator="between" showDropDown="false" showErrorMessage="false" showInputMessage="false" sqref="C8" type="list">
      <formula1>'02_Lookups'!$E$201:$E$255</formula1>
      <formula2>0</formula2>
    </dataValidation>
    <dataValidation allowBlank="true" errorStyle="stop" operator="between" showDropDown="false" showErrorMessage="false" showInputMessage="false" sqref="C13" type="list">
      <formula1>'02_Lookups'!$F$201:$F$230</formula1>
      <formula2>0</formula2>
    </dataValidation>
    <dataValidation allowBlank="false" errorStyle="stop" operator="between" showDropDown="false" showErrorMessage="false" showInputMessage="false" sqref="B64:B8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7" min="6" style="1" width="18"/>
    <col collapsed="false" customWidth="true" hidden="false" outlineLevel="0" max="8" min="8" style="1" width="2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D2" s="139" t="s">
        <v>2194</v>
      </c>
      <c r="E2" s="15" t="s">
        <v>2195</v>
      </c>
      <c r="F2" s="15"/>
      <c r="G2" s="15"/>
    </row>
    <row r="3" customFormat="false" ht="21.75" hidden="false" customHeight="true" outlineLevel="0" collapsed="false">
      <c r="D3" s="139" t="s">
        <v>2196</v>
      </c>
      <c r="E3" s="15" t="s">
        <v>2197</v>
      </c>
      <c r="F3" s="15"/>
      <c r="G3" s="15"/>
    </row>
    <row r="4" customFormat="false" ht="21.75" hidden="false" customHeight="true" outlineLevel="0" collapsed="false">
      <c r="D4" s="139" t="s">
        <v>2198</v>
      </c>
      <c r="E4" s="15" t="str">
        <f aca="true">TEXT(TODAY(),"DD MMM YYYY")</f>
        <v>18 Apr 2026</v>
      </c>
      <c r="F4" s="15"/>
      <c r="G4" s="15"/>
    </row>
    <row r="5" customFormat="false" ht="21.75" hidden="false" customHeight="true" outlineLevel="0" collapsed="false">
      <c r="D5" s="139" t="s">
        <v>2199</v>
      </c>
      <c r="E5" s="140" t="str">
        <f aca="true">"TF-Q-"&amp;TEXT(TODAY(),"YYMMDD")&amp;"-001"</f>
        <v>TF-Q-260418-001</v>
      </c>
      <c r="F5" s="140"/>
      <c r="G5" s="140"/>
    </row>
    <row r="6" customFormat="false" ht="21.75" hidden="false" customHeight="true" outlineLevel="0" collapsed="false">
      <c r="D6" s="139" t="s">
        <v>2200</v>
      </c>
      <c r="E6" s="15" t="s">
        <v>2201</v>
      </c>
      <c r="F6" s="15"/>
      <c r="G6" s="15"/>
    </row>
    <row r="7" customFormat="false" ht="21.75" hidden="false" customHeight="true" outlineLevel="0" collapsed="false">
      <c r="D7" s="139" t="s">
        <v>2202</v>
      </c>
      <c r="E7" s="15" t="s">
        <v>2203</v>
      </c>
      <c r="F7" s="15"/>
      <c r="G7" s="15"/>
    </row>
    <row r="8" customFormat="false" ht="3" hidden="false" customHeight="true" outlineLevel="0" collapsed="false">
      <c r="B8" s="2"/>
      <c r="C8" s="2"/>
      <c r="D8" s="2"/>
      <c r="E8" s="2"/>
      <c r="F8" s="2"/>
      <c r="G8" s="2"/>
    </row>
    <row r="9" customFormat="false" ht="7.5" hidden="false" customHeight="true" outlineLevel="0" collapsed="false"/>
    <row r="10" customFormat="false" ht="25.5" hidden="false" customHeight="true" outlineLevel="0" collapsed="false">
      <c r="B10" s="141" t="s">
        <v>33</v>
      </c>
      <c r="C10" s="141"/>
      <c r="D10" s="141"/>
      <c r="E10" s="141"/>
      <c r="F10" s="141"/>
      <c r="G10" s="141"/>
    </row>
    <row r="11" customFormat="false" ht="13.5" hidden="false" customHeight="true" outlineLevel="0" collapsed="false">
      <c r="B11" s="37" t="s">
        <v>2204</v>
      </c>
      <c r="C11" s="37"/>
      <c r="D11" s="37"/>
      <c r="E11" s="37"/>
      <c r="F11" s="37"/>
      <c r="G11" s="37"/>
    </row>
    <row r="12" customFormat="false" ht="6" hidden="false" customHeight="true" outlineLevel="0" collapsed="false"/>
    <row r="13" customFormat="false" ht="21.75" hidden="false" customHeight="true" outlineLevel="0" collapsed="false">
      <c r="B13" s="42" t="s">
        <v>2205</v>
      </c>
      <c r="C13" s="42"/>
      <c r="D13" s="42"/>
      <c r="E13" s="142" t="s">
        <v>2206</v>
      </c>
      <c r="F13" s="142" t="s">
        <v>2207</v>
      </c>
      <c r="G13" s="142" t="s">
        <v>2208</v>
      </c>
    </row>
    <row r="14" customFormat="false" ht="3" hidden="false" customHeight="true" outlineLevel="0" collapsed="false">
      <c r="B14" s="143"/>
      <c r="C14" s="143"/>
      <c r="D14" s="143"/>
      <c r="E14" s="143"/>
      <c r="F14" s="143"/>
      <c r="G14" s="143"/>
    </row>
    <row r="15" customFormat="false" ht="19.5" hidden="false" customHeight="true" outlineLevel="0" collapsed="false">
      <c r="B15" s="144" t="str">
        <f aca="false">"Live scenario — "&amp;'42_Preview'!$C$8&amp;" — "&amp;'42_Preview'!$C$13&amp;" "&amp;IF('42_Preview'!$C$7="Creator","(Creator)","(Integrated)")</f>
        <v>Live scenario — Cellium — IG Reel (Integrated)</v>
      </c>
      <c r="E15" s="145" t="n">
        <f aca="false">'42_Preview'!$C$47</f>
        <v>18514</v>
      </c>
      <c r="F15" s="146" t="n">
        <v>1</v>
      </c>
      <c r="G15" s="147" t="n">
        <f aca="false">E15*F15</f>
        <v>18514</v>
      </c>
    </row>
    <row r="16" customFormat="false" ht="19.5" hidden="false" customHeight="true" outlineLevel="0" collapsed="false">
      <c r="B16" s="118" t="str">
        <f aca="false">"  └─ from Base "&amp;TEXT('42_Preview'!$C$14,"#,##0")&amp;"  ×  Combined "&amp;TEXT(IFERROR('42_Preview'!$C$47/'42_Preview'!$C$14,1),"0.00")&amp;"x"</f>
        <v>  └─ from Base 11,250  ×  Combined 1.65x</v>
      </c>
      <c r="E16" s="148"/>
      <c r="F16" s="149"/>
      <c r="G16" s="150"/>
    </row>
    <row r="17" customFormat="false" ht="19.5" hidden="false" customHeight="true" outlineLevel="0" collapsed="false">
      <c r="B17" s="144"/>
      <c r="E17" s="145"/>
      <c r="F17" s="146"/>
      <c r="G17" s="147"/>
    </row>
    <row r="18" customFormat="false" ht="19.5" hidden="false" customHeight="true" outlineLevel="0" collapsed="false">
      <c r="B18" s="115"/>
      <c r="E18" s="148"/>
      <c r="F18" s="149"/>
      <c r="G18" s="150"/>
    </row>
    <row r="19" customFormat="false" ht="19.5" hidden="false" customHeight="true" outlineLevel="0" collapsed="false">
      <c r="B19" s="144"/>
      <c r="E19" s="145"/>
      <c r="F19" s="146"/>
      <c r="G19" s="147"/>
    </row>
    <row r="20" customFormat="false" ht="19.5" hidden="false" customHeight="true" outlineLevel="0" collapsed="false">
      <c r="B20" s="151" t="s">
        <v>2209</v>
      </c>
      <c r="C20" s="151"/>
      <c r="D20" s="151"/>
      <c r="E20" s="151"/>
      <c r="F20" s="151"/>
      <c r="G20" s="151"/>
    </row>
    <row r="21" customFormat="false" ht="18" hidden="false" customHeight="true" outlineLevel="0" collapsed="false">
      <c r="B21" s="15" t="s">
        <v>2210</v>
      </c>
      <c r="C21" s="15"/>
      <c r="D21" s="15"/>
      <c r="E21" s="152"/>
      <c r="F21" s="152"/>
      <c r="G21" s="153" t="n">
        <f aca="false">'42_Preview'!$C$27</f>
        <v>0</v>
      </c>
    </row>
    <row r="22" customFormat="false" ht="18" hidden="false" customHeight="true" outlineLevel="0" collapsed="false">
      <c r="B22" s="15"/>
      <c r="C22" s="15"/>
      <c r="D22" s="15"/>
      <c r="E22" s="152"/>
      <c r="F22" s="152"/>
      <c r="G22" s="153"/>
    </row>
    <row r="23" customFormat="false" ht="18" hidden="false" customHeight="true" outlineLevel="0" collapsed="false">
      <c r="B23" s="15"/>
      <c r="C23" s="15"/>
      <c r="D23" s="15"/>
      <c r="E23" s="152"/>
      <c r="F23" s="152"/>
      <c r="G23" s="153"/>
    </row>
    <row r="25" customFormat="false" ht="19.5" hidden="false" customHeight="true" outlineLevel="0" collapsed="false">
      <c r="B25" s="154" t="s">
        <v>2211</v>
      </c>
      <c r="C25" s="154"/>
      <c r="D25" s="154"/>
      <c r="E25" s="154"/>
      <c r="F25" s="155" t="n">
        <f aca="false">SUM(G15)</f>
        <v>18514</v>
      </c>
      <c r="G25" s="155"/>
    </row>
    <row r="26" customFormat="false" ht="19.5" hidden="false" customHeight="true" outlineLevel="0" collapsed="false">
      <c r="B26" s="154" t="s">
        <v>2212</v>
      </c>
      <c r="C26" s="154"/>
      <c r="D26" s="154"/>
      <c r="E26" s="154"/>
      <c r="F26" s="156" t="n">
        <f aca="false">'42_Preview'!$C$27</f>
        <v>0</v>
      </c>
      <c r="G26" s="156"/>
    </row>
    <row r="27" customFormat="false" ht="19.5" hidden="false" customHeight="true" outlineLevel="0" collapsed="false">
      <c r="B27" s="154" t="s">
        <v>2213</v>
      </c>
      <c r="C27" s="154"/>
      <c r="D27" s="154"/>
      <c r="E27" s="154"/>
      <c r="F27" s="155" t="n">
        <f aca="false">F25*(1+F26)</f>
        <v>18514</v>
      </c>
      <c r="G27" s="155"/>
    </row>
    <row r="28" customFormat="false" ht="19.5" hidden="false" customHeight="true" outlineLevel="0" collapsed="false">
      <c r="B28" s="154" t="s">
        <v>2214</v>
      </c>
      <c r="C28" s="154"/>
      <c r="D28" s="154"/>
      <c r="E28" s="154"/>
      <c r="F28" s="156" t="n">
        <f aca="false">'01_Settings'!$C$15</f>
        <v>0.15</v>
      </c>
      <c r="G28" s="156"/>
    </row>
    <row r="29" customFormat="false" ht="19.5" hidden="false" customHeight="true" outlineLevel="0" collapsed="false">
      <c r="B29" s="154" t="s">
        <v>2215</v>
      </c>
      <c r="C29" s="154"/>
      <c r="D29" s="154"/>
      <c r="E29" s="154"/>
      <c r="F29" s="155" t="n">
        <f aca="false">F27*F28</f>
        <v>2777.1</v>
      </c>
      <c r="G29" s="155"/>
    </row>
    <row r="30" customFormat="false" ht="25.5" hidden="false" customHeight="true" outlineLevel="0" collapsed="false">
      <c r="B30" s="157" t="s">
        <v>2216</v>
      </c>
      <c r="C30" s="157"/>
      <c r="D30" s="157"/>
      <c r="E30" s="157"/>
      <c r="F30" s="158" t="n">
        <f aca="false">F27+F29</f>
        <v>21291.1</v>
      </c>
      <c r="G30" s="158"/>
    </row>
    <row r="33" customFormat="false" ht="25.5" hidden="false" customHeight="true" outlineLevel="0" collapsed="false">
      <c r="B33" s="159" t="s">
        <v>2217</v>
      </c>
      <c r="C33" s="159"/>
      <c r="D33" s="159"/>
      <c r="E33" s="159"/>
      <c r="F33" s="159"/>
      <c r="G33" s="159"/>
    </row>
    <row r="34" customFormat="false" ht="18" hidden="false" customHeight="true" outlineLevel="0" collapsed="false">
      <c r="B34" s="160" t="s">
        <v>150</v>
      </c>
      <c r="C34" s="160"/>
      <c r="D34" s="160" t="s">
        <v>2218</v>
      </c>
      <c r="E34" s="160"/>
      <c r="F34" s="161" t="s">
        <v>2167</v>
      </c>
      <c r="G34" s="161" t="s">
        <v>2219</v>
      </c>
    </row>
    <row r="35" customFormat="false" ht="18" hidden="false" customHeight="true" outlineLevel="0" collapsed="false">
      <c r="B35" s="162" t="s">
        <v>362</v>
      </c>
      <c r="C35" s="162"/>
      <c r="D35" s="163" t="str">
        <f aca="false">'42_Preview'!$C$24</f>
        <v>Integrated (Player-led)</v>
      </c>
      <c r="E35" s="163"/>
      <c r="F35" s="164" t="n">
        <f aca="false">'42_Preview'!$D$24</f>
        <v>1</v>
      </c>
      <c r="G35" s="165" t="str">
        <f aca="false">IF(F35=1,"baseline",TEXT(F35-1,"+0%;-0%"))</f>
        <v>baseline</v>
      </c>
    </row>
    <row r="36" customFormat="false" ht="18" hidden="false" customHeight="true" outlineLevel="0" collapsed="false">
      <c r="B36" s="140" t="s">
        <v>1933</v>
      </c>
      <c r="C36" s="140"/>
      <c r="D36" s="15" t="str">
        <f aca="false">'42_Preview'!$C$18</f>
        <v>4–6% — Baseline</v>
      </c>
      <c r="E36" s="15"/>
      <c r="F36" s="117" t="n">
        <f aca="false">'42_Preview'!$D$18</f>
        <v>1</v>
      </c>
      <c r="G36" s="166" t="str">
        <f aca="false">IF(F36=1,"baseline",TEXT(F36-1,"+0%;-0%"))</f>
        <v>baseline</v>
      </c>
    </row>
    <row r="37" customFormat="false" ht="18" hidden="false" customHeight="true" outlineLevel="0" collapsed="false">
      <c r="B37" s="162" t="s">
        <v>2012</v>
      </c>
      <c r="C37" s="162"/>
      <c r="D37" s="163" t="str">
        <f aca="false">'42_Preview'!$C$19</f>
        <v>Core Gaming</v>
      </c>
      <c r="E37" s="163"/>
      <c r="F37" s="164" t="n">
        <f aca="false">'42_Preview'!$D$19</f>
        <v>1.2</v>
      </c>
      <c r="G37" s="165" t="str">
        <f aca="false">IF(F37=1,"baseline",TEXT(F37-1,"+0%;-0%"))</f>
        <v>+20%</v>
      </c>
    </row>
    <row r="38" customFormat="false" ht="18" hidden="false" customHeight="true" outlineLevel="0" collapsed="false">
      <c r="B38" s="140" t="s">
        <v>1958</v>
      </c>
      <c r="C38" s="140"/>
      <c r="D38" s="15" t="str">
        <f aca="false">'42_Preview'!$C$23</f>
        <v>Regional Major</v>
      </c>
      <c r="E38" s="15"/>
      <c r="F38" s="117" t="n">
        <f aca="false">'42_Preview'!$D$23</f>
        <v>1.25</v>
      </c>
      <c r="G38" s="166" t="str">
        <f aca="false">IF(F38=1,"baseline",TEXT(F38-1,"+0%;-0%"))</f>
        <v>+25%</v>
      </c>
    </row>
    <row r="39" customFormat="false" ht="18" hidden="false" customHeight="true" outlineLevel="0" collapsed="false">
      <c r="B39" s="162" t="s">
        <v>2019</v>
      </c>
      <c r="C39" s="162"/>
      <c r="D39" s="163" t="str">
        <f aca="false">'42_Preview'!$C$22</f>
        <v>Bilingual</v>
      </c>
      <c r="E39" s="163"/>
      <c r="F39" s="164" t="n">
        <f aca="false">'42_Preview'!$D$22</f>
        <v>1.15</v>
      </c>
      <c r="G39" s="165" t="str">
        <f aca="false">IF(F39=1,"baseline",TEXT(F39-1,"+0%;-0%"))</f>
        <v>+15%</v>
      </c>
    </row>
    <row r="40" customFormat="false" ht="18" hidden="false" customHeight="true" outlineLevel="0" collapsed="false">
      <c r="B40" s="140" t="s">
        <v>2017</v>
      </c>
      <c r="C40" s="140"/>
      <c r="D40" s="15" t="str">
        <f aca="false">'42_Preview'!$C$21</f>
        <v>Proven / Established</v>
      </c>
      <c r="E40" s="15"/>
      <c r="F40" s="117" t="n">
        <f aca="false">'42_Preview'!$D$21</f>
        <v>1.15</v>
      </c>
      <c r="G40" s="166" t="str">
        <f aca="false">IF(F40=1,"baseline",TEXT(F40-1,"+0%;-0%"))</f>
        <v>+15%</v>
      </c>
    </row>
    <row r="41" customFormat="false" ht="18" hidden="false" customHeight="true" outlineLevel="0" collapsed="false">
      <c r="B41" s="162" t="s">
        <v>2014</v>
      </c>
      <c r="C41" s="162"/>
      <c r="D41" s="163" t="str">
        <f aca="false">'42_Preview'!$C$20</f>
        <v>Conversion</v>
      </c>
      <c r="E41" s="163"/>
      <c r="F41" s="164" t="n">
        <f aca="false">'42_Preview'!$D$20</f>
        <v>0.4</v>
      </c>
      <c r="G41" s="165" t="str">
        <f aca="false">IF(F41=1,"baseline",TEXT(F41-1,"+0%;-0%"))</f>
        <v>-60%</v>
      </c>
    </row>
    <row r="42" customFormat="false" ht="24" hidden="false" customHeight="true" outlineLevel="0" collapsed="false">
      <c r="B42" s="42" t="s">
        <v>2220</v>
      </c>
      <c r="C42" s="42"/>
      <c r="D42" s="42"/>
      <c r="E42" s="42"/>
      <c r="F42" s="167" t="n">
        <f aca="false">ROUND(PRODUCT(F35:F41),2)</f>
        <v>0.79</v>
      </c>
      <c r="G42" s="167"/>
    </row>
    <row r="43" customFormat="false" ht="15.75" hidden="false" customHeight="true" outlineLevel="0" collapsed="false">
      <c r="B43" s="168" t="s">
        <v>2221</v>
      </c>
      <c r="C43" s="168"/>
      <c r="D43" s="168"/>
      <c r="E43" s="168"/>
      <c r="F43" s="168"/>
      <c r="G43" s="168"/>
    </row>
    <row r="45" customFormat="false" ht="6" hidden="false" customHeight="true" outlineLevel="0" collapsed="false">
      <c r="A45" s="2"/>
      <c r="B45" s="2"/>
      <c r="C45" s="2"/>
      <c r="D45" s="2"/>
      <c r="E45" s="2"/>
      <c r="F45" s="2"/>
      <c r="G45" s="2"/>
      <c r="H45" s="2"/>
    </row>
    <row r="46" customFormat="false" ht="24" hidden="false" customHeight="true" outlineLevel="0" collapsed="false">
      <c r="B46" s="169" t="s">
        <v>2222</v>
      </c>
      <c r="C46" s="169"/>
      <c r="D46" s="169"/>
      <c r="E46" s="169"/>
      <c r="F46" s="169"/>
      <c r="G46" s="169"/>
    </row>
  </sheetData>
  <mergeCells count="49">
    <mergeCell ref="E2:G2"/>
    <mergeCell ref="E3:G3"/>
    <mergeCell ref="E4:G4"/>
    <mergeCell ref="E5:G5"/>
    <mergeCell ref="E6:G6"/>
    <mergeCell ref="E7:G7"/>
    <mergeCell ref="B10:G10"/>
    <mergeCell ref="B11:G11"/>
    <mergeCell ref="B13:D13"/>
    <mergeCell ref="B20:G20"/>
    <mergeCell ref="B21:D21"/>
    <mergeCell ref="E21:F21"/>
    <mergeCell ref="B22:D22"/>
    <mergeCell ref="E22:F22"/>
    <mergeCell ref="B23:D23"/>
    <mergeCell ref="E23:F23"/>
    <mergeCell ref="B25:E25"/>
    <mergeCell ref="F25:G25"/>
    <mergeCell ref="B26:E26"/>
    <mergeCell ref="F26:G26"/>
    <mergeCell ref="B27:E27"/>
    <mergeCell ref="F27:G27"/>
    <mergeCell ref="B28:E28"/>
    <mergeCell ref="F28:G28"/>
    <mergeCell ref="B29:E29"/>
    <mergeCell ref="F29:G29"/>
    <mergeCell ref="B30:E30"/>
    <mergeCell ref="F30:G30"/>
    <mergeCell ref="B33:G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E42"/>
    <mergeCell ref="F42:G42"/>
    <mergeCell ref="B43:G43"/>
    <mergeCell ref="B46:G46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26"/>
    <col collapsed="false" customWidth="true" hidden="false" outlineLevel="0" max="5" min="5" style="1" width="28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0"/>
    <col collapsed="false" customWidth="true" hidden="false" outlineLevel="0" max="10" min="9" style="1" width="16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5" min="13" style="1" width="14"/>
    <col collapsed="false" customWidth="true" hidden="false" outlineLevel="0" max="16" min="16" style="1" width="18"/>
    <col collapsed="false" customWidth="true" hidden="false" outlineLevel="0" max="17" min="17" style="1" width="14"/>
    <col collapsed="false" customWidth="true" hidden="false" outlineLevel="0" max="18" min="18" style="1" width="20"/>
    <col collapsed="false" customWidth="true" hidden="false" outlineLevel="0" max="19" min="19" style="1" width="32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7.75" hidden="false" customHeight="true" outlineLevel="0" collapsed="false">
      <c r="B2" s="23" t="s">
        <v>2223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customFormat="false" ht="18" hidden="false" customHeight="true" outlineLevel="0" collapsed="false">
      <c r="B3" s="24" t="s">
        <v>2224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customFormat="false" ht="15" hidden="false" customHeight="true" outlineLevel="0" collapsed="false">
      <c r="B4" s="26" t="s">
        <v>2225</v>
      </c>
      <c r="C4" s="26" t="s">
        <v>2226</v>
      </c>
      <c r="D4" s="26" t="s">
        <v>2227</v>
      </c>
      <c r="E4" s="26" t="s">
        <v>2228</v>
      </c>
      <c r="F4" s="26" t="s">
        <v>2014</v>
      </c>
      <c r="G4" s="26" t="s">
        <v>2051</v>
      </c>
      <c r="H4" s="26" t="s">
        <v>2229</v>
      </c>
      <c r="I4" s="26" t="s">
        <v>2230</v>
      </c>
      <c r="J4" s="26" t="s">
        <v>2231</v>
      </c>
      <c r="K4" s="26" t="s">
        <v>2232</v>
      </c>
      <c r="L4" s="26" t="s">
        <v>2233</v>
      </c>
      <c r="M4" s="26" t="s">
        <v>2234</v>
      </c>
      <c r="N4" s="26" t="s">
        <v>2235</v>
      </c>
      <c r="O4" s="26" t="s">
        <v>2236</v>
      </c>
      <c r="P4" s="26" t="s">
        <v>2237</v>
      </c>
      <c r="Q4" s="26" t="s">
        <v>2238</v>
      </c>
      <c r="R4" s="26" t="s">
        <v>2239</v>
      </c>
      <c r="S4" s="26" t="s">
        <v>71</v>
      </c>
    </row>
    <row r="5" customFormat="false" ht="15" hidden="false" customHeight="true" outlineLevel="0" collapsed="false">
      <c r="B5" s="36" t="s">
        <v>2240</v>
      </c>
      <c r="C5" s="36" t="s">
        <v>2241</v>
      </c>
      <c r="D5" s="36" t="s">
        <v>2242</v>
      </c>
      <c r="E5" s="36" t="s">
        <v>2243</v>
      </c>
      <c r="F5" s="36" t="s">
        <v>169</v>
      </c>
      <c r="G5" s="36" t="s">
        <v>336</v>
      </c>
      <c r="H5" s="36" t="n">
        <v>4</v>
      </c>
      <c r="I5" s="170" t="n">
        <v>520000</v>
      </c>
      <c r="J5" s="170" t="n">
        <v>52000</v>
      </c>
      <c r="K5" s="170" t="n">
        <v>85800</v>
      </c>
      <c r="L5" s="170" t="n">
        <v>657800</v>
      </c>
      <c r="M5" s="36" t="s">
        <v>221</v>
      </c>
      <c r="N5" s="36" t="s">
        <v>2244</v>
      </c>
      <c r="O5" s="36" t="s">
        <v>2245</v>
      </c>
      <c r="P5" s="36" t="s">
        <v>2246</v>
      </c>
      <c r="Q5" s="36" t="s">
        <v>2247</v>
      </c>
      <c r="R5" s="36" t="s">
        <v>2248</v>
      </c>
      <c r="S5" s="36" t="s">
        <v>2249</v>
      </c>
    </row>
    <row r="6" customFormat="false" ht="15" hidden="false" customHeight="true" outlineLevel="0" collapsed="false">
      <c r="B6" s="36" t="s">
        <v>2250</v>
      </c>
      <c r="C6" s="36" t="s">
        <v>2251</v>
      </c>
      <c r="D6" s="36" t="s">
        <v>2252</v>
      </c>
      <c r="E6" s="36" t="s">
        <v>2253</v>
      </c>
      <c r="F6" s="36" t="s">
        <v>168</v>
      </c>
      <c r="G6" s="36" t="s">
        <v>354</v>
      </c>
      <c r="H6" s="36" t="n">
        <v>6</v>
      </c>
      <c r="I6" s="170" t="n">
        <v>780000</v>
      </c>
      <c r="J6" s="170" t="n">
        <v>78000</v>
      </c>
      <c r="K6" s="170" t="n">
        <v>128700</v>
      </c>
      <c r="L6" s="170" t="n">
        <v>986700</v>
      </c>
      <c r="M6" s="36" t="s">
        <v>215</v>
      </c>
      <c r="N6" s="36" t="s">
        <v>2254</v>
      </c>
      <c r="O6" s="36"/>
      <c r="P6" s="36"/>
      <c r="Q6" s="36"/>
      <c r="R6" s="36" t="s">
        <v>2255</v>
      </c>
      <c r="S6" s="36" t="s">
        <v>2256</v>
      </c>
    </row>
    <row r="7" customFormat="false" ht="15" hidden="false" customHeight="true" outlineLevel="0" collapsed="false">
      <c r="B7" s="36" t="s">
        <v>2257</v>
      </c>
      <c r="C7" s="36" t="s">
        <v>2258</v>
      </c>
      <c r="D7" s="36" t="s">
        <v>2259</v>
      </c>
      <c r="E7" s="36" t="s">
        <v>2260</v>
      </c>
      <c r="F7" s="36" t="s">
        <v>2261</v>
      </c>
      <c r="G7" s="36" t="s">
        <v>268</v>
      </c>
      <c r="H7" s="36" t="n">
        <v>3</v>
      </c>
      <c r="I7" s="170" t="n">
        <v>1450000</v>
      </c>
      <c r="J7" s="170" t="n">
        <v>145000</v>
      </c>
      <c r="K7" s="170" t="n">
        <v>239250</v>
      </c>
      <c r="L7" s="170" t="n">
        <v>1834250</v>
      </c>
      <c r="M7" s="36" t="s">
        <v>2262</v>
      </c>
      <c r="N7" s="36" t="s">
        <v>2263</v>
      </c>
      <c r="O7" s="36"/>
      <c r="P7" s="36"/>
      <c r="Q7" s="36"/>
      <c r="R7" s="36" t="s">
        <v>2264</v>
      </c>
      <c r="S7" s="36" t="s">
        <v>2265</v>
      </c>
    </row>
    <row r="9" customFormat="false" ht="3.7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5.75" hidden="false" customHeight="true" outlineLevel="0" collapsed="false">
      <c r="B10" s="31" t="s">
        <v>132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</row>
  </sheetData>
  <autoFilter ref="B4:S200"/>
  <mergeCells count="3">
    <mergeCell ref="B2:S2"/>
    <mergeCell ref="B3:S3"/>
    <mergeCell ref="B10:L10"/>
  </mergeCells>
  <conditionalFormatting sqref="M5:M200">
    <cfRule type="expression" priority="2" aboveAverage="0" equalAverage="0" bottom="0" percent="0" rank="0" text="" dxfId="13">
      <formula>M5="Won"</formula>
    </cfRule>
    <cfRule type="expression" priority="3" aboveAverage="0" equalAverage="0" bottom="0" percent="0" rank="0" text="" dxfId="11">
      <formula>M5="Lost"</formula>
    </cfRule>
    <cfRule type="expression" priority="4" aboveAverage="0" equalAverage="0" bottom="0" percent="0" rank="0" text="" dxfId="12">
      <formula>M5="Negotiation"</formula>
    </cfRule>
  </conditionalFormatting>
  <dataValidations count="1">
    <dataValidation allowBlank="true" errorStyle="stop" operator="between" showDropDown="false" showErrorMessage="false" showInputMessage="false" sqref="M5:M200" type="list">
      <formula1>"Draft,Sent,Negotiation,Won,Lost,Expired"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6"/>
    <col collapsed="false" customWidth="true" hidden="false" outlineLevel="0" max="5" min="5" style="1" width="20"/>
    <col collapsed="false" customWidth="true" hidden="false" outlineLevel="0" max="6" min="6" style="1" width="26"/>
    <col collapsed="false" customWidth="true" hidden="false" outlineLevel="0" max="7" min="7" style="1" width="14"/>
    <col collapsed="false" customWidth="true" hidden="false" outlineLevel="0" max="8" min="8" style="1" width="40"/>
    <col collapsed="false" customWidth="true" hidden="false" outlineLevel="0" max="9" min="9" style="1" width="30"/>
    <col collapsed="false" customWidth="true" hidden="false" outlineLevel="0" max="10" min="10" style="1" width="18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4" min="14" style="1" width="16"/>
    <col collapsed="false" customWidth="true" hidden="false" outlineLevel="0" max="15" min="15" style="1" width="30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2"/>
    <col collapsed="false" customWidth="true" hidden="false" outlineLevel="0" max="19" min="19" style="1" width="18"/>
    <col collapsed="false" customWidth="true" hidden="false" outlineLevel="0" max="20" min="20" style="1" width="32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27.75" hidden="false" customHeight="true" outlineLevel="0" collapsed="false">
      <c r="B2" s="23" t="s">
        <v>2266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customFormat="false" ht="18" hidden="false" customHeight="true" outlineLevel="0" collapsed="false">
      <c r="B3" s="24" t="s">
        <v>2267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</row>
    <row r="4" customFormat="false" ht="23.25" hidden="false" customHeight="true" outlineLevel="0" collapsed="false">
      <c r="B4" s="26" t="s">
        <v>2268</v>
      </c>
      <c r="C4" s="26" t="s">
        <v>2269</v>
      </c>
      <c r="D4" s="26" t="s">
        <v>2270</v>
      </c>
      <c r="E4" s="26" t="s">
        <v>2271</v>
      </c>
      <c r="F4" s="26" t="s">
        <v>2272</v>
      </c>
      <c r="G4" s="26" t="s">
        <v>2273</v>
      </c>
      <c r="H4" s="26" t="s">
        <v>2274</v>
      </c>
      <c r="I4" s="26" t="s">
        <v>2275</v>
      </c>
      <c r="J4" s="26" t="s">
        <v>2276</v>
      </c>
      <c r="K4" s="26" t="s">
        <v>2277</v>
      </c>
      <c r="L4" s="26" t="s">
        <v>2278</v>
      </c>
      <c r="M4" s="26" t="s">
        <v>2234</v>
      </c>
      <c r="N4" s="26" t="s">
        <v>2279</v>
      </c>
      <c r="O4" s="26" t="s">
        <v>2280</v>
      </c>
      <c r="P4" s="26" t="s">
        <v>2281</v>
      </c>
      <c r="Q4" s="26" t="s">
        <v>2282</v>
      </c>
      <c r="R4" s="26" t="s">
        <v>2283</v>
      </c>
      <c r="S4" s="26" t="s">
        <v>2284</v>
      </c>
      <c r="T4" s="26" t="s">
        <v>71</v>
      </c>
    </row>
    <row r="5" customFormat="false" ht="15" hidden="false" customHeight="true" outlineLevel="0" collapsed="false">
      <c r="B5" s="36" t="s">
        <v>2285</v>
      </c>
      <c r="C5" s="36" t="s">
        <v>2286</v>
      </c>
      <c r="D5" s="36" t="s">
        <v>2287</v>
      </c>
      <c r="E5" s="36" t="s">
        <v>2288</v>
      </c>
      <c r="F5" s="36" t="s">
        <v>2289</v>
      </c>
      <c r="G5" s="36" t="s">
        <v>2290</v>
      </c>
      <c r="H5" s="36" t="s">
        <v>2291</v>
      </c>
      <c r="I5" s="36" t="s">
        <v>2292</v>
      </c>
      <c r="J5" s="36" t="s">
        <v>2293</v>
      </c>
      <c r="K5" s="36" t="s">
        <v>2057</v>
      </c>
      <c r="L5" s="36" t="s">
        <v>213</v>
      </c>
      <c r="M5" s="36" t="s">
        <v>220</v>
      </c>
      <c r="N5" s="36" t="s">
        <v>2248</v>
      </c>
      <c r="O5" s="36" t="s">
        <v>2294</v>
      </c>
      <c r="P5" s="170" t="s">
        <v>2295</v>
      </c>
      <c r="Q5" s="171" t="n">
        <v>1000000</v>
      </c>
      <c r="R5" s="170" t="n">
        <f aca="false">ROUND(P5*Q5,0)</f>
        <v>46126000000</v>
      </c>
      <c r="S5" s="36" t="n">
        <v>600000</v>
      </c>
      <c r="T5" s="36" t="s">
        <v>2296</v>
      </c>
    </row>
    <row r="6" customFormat="false" ht="15" hidden="false" customHeight="true" outlineLevel="0" collapsed="false">
      <c r="B6" s="36" t="s">
        <v>2297</v>
      </c>
      <c r="C6" s="36" t="s">
        <v>2298</v>
      </c>
      <c r="D6" s="36" t="s">
        <v>2299</v>
      </c>
      <c r="E6" s="36" t="s">
        <v>2300</v>
      </c>
      <c r="F6" s="36" t="s">
        <v>2301</v>
      </c>
      <c r="G6" s="36" t="s">
        <v>2302</v>
      </c>
      <c r="H6" s="36" t="s">
        <v>2303</v>
      </c>
      <c r="I6" s="36" t="s">
        <v>2304</v>
      </c>
      <c r="J6" s="36" t="s">
        <v>2305</v>
      </c>
      <c r="K6" s="36" t="s">
        <v>2306</v>
      </c>
      <c r="L6" s="36" t="s">
        <v>214</v>
      </c>
      <c r="M6" s="36" t="s">
        <v>220</v>
      </c>
      <c r="N6" s="36" t="s">
        <v>2255</v>
      </c>
      <c r="O6" s="36" t="s">
        <v>2307</v>
      </c>
      <c r="P6" s="170" t="s">
        <v>2308</v>
      </c>
      <c r="Q6" s="171" t="n">
        <v>175000</v>
      </c>
      <c r="R6" s="170" t="n">
        <f aca="false">ROUND(P6*Q6,0)</f>
        <v>8072400000</v>
      </c>
      <c r="S6" s="36" t="n">
        <v>96250</v>
      </c>
      <c r="T6" s="36"/>
    </row>
    <row r="7" customFormat="false" ht="15" hidden="false" customHeight="true" outlineLevel="0" collapsed="false">
      <c r="B7" s="36" t="s">
        <v>2309</v>
      </c>
      <c r="C7" s="36" t="s">
        <v>2310</v>
      </c>
      <c r="D7" s="36" t="s">
        <v>2311</v>
      </c>
      <c r="E7" s="36" t="s">
        <v>2312</v>
      </c>
      <c r="F7" s="36" t="s">
        <v>2313</v>
      </c>
      <c r="G7" s="36" t="s">
        <v>2314</v>
      </c>
      <c r="H7" s="36" t="s">
        <v>2315</v>
      </c>
      <c r="I7" s="36" t="s">
        <v>2316</v>
      </c>
      <c r="J7" s="36" t="s">
        <v>2317</v>
      </c>
      <c r="K7" s="36" t="s">
        <v>2318</v>
      </c>
      <c r="L7" s="36" t="s">
        <v>212</v>
      </c>
      <c r="M7" s="36" t="s">
        <v>220</v>
      </c>
      <c r="N7" s="36" t="s">
        <v>2264</v>
      </c>
      <c r="O7" s="36" t="s">
        <v>2319</v>
      </c>
      <c r="P7" s="170" t="s">
        <v>2320</v>
      </c>
      <c r="Q7" s="171" t="n">
        <v>375000</v>
      </c>
      <c r="R7" s="170" t="n">
        <f aca="false">ROUND(P7*Q7,0)</f>
        <v>17297625000</v>
      </c>
      <c r="S7" s="36" t="n">
        <v>150000</v>
      </c>
      <c r="T7" s="36" t="s">
        <v>2321</v>
      </c>
    </row>
    <row r="9" customFormat="false" ht="3.7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</row>
    <row r="10" customFormat="false" ht="15.75" hidden="false" customHeight="true" outlineLevel="0" collapsed="false">
      <c r="B10" s="31" t="s">
        <v>132</v>
      </c>
      <c r="C10" s="31"/>
      <c r="D10" s="31"/>
      <c r="E10" s="31"/>
      <c r="F10" s="31"/>
      <c r="G10" s="31"/>
      <c r="H10" s="31"/>
      <c r="I10" s="31"/>
      <c r="J10" s="31"/>
    </row>
  </sheetData>
  <autoFilter ref="B4:T300"/>
  <mergeCells count="3">
    <mergeCell ref="B2:T2"/>
    <mergeCell ref="B3:T3"/>
    <mergeCell ref="B10:J10"/>
  </mergeCells>
  <conditionalFormatting sqref="M5:M300">
    <cfRule type="expression" priority="2" aboveAverage="0" equalAverage="0" bottom="0" percent="0" rank="0" text="" dxfId="13">
      <formula>M5="Won"</formula>
    </cfRule>
    <cfRule type="expression" priority="3" aboveAverage="0" equalAverage="0" bottom="0" percent="0" rank="0" text="" dxfId="11">
      <formula>M5="Lost"</formula>
    </cfRule>
    <cfRule type="expression" priority="4" aboveAverage="0" equalAverage="0" bottom="0" percent="0" rank="0" text="" dxfId="12">
      <formula>M5="On Hold"</formula>
    </cfRule>
  </conditionalFormatting>
  <dataValidations count="2">
    <dataValidation allowBlank="true" errorStyle="stop" operator="between" showDropDown="false" showErrorMessage="false" showInputMessage="false" sqref="L5:L300" type="list">
      <formula1>LKP_InqStage</formula1>
      <formula2>0</formula2>
    </dataValidation>
    <dataValidation allowBlank="true" errorStyle="stop" operator="between" showDropDown="false" showErrorMessage="false" showInputMessage="false" sqref="M5:M300" type="list">
      <formula1>LKP_InqStatus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70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27.75" hidden="false" customHeight="true" outlineLevel="0" collapsed="false">
      <c r="B2" s="23" t="s">
        <v>2322</v>
      </c>
      <c r="C2" s="23"/>
    </row>
    <row r="3" customFormat="false" ht="18" hidden="false" customHeight="true" outlineLevel="0" collapsed="false">
      <c r="B3" s="24" t="s">
        <v>2323</v>
      </c>
      <c r="C3" s="24"/>
    </row>
    <row r="4" customFormat="false" ht="3" hidden="false" customHeight="true" outlineLevel="0" collapsed="false">
      <c r="B4" s="2"/>
      <c r="C4" s="2"/>
      <c r="D4" s="2"/>
      <c r="E4" s="2"/>
      <c r="F4" s="2"/>
      <c r="G4" s="2"/>
    </row>
    <row r="5" customFormat="false" ht="15" hidden="false" customHeight="true" outlineLevel="0" collapsed="false">
      <c r="B5" s="25" t="s">
        <v>2324</v>
      </c>
      <c r="C5" s="25"/>
    </row>
    <row r="6" customFormat="false" ht="24" hidden="false" customHeight="true" outlineLevel="0" collapsed="false">
      <c r="B6" s="172" t="s">
        <v>2325</v>
      </c>
      <c r="C6" s="173" t="s">
        <v>2326</v>
      </c>
    </row>
    <row r="7" customFormat="false" ht="24" hidden="false" customHeight="true" outlineLevel="0" collapsed="false">
      <c r="B7" s="172" t="s">
        <v>2327</v>
      </c>
      <c r="C7" s="173" t="s">
        <v>2328</v>
      </c>
    </row>
    <row r="8" customFormat="false" ht="24" hidden="false" customHeight="true" outlineLevel="0" collapsed="false">
      <c r="B8" s="172" t="s">
        <v>2329</v>
      </c>
      <c r="C8" s="173" t="s">
        <v>2330</v>
      </c>
    </row>
    <row r="9" customFormat="false" ht="24" hidden="false" customHeight="true" outlineLevel="0" collapsed="false">
      <c r="B9" s="172" t="s">
        <v>2331</v>
      </c>
      <c r="C9" s="173" t="s">
        <v>2332</v>
      </c>
    </row>
    <row r="10" customFormat="false" ht="24" hidden="false" customHeight="true" outlineLevel="0" collapsed="false">
      <c r="B10" s="172" t="s">
        <v>2333</v>
      </c>
      <c r="C10" s="173" t="s">
        <v>2334</v>
      </c>
    </row>
    <row r="12" customFormat="false" ht="15" hidden="false" customHeight="true" outlineLevel="0" collapsed="false">
      <c r="B12" s="25" t="s">
        <v>2335</v>
      </c>
      <c r="C12" s="25"/>
    </row>
    <row r="13" customFormat="false" ht="24" hidden="false" customHeight="true" outlineLevel="0" collapsed="false">
      <c r="B13" s="172" t="s">
        <v>2336</v>
      </c>
      <c r="C13" s="173" t="s">
        <v>2337</v>
      </c>
    </row>
    <row r="14" customFormat="false" ht="24" hidden="false" customHeight="true" outlineLevel="0" collapsed="false">
      <c r="B14" s="172" t="s">
        <v>2338</v>
      </c>
      <c r="C14" s="173" t="s">
        <v>2339</v>
      </c>
    </row>
    <row r="15" customFormat="false" ht="24" hidden="false" customHeight="true" outlineLevel="0" collapsed="false">
      <c r="B15" s="172" t="s">
        <v>2340</v>
      </c>
      <c r="C15" s="173" t="s">
        <v>2341</v>
      </c>
    </row>
    <row r="16" customFormat="false" ht="24" hidden="false" customHeight="true" outlineLevel="0" collapsed="false">
      <c r="B16" s="172" t="s">
        <v>2342</v>
      </c>
      <c r="C16" s="173" t="s">
        <v>2343</v>
      </c>
    </row>
    <row r="18" customFormat="false" ht="15" hidden="false" customHeight="true" outlineLevel="0" collapsed="false">
      <c r="B18" s="25" t="s">
        <v>2344</v>
      </c>
      <c r="C18" s="25"/>
    </row>
    <row r="19" customFormat="false" ht="23.25" hidden="false" customHeight="true" outlineLevel="0" collapsed="false">
      <c r="B19" s="174" t="s">
        <v>2345</v>
      </c>
      <c r="C19" s="174"/>
    </row>
    <row r="20" customFormat="false" ht="19.5" hidden="false" customHeight="true" outlineLevel="0" collapsed="false">
      <c r="B20" s="172" t="s">
        <v>2346</v>
      </c>
      <c r="C20" s="173" t="s">
        <v>2347</v>
      </c>
    </row>
    <row r="21" customFormat="false" ht="19.5" hidden="false" customHeight="true" outlineLevel="0" collapsed="false">
      <c r="B21" s="172" t="s">
        <v>2348</v>
      </c>
      <c r="C21" s="173" t="s">
        <v>2349</v>
      </c>
    </row>
    <row r="22" customFormat="false" ht="24" hidden="false" customHeight="true" outlineLevel="0" collapsed="false">
      <c r="B22" s="172" t="s">
        <v>2350</v>
      </c>
      <c r="C22" s="173" t="s">
        <v>2351</v>
      </c>
    </row>
    <row r="23" customFormat="false" ht="24" hidden="false" customHeight="true" outlineLevel="0" collapsed="false">
      <c r="B23" s="172" t="s">
        <v>2352</v>
      </c>
      <c r="C23" s="173" t="s">
        <v>2353</v>
      </c>
    </row>
    <row r="24" customFormat="false" ht="19.5" hidden="false" customHeight="true" outlineLevel="0" collapsed="false">
      <c r="B24" s="172" t="s">
        <v>2354</v>
      </c>
      <c r="C24" s="173" t="s">
        <v>2355</v>
      </c>
    </row>
    <row r="25" customFormat="false" ht="19.5" hidden="false" customHeight="true" outlineLevel="0" collapsed="false">
      <c r="B25" s="172" t="s">
        <v>2356</v>
      </c>
      <c r="C25" s="173" t="s">
        <v>2357</v>
      </c>
    </row>
    <row r="26" customFormat="false" ht="24" hidden="false" customHeight="true" outlineLevel="0" collapsed="false">
      <c r="B26" s="172" t="s">
        <v>2358</v>
      </c>
      <c r="C26" s="173" t="s">
        <v>2359</v>
      </c>
    </row>
    <row r="27" customFormat="false" ht="24" hidden="false" customHeight="true" outlineLevel="0" collapsed="false">
      <c r="B27" s="172" t="s">
        <v>2360</v>
      </c>
      <c r="C27" s="173" t="s">
        <v>2361</v>
      </c>
    </row>
    <row r="28" customFormat="false" ht="24" hidden="false" customHeight="true" outlineLevel="0" collapsed="false">
      <c r="B28" s="172" t="s">
        <v>2362</v>
      </c>
      <c r="C28" s="173" t="s">
        <v>2363</v>
      </c>
    </row>
    <row r="30" customFormat="false" ht="15" hidden="false" customHeight="true" outlineLevel="0" collapsed="false">
      <c r="B30" s="25" t="s">
        <v>2364</v>
      </c>
      <c r="C30" s="25"/>
    </row>
    <row r="31" customFormat="false" ht="19.5" hidden="false" customHeight="true" outlineLevel="0" collapsed="false">
      <c r="B31" s="172" t="s">
        <v>2365</v>
      </c>
      <c r="C31" s="173" t="s">
        <v>2366</v>
      </c>
    </row>
    <row r="32" customFormat="false" ht="19.5" hidden="false" customHeight="true" outlineLevel="0" collapsed="false">
      <c r="B32" s="172" t="s">
        <v>2367</v>
      </c>
      <c r="C32" s="173" t="s">
        <v>2368</v>
      </c>
    </row>
    <row r="33" customFormat="false" ht="19.5" hidden="false" customHeight="true" outlineLevel="0" collapsed="false">
      <c r="B33" s="172" t="s">
        <v>2369</v>
      </c>
      <c r="C33" s="173" t="s">
        <v>2370</v>
      </c>
    </row>
    <row r="34" customFormat="false" ht="19.5" hidden="false" customHeight="true" outlineLevel="0" collapsed="false">
      <c r="B34" s="172" t="s">
        <v>2371</v>
      </c>
      <c r="C34" s="173" t="s">
        <v>2185</v>
      </c>
    </row>
    <row r="35" customFormat="false" ht="19.5" hidden="false" customHeight="true" outlineLevel="0" collapsed="false">
      <c r="B35" s="172" t="s">
        <v>2372</v>
      </c>
      <c r="C35" s="173" t="s">
        <v>2373</v>
      </c>
    </row>
    <row r="37" customFormat="false" ht="15" hidden="false" customHeight="true" outlineLevel="0" collapsed="false">
      <c r="B37" s="25" t="s">
        <v>2374</v>
      </c>
      <c r="C37" s="25"/>
    </row>
    <row r="38" customFormat="false" ht="15" hidden="false" customHeight="true" outlineLevel="0" collapsed="false">
      <c r="B38" s="174" t="s">
        <v>2375</v>
      </c>
      <c r="C38" s="174"/>
    </row>
    <row r="39" customFormat="false" ht="19.5" hidden="false" customHeight="true" outlineLevel="0" collapsed="false">
      <c r="B39" s="172" t="s">
        <v>2376</v>
      </c>
      <c r="C39" s="173" t="s">
        <v>2377</v>
      </c>
    </row>
    <row r="40" customFormat="false" ht="19.5" hidden="false" customHeight="true" outlineLevel="0" collapsed="false">
      <c r="B40" s="172" t="s">
        <v>1282</v>
      </c>
      <c r="C40" s="173" t="s">
        <v>2378</v>
      </c>
    </row>
    <row r="41" customFormat="false" ht="19.5" hidden="false" customHeight="true" outlineLevel="0" collapsed="false">
      <c r="B41" s="172" t="s">
        <v>1286</v>
      </c>
      <c r="C41" s="173" t="s">
        <v>2379</v>
      </c>
    </row>
    <row r="42" customFormat="false" ht="24" hidden="false" customHeight="true" outlineLevel="0" collapsed="false">
      <c r="B42" s="172" t="s">
        <v>2380</v>
      </c>
      <c r="C42" s="173" t="s">
        <v>2381</v>
      </c>
    </row>
    <row r="44" customFormat="false" ht="15" hidden="false" customHeight="true" outlineLevel="0" collapsed="false">
      <c r="B44" s="25" t="s">
        <v>2382</v>
      </c>
      <c r="C44" s="25"/>
    </row>
    <row r="45" customFormat="false" ht="24" hidden="false" customHeight="true" outlineLevel="0" collapsed="false">
      <c r="B45" s="172" t="s">
        <v>2383</v>
      </c>
      <c r="C45" s="173" t="s">
        <v>2384</v>
      </c>
    </row>
    <row r="46" customFormat="false" ht="36" hidden="false" customHeight="true" outlineLevel="0" collapsed="false">
      <c r="B46" s="172" t="s">
        <v>2385</v>
      </c>
      <c r="C46" s="173" t="s">
        <v>2386</v>
      </c>
    </row>
    <row r="47" customFormat="false" ht="24" hidden="false" customHeight="true" outlineLevel="0" collapsed="false">
      <c r="B47" s="172" t="s">
        <v>2387</v>
      </c>
      <c r="C47" s="173" t="s">
        <v>2388</v>
      </c>
    </row>
    <row r="49" customFormat="false" ht="15" hidden="false" customHeight="true" outlineLevel="0" collapsed="false">
      <c r="B49" s="25" t="s">
        <v>2389</v>
      </c>
      <c r="C49" s="25"/>
    </row>
    <row r="50" customFormat="false" ht="24" hidden="false" customHeight="true" outlineLevel="0" collapsed="false">
      <c r="B50" s="172" t="s">
        <v>2390</v>
      </c>
      <c r="C50" s="173" t="s">
        <v>2391</v>
      </c>
    </row>
    <row r="51" customFormat="false" ht="24" hidden="false" customHeight="true" outlineLevel="0" collapsed="false">
      <c r="B51" s="172" t="s">
        <v>2392</v>
      </c>
      <c r="C51" s="173" t="s">
        <v>2393</v>
      </c>
    </row>
    <row r="52" customFormat="false" ht="24" hidden="false" customHeight="true" outlineLevel="0" collapsed="false">
      <c r="B52" s="172" t="s">
        <v>2394</v>
      </c>
      <c r="C52" s="173" t="s">
        <v>2395</v>
      </c>
    </row>
    <row r="54" customFormat="false" ht="15" hidden="false" customHeight="true" outlineLevel="0" collapsed="false">
      <c r="B54" s="25" t="s">
        <v>2396</v>
      </c>
      <c r="C54" s="25"/>
    </row>
    <row r="55" customFormat="false" ht="19.5" hidden="false" customHeight="true" outlineLevel="0" collapsed="false">
      <c r="B55" s="172" t="s">
        <v>2397</v>
      </c>
      <c r="C55" s="173" t="s">
        <v>2398</v>
      </c>
    </row>
    <row r="56" customFormat="false" ht="24" hidden="false" customHeight="true" outlineLevel="0" collapsed="false">
      <c r="B56" s="172" t="s">
        <v>2399</v>
      </c>
      <c r="C56" s="173" t="s">
        <v>2400</v>
      </c>
    </row>
    <row r="57" customFormat="false" ht="24" hidden="false" customHeight="true" outlineLevel="0" collapsed="false">
      <c r="B57" s="172" t="s">
        <v>2401</v>
      </c>
      <c r="C57" s="173" t="s">
        <v>2402</v>
      </c>
    </row>
    <row r="59" customFormat="false" ht="15" hidden="false" customHeight="true" outlineLevel="0" collapsed="false">
      <c r="B59" s="25" t="s">
        <v>2403</v>
      </c>
      <c r="C59" s="25"/>
    </row>
    <row r="60" customFormat="false" ht="24" hidden="false" customHeight="true" outlineLevel="0" collapsed="false">
      <c r="B60" s="172" t="s">
        <v>2404</v>
      </c>
      <c r="C60" s="173" t="s">
        <v>2405</v>
      </c>
    </row>
    <row r="61" customFormat="false" ht="24" hidden="false" customHeight="true" outlineLevel="0" collapsed="false">
      <c r="B61" s="172" t="s">
        <v>2406</v>
      </c>
      <c r="C61" s="173" t="s">
        <v>2407</v>
      </c>
    </row>
    <row r="62" customFormat="false" ht="19.5" hidden="false" customHeight="true" outlineLevel="0" collapsed="false">
      <c r="B62" s="172" t="s">
        <v>2408</v>
      </c>
      <c r="C62" s="173" t="s">
        <v>2409</v>
      </c>
    </row>
    <row r="64" customFormat="false" ht="3.75" hidden="false" customHeight="true" outlineLevel="0" collapsed="false">
      <c r="A64" s="2"/>
      <c r="B64" s="2"/>
      <c r="C64" s="2"/>
      <c r="D64" s="2"/>
      <c r="E64" s="2"/>
      <c r="F64" s="2"/>
      <c r="G64" s="2"/>
    </row>
    <row r="65" customFormat="false" ht="15.75" hidden="false" customHeight="true" outlineLevel="0" collapsed="false">
      <c r="B65" s="31" t="s">
        <v>132</v>
      </c>
      <c r="C65" s="31"/>
      <c r="D65" s="31"/>
      <c r="E65" s="31"/>
      <c r="F65" s="31"/>
      <c r="G65" s="31"/>
    </row>
  </sheetData>
  <mergeCells count="14">
    <mergeCell ref="B2:C2"/>
    <mergeCell ref="B3:C3"/>
    <mergeCell ref="B5:C5"/>
    <mergeCell ref="B12:C12"/>
    <mergeCell ref="B18:C18"/>
    <mergeCell ref="B19:C19"/>
    <mergeCell ref="B30:C30"/>
    <mergeCell ref="B37:C37"/>
    <mergeCell ref="B38:C38"/>
    <mergeCell ref="B44:C44"/>
    <mergeCell ref="B49:C49"/>
    <mergeCell ref="B54:C54"/>
    <mergeCell ref="B59:C59"/>
    <mergeCell ref="B65:G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24"/>
    <col collapsed="false" customWidth="true" hidden="false" outlineLevel="0" max="6" min="6" style="1" width="52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27.75" hidden="false" customHeight="true" outlineLevel="0" collapsed="false">
      <c r="B2" s="23" t="s">
        <v>2410</v>
      </c>
      <c r="C2" s="23"/>
      <c r="D2" s="23"/>
      <c r="E2" s="23"/>
      <c r="F2" s="23"/>
    </row>
    <row r="3" customFormat="false" ht="18" hidden="false" customHeight="true" outlineLevel="0" collapsed="false">
      <c r="B3" s="24" t="s">
        <v>2411</v>
      </c>
      <c r="C3" s="24"/>
      <c r="D3" s="24"/>
      <c r="E3" s="24"/>
      <c r="F3" s="24"/>
    </row>
    <row r="4" customFormat="false" ht="3" hidden="false" customHeight="true" outlineLevel="0" collapsed="false">
      <c r="B4" s="2"/>
      <c r="C4" s="2"/>
      <c r="D4" s="2"/>
      <c r="E4" s="2"/>
      <c r="F4" s="2"/>
      <c r="G4" s="2"/>
    </row>
    <row r="5" customFormat="false" ht="15" hidden="false" customHeight="true" outlineLevel="0" collapsed="false">
      <c r="B5" s="26" t="s">
        <v>2412</v>
      </c>
      <c r="C5" s="26" t="s">
        <v>2413</v>
      </c>
      <c r="D5" s="26" t="s">
        <v>2234</v>
      </c>
      <c r="E5" s="26" t="s">
        <v>2414</v>
      </c>
      <c r="F5" s="26" t="s">
        <v>2415</v>
      </c>
    </row>
    <row r="6" customFormat="false" ht="23.25" hidden="false" customHeight="true" outlineLevel="0" collapsed="false">
      <c r="B6" s="72" t="s">
        <v>2416</v>
      </c>
      <c r="C6" s="36" t="s">
        <v>2417</v>
      </c>
      <c r="D6" s="36" t="s">
        <v>2418</v>
      </c>
      <c r="E6" s="36" t="s">
        <v>2419</v>
      </c>
      <c r="F6" s="36" t="s">
        <v>2420</v>
      </c>
    </row>
    <row r="7" customFormat="false" ht="23.25" hidden="false" customHeight="true" outlineLevel="0" collapsed="false">
      <c r="B7" s="72" t="s">
        <v>2421</v>
      </c>
      <c r="C7" s="36" t="s">
        <v>2422</v>
      </c>
      <c r="D7" s="36" t="s">
        <v>2423</v>
      </c>
      <c r="E7" s="36" t="s">
        <v>2424</v>
      </c>
      <c r="F7" s="36" t="s">
        <v>2425</v>
      </c>
    </row>
    <row r="8" customFormat="false" ht="23.25" hidden="false" customHeight="true" outlineLevel="0" collapsed="false">
      <c r="B8" s="72" t="s">
        <v>2426</v>
      </c>
      <c r="C8" s="36" t="s">
        <v>2427</v>
      </c>
      <c r="D8" s="36" t="s">
        <v>2423</v>
      </c>
      <c r="E8" s="36" t="s">
        <v>2428</v>
      </c>
      <c r="F8" s="36" t="s">
        <v>2429</v>
      </c>
    </row>
    <row r="9" customFormat="false" ht="23.25" hidden="false" customHeight="true" outlineLevel="0" collapsed="false">
      <c r="B9" s="72" t="s">
        <v>2430</v>
      </c>
      <c r="C9" s="36" t="s">
        <v>2427</v>
      </c>
      <c r="D9" s="36" t="s">
        <v>2423</v>
      </c>
      <c r="E9" s="36" t="s">
        <v>2428</v>
      </c>
      <c r="F9" s="36" t="s">
        <v>2431</v>
      </c>
    </row>
    <row r="10" customFormat="false" ht="23.25" hidden="false" customHeight="true" outlineLevel="0" collapsed="false">
      <c r="B10" s="72" t="s">
        <v>2432</v>
      </c>
      <c r="C10" s="36" t="s">
        <v>2433</v>
      </c>
      <c r="D10" s="36" t="s">
        <v>2423</v>
      </c>
      <c r="E10" s="36" t="s">
        <v>2434</v>
      </c>
      <c r="F10" s="36" t="s">
        <v>2435</v>
      </c>
    </row>
    <row r="11" customFormat="false" ht="23.25" hidden="false" customHeight="true" outlineLevel="0" collapsed="false">
      <c r="B11" s="72" t="s">
        <v>2436</v>
      </c>
      <c r="C11" s="36" t="s">
        <v>2437</v>
      </c>
      <c r="D11" s="36" t="s">
        <v>2438</v>
      </c>
      <c r="E11" s="36" t="s">
        <v>2439</v>
      </c>
      <c r="F11" s="36" t="s">
        <v>2440</v>
      </c>
    </row>
    <row r="12" customFormat="false" ht="23.25" hidden="false" customHeight="true" outlineLevel="0" collapsed="false">
      <c r="B12" s="72" t="s">
        <v>2441</v>
      </c>
      <c r="C12" s="36" t="s">
        <v>2442</v>
      </c>
      <c r="D12" s="36" t="s">
        <v>2438</v>
      </c>
      <c r="E12" s="36" t="s">
        <v>2443</v>
      </c>
      <c r="F12" s="36" t="s">
        <v>2444</v>
      </c>
    </row>
    <row r="14" customFormat="false" ht="15" hidden="false" customHeight="true" outlineLevel="0" collapsed="false">
      <c r="B14" s="25" t="s">
        <v>2445</v>
      </c>
      <c r="C14" s="25"/>
      <c r="D14" s="25"/>
      <c r="E14" s="25"/>
      <c r="F14" s="25"/>
    </row>
    <row r="15" customFormat="false" ht="21.75" hidden="false" customHeight="true" outlineLevel="0" collapsed="false">
      <c r="B15" s="172" t="s">
        <v>2446</v>
      </c>
      <c r="C15" s="173" t="s">
        <v>2447</v>
      </c>
      <c r="D15" s="173"/>
      <c r="E15" s="173"/>
      <c r="F15" s="173"/>
    </row>
    <row r="16" customFormat="false" ht="21.75" hidden="false" customHeight="true" outlineLevel="0" collapsed="false">
      <c r="B16" s="172" t="s">
        <v>2448</v>
      </c>
      <c r="C16" s="173" t="s">
        <v>2449</v>
      </c>
      <c r="D16" s="173"/>
      <c r="E16" s="173"/>
      <c r="F16" s="173"/>
    </row>
    <row r="17" customFormat="false" ht="21.75" hidden="false" customHeight="true" outlineLevel="0" collapsed="false">
      <c r="B17" s="172" t="s">
        <v>2450</v>
      </c>
      <c r="C17" s="173" t="s">
        <v>2451</v>
      </c>
      <c r="D17" s="173"/>
      <c r="E17" s="173"/>
      <c r="F17" s="173"/>
    </row>
    <row r="18" customFormat="false" ht="21.75" hidden="false" customHeight="true" outlineLevel="0" collapsed="false">
      <c r="B18" s="172" t="s">
        <v>2452</v>
      </c>
      <c r="C18" s="173" t="s">
        <v>2453</v>
      </c>
      <c r="D18" s="173"/>
      <c r="E18" s="173"/>
      <c r="F18" s="173"/>
    </row>
    <row r="20" customFormat="false" ht="3.75" hidden="false" customHeight="true" outlineLevel="0" collapsed="false">
      <c r="A20" s="2"/>
      <c r="B20" s="2"/>
      <c r="C20" s="2"/>
      <c r="D20" s="2"/>
      <c r="E20" s="2"/>
      <c r="F20" s="2"/>
      <c r="G20" s="2"/>
    </row>
    <row r="21" customFormat="false" ht="15.75" hidden="false" customHeight="true" outlineLevel="0" collapsed="false">
      <c r="B21" s="31" t="s">
        <v>132</v>
      </c>
      <c r="C21" s="31"/>
      <c r="D21" s="31"/>
      <c r="E21" s="31"/>
      <c r="F21" s="31"/>
      <c r="G21" s="31"/>
    </row>
  </sheetData>
  <mergeCells count="8">
    <mergeCell ref="B2:F2"/>
    <mergeCell ref="B3:F3"/>
    <mergeCell ref="B14:F14"/>
    <mergeCell ref="C15:F15"/>
    <mergeCell ref="C16:F16"/>
    <mergeCell ref="C17:F17"/>
    <mergeCell ref="C18:F18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80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</row>
    <row r="2" customFormat="false" ht="27.75" hidden="false" customHeight="true" outlineLevel="0" collapsed="false">
      <c r="B2" s="23" t="s">
        <v>2454</v>
      </c>
      <c r="C2" s="23"/>
      <c r="D2" s="23"/>
      <c r="E2" s="23"/>
      <c r="F2" s="23"/>
    </row>
    <row r="3" customFormat="false" ht="18" hidden="false" customHeight="true" outlineLevel="0" collapsed="false">
      <c r="B3" s="175"/>
      <c r="C3" s="175"/>
      <c r="D3" s="175"/>
      <c r="E3" s="175"/>
      <c r="F3" s="175"/>
    </row>
    <row r="4" customFormat="false" ht="3" hidden="false" customHeight="true" outlineLevel="0" collapsed="false">
      <c r="B4" s="2"/>
      <c r="C4" s="2"/>
      <c r="D4" s="2"/>
      <c r="E4" s="2"/>
      <c r="F4" s="2"/>
    </row>
    <row r="5" customFormat="false" ht="15" hidden="false" customHeight="true" outlineLevel="0" collapsed="false">
      <c r="B5" s="25" t="s">
        <v>2455</v>
      </c>
      <c r="C5" s="25"/>
    </row>
    <row r="6" customFormat="false" ht="39.75" hidden="false" customHeight="true" outlineLevel="0" collapsed="false">
      <c r="B6" s="13" t="s">
        <v>2456</v>
      </c>
      <c r="C6" s="13"/>
    </row>
    <row r="8" customFormat="false" ht="15" hidden="false" customHeight="true" outlineLevel="0" collapsed="false">
      <c r="B8" s="25" t="s">
        <v>2457</v>
      </c>
      <c r="C8" s="25"/>
    </row>
    <row r="9" customFormat="false" ht="120" hidden="false" customHeight="true" outlineLevel="0" collapsed="false">
      <c r="B9" s="13" t="s">
        <v>2458</v>
      </c>
      <c r="C9" s="13"/>
    </row>
    <row r="11" customFormat="false" ht="15" hidden="false" customHeight="true" outlineLevel="0" collapsed="false">
      <c r="B11" s="25" t="s">
        <v>2459</v>
      </c>
      <c r="C11" s="25"/>
    </row>
    <row r="12" customFormat="false" ht="120" hidden="false" customHeight="true" outlineLevel="0" collapsed="false">
      <c r="B12" s="13" t="s">
        <v>2460</v>
      </c>
      <c r="C12" s="13"/>
    </row>
    <row r="14" customFormat="false" ht="15" hidden="false" customHeight="true" outlineLevel="0" collapsed="false">
      <c r="B14" s="25" t="s">
        <v>2461</v>
      </c>
      <c r="C14" s="25"/>
    </row>
    <row r="15" customFormat="false" ht="60" hidden="false" customHeight="true" outlineLevel="0" collapsed="false">
      <c r="B15" s="13" t="s">
        <v>2462</v>
      </c>
      <c r="C15" s="13"/>
    </row>
    <row r="17" customFormat="false" ht="15" hidden="false" customHeight="true" outlineLevel="0" collapsed="false">
      <c r="B17" s="25" t="s">
        <v>2463</v>
      </c>
      <c r="C17" s="25"/>
    </row>
    <row r="18" customFormat="false" ht="79.5" hidden="false" customHeight="true" outlineLevel="0" collapsed="false">
      <c r="B18" s="13" t="s">
        <v>2464</v>
      </c>
      <c r="C18" s="13"/>
    </row>
    <row r="20" customFormat="false" ht="15" hidden="false" customHeight="true" outlineLevel="0" collapsed="false">
      <c r="B20" s="25" t="s">
        <v>2465</v>
      </c>
      <c r="C20" s="25"/>
    </row>
    <row r="21" customFormat="false" ht="60" hidden="false" customHeight="true" outlineLevel="0" collapsed="false">
      <c r="B21" s="13" t="s">
        <v>2466</v>
      </c>
      <c r="C21" s="13"/>
    </row>
    <row r="23" customFormat="false" ht="15" hidden="false" customHeight="true" outlineLevel="0" collapsed="false">
      <c r="B23" s="25" t="s">
        <v>2467</v>
      </c>
      <c r="C23" s="25"/>
    </row>
    <row r="24" customFormat="false" ht="79.5" hidden="false" customHeight="true" outlineLevel="0" collapsed="false">
      <c r="B24" s="13" t="s">
        <v>2468</v>
      </c>
      <c r="C24" s="13"/>
    </row>
    <row r="26" customFormat="false" ht="15" hidden="false" customHeight="true" outlineLevel="0" collapsed="false">
      <c r="B26" s="25" t="s">
        <v>2469</v>
      </c>
      <c r="C26" s="25"/>
    </row>
    <row r="27" customFormat="false" ht="39.75" hidden="false" customHeight="true" outlineLevel="0" collapsed="false">
      <c r="B27" s="13" t="s">
        <v>2470</v>
      </c>
      <c r="C27" s="13"/>
    </row>
    <row r="29" customFormat="false" ht="3.75" hidden="false" customHeight="true" outlineLevel="0" collapsed="false">
      <c r="A29" s="2"/>
      <c r="B29" s="2"/>
      <c r="C29" s="2"/>
      <c r="D29" s="2"/>
      <c r="E29" s="2"/>
      <c r="F29" s="2"/>
    </row>
    <row r="30" customFormat="false" ht="15.75" hidden="false" customHeight="true" outlineLevel="0" collapsed="false">
      <c r="B30" s="31" t="s">
        <v>132</v>
      </c>
      <c r="C30" s="31"/>
      <c r="D30" s="31"/>
      <c r="E30" s="31"/>
      <c r="F30" s="31"/>
    </row>
  </sheetData>
  <mergeCells count="19">
    <mergeCell ref="B2:F2"/>
    <mergeCell ref="B3:F3"/>
    <mergeCell ref="B5:C5"/>
    <mergeCell ref="B6:C6"/>
    <mergeCell ref="B8:C8"/>
    <mergeCell ref="B9:C9"/>
    <mergeCell ref="B11:C11"/>
    <mergeCell ref="B12:C12"/>
    <mergeCell ref="B14:C14"/>
    <mergeCell ref="B15:C15"/>
    <mergeCell ref="B17:C17"/>
    <mergeCell ref="B18:C18"/>
    <mergeCell ref="B20:C20"/>
    <mergeCell ref="B21:C21"/>
    <mergeCell ref="B23:C23"/>
    <mergeCell ref="B24:C24"/>
    <mergeCell ref="B26:C26"/>
    <mergeCell ref="B27:C27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80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</row>
    <row r="2" customFormat="false" ht="27.75" hidden="false" customHeight="true" outlineLevel="0" collapsed="false">
      <c r="B2" s="23" t="s">
        <v>2471</v>
      </c>
      <c r="C2" s="23"/>
      <c r="D2" s="23"/>
      <c r="E2" s="23"/>
      <c r="F2" s="23"/>
    </row>
    <row r="3" customFormat="false" ht="18" hidden="false" customHeight="true" outlineLevel="0" collapsed="false">
      <c r="B3" s="175"/>
      <c r="C3" s="175"/>
      <c r="D3" s="175"/>
      <c r="E3" s="175"/>
      <c r="F3" s="175"/>
    </row>
    <row r="4" customFormat="false" ht="3" hidden="false" customHeight="true" outlineLevel="0" collapsed="false">
      <c r="B4" s="2"/>
      <c r="C4" s="2"/>
      <c r="D4" s="2"/>
      <c r="E4" s="2"/>
      <c r="F4" s="2"/>
    </row>
    <row r="5" customFormat="false" ht="15" hidden="false" customHeight="true" outlineLevel="0" collapsed="false">
      <c r="B5" s="25" t="s">
        <v>2472</v>
      </c>
      <c r="C5" s="25"/>
    </row>
    <row r="6" customFormat="false" ht="60" hidden="false" customHeight="true" outlineLevel="0" collapsed="false">
      <c r="B6" s="176" t="s">
        <v>2473</v>
      </c>
      <c r="C6" s="176"/>
    </row>
    <row r="8" customFormat="false" ht="15" hidden="false" customHeight="true" outlineLevel="0" collapsed="false">
      <c r="B8" s="25" t="s">
        <v>2474</v>
      </c>
      <c r="C8" s="25"/>
    </row>
    <row r="9" customFormat="false" ht="99.75" hidden="false" customHeight="true" outlineLevel="0" collapsed="false">
      <c r="B9" s="176" t="s">
        <v>2475</v>
      </c>
      <c r="C9" s="176"/>
    </row>
    <row r="11" customFormat="false" ht="15" hidden="false" customHeight="true" outlineLevel="0" collapsed="false">
      <c r="B11" s="25" t="s">
        <v>2476</v>
      </c>
      <c r="C11" s="25"/>
    </row>
    <row r="12" customFormat="false" ht="99.75" hidden="false" customHeight="true" outlineLevel="0" collapsed="false">
      <c r="B12" s="176" t="s">
        <v>2477</v>
      </c>
      <c r="C12" s="176"/>
    </row>
    <row r="14" customFormat="false" ht="15" hidden="false" customHeight="true" outlineLevel="0" collapsed="false">
      <c r="B14" s="25" t="s">
        <v>2478</v>
      </c>
      <c r="C14" s="25"/>
    </row>
    <row r="15" customFormat="false" ht="60" hidden="false" customHeight="true" outlineLevel="0" collapsed="false">
      <c r="B15" s="176" t="s">
        <v>2479</v>
      </c>
      <c r="C15" s="176"/>
    </row>
    <row r="17" customFormat="false" ht="15" hidden="false" customHeight="true" outlineLevel="0" collapsed="false">
      <c r="B17" s="25" t="s">
        <v>2480</v>
      </c>
      <c r="C17" s="25"/>
    </row>
    <row r="18" customFormat="false" ht="60" hidden="false" customHeight="true" outlineLevel="0" collapsed="false">
      <c r="B18" s="176" t="s">
        <v>2481</v>
      </c>
      <c r="C18" s="176"/>
    </row>
    <row r="20" customFormat="false" ht="15" hidden="false" customHeight="true" outlineLevel="0" collapsed="false">
      <c r="B20" s="25" t="s">
        <v>2482</v>
      </c>
      <c r="C20" s="25"/>
    </row>
    <row r="21" customFormat="false" ht="39.75" hidden="false" customHeight="true" outlineLevel="0" collapsed="false">
      <c r="B21" s="176" t="s">
        <v>2483</v>
      </c>
      <c r="C21" s="176"/>
    </row>
    <row r="23" customFormat="false" ht="15" hidden="false" customHeight="true" outlineLevel="0" collapsed="false">
      <c r="B23" s="25" t="s">
        <v>2484</v>
      </c>
      <c r="C23" s="25"/>
    </row>
    <row r="24" customFormat="false" ht="79.5" hidden="false" customHeight="true" outlineLevel="0" collapsed="false">
      <c r="B24" s="176" t="s">
        <v>2485</v>
      </c>
      <c r="C24" s="176"/>
    </row>
    <row r="26" customFormat="false" ht="15" hidden="false" customHeight="true" outlineLevel="0" collapsed="false">
      <c r="B26" s="25" t="s">
        <v>2486</v>
      </c>
      <c r="C26" s="25"/>
    </row>
    <row r="27" customFormat="false" ht="39.75" hidden="false" customHeight="true" outlineLevel="0" collapsed="false">
      <c r="B27" s="176" t="s">
        <v>2487</v>
      </c>
      <c r="C27" s="176"/>
    </row>
    <row r="29" customFormat="false" ht="3.75" hidden="false" customHeight="true" outlineLevel="0" collapsed="false">
      <c r="A29" s="2"/>
      <c r="B29" s="2"/>
      <c r="C29" s="2"/>
      <c r="D29" s="2"/>
      <c r="E29" s="2"/>
      <c r="F29" s="2"/>
    </row>
    <row r="30" customFormat="false" ht="15.75" hidden="false" customHeight="true" outlineLevel="0" collapsed="false">
      <c r="B30" s="31" t="s">
        <v>132</v>
      </c>
      <c r="C30" s="31"/>
      <c r="D30" s="31"/>
      <c r="E30" s="31"/>
      <c r="F30" s="31"/>
    </row>
  </sheetData>
  <mergeCells count="19">
    <mergeCell ref="B2:F2"/>
    <mergeCell ref="B3:F3"/>
    <mergeCell ref="B5:C5"/>
    <mergeCell ref="B6:C6"/>
    <mergeCell ref="B8:C8"/>
    <mergeCell ref="B9:C9"/>
    <mergeCell ref="B11:C11"/>
    <mergeCell ref="B12:C12"/>
    <mergeCell ref="B14:C14"/>
    <mergeCell ref="B15:C15"/>
    <mergeCell ref="B17:C17"/>
    <mergeCell ref="B18:C18"/>
    <mergeCell ref="B20:C20"/>
    <mergeCell ref="B21:C21"/>
    <mergeCell ref="B23:C23"/>
    <mergeCell ref="B24:C24"/>
    <mergeCell ref="B26:C26"/>
    <mergeCell ref="B27:C27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14"/>
    <col collapsed="false" customWidth="true" hidden="false" outlineLevel="0" max="4" min="4" style="1" width="20"/>
    <col collapsed="false" customWidth="true" hidden="false" outlineLevel="0" max="5" min="5" style="1" width="70"/>
  </cols>
  <sheetData>
    <row r="1" customFormat="false" ht="4.5" hidden="false" customHeight="true" outlineLevel="0" collapsed="false">
      <c r="A1" s="2"/>
      <c r="B1" s="2"/>
      <c r="C1" s="2"/>
      <c r="D1" s="2"/>
      <c r="E1" s="2"/>
    </row>
    <row r="2" customFormat="false" ht="27.75" hidden="false" customHeight="true" outlineLevel="0" collapsed="false">
      <c r="B2" s="23" t="s">
        <v>2488</v>
      </c>
      <c r="C2" s="23"/>
      <c r="D2" s="23"/>
      <c r="E2" s="23"/>
    </row>
    <row r="3" customFormat="false" ht="18" hidden="false" customHeight="true" outlineLevel="0" collapsed="false">
      <c r="B3" s="24" t="s">
        <v>2489</v>
      </c>
      <c r="C3" s="24"/>
      <c r="D3" s="24"/>
      <c r="E3" s="24"/>
    </row>
    <row r="4" customFormat="false" ht="3" hidden="false" customHeight="true" outlineLevel="0" collapsed="false">
      <c r="B4" s="2"/>
      <c r="C4" s="2"/>
      <c r="D4" s="2"/>
      <c r="E4" s="2"/>
    </row>
    <row r="5" customFormat="false" ht="15" hidden="false" customHeight="true" outlineLevel="0" collapsed="false">
      <c r="B5" s="26" t="s">
        <v>2490</v>
      </c>
      <c r="C5" s="26" t="s">
        <v>2198</v>
      </c>
      <c r="D5" s="26" t="s">
        <v>2491</v>
      </c>
      <c r="E5" s="26" t="s">
        <v>2492</v>
      </c>
    </row>
    <row r="6" customFormat="false" ht="21.75" hidden="false" customHeight="true" outlineLevel="0" collapsed="false">
      <c r="B6" s="72" t="s">
        <v>73</v>
      </c>
      <c r="C6" s="36" t="s">
        <v>2493</v>
      </c>
      <c r="D6" s="36" t="s">
        <v>2494</v>
      </c>
      <c r="E6" s="36" t="s">
        <v>2495</v>
      </c>
    </row>
    <row r="7" customFormat="false" ht="21.75" hidden="false" customHeight="true" outlineLevel="0" collapsed="false">
      <c r="B7" s="72" t="s">
        <v>2496</v>
      </c>
      <c r="C7" s="36" t="s">
        <v>2497</v>
      </c>
      <c r="D7" s="36" t="s">
        <v>2498</v>
      </c>
      <c r="E7" s="36" t="s">
        <v>2499</v>
      </c>
    </row>
    <row r="8" customFormat="false" ht="21.75" hidden="false" customHeight="true" outlineLevel="0" collapsed="false">
      <c r="B8" s="72" t="s">
        <v>2500</v>
      </c>
      <c r="C8" s="36" t="s">
        <v>2320</v>
      </c>
      <c r="D8" s="36" t="s">
        <v>2501</v>
      </c>
      <c r="E8" s="36" t="s">
        <v>2502</v>
      </c>
    </row>
    <row r="9" customFormat="false" ht="21.75" hidden="false" customHeight="true" outlineLevel="0" collapsed="false">
      <c r="B9" s="72" t="s">
        <v>2503</v>
      </c>
      <c r="C9" s="36" t="s">
        <v>2258</v>
      </c>
      <c r="D9" s="36" t="s">
        <v>2504</v>
      </c>
      <c r="E9" s="36" t="s">
        <v>2505</v>
      </c>
    </row>
    <row r="10" customFormat="false" ht="21.75" hidden="false" customHeight="true" outlineLevel="0" collapsed="false">
      <c r="B10" s="72" t="s">
        <v>2506</v>
      </c>
      <c r="C10" s="36" t="s">
        <v>2507</v>
      </c>
      <c r="D10" s="36" t="s">
        <v>2508</v>
      </c>
      <c r="E10" s="36" t="s">
        <v>2509</v>
      </c>
    </row>
    <row r="11" customFormat="false" ht="36" hidden="false" customHeight="true" outlineLevel="0" collapsed="false">
      <c r="B11" s="177" t="s">
        <v>2510</v>
      </c>
      <c r="C11" s="178" t="s">
        <v>2493</v>
      </c>
      <c r="D11" s="178" t="s">
        <v>2511</v>
      </c>
    </row>
    <row r="13" customFormat="false" ht="3.75" hidden="false" customHeight="true" outlineLevel="0" collapsed="false">
      <c r="A13" s="2"/>
      <c r="B13" s="2"/>
      <c r="C13" s="2"/>
      <c r="D13" s="2"/>
      <c r="E13" s="2"/>
    </row>
    <row r="14" customFormat="false" ht="15.75" hidden="false" customHeight="true" outlineLevel="0" collapsed="false">
      <c r="B14" s="31" t="s">
        <v>132</v>
      </c>
      <c r="C14" s="31"/>
      <c r="D14" s="31"/>
      <c r="E14" s="31"/>
    </row>
    <row r="15" customFormat="false" ht="135.75" hidden="false" customHeight="true" outlineLevel="0" collapsed="false">
      <c r="B15" s="179" t="s">
        <v>2512</v>
      </c>
      <c r="C15" s="179" t="s">
        <v>2493</v>
      </c>
      <c r="D15" s="179" t="s">
        <v>2513</v>
      </c>
    </row>
  </sheetData>
  <mergeCells count="3">
    <mergeCell ref="B2:E2"/>
    <mergeCell ref="B3:E3"/>
    <mergeCell ref="B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42"/>
    <col collapsed="false" customWidth="true" hidden="false" outlineLevel="0" max="4" min="4" style="1" width="40"/>
  </cols>
  <sheetData>
    <row r="1" customFormat="false" ht="4.5" hidden="false" customHeight="true" outlineLevel="0" collapsed="false">
      <c r="A1" s="2"/>
      <c r="B1" s="2"/>
      <c r="C1" s="2"/>
      <c r="D1" s="2"/>
      <c r="E1" s="2"/>
      <c r="F1" s="2"/>
    </row>
    <row r="2" customFormat="false" ht="27.75" hidden="false" customHeight="true" outlineLevel="0" collapsed="false">
      <c r="B2" s="23" t="s">
        <v>2514</v>
      </c>
      <c r="C2" s="23"/>
      <c r="D2" s="23"/>
    </row>
    <row r="3" customFormat="false" ht="18" hidden="false" customHeight="true" outlineLevel="0" collapsed="false">
      <c r="B3" s="24" t="s">
        <v>2515</v>
      </c>
      <c r="C3" s="24"/>
      <c r="D3" s="24"/>
      <c r="E3" s="24"/>
      <c r="F3" s="24"/>
    </row>
    <row r="4" customFormat="false" ht="3" hidden="false" customHeight="true" outlineLevel="0" collapsed="false">
      <c r="B4" s="2"/>
      <c r="C4" s="2"/>
      <c r="D4" s="2"/>
      <c r="E4" s="2"/>
      <c r="F4" s="2"/>
    </row>
    <row r="5" customFormat="false" ht="15" hidden="false" customHeight="true" outlineLevel="0" collapsed="false">
      <c r="B5" s="25" t="s">
        <v>2516</v>
      </c>
      <c r="C5" s="25"/>
      <c r="D5" s="25"/>
    </row>
    <row r="6" customFormat="false" ht="15" hidden="false" customHeight="true" outlineLevel="0" collapsed="false">
      <c r="B6" s="26" t="s">
        <v>1929</v>
      </c>
      <c r="C6" s="26" t="s">
        <v>2517</v>
      </c>
      <c r="D6" s="26" t="s">
        <v>2518</v>
      </c>
    </row>
    <row r="7" customFormat="false" ht="15" hidden="false" customHeight="true" outlineLevel="0" collapsed="false">
      <c r="B7" s="180" t="s">
        <v>2519</v>
      </c>
      <c r="C7" s="181" t="s">
        <v>2520</v>
      </c>
      <c r="D7" s="182" t="s">
        <v>2521</v>
      </c>
    </row>
    <row r="8" customFormat="false" ht="15" hidden="false" customHeight="true" outlineLevel="0" collapsed="false">
      <c r="B8" s="180" t="s">
        <v>2522</v>
      </c>
      <c r="C8" s="181" t="s">
        <v>2520</v>
      </c>
      <c r="D8" s="182" t="s">
        <v>2523</v>
      </c>
    </row>
    <row r="9" customFormat="false" ht="15" hidden="false" customHeight="true" outlineLevel="0" collapsed="false">
      <c r="B9" s="180" t="s">
        <v>2524</v>
      </c>
      <c r="C9" s="181" t="s">
        <v>2520</v>
      </c>
      <c r="D9" s="182" t="s">
        <v>2525</v>
      </c>
    </row>
    <row r="10" customFormat="false" ht="15" hidden="false" customHeight="true" outlineLevel="0" collapsed="false">
      <c r="B10" s="180" t="s">
        <v>2526</v>
      </c>
      <c r="C10" s="181" t="s">
        <v>2520</v>
      </c>
      <c r="D10" s="182" t="s">
        <v>2527</v>
      </c>
    </row>
    <row r="11" customFormat="false" ht="15" hidden="false" customHeight="true" outlineLevel="0" collapsed="false">
      <c r="B11" s="180" t="s">
        <v>2528</v>
      </c>
      <c r="C11" s="181" t="s">
        <v>2520</v>
      </c>
      <c r="D11" s="182" t="s">
        <v>2529</v>
      </c>
    </row>
    <row r="12" customFormat="false" ht="15" hidden="false" customHeight="true" outlineLevel="0" collapsed="false">
      <c r="B12" s="180" t="s">
        <v>2530</v>
      </c>
      <c r="C12" s="181" t="s">
        <v>2531</v>
      </c>
      <c r="D12" s="182" t="s">
        <v>2532</v>
      </c>
    </row>
    <row r="13" customFormat="false" ht="15" hidden="false" customHeight="true" outlineLevel="0" collapsed="false">
      <c r="B13" s="180" t="s">
        <v>1935</v>
      </c>
      <c r="C13" s="181" t="s">
        <v>2531</v>
      </c>
      <c r="D13" s="182" t="s">
        <v>2533</v>
      </c>
    </row>
    <row r="14" customFormat="false" ht="15" hidden="false" customHeight="true" outlineLevel="0" collapsed="false">
      <c r="B14" s="180" t="s">
        <v>1940</v>
      </c>
      <c r="C14" s="181" t="s">
        <v>2531</v>
      </c>
      <c r="D14" s="182" t="s">
        <v>2534</v>
      </c>
    </row>
    <row r="15" customFormat="false" ht="15" hidden="false" customHeight="true" outlineLevel="0" collapsed="false">
      <c r="B15" s="180" t="s">
        <v>1945</v>
      </c>
      <c r="C15" s="181" t="s">
        <v>2531</v>
      </c>
      <c r="D15" s="182" t="s">
        <v>2535</v>
      </c>
    </row>
    <row r="16" customFormat="false" ht="15" hidden="false" customHeight="true" outlineLevel="0" collapsed="false">
      <c r="B16" s="180" t="s">
        <v>1950</v>
      </c>
      <c r="C16" s="181" t="s">
        <v>2531</v>
      </c>
      <c r="D16" s="182" t="s">
        <v>2536</v>
      </c>
    </row>
    <row r="17" customFormat="false" ht="15" hidden="false" customHeight="true" outlineLevel="0" collapsed="false">
      <c r="B17" s="180" t="s">
        <v>1955</v>
      </c>
      <c r="C17" s="181" t="s">
        <v>2531</v>
      </c>
      <c r="D17" s="182" t="s">
        <v>2537</v>
      </c>
    </row>
    <row r="18" customFormat="false" ht="15" hidden="false" customHeight="true" outlineLevel="0" collapsed="false">
      <c r="B18" s="180" t="s">
        <v>1960</v>
      </c>
      <c r="C18" s="181" t="s">
        <v>2531</v>
      </c>
      <c r="D18" s="182" t="s">
        <v>2538</v>
      </c>
    </row>
    <row r="19" customFormat="false" ht="15" hidden="false" customHeight="true" outlineLevel="0" collapsed="false">
      <c r="B19" s="180" t="s">
        <v>2539</v>
      </c>
      <c r="C19" s="181" t="s">
        <v>2531</v>
      </c>
      <c r="D19" s="182" t="s">
        <v>2540</v>
      </c>
    </row>
    <row r="20" customFormat="false" ht="15" hidden="false" customHeight="true" outlineLevel="0" collapsed="false">
      <c r="B20" s="180" t="s">
        <v>1964</v>
      </c>
      <c r="C20" s="181" t="s">
        <v>2531</v>
      </c>
      <c r="D20" s="182" t="s">
        <v>2541</v>
      </c>
    </row>
    <row r="21" customFormat="false" ht="15" hidden="false" customHeight="true" outlineLevel="0" collapsed="false">
      <c r="B21" s="180" t="s">
        <v>1969</v>
      </c>
      <c r="C21" s="181" t="s">
        <v>2531</v>
      </c>
      <c r="D21" s="182" t="s">
        <v>2542</v>
      </c>
    </row>
    <row r="22" customFormat="false" ht="15" hidden="false" customHeight="true" outlineLevel="0" collapsed="false">
      <c r="B22" s="180" t="s">
        <v>2543</v>
      </c>
      <c r="C22" s="181" t="s">
        <v>2531</v>
      </c>
      <c r="D22" s="182" t="s">
        <v>2544</v>
      </c>
    </row>
    <row r="23" customFormat="false" ht="15" hidden="false" customHeight="true" outlineLevel="0" collapsed="false">
      <c r="B23" s="180" t="s">
        <v>2545</v>
      </c>
      <c r="C23" s="181" t="s">
        <v>2531</v>
      </c>
      <c r="D23" s="182" t="s">
        <v>2546</v>
      </c>
    </row>
    <row r="24" customFormat="false" ht="15" hidden="false" customHeight="true" outlineLevel="0" collapsed="false">
      <c r="B24" s="180" t="s">
        <v>2547</v>
      </c>
      <c r="C24" s="181" t="s">
        <v>2531</v>
      </c>
      <c r="D24" s="182" t="s">
        <v>2548</v>
      </c>
    </row>
    <row r="25" customFormat="false" ht="15" hidden="false" customHeight="true" outlineLevel="0" collapsed="false">
      <c r="B25" s="180" t="s">
        <v>2549</v>
      </c>
      <c r="C25" s="181" t="s">
        <v>2531</v>
      </c>
      <c r="D25" s="182" t="s">
        <v>2550</v>
      </c>
    </row>
    <row r="27" customFormat="false" ht="15" hidden="false" customHeight="true" outlineLevel="0" collapsed="false">
      <c r="B27" s="25" t="s">
        <v>2551</v>
      </c>
      <c r="C27" s="25"/>
      <c r="D27" s="25"/>
    </row>
    <row r="28" customFormat="false" ht="15" hidden="false" customHeight="true" outlineLevel="0" collapsed="false">
      <c r="B28" s="183" t="s">
        <v>1937</v>
      </c>
      <c r="C28" s="184" t="s">
        <v>1312</v>
      </c>
      <c r="D28" s="182" t="s">
        <v>2552</v>
      </c>
    </row>
    <row r="29" customFormat="false" ht="15" hidden="false" customHeight="true" outlineLevel="0" collapsed="false">
      <c r="B29" s="183" t="s">
        <v>1942</v>
      </c>
      <c r="C29" s="184" t="s">
        <v>2119</v>
      </c>
      <c r="D29" s="182" t="s">
        <v>2553</v>
      </c>
    </row>
    <row r="30" customFormat="false" ht="15" hidden="false" customHeight="true" outlineLevel="0" collapsed="false">
      <c r="B30" s="183" t="s">
        <v>1947</v>
      </c>
      <c r="C30" s="184" t="s">
        <v>2121</v>
      </c>
      <c r="D30" s="182" t="s">
        <v>2554</v>
      </c>
    </row>
    <row r="31" customFormat="false" ht="15" hidden="false" customHeight="true" outlineLevel="0" collapsed="false">
      <c r="B31" s="183" t="s">
        <v>1952</v>
      </c>
      <c r="C31" s="184" t="s">
        <v>2130</v>
      </c>
      <c r="D31" s="182" t="s">
        <v>2555</v>
      </c>
    </row>
    <row r="32" customFormat="false" ht="15" hidden="false" customHeight="true" outlineLevel="0" collapsed="false">
      <c r="B32" s="183" t="s">
        <v>1957</v>
      </c>
      <c r="C32" s="184" t="s">
        <v>2207</v>
      </c>
      <c r="D32" s="182" t="s">
        <v>2556</v>
      </c>
    </row>
    <row r="33" customFormat="false" ht="15" hidden="false" customHeight="true" outlineLevel="0" collapsed="false">
      <c r="B33" s="183" t="s">
        <v>1962</v>
      </c>
      <c r="C33" s="184" t="s">
        <v>2557</v>
      </c>
      <c r="D33" s="182" t="s">
        <v>2558</v>
      </c>
    </row>
    <row r="34" customFormat="false" ht="15" hidden="false" customHeight="true" outlineLevel="0" collapsed="false">
      <c r="B34" s="183" t="s">
        <v>2559</v>
      </c>
      <c r="C34" s="184" t="s">
        <v>2560</v>
      </c>
      <c r="D34" s="182" t="s">
        <v>2561</v>
      </c>
    </row>
    <row r="35" customFormat="false" ht="15" hidden="false" customHeight="true" outlineLevel="0" collapsed="false">
      <c r="B35" s="183" t="s">
        <v>2562</v>
      </c>
      <c r="C35" s="184" t="s">
        <v>2563</v>
      </c>
      <c r="D35" s="182" t="s">
        <v>2564</v>
      </c>
    </row>
    <row r="36" customFormat="false" ht="15" hidden="false" customHeight="true" outlineLevel="0" collapsed="false">
      <c r="B36" s="183" t="s">
        <v>2565</v>
      </c>
      <c r="C36" s="184" t="s">
        <v>2566</v>
      </c>
      <c r="D36" s="182" t="s">
        <v>2567</v>
      </c>
    </row>
    <row r="37" customFormat="false" ht="15" hidden="false" customHeight="true" outlineLevel="0" collapsed="false">
      <c r="B37" s="183" t="s">
        <v>2568</v>
      </c>
      <c r="C37" s="184" t="s">
        <v>2569</v>
      </c>
      <c r="D37" s="182" t="s">
        <v>2570</v>
      </c>
    </row>
    <row r="38" customFormat="false" ht="15" hidden="false" customHeight="true" outlineLevel="0" collapsed="false">
      <c r="B38" s="183" t="s">
        <v>2571</v>
      </c>
      <c r="C38" s="184" t="s">
        <v>2572</v>
      </c>
      <c r="D38" s="182" t="s">
        <v>2573</v>
      </c>
    </row>
    <row r="39" customFormat="false" ht="15" hidden="false" customHeight="true" outlineLevel="0" collapsed="false">
      <c r="B39" s="183" t="s">
        <v>2574</v>
      </c>
      <c r="C39" s="184" t="s">
        <v>2575</v>
      </c>
      <c r="D39" s="182" t="s">
        <v>2576</v>
      </c>
    </row>
    <row r="40" customFormat="false" ht="15" hidden="false" customHeight="true" outlineLevel="0" collapsed="false">
      <c r="B40" s="183" t="s">
        <v>2577</v>
      </c>
      <c r="C40" s="184" t="s">
        <v>2578</v>
      </c>
      <c r="D40" s="182" t="s">
        <v>2579</v>
      </c>
    </row>
    <row r="42" customFormat="false" ht="15" hidden="false" customHeight="true" outlineLevel="0" collapsed="false">
      <c r="B42" s="25" t="s">
        <v>2580</v>
      </c>
      <c r="C42" s="25"/>
      <c r="D42" s="25"/>
    </row>
    <row r="43" customFormat="false" ht="21.75" hidden="false" customHeight="true" outlineLevel="0" collapsed="false">
      <c r="B43" s="32" t="s">
        <v>2581</v>
      </c>
      <c r="C43" s="182" t="s">
        <v>2582</v>
      </c>
      <c r="D43" s="182"/>
    </row>
    <row r="44" customFormat="false" ht="21.75" hidden="false" customHeight="true" outlineLevel="0" collapsed="false">
      <c r="B44" s="32" t="s">
        <v>2583</v>
      </c>
      <c r="C44" s="182" t="s">
        <v>2584</v>
      </c>
      <c r="D44" s="182"/>
    </row>
    <row r="45" customFormat="false" ht="21.75" hidden="false" customHeight="true" outlineLevel="0" collapsed="false">
      <c r="B45" s="32" t="s">
        <v>2585</v>
      </c>
      <c r="C45" s="182" t="s">
        <v>2586</v>
      </c>
      <c r="D45" s="182"/>
    </row>
    <row r="46" customFormat="false" ht="21.75" hidden="false" customHeight="true" outlineLevel="0" collapsed="false">
      <c r="B46" s="32" t="s">
        <v>2587</v>
      </c>
      <c r="C46" s="182" t="s">
        <v>2588</v>
      </c>
      <c r="D46" s="182"/>
    </row>
    <row r="48" customFormat="false" ht="3.75" hidden="false" customHeight="true" outlineLevel="0" collapsed="false">
      <c r="A48" s="2"/>
      <c r="B48" s="2"/>
      <c r="C48" s="2"/>
      <c r="D48" s="2"/>
      <c r="E48" s="2"/>
      <c r="F48" s="2"/>
    </row>
    <row r="49" customFormat="false" ht="15.75" hidden="false" customHeight="true" outlineLevel="0" collapsed="false">
      <c r="B49" s="31" t="s">
        <v>132</v>
      </c>
      <c r="C49" s="31"/>
      <c r="D49" s="31"/>
      <c r="E49" s="31"/>
      <c r="F49" s="31"/>
    </row>
  </sheetData>
  <mergeCells count="10">
    <mergeCell ref="B2:D2"/>
    <mergeCell ref="B3:F3"/>
    <mergeCell ref="B5:D5"/>
    <mergeCell ref="B27:D27"/>
    <mergeCell ref="B42:D42"/>
    <mergeCell ref="C43:D43"/>
    <mergeCell ref="C44:D44"/>
    <mergeCell ref="C45:D45"/>
    <mergeCell ref="C46:D46"/>
    <mergeCell ref="B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2026-04-18T17:40:49Z</dcterms:created>
  <dc:creator>openpyxl</dc:creator>
  <dc:description/>
  <dc:language>en-US</dc:language>
  <cp:lastModifiedBy/>
  <dcterms:modified xsi:type="dcterms:W3CDTF">2026-04-18T19:13:41Z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