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Cover" sheetId="1" state="visible" r:id="rId3"/>
    <sheet name="QT_Template" sheetId="2" state="hidden" r:id="rId4"/>
    <sheet name="07_Settings" sheetId="3" state="hidden" r:id="rId5"/>
    <sheet name="01_Player_Rate_Card" sheetId="4" state="visible" r:id="rId6"/>
    <sheet name="02_Creator_Rate_Card" sheetId="5" state="visible" r:id="rId7"/>
    <sheet name="02_Adjustment_Matrix" sheetId="6" state="visible" r:id="rId8"/>
    <sheet name="04_Tier_Progression" sheetId="7" state="visible" r:id="rId9"/>
    <sheet name="08_Creator_Axes" sheetId="8" state="visible" r:id="rId10"/>
    <sheet name="03_Add_On_Rights" sheetId="9" state="visible" r:id="rId11"/>
    <sheet name="05_Guide_EN" sheetId="10" state="visible" r:id="rId12"/>
    <sheet name="06_Guide_AR" sheetId="11" state="visible" r:id="rId13"/>
    <sheet name="09_Benchmarks" sheetId="12" state="visible" r:id="rId14"/>
    <sheet name="10_Case_Studies" sheetId="13" state="visible" r:id="rId15"/>
    <sheet name="11_Methodology" sheetId="14" state="visible" r:id="rId16"/>
    <sheet name="12_Quote_Log" sheetId="15" state="visible" r:id="rId17"/>
    <sheet name="99_Assumptions_Log" sheetId="16" state="visible" r:id="rId18"/>
  </sheets>
  <definedNames>
    <definedName function="false" hidden="false" localSheetId="3" name="_xlnm.Print_Area" vbProcedure="false">'01_Player_Rate_Card'!$A$1:$AZ$193</definedName>
    <definedName function="false" hidden="true" localSheetId="3" name="_xlnm._FilterDatabase" vbProcedure="false">'01_Player_Rate_Card'!$C$4:$X$165</definedName>
    <definedName function="false" hidden="false" localSheetId="5" name="_xlnm.Print_Area" vbProcedure="false">'02_Adjustment_Matrix'!$A$1:$K$120</definedName>
    <definedName function="false" hidden="false" localSheetId="9" name="_xlnm.Print_Area" vbProcedure="false">'05_Guide_EN'!$A$1:$C$90</definedName>
    <definedName function="false" hidden="false" localSheetId="10" name="_xlnm.Print_Area" vbProcedure="false">'06_Guide_AR'!$A$1:$C$90</definedName>
    <definedName function="false" hidden="false" localSheetId="11" name="_xlnm.Print_Area" vbProcedure="false">'09_Benchmarks'!$A$1:$F$90</definedName>
    <definedName function="false" hidden="false" localSheetId="13" name="_xlnm.Print_Area" vbProcedure="false">'11_Methodology'!$A$1:$F$90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<sst xmlns="http://schemas.openxmlformats.org/spreadsheetml/2006/main" count="4062" uniqueCount="2676">
  <si>
    <t xml:space="preserve">TEAM FALCONS</t>
  </si>
  <si>
    <t xml:space="preserve">Talent Commercial Rate Card  ·  2026</t>
  </si>
  <si>
    <t xml:space="preserve">Global Esports Pricing &amp; Monetization Framework</t>
  </si>
  <si>
    <t xml:space="preserve">Updated: 14 April, 2026   ·   Currency: SAR   ·   1 USD = 3.75 SAR</t>
  </si>
  <si>
    <t xml:space="preserve">Total Entries</t>
  </si>
  <si>
    <t xml:space="preserve">Players</t>
  </si>
  <si>
    <t xml:space="preserve">Esports Influencers</t>
  </si>
  <si>
    <t xml:space="preserve">Staff &amp; Coaches</t>
  </si>
  <si>
    <t xml:space="preserve">T1 / T2 / T3</t>
  </si>
  <si>
    <t xml:space="preserve">SHEET NAVIGATION</t>
  </si>
  <si>
    <t xml:space="preserve">01_Player_Rate_Card</t>
  </si>
  <si>
    <t xml:space="preserve">02_Adjustment_Matrix</t>
  </si>
  <si>
    <t xml:space="preserve">Engagement · Audience · Seasonality multipliers + Live Calculator</t>
  </si>
  <si>
    <t xml:space="preserve">03_Add_On_Rights</t>
  </si>
  <si>
    <t xml:space="preserve">Rights packages with uplift % + bundle presets</t>
  </si>
  <si>
    <t xml:space="preserve">05_Guide_EN</t>
  </si>
  <si>
    <t xml:space="preserve">Pricing methodology, formula, best practices (English)</t>
  </si>
  <si>
    <t xml:space="preserve">06_Guide_AR</t>
  </si>
  <si>
    <t xml:space="preserve">دليل التسعير الكامل بالعربي</t>
  </si>
  <si>
    <t xml:space="preserve">COLOR LEGEND</t>
  </si>
  <si>
    <t xml:space="preserve">1M+ followers · 8%+ engagement · World-class talent</t>
  </si>
  <si>
    <t xml:space="preserve">Tier 1 — Premium</t>
  </si>
  <si>
    <t xml:space="preserve">100K–1M followers · 5–8% engagement · Established</t>
  </si>
  <si>
    <t xml:space="preserve">Tier 2 — Target</t>
  </si>
  <si>
    <t xml:space="preserve">10K–100K followers · High engagement · Rising stars</t>
  </si>
  <si>
    <t xml:space="preserve">Tier 3 — Emerging</t>
  </si>
  <si>
    <t xml:space="preserve">Coaching staff — rates apply for appearances &amp; content</t>
  </si>
  <si>
    <t xml:space="preserve">Coach / Head Coach</t>
  </si>
  <si>
    <t xml:space="preserve">Management staff — rates apply for appearances</t>
  </si>
  <si>
    <t xml:space="preserve">Manager</t>
  </si>
  <si>
    <t xml:space="preserve">Analyst staff — rates apply for appearances</t>
  </si>
  <si>
    <t xml:space="preserve">Analyst</t>
  </si>
  <si>
    <t xml:space="preserve">Prepared by:</t>
  </si>
  <si>
    <t xml:space="preserve">—</t>
  </si>
  <si>
    <t xml:space="preserve">Approved by:</t>
  </si>
  <si>
    <t xml:space="preserve">Date:</t>
  </si>
  <si>
    <t xml:space="preserve">{{DATE}}</t>
  </si>
  <si>
    <t xml:space="preserve">Quote #:</t>
  </si>
  <si>
    <t xml:space="preserve">{{QUOTE_ID}}</t>
  </si>
  <si>
    <t xml:space="preserve">Client:</t>
  </si>
  <si>
    <t xml:space="preserve">{{CLIENT}}</t>
  </si>
  <si>
    <t xml:space="preserve">Currency:</t>
  </si>
  <si>
    <t xml:space="preserve">SAR</t>
  </si>
  <si>
    <t xml:space="preserve">QUOTE LINE ITEMS</t>
  </si>
  <si>
    <t xml:space="preserve">Description</t>
  </si>
  <si>
    <t xml:space="preserve">Unit Cost (SAR)</t>
  </si>
  <si>
    <t xml:space="preserve">Qty</t>
  </si>
  <si>
    <t xml:space="preserve">Amount (SAR)</t>
  </si>
  <si>
    <t xml:space="preserve">  — (line 1) —</t>
  </si>
  <si>
    <t xml:space="preserve">  — (line 2) —</t>
  </si>
  <si>
    <t xml:space="preserve">  — (line 3) —</t>
  </si>
  <si>
    <t xml:space="preserve">  — (line 4) —</t>
  </si>
  <si>
    <t xml:space="preserve">  — (line 5) —</t>
  </si>
  <si>
    <t xml:space="preserve">  — (line 6) —</t>
  </si>
  <si>
    <t xml:space="preserve">  — (line 7) —</t>
  </si>
  <si>
    <t xml:space="preserve">  Special notes and instructions:</t>
  </si>
  <si>
    <t xml:space="preserve">SUBTOTAL</t>
  </si>
  <si>
    <t xml:space="preserve">{{CLIENT_NOTES}}</t>
  </si>
  <si>
    <t xml:space="preserve">(TAX RATE)</t>
  </si>
  <si>
    <t xml:space="preserve">TAX</t>
  </si>
  <si>
    <t xml:space="preserve">TOTAL</t>
  </si>
  <si>
    <t xml:space="preserve">PRICING MULTIPLIERS (9-AXIS MATRIX)</t>
  </si>
  <si>
    <t xml:space="preserve">  Multiplier</t>
  </si>
  <si>
    <t xml:space="preserve">Selected Value</t>
  </si>
  <si>
    <t xml:space="preserve">Factor</t>
  </si>
  <si>
    <t xml:space="preserve">Impact</t>
  </si>
  <si>
    <t xml:space="preserve">  ① Content Type</t>
  </si>
  <si>
    <t xml:space="preserve">{{CONTENT}}</t>
  </si>
  <si>
    <t xml:space="preserve">— Baseline</t>
  </si>
  <si>
    <t xml:space="preserve">  ② Engagement Rate</t>
  </si>
  <si>
    <t xml:space="preserve">{{ENGAGEMENT}}</t>
  </si>
  <si>
    <t xml:space="preserve">  ③ Audience Quality</t>
  </si>
  <si>
    <t xml:space="preserve">{{AUDIENCE}}</t>
  </si>
  <si>
    <t xml:space="preserve">  ④ Seasonality</t>
  </si>
  <si>
    <t xml:space="preserve">{{SEASONALITY}}</t>
  </si>
  <si>
    <t xml:space="preserve">  ⑤ Language</t>
  </si>
  <si>
    <t xml:space="preserve">{{LANGUAGE}}</t>
  </si>
  <si>
    <t xml:space="preserve">  ⑥ Authority Level</t>
  </si>
  <si>
    <t xml:space="preserve">{{AUTHORITY}}</t>
  </si>
  <si>
    <t xml:space="preserve">  ⑦ Campaign Objective</t>
  </si>
  <si>
    <t xml:space="preserve">{{CAMPAIGN}}</t>
  </si>
  <si>
    <t xml:space="preserve">  COMBINED PRICE MULTIPLIER</t>
  </si>
  <si>
    <t xml:space="preserve">Applied to Base Fee</t>
  </si>
  <si>
    <t xml:space="preserve">Formula: Base Fee × Combined Multiplier + Add-Ons → Subtotal → TAX → TOTAL  |  Authority Floor = IRL × FloorShare × Seasonality × Language × AuthorityFactor</t>
  </si>
  <si>
    <t xml:space="preserve">King Abdulaziz Road, Riyadh 11564, Saudi Arabia · contact@teamfalcons.com</t>
  </si>
  <si>
    <t xml:space="preserve">[INTERNAL] FMG: 30% commission baseline. Authority Floor enforced per Methodology §3.</t>
  </si>
  <si>
    <t xml:space="preserve">A (Key)</t>
  </si>
  <si>
    <t xml:space="preserve">B (Value)</t>
  </si>
  <si>
    <t xml:space="preserve">output_folder_id</t>
  </si>
  <si>
    <t xml:space="preserve">(Drive folder ID where PDFs go)</t>
  </si>
  <si>
    <t xml:space="preserve">legal_approver_email</t>
  </si>
  <si>
    <t xml:space="preserve">legal@…</t>
  </si>
  <si>
    <t xml:space="preserve">finance_approver_email</t>
  </si>
  <si>
    <t xml:space="preserve">finance@…</t>
  </si>
  <si>
    <t xml:space="preserve">client_email</t>
  </si>
  <si>
    <t xml:space="preserve">(optional default)</t>
  </si>
  <si>
    <t xml:space="preserve">approval_secret</t>
  </si>
  <si>
    <t xml:space="preserve">(any random word like falcons2026)</t>
  </si>
  <si>
    <t xml:space="preserve">TIER DEFAULTS TABLE</t>
  </si>
  <si>
    <t xml:space="preserve">Tier</t>
  </si>
  <si>
    <t xml:space="preserve">Label</t>
  </si>
  <si>
    <t xml:space="preserve">Follower Threshold</t>
  </si>
  <si>
    <t xml:space="preserve">Base Fee Min (SAR)</t>
  </si>
  <si>
    <t xml:space="preserve">Base Fee Max (SAR)</t>
  </si>
  <si>
    <t xml:space="preserve">Floor Share %</t>
  </si>
  <si>
    <t xml:space="preserve">Notes</t>
  </si>
  <si>
    <t xml:space="preserve">Tier S</t>
  </si>
  <si>
    <t xml:space="preserve">Superstar</t>
  </si>
  <si>
    <t xml:space="preserve">&gt;1M on any platform</t>
  </si>
  <si>
    <t xml:space="preserve">Global anchors — premium brand deals</t>
  </si>
  <si>
    <t xml:space="preserve">Tier 1</t>
  </si>
  <si>
    <t xml:space="preserve">Star</t>
  </si>
  <si>
    <t xml:space="preserve">250K–1M</t>
  </si>
  <si>
    <t xml:space="preserve">Core pro athletes with notable reach</t>
  </si>
  <si>
    <t xml:space="preserve">Tier 2</t>
  </si>
  <si>
    <t xml:space="preserve">Core Influencer</t>
  </si>
  <si>
    <t xml:space="preserve">50K–250K</t>
  </si>
  <si>
    <t xml:space="preserve">Active pros + mid-tier creators</t>
  </si>
  <si>
    <t xml:space="preserve">Tier 3</t>
  </si>
  <si>
    <t xml:space="preserve">Rising</t>
  </si>
  <si>
    <t xml:space="preserve">10K–50K</t>
  </si>
  <si>
    <t xml:space="preserve">Emerging talent + niche specialists</t>
  </si>
  <si>
    <t xml:space="preserve">Tier 4</t>
  </si>
  <si>
    <t xml:space="preserve">Entry / Staff</t>
  </si>
  <si>
    <t xml:space="preserve">&lt;10K or staff</t>
  </si>
  <si>
    <t xml:space="preserve">Support roles + developing roster</t>
  </si>
  <si>
    <t xml:space="preserve">MEASUREMENT CONFIDENCE LEVELS</t>
  </si>
  <si>
    <t xml:space="preserve">Level</t>
  </si>
  <si>
    <t xml:space="preserve">Trigger</t>
  </si>
  <si>
    <t xml:space="preserve">Premium Multipliers Allowed?</t>
  </si>
  <si>
    <t xml:space="preserve">exact</t>
  </si>
  <si>
    <t xml:space="preserve">Verified via Shikenso or direct platform API</t>
  </si>
  <si>
    <t xml:space="preserve">Yes — all multipliers available</t>
  </si>
  <si>
    <t xml:space="preserve">rounded</t>
  </si>
  <si>
    <t xml:space="preserve">Manual verification with clean round numbers</t>
  </si>
  <si>
    <t xml:space="preserve">estimated</t>
  </si>
  <si>
    <t xml:space="preserve">Partial data, public research, single-source</t>
  </si>
  <si>
    <t xml:space="preserve">Limited — engagement &lt;1.2x, authority &lt;1.3x</t>
  </si>
  <si>
    <t xml:space="preserve">pending</t>
  </si>
  <si>
    <t xml:space="preserve">No follower data yet</t>
  </si>
  <si>
    <t xml:space="preserve">No — default 1.0x multipliers only</t>
  </si>
  <si>
    <t xml:space="preserve">AUTHORITY FLOOR FORMULA</t>
  </si>
  <si>
    <t xml:space="preserve">Authority Floor = IRL Fee × Floor Share × Seasonality × Language × Authority Factor</t>
  </si>
  <si>
    <t xml:space="preserve">Final Price = MAX(Social Price, Authority Floor) × (1 + Add-on Rights %)</t>
  </si>
  <si>
    <t xml:space="preserve">FOLLOWERS / SUBSCRIBERS  ←  enter real numbers here</t>
  </si>
  <si>
    <t xml:space="preserve">CPM (SAR)  ←  auto-calculated  |  IG 20% reach · TikTok 30% · Twitter 10% · YouTube 25% · Twitch 100%</t>
  </si>
  <si>
    <t xml:space="preserve">AUTHORITY FLOOR + CONFIDENCE LAYER  ←  new v8 engine</t>
  </si>
  <si>
    <t xml:space="preserve">ROLE LEGEND</t>
  </si>
  <si>
    <t xml:space="preserve">● Player</t>
  </si>
  <si>
    <t xml:space="preserve">● Head Coach</t>
  </si>
  <si>
    <t xml:space="preserve">● Coach</t>
  </si>
  <si>
    <t xml:space="preserve">● Manager</t>
  </si>
  <si>
    <t xml:space="preserve">● Analyst</t>
  </si>
  <si>
    <t xml:space="preserve">● Influencer</t>
  </si>
  <si>
    <t xml:space="preserve">#</t>
  </si>
  <si>
    <t xml:space="preserve">Nickname</t>
  </si>
  <si>
    <t xml:space="preserve">Role</t>
  </si>
  <si>
    <t xml:space="preserve">Game</t>
  </si>
  <si>
    <t xml:space="preserve">Team</t>
  </si>
  <si>
    <t xml:space="preserve">Nationality</t>
  </si>
  <si>
    <t xml:space="preserve">Platforms</t>
  </si>
  <si>
    <t xml:space="preserve">IG Reel
(SAR)</t>
  </si>
  <si>
    <t xml:space="preserve">IG Static
(SAR)</t>
  </si>
  <si>
    <t xml:space="preserve">IG Story
(SAR)</t>
  </si>
  <si>
    <t xml:space="preserve">TikTok
Video</t>
  </si>
  <si>
    <t xml:space="preserve">YT Short
(SAR)</t>
  </si>
  <si>
    <t xml:space="preserve">X Post
(SAR)</t>
  </si>
  <si>
    <t xml:space="preserve">FB Post/Video
(SAR)</t>
  </si>
  <si>
    <t xml:space="preserve">Twitch
Stream 2h</t>
  </si>
  <si>
    <t xml:space="preserve">Twitch
Integ.</t>
  </si>
  <si>
    <t xml:space="preserve">IRL /
Appear.</t>
  </si>
  <si>
    <t xml:space="preserve">Rights
Fee</t>
  </si>
  <si>
    <t xml:space="preserve">Exclusivity
Fee</t>
  </si>
  <si>
    <t xml:space="preserve">Rush
Fee</t>
  </si>
  <si>
    <t xml:space="preserve">WL
Fee</t>
  </si>
  <si>
    <t xml:space="preserve">Falcons
Commission %</t>
  </si>
  <si>
    <t xml:space="preserve">Markup %
(on Player Cost)</t>
  </si>
  <si>
    <t xml:space="preserve">Full Name</t>
  </si>
  <si>
    <t xml:space="preserve">X / Twitter</t>
  </si>
  <si>
    <t xml:space="preserve">Instagram</t>
  </si>
  <si>
    <t xml:space="preserve">Twitch</t>
  </si>
  <si>
    <t xml:space="preserve">YouTube</t>
  </si>
  <si>
    <t xml:space="preserve">TikTok</t>
  </si>
  <si>
    <t xml:space="preserve">Kick</t>
  </si>
  <si>
    <t xml:space="preserve">Facebook</t>
  </si>
  <si>
    <t xml:space="preserve">Snapchat</t>
  </si>
  <si>
    <t xml:space="preserve">Link-in-Bio</t>
  </si>
  <si>
    <t xml:space="preserve">Date of Birth</t>
  </si>
  <si>
    <t xml:space="preserve">Game Role</t>
  </si>
  <si>
    <t xml:space="preserve">Twitter
Followers</t>
  </si>
  <si>
    <t xml:space="preserve">Instagram
Followers</t>
  </si>
  <si>
    <t xml:space="preserve">Twitch
Followers</t>
  </si>
  <si>
    <t xml:space="preserve">YouTube
Subs</t>
  </si>
  <si>
    <t xml:space="preserve">TikTok
Followers</t>
  </si>
  <si>
    <t xml:space="preserve">Kick
Followers</t>
  </si>
  <si>
    <t xml:space="preserve">Facebook
Followers</t>
  </si>
  <si>
    <t xml:space="preserve">IG CPM
(SAR)</t>
  </si>
  <si>
    <t xml:space="preserve">TikTok CPM
(SAR)</t>
  </si>
  <si>
    <t xml:space="preserve">Twitter CPM
(SAR)</t>
  </si>
  <si>
    <t xml:space="preserve">YouTube CPM
(SAR)</t>
  </si>
  <si>
    <t xml:space="preserve">Twitch CPM
(SAR)</t>
  </si>
  <si>
    <t xml:space="preserve">Floor
Share %</t>
  </si>
  <si>
    <t xml:space="preserve">Authority
Factor</t>
  </si>
  <si>
    <t xml:space="preserve">Default
Seasonality</t>
  </si>
  <si>
    <t xml:space="preserve">Default
Language</t>
  </si>
  <si>
    <t xml:space="preserve">Authority Floor
Baseline (SAR)</t>
  </si>
  <si>
    <t xml:space="preserve">Measurement
Confidence</t>
  </si>
  <si>
    <t xml:space="preserve">Tier Review
Flag</t>
  </si>
  <si>
    <t xml:space="preserve">Bijw</t>
  </si>
  <si>
    <t xml:space="preserve">Influencer</t>
  </si>
  <si>
    <t xml:space="preserve">Saudi Arabia</t>
  </si>
  <si>
    <t xml:space="preserve">6 platforms</t>
  </si>
  <si>
    <t xml:space="preserve">Hisham Nasser</t>
  </si>
  <si>
    <t xml:space="preserve">https://x.com/_bijw</t>
  </si>
  <si>
    <t xml:space="preserve">https://www.instagram.com/bijjw</t>
  </si>
  <si>
    <t xml:space="preserve">https://www.twitch.tv/bijw</t>
  </si>
  <si>
    <t xml:space="preserve">https://www.youtube.com/@Bijw</t>
  </si>
  <si>
    <t xml:space="preserve">https://www.tiktok.com/@biijw</t>
  </si>
  <si>
    <t xml:space="preserve">https://kick.com/bijw</t>
  </si>
  <si>
    <t xml:space="preserve">https://www.snapchat.com/add/bijjw</t>
  </si>
  <si>
    <t xml:space="preserve">https://linktr.ee/bijw</t>
  </si>
  <si>
    <t xml:space="preserve">Abo Najd</t>
  </si>
  <si>
    <t xml:space="preserve">4 platforms</t>
  </si>
  <si>
    <t xml:space="preserve">Riyad Alfahmi</t>
  </si>
  <si>
    <t xml:space="preserve">https://x.com/K22N8</t>
  </si>
  <si>
    <t xml:space="preserve">https://www.instagram.com/k2nn8?igsh=ajJsNHoybDlpMzFo</t>
  </si>
  <si>
    <t xml:space="preserve">https://www.twitch.tv/k2nnn8</t>
  </si>
  <si>
    <t xml:space="preserve">https://www.youtube.com/@k2nn8</t>
  </si>
  <si>
    <t xml:space="preserve">https://linktr.ee/K2nnn8 (alt: https://heylink.me/k2nn8)</t>
  </si>
  <si>
    <t xml:space="preserve">FMG</t>
  </si>
  <si>
    <t xml:space="preserve">Nasser alotaibi</t>
  </si>
  <si>
    <t xml:space="preserve">https://x.com/iFMG_</t>
  </si>
  <si>
    <t xml:space="preserve">https://www.instagram.com/fm.g/</t>
  </si>
  <si>
    <t xml:space="preserve">https://www.twitch.tv/fmg_</t>
  </si>
  <si>
    <t xml:space="preserve">https://kick.com/ifmg</t>
  </si>
  <si>
    <t xml:space="preserve">Abo Ghazi</t>
  </si>
  <si>
    <t xml:space="preserve">3 platforms</t>
  </si>
  <si>
    <t xml:space="preserve">Mohammed Albaqami</t>
  </si>
  <si>
    <t xml:space="preserve">https://x.com/MohxamedZ</t>
  </si>
  <si>
    <t xml:space="preserve">https://www.twitch.tv/ires</t>
  </si>
  <si>
    <t xml:space="preserve">https://kick.com/iabughazi</t>
  </si>
  <si>
    <t xml:space="preserve">https://www.facebook.com/AbuGhaziGaming93</t>
  </si>
  <si>
    <t xml:space="preserve">https://www.snapchat.com/add/faisalhajhasan</t>
  </si>
  <si>
    <t xml:space="preserve">https://linktr.ee/abughaazi</t>
  </si>
  <si>
    <t xml:space="preserve">Mary</t>
  </si>
  <si>
    <t xml:space="preserve">Bahraini</t>
  </si>
  <si>
    <t xml:space="preserve">5 platforms</t>
  </si>
  <si>
    <t xml:space="preserve">Maryam Maher</t>
  </si>
  <si>
    <t xml:space="preserve">https://x.com/marypink</t>
  </si>
  <si>
    <t xml:space="preserve">https://www.instagram.com/maryvalorantt/?hl=en</t>
  </si>
  <si>
    <t xml:space="preserve">https://www.twitch.tv/mary</t>
  </si>
  <si>
    <t xml:space="preserve">https://www.youtube.com/@maryvalorant/featured</t>
  </si>
  <si>
    <t xml:space="preserve">https://www.tiktok.com/@maryvalorant</t>
  </si>
  <si>
    <t xml:space="preserve">https://linktr.ee/verymarygaming</t>
  </si>
  <si>
    <t xml:space="preserve">Ghala</t>
  </si>
  <si>
    <t xml:space="preserve">Ghala Alqahtani</t>
  </si>
  <si>
    <t xml:space="preserve">https://x.com/pg_ghala3?lang=en</t>
  </si>
  <si>
    <t xml:space="preserve">https://www.instagram.com/pg_ghala3</t>
  </si>
  <si>
    <t xml:space="preserve">https://www.youtube.com/@pg_ghala3</t>
  </si>
  <si>
    <t xml:space="preserve">https://www.tiktok.com/@pg_ghala3</t>
  </si>
  <si>
    <t xml:space="preserve">https://kick.com/pg-ghala3</t>
  </si>
  <si>
    <t xml:space="preserve">https://snapchat.com/t/bLA2ZOsG</t>
  </si>
  <si>
    <t xml:space="preserve">https://linktr.ee/ga1lll</t>
  </si>
  <si>
    <t xml:space="preserve">Moaz</t>
  </si>
  <si>
    <t xml:space="preserve">Moaz Asiri</t>
  </si>
  <si>
    <t xml:space="preserve">https://x.com/mezostrong?s=21</t>
  </si>
  <si>
    <t xml:space="preserve">https://www.instagram.com/mezostrong</t>
  </si>
  <si>
    <t xml:space="preserve">https://www.youtube.com/channel/UCZCgW8WW8K_vrHrO6sZ7oyg?app=desktop</t>
  </si>
  <si>
    <t xml:space="preserve">https://www.tiktok.com/@mezostrong?_r=1&amp;_t=zs-91bbrrsefwl</t>
  </si>
  <si>
    <t xml:space="preserve">https://kick.com/MezoStrong</t>
  </si>
  <si>
    <t xml:space="preserve">vacwep</t>
  </si>
  <si>
    <t xml:space="preserve">Abdullah Mousa A Alsulaymi</t>
  </si>
  <si>
    <t xml:space="preserve">https://x.com/vacwep?s=21&amp;t=PiVx0_LPZgUm0TT5Ok_2Zw</t>
  </si>
  <si>
    <t xml:space="preserve">https://www.instagram.com/vacwep_?igsh=Z28yMXRibTZ0OWlm&amp;utm_source=qr</t>
  </si>
  <si>
    <t xml:space="preserve">https://www.tiktok.com/@vacwep?_r=1&amp;_t=ZS-94jrcxtNGEK</t>
  </si>
  <si>
    <t xml:space="preserve">https://kick.com/vacwep</t>
  </si>
  <si>
    <t xml:space="preserve">https://www.facebook.com/share/1BDLRfGMFS/?mibextid=wwXIfr</t>
  </si>
  <si>
    <t xml:space="preserve">12/07/1992</t>
  </si>
  <si>
    <t xml:space="preserve">Cellium</t>
  </si>
  <si>
    <t xml:space="preserve">Player</t>
  </si>
  <si>
    <t xml:space="preserve">Call of Duty Black Ops 7</t>
  </si>
  <si>
    <t xml:space="preserve">Riyadh Falcons</t>
  </si>
  <si>
    <t xml:space="preserve">American</t>
  </si>
  <si>
    <t xml:space="preserve">McArthur Jovel</t>
  </si>
  <si>
    <t xml:space="preserve">https://twitter.com/Cellium</t>
  </si>
  <si>
    <t xml:space="preserve">https://www.instagram.com/cellium/</t>
  </si>
  <si>
    <t xml:space="preserve">https://www.twitch.tv/Cellium</t>
  </si>
  <si>
    <t xml:space="preserve">24/12/2000</t>
  </si>
  <si>
    <t xml:space="preserve">Assault Rifle / Main AR</t>
  </si>
  <si>
    <t xml:space="preserve">Exnid</t>
  </si>
  <si>
    <t xml:space="preserve">2 platforms</t>
  </si>
  <si>
    <t xml:space="preserve">Saud Alati</t>
  </si>
  <si>
    <t xml:space="preserve">https://x.com/Exnid_</t>
  </si>
  <si>
    <t xml:space="preserve">https://www.twitch.tv/exnid</t>
  </si>
  <si>
    <t xml:space="preserve">28/10/2002</t>
  </si>
  <si>
    <t xml:space="preserve">Sub-Machine Gun (SMG)</t>
  </si>
  <si>
    <t xml:space="preserve">KiSMET</t>
  </si>
  <si>
    <t xml:space="preserve">Matthew Tinsley</t>
  </si>
  <si>
    <t xml:space="preserve">https://twitter.com/KiSMET6_</t>
  </si>
  <si>
    <t xml:space="preserve">https://www.instagram.com/kismet6_</t>
  </si>
  <si>
    <t xml:space="preserve">https://www.twitch.tv/kismet6_</t>
  </si>
  <si>
    <t xml:space="preserve">Assault Rifle / Flex</t>
  </si>
  <si>
    <t xml:space="preserve">Pred</t>
  </si>
  <si>
    <t xml:space="preserve">Amer Zulbeari</t>
  </si>
  <si>
    <t xml:space="preserve">https://x.com/Pred</t>
  </si>
  <si>
    <t xml:space="preserve">https://www.instagram.com/amerzulbeariii</t>
  </si>
  <si>
    <t xml:space="preserve">https://www.twitch.tv/pred</t>
  </si>
  <si>
    <t xml:space="preserve">19/08/2001</t>
  </si>
  <si>
    <t xml:space="preserve">KingAbody</t>
  </si>
  <si>
    <t xml:space="preserve">FaZe Falcons</t>
  </si>
  <si>
    <t xml:space="preserve">1 platform</t>
  </si>
  <si>
    <t xml:space="preserve">Abdulelah Alrajhi</t>
  </si>
  <si>
    <t xml:space="preserve">https://x.com/KingAbody_</t>
  </si>
  <si>
    <t xml:space="preserve">Arcitys</t>
  </si>
  <si>
    <t xml:space="preserve">Falcons Academy White</t>
  </si>
  <si>
    <t xml:space="preserve">Alec Sanderson</t>
  </si>
  <si>
    <t xml:space="preserve">https://x.com/Arcitys</t>
  </si>
  <si>
    <t xml:space="preserve">https://www.instagram.com/arcitys9</t>
  </si>
  <si>
    <t xml:space="preserve">https://www.twitch.tv/arcitys</t>
  </si>
  <si>
    <t xml:space="preserve">Paulehx</t>
  </si>
  <si>
    <t xml:space="preserve">Paul Avila</t>
  </si>
  <si>
    <t xml:space="preserve">https://x.com/Paulehx_</t>
  </si>
  <si>
    <t xml:space="preserve">https://www.twitch.tv/paulehx</t>
  </si>
  <si>
    <t xml:space="preserve">21/01/2002</t>
  </si>
  <si>
    <t xml:space="preserve">hmoodx</t>
  </si>
  <si>
    <t xml:space="preserve">Call of Duty Warzone</t>
  </si>
  <si>
    <t xml:space="preserve">Team Falcons MENA</t>
  </si>
  <si>
    <t xml:space="preserve">Mohammed Altowairqi</t>
  </si>
  <si>
    <t xml:space="preserve">https://x.com/xihamoodx</t>
  </si>
  <si>
    <t xml:space="preserve">https://www.twitch.tv/i_hmoodx</t>
  </si>
  <si>
    <t xml:space="preserve">xizx7</t>
  </si>
  <si>
    <t xml:space="preserve">Jawad Al-Thawab</t>
  </si>
  <si>
    <t xml:space="preserve">https://x.com/Jawxd7</t>
  </si>
  <si>
    <t xml:space="preserve">https://www.instagram.com/Jawxd7</t>
  </si>
  <si>
    <t xml:space="preserve">https://www.twitch.tv/jawad</t>
  </si>
  <si>
    <t xml:space="preserve">https://www.youtube.com/channel/UCUWL8dR-JyA4FXZ08aSjjcg/videos</t>
  </si>
  <si>
    <t xml:space="preserve">Alpine</t>
  </si>
  <si>
    <t xml:space="preserve">Team Falcons</t>
  </si>
  <si>
    <t xml:space="preserve">Alejandro Ayala</t>
  </si>
  <si>
    <t xml:space="preserve">https://x.com/alpinedadog?lang=en</t>
  </si>
  <si>
    <t xml:space="preserve">24/02/1997</t>
  </si>
  <si>
    <t xml:space="preserve">Newbz</t>
  </si>
  <si>
    <t xml:space="preserve">Edy Juan</t>
  </si>
  <si>
    <t xml:space="preserve">https://x.com/TBE_Newbzz</t>
  </si>
  <si>
    <t xml:space="preserve">https://www.twitch.tv/newbz</t>
  </si>
  <si>
    <t xml:space="preserve">Dongy</t>
  </si>
  <si>
    <t xml:space="preserve">Christopher Ledbetter</t>
  </si>
  <si>
    <t xml:space="preserve">https://x.com/zDongyy</t>
  </si>
  <si>
    <t xml:space="preserve">https://www.twitch.tv/Dongy</t>
  </si>
  <si>
    <t xml:space="preserve">23/03/2004</t>
  </si>
  <si>
    <t xml:space="preserve">Soka</t>
  </si>
  <si>
    <t xml:space="preserve">Tongan</t>
  </si>
  <si>
    <t xml:space="preserve">Kasimili Tonga Tongamoa</t>
  </si>
  <si>
    <t xml:space="preserve">https://twitter.com/HisokaT42</t>
  </si>
  <si>
    <t xml:space="preserve">https://www.instagram.com/hisokat42</t>
  </si>
  <si>
    <t xml:space="preserve">https://www.twitch.tv/HisokaT42</t>
  </si>
  <si>
    <t xml:space="preserve">https://www.youtube.com/channel/UCQDRE8aZRsrvF5OwMk_KmBg</t>
  </si>
  <si>
    <t xml:space="preserve">https://tiktok.com/@missionarysoka</t>
  </si>
  <si>
    <t xml:space="preserve">28/01/2002</t>
  </si>
  <si>
    <t xml:space="preserve">Alireza Firouzja</t>
  </si>
  <si>
    <t xml:space="preserve">Chess</t>
  </si>
  <si>
    <t xml:space="preserve">French/Iranian</t>
  </si>
  <si>
    <t xml:space="preserve">https://twitter.com/AlirezaFirouzja</t>
  </si>
  <si>
    <t xml:space="preserve">https://www.instagram.com/alirezafirouzja</t>
  </si>
  <si>
    <t xml:space="preserve">https://www.twitch.tv/alirezafirouzja</t>
  </si>
  <si>
    <t xml:space="preserve">https://www.youtube.com/@alirezafirouzja4080</t>
  </si>
  <si>
    <t xml:space="preserve">https://www.facebook.com/login/?next=https%3A%2F%2Fwww.facebook.com%2FAlireza.Firouzja.chess%2F</t>
  </si>
  <si>
    <t xml:space="preserve">18/06/2003</t>
  </si>
  <si>
    <t xml:space="preserve">Hikaru Nakamura</t>
  </si>
  <si>
    <t xml:space="preserve">https://twitter.com/GMHikaru</t>
  </si>
  <si>
    <t xml:space="preserve">https://www.instagram.com/gmhikaru</t>
  </si>
  <si>
    <t xml:space="preserve">https://www.twitch.tv/gmhikaru</t>
  </si>
  <si>
    <t xml:space="preserve">https://www.youtube.com/@gmhikaru</t>
  </si>
  <si>
    <t xml:space="preserve">https://kick.com/gmhikaru</t>
  </si>
  <si>
    <t xml:space="preserve">https://www.facebook.com/login/?next=https%3A%2F%2Fwww.facebook.com%2FGMHikaru%2F</t>
  </si>
  <si>
    <t xml:space="preserve">Jon Ellis</t>
  </si>
  <si>
    <t xml:space="preserve">0 platforms</t>
  </si>
  <si>
    <t xml:space="preserve">Jonathan Ellis</t>
  </si>
  <si>
    <t xml:space="preserve">kyousuke</t>
  </si>
  <si>
    <t xml:space="preserve">Counterstrike2</t>
  </si>
  <si>
    <t xml:space="preserve">Russian</t>
  </si>
  <si>
    <t xml:space="preserve">Maxim Lukin</t>
  </si>
  <si>
    <t xml:space="preserve">https://twitter.com/FLCkyousuke</t>
  </si>
  <si>
    <t xml:space="preserve">https://www.instagram.com/flckyousuke</t>
  </si>
  <si>
    <t xml:space="preserve">https://www.twitch.tv/kyousuke999</t>
  </si>
  <si>
    <t xml:space="preserve">30/01/2008</t>
  </si>
  <si>
    <t xml:space="preserve">Rifler</t>
  </si>
  <si>
    <t xml:space="preserve">kyxsan</t>
  </si>
  <si>
    <t xml:space="preserve">North Macedonia</t>
  </si>
  <si>
    <t xml:space="preserve">Damjan Stoilkovski</t>
  </si>
  <si>
    <t xml:space="preserve">https://x.com/kyxsancs</t>
  </si>
  <si>
    <t xml:space="preserve">https://www.instagram.com/kyxsancs/</t>
  </si>
  <si>
    <t xml:space="preserve">26/05/2000</t>
  </si>
  <si>
    <t xml:space="preserve">IGL</t>
  </si>
  <si>
    <t xml:space="preserve">m0NESY</t>
  </si>
  <si>
    <t xml:space="preserve">Ilya Osipov</t>
  </si>
  <si>
    <t xml:space="preserve">https://x.com/FLCm0NESY</t>
  </si>
  <si>
    <t xml:space="preserve">https://www.instagram.com/m0nesy13</t>
  </si>
  <si>
    <t xml:space="preserve">https://www.twitch.tv/m0nesyof</t>
  </si>
  <si>
    <t xml:space="preserve">https://www.youtube.com/channel/UCJxjKA1Cl--4tCN1l_cHHvQ</t>
  </si>
  <si>
    <t xml:space="preserve">Awper</t>
  </si>
  <si>
    <t xml:space="preserve">NiKo</t>
  </si>
  <si>
    <t xml:space="preserve">Bosnian</t>
  </si>
  <si>
    <t xml:space="preserve">Nikola Kovač</t>
  </si>
  <si>
    <t xml:space="preserve">https://x.com/NiKoCS_</t>
  </si>
  <si>
    <t xml:space="preserve">https://www.instagram.com/csgoniko/#</t>
  </si>
  <si>
    <t xml:space="preserve">https://www.twitch.tv/NiKo</t>
  </si>
  <si>
    <t xml:space="preserve">https://www.youtube.com/@NiKo_cs</t>
  </si>
  <si>
    <t xml:space="preserve">https://www.facebook.com/csgoNiKo</t>
  </si>
  <si>
    <t xml:space="preserve">16/02/1997</t>
  </si>
  <si>
    <t xml:space="preserve">OMYA</t>
  </si>
  <si>
    <t xml:space="preserve">French</t>
  </si>
  <si>
    <t xml:space="preserve">Xavier Roussac</t>
  </si>
  <si>
    <t xml:space="preserve">https://x.com/Xavier_Roussac</t>
  </si>
  <si>
    <t xml:space="preserve">20/05/1987</t>
  </si>
  <si>
    <t xml:space="preserve">TeSeS</t>
  </si>
  <si>
    <t xml:space="preserve">Danish</t>
  </si>
  <si>
    <t xml:space="preserve">René Madsen</t>
  </si>
  <si>
    <t xml:space="preserve">https://x.com/tesescs</t>
  </si>
  <si>
    <t xml:space="preserve">Instagram/TeseS</t>
  </si>
  <si>
    <t xml:space="preserve">https://www.twitch.tv/tesesss</t>
  </si>
  <si>
    <t xml:space="preserve">Aymeinstein</t>
  </si>
  <si>
    <t xml:space="preserve">Assistant Coach</t>
  </si>
  <si>
    <t xml:space="preserve">Aymen Bencheikh</t>
  </si>
  <si>
    <t xml:space="preserve">https://x.com/aymeinstein</t>
  </si>
  <si>
    <t xml:space="preserve">https://www.instagram.com/aymeinsteintv</t>
  </si>
  <si>
    <t xml:space="preserve">22/04/1996</t>
  </si>
  <si>
    <t xml:space="preserve">Zonic</t>
  </si>
  <si>
    <t xml:space="preserve">Head Coach</t>
  </si>
  <si>
    <t xml:space="preserve">Danny Sørensen</t>
  </si>
  <si>
    <t xml:space="preserve">https://x.com/zonic</t>
  </si>
  <si>
    <t xml:space="preserve">Instagram/Zonic</t>
  </si>
  <si>
    <t xml:space="preserve">https://www.twitch.tv/zonic</t>
  </si>
  <si>
    <t xml:space="preserve">Facebook/Zonic</t>
  </si>
  <si>
    <t xml:space="preserve">30/07/1986</t>
  </si>
  <si>
    <t xml:space="preserve">clockzi</t>
  </si>
  <si>
    <t xml:space="preserve">Falcons Force</t>
  </si>
  <si>
    <t xml:space="preserve">Oskar Led Blæsbjerg</t>
  </si>
  <si>
    <t xml:space="preserve">https://x.com/flcclockzi</t>
  </si>
  <si>
    <t xml:space="preserve">21/04/2011</t>
  </si>
  <si>
    <t xml:space="preserve">grecu</t>
  </si>
  <si>
    <t xml:space="preserve">Romanian</t>
  </si>
  <si>
    <t xml:space="preserve">Andrei Grecu</t>
  </si>
  <si>
    <t xml:space="preserve">https://x.com/grecuflc</t>
  </si>
  <si>
    <t xml:space="preserve">https://www.twitch.tv/gbcgrecu</t>
  </si>
  <si>
    <t xml:space="preserve">15/11/2007</t>
  </si>
  <si>
    <t xml:space="preserve">AWPer</t>
  </si>
  <si>
    <t xml:space="preserve">VENO</t>
  </si>
  <si>
    <t xml:space="preserve">Serbian</t>
  </si>
  <si>
    <t xml:space="preserve">Vladimir Stanković</t>
  </si>
  <si>
    <t xml:space="preserve">https://x.com/venocs2</t>
  </si>
  <si>
    <t xml:space="preserve">https://www.twitch.tv/venocs2</t>
  </si>
  <si>
    <t xml:space="preserve">https://www.youtube.com/@venocs2</t>
  </si>
  <si>
    <t xml:space="preserve">30/04/2007</t>
  </si>
  <si>
    <t xml:space="preserve">NaToSaphiX</t>
  </si>
  <si>
    <t xml:space="preserve">Niels Christian Sillassen</t>
  </si>
  <si>
    <t xml:space="preserve">https://x.com/NaToSaphiX</t>
  </si>
  <si>
    <t xml:space="preserve">https://www.instagram.com/natosaphix</t>
  </si>
  <si>
    <t xml:space="preserve">https://www.twitch.tv/natosaphix</t>
  </si>
  <si>
    <t xml:space="preserve">https://www.youtube.com/NaToSaphiX</t>
  </si>
  <si>
    <t xml:space="preserve">17/08/1996</t>
  </si>
  <si>
    <t xml:space="preserve">Neoskai</t>
  </si>
  <si>
    <t xml:space="preserve">Loïc Potages</t>
  </si>
  <si>
    <t xml:space="preserve">https://x.com/Neoskai</t>
  </si>
  <si>
    <t xml:space="preserve">https://www.instagram.com/neoskai/</t>
  </si>
  <si>
    <t xml:space="preserve">16/06/1994</t>
  </si>
  <si>
    <t xml:space="preserve">Nucleonz</t>
  </si>
  <si>
    <t xml:space="preserve">North Macedonian</t>
  </si>
  <si>
    <t xml:space="preserve">Matej Trajkoski</t>
  </si>
  <si>
    <t xml:space="preserve">https://x.com/NucleonZz</t>
  </si>
  <si>
    <t xml:space="preserve">Skiter</t>
  </si>
  <si>
    <t xml:space="preserve">Dota2</t>
  </si>
  <si>
    <t xml:space="preserve">Slovakia</t>
  </si>
  <si>
    <t xml:space="preserve">Oliver Lepko</t>
  </si>
  <si>
    <t xml:space="preserve">https://x.com/skiter</t>
  </si>
  <si>
    <t xml:space="preserve">Instagram/Skiter</t>
  </si>
  <si>
    <t xml:space="preserve">https://www.facebook.com/SkiterDota</t>
  </si>
  <si>
    <t xml:space="preserve">Malr1ne</t>
  </si>
  <si>
    <t xml:space="preserve">Stanislav Potorak</t>
  </si>
  <si>
    <t xml:space="preserve">https://x.com/Malr1ne_</t>
  </si>
  <si>
    <t xml:space="preserve">Instagram/Malr1ne</t>
  </si>
  <si>
    <t xml:space="preserve">https://www.twitch.tv/malr1ne_dota</t>
  </si>
  <si>
    <t xml:space="preserve">17/09/2004</t>
  </si>
  <si>
    <t xml:space="preserve">ATF</t>
  </si>
  <si>
    <t xml:space="preserve">Jordanian</t>
  </si>
  <si>
    <t xml:space="preserve">Ammar Al-Assaf</t>
  </si>
  <si>
    <t xml:space="preserve">https://x.com/AmmarAlassaf6</t>
  </si>
  <si>
    <t xml:space="preserve">Instagram/Ammar</t>
  </si>
  <si>
    <t xml:space="preserve">https://www.twitch.tv/ammar_the_f</t>
  </si>
  <si>
    <t xml:space="preserve">Cr1t-</t>
  </si>
  <si>
    <t xml:space="preserve">Andreas Nielsen</t>
  </si>
  <si>
    <t xml:space="preserve">https://x.com/Cr1tdota</t>
  </si>
  <si>
    <t xml:space="preserve">Instagram/Cr1t</t>
  </si>
  <si>
    <t xml:space="preserve">https://www.twitch.tv/cr1tdota</t>
  </si>
  <si>
    <t xml:space="preserve">YT/Cr1t</t>
  </si>
  <si>
    <t xml:space="preserve">https://www.facebook.com/Cr1tdota</t>
  </si>
  <si>
    <t xml:space="preserve">13/07/1996</t>
  </si>
  <si>
    <t xml:space="preserve">Sneyking</t>
  </si>
  <si>
    <t xml:space="preserve">American / Chinese</t>
  </si>
  <si>
    <t xml:space="preserve">Jingjun Wu</t>
  </si>
  <si>
    <t xml:space="preserve">https://x.com/SneykingGaming</t>
  </si>
  <si>
    <t xml:space="preserve">https://www.twitch.tv/sneykingdota</t>
  </si>
  <si>
    <t xml:space="preserve">Aui_2000</t>
  </si>
  <si>
    <t xml:space="preserve">Canada</t>
  </si>
  <si>
    <t xml:space="preserve">Kurtis Ling</t>
  </si>
  <si>
    <t xml:space="preserve">https://x.com/Aui_2000</t>
  </si>
  <si>
    <t xml:space="preserve">https://www.twitch.tv/aui_2000</t>
  </si>
  <si>
    <t xml:space="preserve">YT/Aui_2000</t>
  </si>
  <si>
    <t xml:space="preserve">AfromOush</t>
  </si>
  <si>
    <t xml:space="preserve">Mohammad Abu Al Eis</t>
  </si>
  <si>
    <t xml:space="preserve">https://x.com/AfrOmoush</t>
  </si>
  <si>
    <t xml:space="preserve">https://www.twitch.tv/afromoush</t>
  </si>
  <si>
    <t xml:space="preserve">https://www.facebook.com/RealAfrOmoush</t>
  </si>
  <si>
    <t xml:space="preserve">Bonkers</t>
  </si>
  <si>
    <t xml:space="preserve">British</t>
  </si>
  <si>
    <t xml:space="preserve">Allen Cook</t>
  </si>
  <si>
    <t xml:space="preserve">https://x.com/thisisallencook</t>
  </si>
  <si>
    <t xml:space="preserve">15/02/1980</t>
  </si>
  <si>
    <t xml:space="preserve">GoatMoh</t>
  </si>
  <si>
    <t xml:space="preserve">EAFC25</t>
  </si>
  <si>
    <t xml:space="preserve">EA Sport FC</t>
  </si>
  <si>
    <t xml:space="preserve">Mohammed Alarfaj</t>
  </si>
  <si>
    <t xml:space="preserve">https://x.com/GoatMoh_</t>
  </si>
  <si>
    <t xml:space="preserve">https://www.twitch.tv/goatmoh</t>
  </si>
  <si>
    <t xml:space="preserve">15/02/2000</t>
  </si>
  <si>
    <t xml:space="preserve">Hafez</t>
  </si>
  <si>
    <t xml:space="preserve">Coach</t>
  </si>
  <si>
    <t xml:space="preserve">Mohammad Hafiz</t>
  </si>
  <si>
    <t xml:space="preserve">https://x.com/_Hafez10</t>
  </si>
  <si>
    <t xml:space="preserve">29/12/1997</t>
  </si>
  <si>
    <t xml:space="preserve">Javivillar7</t>
  </si>
  <si>
    <t xml:space="preserve">Spanish</t>
  </si>
  <si>
    <t xml:space="preserve">Javier Villar Gómez</t>
  </si>
  <si>
    <t xml:space="preserve">https://x.com/Javivillar7</t>
  </si>
  <si>
    <t xml:space="preserve">Instagram/Javivillar7</t>
  </si>
  <si>
    <t xml:space="preserve">https://www.twitch.tv/javivillar7/</t>
  </si>
  <si>
    <t xml:space="preserve">https://www.youtube.com/@javivillar7</t>
  </si>
  <si>
    <t xml:space="preserve">https://www.tiktok.com/@javivillar7?lang=en</t>
  </si>
  <si>
    <t xml:space="preserve">31/12/2002</t>
  </si>
  <si>
    <t xml:space="preserve">Msdossary</t>
  </si>
  <si>
    <t xml:space="preserve">Mossad Aldossary</t>
  </si>
  <si>
    <t xml:space="preserve">https://x.com/msdossary7</t>
  </si>
  <si>
    <t xml:space="preserve">Instagram/Msdossary</t>
  </si>
  <si>
    <t xml:space="preserve">YT/Msdossary7</t>
  </si>
  <si>
    <t xml:space="preserve">20/03/2000</t>
  </si>
  <si>
    <t xml:space="preserve">Vejrgang</t>
  </si>
  <si>
    <t xml:space="preserve">Anders Vejrgang</t>
  </si>
  <si>
    <t xml:space="preserve">https://twitter.com/FLC_Vejrgang</t>
  </si>
  <si>
    <t xml:space="preserve">https://www.instagram.com/rblz_vejrgang</t>
  </si>
  <si>
    <t xml:space="preserve">https://www.twitch.tv/anders_vejrgang</t>
  </si>
  <si>
    <t xml:space="preserve">https://www.youtube.com/AndersVejrgangofficial</t>
  </si>
  <si>
    <t xml:space="preserve">25/01/2006</t>
  </si>
  <si>
    <t xml:space="preserve">A9</t>
  </si>
  <si>
    <t xml:space="preserve">Aseel Aldokheel</t>
  </si>
  <si>
    <t xml:space="preserve">Kiimo7</t>
  </si>
  <si>
    <t xml:space="preserve">Abdulkareem Bamogaddam</t>
  </si>
  <si>
    <t xml:space="preserve">https://x.com/kiimo__1</t>
  </si>
  <si>
    <t xml:space="preserve">https://www.instagram.com/kreemvv/</t>
  </si>
  <si>
    <t xml:space="preserve">Rashed</t>
  </si>
  <si>
    <t xml:space="preserve">Fortnite</t>
  </si>
  <si>
    <t xml:space="preserve">Saudi</t>
  </si>
  <si>
    <t xml:space="preserve">Rashed Aldmaikhi</t>
  </si>
  <si>
    <t xml:space="preserve">Abu Omar</t>
  </si>
  <si>
    <t xml:space="preserve">Fatal Fury</t>
  </si>
  <si>
    <t xml:space="preserve">Wesam Alghamdi</t>
  </si>
  <si>
    <t xml:space="preserve">https://x.com/wess21111?lang=en</t>
  </si>
  <si>
    <t xml:space="preserve">30/05/1987</t>
  </si>
  <si>
    <t xml:space="preserve">E.T.</t>
  </si>
  <si>
    <t xml:space="preserve">Taiwan</t>
  </si>
  <si>
    <t xml:space="preserve">Lin Chia-hung</t>
  </si>
  <si>
    <t xml:space="preserve">https://x.com/et1120</t>
  </si>
  <si>
    <t xml:space="preserve">https://www.instagram.com/dbj_et/#</t>
  </si>
  <si>
    <t xml:space="preserve">https://www.facebook.com/Taiwan.1.ET</t>
  </si>
  <si>
    <t xml:space="preserve">20/11/1984</t>
  </si>
  <si>
    <t xml:space="preserve">Ghirlanda</t>
  </si>
  <si>
    <t xml:space="preserve">Tekken</t>
  </si>
  <si>
    <t xml:space="preserve">Italian</t>
  </si>
  <si>
    <t xml:space="preserve">Joshua Bianchi</t>
  </si>
  <si>
    <t xml:space="preserve">https://x.com/ghirlandatekken</t>
  </si>
  <si>
    <t xml:space="preserve">26/02/1992</t>
  </si>
  <si>
    <t xml:space="preserve">Kindevu</t>
  </si>
  <si>
    <t xml:space="preserve">Japanese</t>
  </si>
  <si>
    <t xml:space="preserve">Yosuke Ito</t>
  </si>
  <si>
    <t xml:space="preserve">https://x.com/kindevu</t>
  </si>
  <si>
    <t xml:space="preserve">https://www.twitch.tv/kindevu0827</t>
  </si>
  <si>
    <t xml:space="preserve">https://www.youtube.com/channel/UCQevn7lvmrpl3ElLd58YsNQ</t>
  </si>
  <si>
    <t xml:space="preserve">27/08/1984</t>
  </si>
  <si>
    <t xml:space="preserve">mok</t>
  </si>
  <si>
    <t xml:space="preserve">Japan</t>
  </si>
  <si>
    <t xml:space="preserve">Hiroaki Hashizume</t>
  </si>
  <si>
    <t xml:space="preserve">https://twitter.com/andytheworld320</t>
  </si>
  <si>
    <t xml:space="preserve">https://www.youtube.com/channel/UC-Ksra-atsz4eW5i9ZDAa8A</t>
  </si>
  <si>
    <t xml:space="preserve">20/03/1985</t>
  </si>
  <si>
    <t xml:space="preserve">Sai</t>
  </si>
  <si>
    <t xml:space="preserve">Ali Abdullah Alduhaysh</t>
  </si>
  <si>
    <t xml:space="preserve">https://x.com/Zenga83</t>
  </si>
  <si>
    <t xml:space="preserve">26/11/1983</t>
  </si>
  <si>
    <t xml:space="preserve">Shadow X</t>
  </si>
  <si>
    <t xml:space="preserve">Mexican</t>
  </si>
  <si>
    <t xml:space="preserve">Abraham Sanchez</t>
  </si>
  <si>
    <t xml:space="preserve">https://x.com/ShadowX_FGC</t>
  </si>
  <si>
    <t xml:space="preserve">https://www.twitch.tv/ChonFx</t>
  </si>
  <si>
    <t xml:space="preserve">14/03/1982</t>
  </si>
  <si>
    <t xml:space="preserve">Tamago</t>
  </si>
  <si>
    <t xml:space="preserve">Ángel Chong</t>
  </si>
  <si>
    <t xml:space="preserve">https://x.com/ChonFx</t>
  </si>
  <si>
    <t xml:space="preserve">Xyzzy</t>
  </si>
  <si>
    <t xml:space="preserve">South Korean</t>
  </si>
  <si>
    <t xml:space="preserve">Lee Hanbyul</t>
  </si>
  <si>
    <t xml:space="preserve">https://x.com/xyzzylshift</t>
  </si>
  <si>
    <t xml:space="preserve">https://www.twitch.tv/xyzzyshift</t>
  </si>
  <si>
    <t xml:space="preserve">Xiaohai</t>
  </si>
  <si>
    <t xml:space="preserve">Street Fighter</t>
  </si>
  <si>
    <t xml:space="preserve">China</t>
  </si>
  <si>
    <t xml:space="preserve">Zeng Zhuojun</t>
  </si>
  <si>
    <t xml:space="preserve">https://x.com/Xiaohai_</t>
  </si>
  <si>
    <t xml:space="preserve">26/04/1989</t>
  </si>
  <si>
    <t xml:space="preserve">Peterbot</t>
  </si>
  <si>
    <t xml:space="preserve">American/Hungarian</t>
  </si>
  <si>
    <t xml:space="preserve">Peter Kata</t>
  </si>
  <si>
    <t xml:space="preserve">https://x.com/PeterbotFN</t>
  </si>
  <si>
    <t xml:space="preserve">https://www.twitch.tv/peterbot</t>
  </si>
  <si>
    <t xml:space="preserve">https://www.youtube.com/channel/UC_RGYvZpoesD8yX-o677-xw</t>
  </si>
  <si>
    <t xml:space="preserve">20/06/2007</t>
  </si>
  <si>
    <t xml:space="preserve">FHD</t>
  </si>
  <si>
    <t xml:space="preserve">Fahad Almutairi</t>
  </si>
  <si>
    <t xml:space="preserve">https://x.com/Fahadclipz</t>
  </si>
  <si>
    <t xml:space="preserve">https://www.instagram.com/fahadclipz/?hl=en</t>
  </si>
  <si>
    <t xml:space="preserve">https://www.twitch.tv/fahadfn</t>
  </si>
  <si>
    <t xml:space="preserve">31/03/2004</t>
  </si>
  <si>
    <t xml:space="preserve">Gntl</t>
  </si>
  <si>
    <t xml:space="preserve">Abdullah Albaqami</t>
  </si>
  <si>
    <t xml:space="preserve">https://x.com/g1ntl</t>
  </si>
  <si>
    <t xml:space="preserve">https://www.instagram.com/accounts/login/?next=%2Fg1ntl&amp;source=omni_redirect</t>
  </si>
  <si>
    <t xml:space="preserve">https://www.twitch.tv/GntL</t>
  </si>
  <si>
    <t xml:space="preserve">https://www.youtube.com/c/g1ntl</t>
  </si>
  <si>
    <t xml:space="preserve">24/09/2002</t>
  </si>
  <si>
    <t xml:space="preserve">NM7</t>
  </si>
  <si>
    <t xml:space="preserve">Nawaf Alharthi</t>
  </si>
  <si>
    <t xml:space="preserve">https://x.com/iNm7x</t>
  </si>
  <si>
    <t xml:space="preserve">https://www.instagram.com/accounts/login/?next=%2Finm7x&amp;source=omni_redirect</t>
  </si>
  <si>
    <t xml:space="preserve">https://www.twitch.tv/iiNm7x</t>
  </si>
  <si>
    <t xml:space="preserve">https://www.youtube.com/c/iNm7x</t>
  </si>
  <si>
    <t xml:space="preserve">Spy</t>
  </si>
  <si>
    <t xml:space="preserve">Osama Almasad</t>
  </si>
  <si>
    <t xml:space="preserve">https://x.com/spyerfrog</t>
  </si>
  <si>
    <t xml:space="preserve">https://www.instagram.com/accounts/login/?next=%2Fspyerfrog&amp;source=omni_redirect</t>
  </si>
  <si>
    <t xml:space="preserve">https://www.twitch.tv/spyerfrog</t>
  </si>
  <si>
    <t xml:space="preserve">https://www.youtube.com/channel/UCl9pp6XYMcjyVESzYD8myQg</t>
  </si>
  <si>
    <t xml:space="preserve">26/02/2002</t>
  </si>
  <si>
    <t xml:space="preserve">Yonx</t>
  </si>
  <si>
    <t xml:space="preserve">Faisal Almusharraf</t>
  </si>
  <si>
    <t xml:space="preserve">https://x.com/YonxFN</t>
  </si>
  <si>
    <t xml:space="preserve">https://www.twitch.tv/YonxFN</t>
  </si>
  <si>
    <t xml:space="preserve">https://www.youtube.com/channel/UCSKgsqUfo7vA4BuBvtf6vwg</t>
  </si>
  <si>
    <t xml:space="preserve">Matteo</t>
  </si>
  <si>
    <t xml:space="preserve">Matteo Paganin</t>
  </si>
  <si>
    <t xml:space="preserve">Conan</t>
  </si>
  <si>
    <t xml:space="preserve">Free Fire</t>
  </si>
  <si>
    <t xml:space="preserve">Thailand</t>
  </si>
  <si>
    <t xml:space="preserve">Tana Kamruang</t>
  </si>
  <si>
    <t xml:space="preserve">https://www.instagram.com/thana_kamruang/</t>
  </si>
  <si>
    <t xml:space="preserve">https://facebook.com/profile.php?id=100006004232176</t>
  </si>
  <si>
    <t xml:space="preserve">KERORO</t>
  </si>
  <si>
    <t xml:space="preserve">Natthaphong Phuangpriang</t>
  </si>
  <si>
    <t xml:space="preserve">https://www.instagram.com/keroro_god</t>
  </si>
  <si>
    <t xml:space="preserve">https://facebook.com/profile.php?id=100014997245027</t>
  </si>
  <si>
    <t xml:space="preserve">13/01/2006</t>
  </si>
  <si>
    <t xml:space="preserve">LIMIT</t>
  </si>
  <si>
    <t xml:space="preserve">Rachata Wanaphurksasilp</t>
  </si>
  <si>
    <t xml:space="preserve">https://www.instagram.com/limit_juy</t>
  </si>
  <si>
    <t xml:space="preserve">https://tiktok.com/@limitxstep8</t>
  </si>
  <si>
    <t xml:space="preserve">https://facebook.com/profile.php?id=100015743748929</t>
  </si>
  <si>
    <t xml:space="preserve">20/02/2006</t>
  </si>
  <si>
    <t xml:space="preserve">ONEMORE</t>
  </si>
  <si>
    <t xml:space="preserve">Rattapoom Sunthalunai</t>
  </si>
  <si>
    <t xml:space="preserve">https://www.instagram.com/poomgohome_</t>
  </si>
  <si>
    <t xml:space="preserve">https://tiktok.com/@pm.rt</t>
  </si>
  <si>
    <t xml:space="preserve">https://facebook.com/ratta.poom.790</t>
  </si>
  <si>
    <t xml:space="preserve">ONFIRE</t>
  </si>
  <si>
    <t xml:space="preserve">Phulipat Yosit</t>
  </si>
  <si>
    <t xml:space="preserve">https://www.instagram.com/onfirebaby__</t>
  </si>
  <si>
    <t xml:space="preserve">https://tiktok.com/@onfireeieii</t>
  </si>
  <si>
    <t xml:space="preserve">https://facebook.com/profile.php?id=100072006039523</t>
  </si>
  <si>
    <t xml:space="preserve">27/09/2005</t>
  </si>
  <si>
    <t xml:space="preserve">Penna</t>
  </si>
  <si>
    <t xml:space="preserve">Natthawut Srinaknil</t>
  </si>
  <si>
    <t xml:space="preserve">https://www.instagram.com/pee_2006._?igsh=enRyOTlwbnV2bjg5</t>
  </si>
  <si>
    <t xml:space="preserve">https://www.tiktok.com/@peena._?_r=1&amp;_t=ZS-93QJymJbPfx</t>
  </si>
  <si>
    <t xml:space="preserve">13/09/2006</t>
  </si>
  <si>
    <t xml:space="preserve">PROTETO</t>
  </si>
  <si>
    <t xml:space="preserve">Ratchata Soonklang</t>
  </si>
  <si>
    <t xml:space="preserve">https://www.instagram.com/protetae</t>
  </si>
  <si>
    <t xml:space="preserve">https://facebook.com/pongsatorn.pongsatorn.754</t>
  </si>
  <si>
    <t xml:space="preserve">SAINOI</t>
  </si>
  <si>
    <t xml:space="preserve">Worrawan Kasikarn</t>
  </si>
  <si>
    <t xml:space="preserve">Jose Serrano</t>
  </si>
  <si>
    <t xml:space="preserve">Gran Turismo</t>
  </si>
  <si>
    <t xml:space="preserve">https://x.com/JoseSerrano_16</t>
  </si>
  <si>
    <t xml:space="preserve">https://www.instagram.com/joseserranoo_/</t>
  </si>
  <si>
    <t xml:space="preserve">https://www.twitch.tv/JoseSerrano_16</t>
  </si>
  <si>
    <t xml:space="preserve">25/09/2002</t>
  </si>
  <si>
    <t xml:space="preserve">Driver</t>
  </si>
  <si>
    <t xml:space="preserve">Naif Alfaleh</t>
  </si>
  <si>
    <t xml:space="preserve">https://x.com/Falcon_Naifx</t>
  </si>
  <si>
    <t xml:space="preserve">https://www.instagram.com/falcon_naifx/</t>
  </si>
  <si>
    <t xml:space="preserve">30/06/2003</t>
  </si>
  <si>
    <t xml:space="preserve">Pol Urra</t>
  </si>
  <si>
    <t xml:space="preserve">https://x.com/polurra</t>
  </si>
  <si>
    <t xml:space="preserve">https://www.instagram.com/pol_urra/</t>
  </si>
  <si>
    <t xml:space="preserve">21/02/2005</t>
  </si>
  <si>
    <t xml:space="preserve">Wesam Khalil</t>
  </si>
  <si>
    <t xml:space="preserve">https://x.com/Falcon_Wesam</t>
  </si>
  <si>
    <t xml:space="preserve">https://www.instagram.com/falcon_wesam/</t>
  </si>
  <si>
    <t xml:space="preserve">17/06/1999</t>
  </si>
  <si>
    <t xml:space="preserve">Skwal</t>
  </si>
  <si>
    <t xml:space="preserve">Nicolas Sautron</t>
  </si>
  <si>
    <t xml:space="preserve">https://x.com/SkwalGG</t>
  </si>
  <si>
    <t xml:space="preserve">https://www.instagram.com/skwalgg/</t>
  </si>
  <si>
    <t xml:space="preserve">28/03/1992</t>
  </si>
  <si>
    <t xml:space="preserve">Boyet</t>
  </si>
  <si>
    <t xml:space="preserve">Mobile Legends Bang Bang</t>
  </si>
  <si>
    <t xml:space="preserve">Philippines</t>
  </si>
  <si>
    <t xml:space="preserve">Bien Salvador C Chumacera</t>
  </si>
  <si>
    <t xml:space="preserve">https://www.instagram.com/boyetdr_</t>
  </si>
  <si>
    <t xml:space="preserve">29/01/2003</t>
  </si>
  <si>
    <t xml:space="preserve">Jungler</t>
  </si>
  <si>
    <t xml:space="preserve">Cuffin</t>
  </si>
  <si>
    <t xml:space="preserve">Muath saad alquraini</t>
  </si>
  <si>
    <t xml:space="preserve">https://www.instagram.com/accounts/login/?next=%2Fcuffin_ml&amp;source=omni_redirect</t>
  </si>
  <si>
    <t xml:space="preserve">19/10/2002</t>
  </si>
  <si>
    <t xml:space="preserve">Middle</t>
  </si>
  <si>
    <t xml:space="preserve">Kakashi</t>
  </si>
  <si>
    <t xml:space="preserve">Falcons Vega MENA</t>
  </si>
  <si>
    <t xml:space="preserve">Egypt</t>
  </si>
  <si>
    <t xml:space="preserve">AMR WAFED YASSIN</t>
  </si>
  <si>
    <t xml:space="preserve">https://www.instagram.com/cuffin_ml</t>
  </si>
  <si>
    <t xml:space="preserve">Saano</t>
  </si>
  <si>
    <t xml:space="preserve">SULAIMAN MUSALLAM ALRASHDI</t>
  </si>
  <si>
    <t xml:space="preserve">30/06/2004</t>
  </si>
  <si>
    <t xml:space="preserve">Gold Lane</t>
  </si>
  <si>
    <t xml:space="preserve">Sanji</t>
  </si>
  <si>
    <t xml:space="preserve">Ayman Othman Alqarni</t>
  </si>
  <si>
    <t xml:space="preserve">https://www.instagram.com/trolll_ml</t>
  </si>
  <si>
    <t xml:space="preserve">EXP Lane</t>
  </si>
  <si>
    <t xml:space="preserve">Tarzaan</t>
  </si>
  <si>
    <t xml:space="preserve">Mohammed Ayman Kharabah</t>
  </si>
  <si>
    <t xml:space="preserve">14/05/2000</t>
  </si>
  <si>
    <t xml:space="preserve">Troll</t>
  </si>
  <si>
    <t xml:space="preserve">Moayed ayman kharaba</t>
  </si>
  <si>
    <t xml:space="preserve">31/01/2007</t>
  </si>
  <si>
    <t xml:space="preserve">Roamer</t>
  </si>
  <si>
    <t xml:space="preserve">Owgwen</t>
  </si>
  <si>
    <t xml:space="preserve">Team Falcons PH</t>
  </si>
  <si>
    <t xml:space="preserve">Rowgien Stimpson Unigo</t>
  </si>
  <si>
    <t xml:space="preserve">https://twitter.com/Ogiiiieeen</t>
  </si>
  <si>
    <t xml:space="preserve">https://www.instagram.com/flcn.owgwen</t>
  </si>
  <si>
    <t xml:space="preserve">https://www.tiktok.com/@ogiiiieeen</t>
  </si>
  <si>
    <t xml:space="preserve">https://facebook.com/Ogiiiieeen</t>
  </si>
  <si>
    <t xml:space="preserve">25/04/2001</t>
  </si>
  <si>
    <t xml:space="preserve">Super Marco</t>
  </si>
  <si>
    <t xml:space="preserve">Marco Stephen Requitiano</t>
  </si>
  <si>
    <t xml:space="preserve">https://www.tiktok.com/@flcnsupermarco</t>
  </si>
  <si>
    <t xml:space="preserve">https://www.facebook.com/FLCNSupermarco</t>
  </si>
  <si>
    <t xml:space="preserve">Hadji</t>
  </si>
  <si>
    <t xml:space="preserve">Salic Imam</t>
  </si>
  <si>
    <t xml:space="preserve">https://www.instagram.com/hadjizy</t>
  </si>
  <si>
    <t xml:space="preserve">https://www.tiktok.com/@hadjizy_</t>
  </si>
  <si>
    <t xml:space="preserve">https://facebook.com/Hadjizyyyyy</t>
  </si>
  <si>
    <t xml:space="preserve">23/04/2003</t>
  </si>
  <si>
    <t xml:space="preserve">Moody</t>
  </si>
  <si>
    <t xml:space="preserve">Mohammad Samal</t>
  </si>
  <si>
    <t xml:space="preserve">https://www.instagram.com/moodysamal</t>
  </si>
  <si>
    <t xml:space="preserve">https://www.tiktok.com/@flcn.moody</t>
  </si>
  <si>
    <t xml:space="preserve">https://www.facebook.com/liquidcoachmoody/</t>
  </si>
  <si>
    <t xml:space="preserve">26/08/1996</t>
  </si>
  <si>
    <t xml:space="preserve">VR3N</t>
  </si>
  <si>
    <t xml:space="preserve">Vrendon Pesebre</t>
  </si>
  <si>
    <t xml:space="preserve">https://www.instagram.com/vrendonlin</t>
  </si>
  <si>
    <t xml:space="preserve">https://www.tiktok.com/@vrendonlin</t>
  </si>
  <si>
    <t xml:space="preserve">https://www.facebook.com/kutspogi</t>
  </si>
  <si>
    <t xml:space="preserve">22/04/1991</t>
  </si>
  <si>
    <t xml:space="preserve">Fvvn</t>
  </si>
  <si>
    <t xml:space="preserve">Alaa Ayman Ebrahim Ebrahim Galous</t>
  </si>
  <si>
    <t xml:space="preserve">https://www.instagram.com/fdoublevn/</t>
  </si>
  <si>
    <t xml:space="preserve">15/12/2004</t>
  </si>
  <si>
    <t xml:space="preserve">Koba</t>
  </si>
  <si>
    <t xml:space="preserve">MOHMMED MHMOUD MOHMMED TELEB</t>
  </si>
  <si>
    <t xml:space="preserve">https://www.instagram.com/koba_ashiii</t>
  </si>
  <si>
    <t xml:space="preserve">Names</t>
  </si>
  <si>
    <t xml:space="preserve">Asmaa Raafat Mohamed Aassan Thabet</t>
  </si>
  <si>
    <t xml:space="preserve">https://www.instagram.com/names_se</t>
  </si>
  <si>
    <t xml:space="preserve">https://www.tiktok.com/@names_es</t>
  </si>
  <si>
    <t xml:space="preserve">Nucci</t>
  </si>
  <si>
    <t xml:space="preserve">Nourhan Shaker Saber</t>
  </si>
  <si>
    <t xml:space="preserve">https://www.instagram.com/nourhan_shaker22/</t>
  </si>
  <si>
    <t xml:space="preserve">Nana</t>
  </si>
  <si>
    <t xml:space="preserve">Nagham Khaled Abouelseoud Emam</t>
  </si>
  <si>
    <t xml:space="preserve">Velvet</t>
  </si>
  <si>
    <t xml:space="preserve">Hadeel AbdelNasser Mahmoud Abouelftouh</t>
  </si>
  <si>
    <t xml:space="preserve">https://www.instagram.com/horrible.velvet/</t>
  </si>
  <si>
    <t xml:space="preserve">19/07/2003</t>
  </si>
  <si>
    <t xml:space="preserve">Violet</t>
  </si>
  <si>
    <t xml:space="preserve">Falcons Vega ID</t>
  </si>
  <si>
    <t xml:space="preserve">Indonesian</t>
  </si>
  <si>
    <t xml:space="preserve">Fajria Noviana Nur</t>
  </si>
  <si>
    <t xml:space="preserve">https://www.instagram.com/fajria.noviana</t>
  </si>
  <si>
    <t xml:space="preserve">https://www.youtube.com/@fajriaviolet8967</t>
  </si>
  <si>
    <t xml:space="preserve">https://www.tiktok.com/@fajria.noviana</t>
  </si>
  <si>
    <t xml:space="preserve">20/11/1998</t>
  </si>
  <si>
    <t xml:space="preserve">Xev</t>
  </si>
  <si>
    <t xml:space="preserve">Xeviola Maureen</t>
  </si>
  <si>
    <t xml:space="preserve">https://www.instagram.com/xev_vi</t>
  </si>
  <si>
    <t xml:space="preserve">https://www.tiktok.com/@xev_vi</t>
  </si>
  <si>
    <t xml:space="preserve">21/04/2004</t>
  </si>
  <si>
    <t xml:space="preserve">Livii</t>
  </si>
  <si>
    <t xml:space="preserve">Livia Lemmuela Putri</t>
  </si>
  <si>
    <t xml:space="preserve">https://www.instagram.com/livia.lemmuela</t>
  </si>
  <si>
    <t xml:space="preserve">https://www.youtube.com/@LiviaLivii</t>
  </si>
  <si>
    <t xml:space="preserve">https://www.tiktok.com/@livia.lemmuela</t>
  </si>
  <si>
    <t xml:space="preserve">LIV</t>
  </si>
  <si>
    <t xml:space="preserve">Olivia Benita Wijaya</t>
  </si>
  <si>
    <t xml:space="preserve">https://www.instagram.com/remundddd</t>
  </si>
  <si>
    <t xml:space="preserve">https://www.tiktok.com/@remundddd</t>
  </si>
  <si>
    <t xml:space="preserve">REMUNDO</t>
  </si>
  <si>
    <t xml:space="preserve">Nadiya Bahktita</t>
  </si>
  <si>
    <t xml:space="preserve">https://www.instagram.com/olivia.wijayaa/</t>
  </si>
  <si>
    <t xml:space="preserve">https://www.youtube.com/@Livyipp</t>
  </si>
  <si>
    <t xml:space="preserve">https://www.tiktok.com/@livyipp</t>
  </si>
  <si>
    <t xml:space="preserve">Agatha</t>
  </si>
  <si>
    <t xml:space="preserve">Angelia Agatha</t>
  </si>
  <si>
    <t xml:space="preserve">https://www.instagram.com/angeliagathaa</t>
  </si>
  <si>
    <t xml:space="preserve">https://www.tiktok.com/@angeliagathaa</t>
  </si>
  <si>
    <t xml:space="preserve">20/08/2001</t>
  </si>
  <si>
    <t xml:space="preserve">Luckyboi</t>
  </si>
  <si>
    <t xml:space="preserve">Aulia Eka Achyunda Putra</t>
  </si>
  <si>
    <t xml:space="preserve">https://www.instagram.com/putraeka672_</t>
  </si>
  <si>
    <t xml:space="preserve">https://www.tiktok.com/@putraeka672_</t>
  </si>
  <si>
    <t xml:space="preserve">30/06/2002</t>
  </si>
  <si>
    <t xml:space="preserve">Mozia</t>
  </si>
  <si>
    <t xml:space="preserve">Aditya Kusuma Putra</t>
  </si>
  <si>
    <t xml:space="preserve">https://www.instagram.com/moziaulus</t>
  </si>
  <si>
    <t xml:space="preserve">https://www.youtube.com/@Moziaulus</t>
  </si>
  <si>
    <t xml:space="preserve">https://www.tiktok.com/@moziaulus</t>
  </si>
  <si>
    <t xml:space="preserve">Ren</t>
  </si>
  <si>
    <t xml:space="preserve">Daren Paul Vitug</t>
  </si>
  <si>
    <t xml:space="preserve">fantasea</t>
  </si>
  <si>
    <t xml:space="preserve">Isfan Satria Wijaya</t>
  </si>
  <si>
    <t xml:space="preserve">https://x.com/isfantasea</t>
  </si>
  <si>
    <t xml:space="preserve">https://www.instagram.com/is.fantasea</t>
  </si>
  <si>
    <t xml:space="preserve">https://www.youtube.com/@Isfantasea</t>
  </si>
  <si>
    <t xml:space="preserve">https://www.tiktok.com/@isfantasea</t>
  </si>
  <si>
    <t xml:space="preserve">https://www.facebook.com/isfan.satria.wijaya/</t>
  </si>
  <si>
    <t xml:space="preserve">16/09/1994</t>
  </si>
  <si>
    <t xml:space="preserve">ChiYo</t>
  </si>
  <si>
    <t xml:space="preserve">Overwatch2</t>
  </si>
  <si>
    <t xml:space="preserve">HyunSeok Han</t>
  </si>
  <si>
    <t xml:space="preserve">https://twitter.com/ChiYo_ow1</t>
  </si>
  <si>
    <t xml:space="preserve">https://www.twitch.tv/chiyo_ow</t>
  </si>
  <si>
    <t xml:space="preserve">Support</t>
  </si>
  <si>
    <t xml:space="preserve">Fielder</t>
  </si>
  <si>
    <t xml:space="preserve">Joon Kwon</t>
  </si>
  <si>
    <t xml:space="preserve">https://twitter.com/fielder_ow</t>
  </si>
  <si>
    <t xml:space="preserve">https://www.twitch.tv/fielder_ow</t>
  </si>
  <si>
    <t xml:space="preserve">https://www.youtube.com/channel/UCKLTHj9SshU_IwDLO12aDSw</t>
  </si>
  <si>
    <t xml:space="preserve">29/01/2002</t>
  </si>
  <si>
    <t xml:space="preserve">Hanbin</t>
  </si>
  <si>
    <t xml:space="preserve">HanBin Choi</t>
  </si>
  <si>
    <t xml:space="preserve">https://twitter.com/HanBin_OW</t>
  </si>
  <si>
    <t xml:space="preserve">https://www.twitch.tv/hanbin_ow</t>
  </si>
  <si>
    <t xml:space="preserve">20/02/2002</t>
  </si>
  <si>
    <t xml:space="preserve">Tank</t>
  </si>
  <si>
    <t xml:space="preserve">Levi</t>
  </si>
  <si>
    <t xml:space="preserve">Chunghyeok Jeong</t>
  </si>
  <si>
    <t xml:space="preserve">https://x.com/OW_Levi</t>
  </si>
  <si>
    <t xml:space="preserve">https://www.instagram.com/choooooooong/#</t>
  </si>
  <si>
    <t xml:space="preserve">14/09/1992</t>
  </si>
  <si>
    <t xml:space="preserve">MER1T</t>
  </si>
  <si>
    <t xml:space="preserve">Choi Taemin</t>
  </si>
  <si>
    <t xml:space="preserve">https://x.com/MER1T_ow</t>
  </si>
  <si>
    <t xml:space="preserve">https://www.instagram.com/mer1t_ow/#</t>
  </si>
  <si>
    <t xml:space="preserve">https://www.twitch.tv/mer1t_ow</t>
  </si>
  <si>
    <t xml:space="preserve">21/06/2002</t>
  </si>
  <si>
    <t xml:space="preserve">DPS</t>
  </si>
  <si>
    <t xml:space="preserve">NineK</t>
  </si>
  <si>
    <t xml:space="preserve">BumHoon Kim</t>
  </si>
  <si>
    <t xml:space="preserve">https://twitter.com/NineK_OW</t>
  </si>
  <si>
    <t xml:space="preserve">https://www.youtube.com/@NineKK999/streams</t>
  </si>
  <si>
    <t xml:space="preserve">SOMEONE</t>
  </si>
  <si>
    <t xml:space="preserve">Ham Jeongwan</t>
  </si>
  <si>
    <t xml:space="preserve">https://x.com/someone0424</t>
  </si>
  <si>
    <t xml:space="preserve">https://www.instagram.com/someone_ow/#</t>
  </si>
  <si>
    <t xml:space="preserve">https://www.twitch.tv/someone_ow_</t>
  </si>
  <si>
    <t xml:space="preserve">24/04/2004</t>
  </si>
  <si>
    <t xml:space="preserve">SP9RK1E</t>
  </si>
  <si>
    <t xml:space="preserve">Yeonghan Kim</t>
  </si>
  <si>
    <t xml:space="preserve">https://twitter.com/SP9RK1E_OW</t>
  </si>
  <si>
    <t xml:space="preserve">https://t.co/Ig6Fh5khWl</t>
  </si>
  <si>
    <t xml:space="preserve">https://www.twitch.tv/sp9rk1e</t>
  </si>
  <si>
    <t xml:space="preserve">https://www.youtube.com/channel/UCqS9XBZgzXiolPUsWX2cQ</t>
  </si>
  <si>
    <t xml:space="preserve">31/05/2002</t>
  </si>
  <si>
    <t xml:space="preserve">Gunner</t>
  </si>
  <si>
    <t xml:space="preserve">PUBG</t>
  </si>
  <si>
    <t xml:space="preserve">Owen Andrew Monahan</t>
  </si>
  <si>
    <t xml:space="preserve">https://x.com/Owenusmc21</t>
  </si>
  <si>
    <t xml:space="preserve">https://www.instagram.com/machinegunnerusmc</t>
  </si>
  <si>
    <t xml:space="preserve">https://www.twitch.tv/MACHINEGUNNERUSMC</t>
  </si>
  <si>
    <t xml:space="preserve">21/02/1988</t>
  </si>
  <si>
    <t xml:space="preserve">hwinn</t>
  </si>
  <si>
    <t xml:space="preserve">Hunter Maurice Winn</t>
  </si>
  <si>
    <t xml:space="preserve">https://twitter.com/hwinnfps</t>
  </si>
  <si>
    <t xml:space="preserve">https://www.instagram.com/hwinn123</t>
  </si>
  <si>
    <t xml:space="preserve">https://www.twitch.tv/hwinn</t>
  </si>
  <si>
    <t xml:space="preserve">https://www.youtube.com/HunterWinn1</t>
  </si>
  <si>
    <t xml:space="preserve">28/04/1994</t>
  </si>
  <si>
    <t xml:space="preserve">Kickstart</t>
  </si>
  <si>
    <t xml:space="preserve">Robert Matthew Smith Jr</t>
  </si>
  <si>
    <t xml:space="preserve">https://twitter.com/KSnKickstart</t>
  </si>
  <si>
    <t xml:space="preserve">https://www.instagram.com/ksnkickstart</t>
  </si>
  <si>
    <t xml:space="preserve">https://www.twitch.tv/kickstart</t>
  </si>
  <si>
    <t xml:space="preserve">https://www.youtube.com/ksnkickstart</t>
  </si>
  <si>
    <t xml:space="preserve">13/05/2001</t>
  </si>
  <si>
    <t xml:space="preserve">Shrimzy</t>
  </si>
  <si>
    <t xml:space="preserve">Tristan John Nowicki</t>
  </si>
  <si>
    <t xml:space="preserve">https://twitter.com/ShrimzyPUBg</t>
  </si>
  <si>
    <t xml:space="preserve">https://www.instagram.com/tristannowicki</t>
  </si>
  <si>
    <t xml:space="preserve">https://www.twitch.tv/shrimzy</t>
  </si>
  <si>
    <t xml:space="preserve">https://www.youtube.com/Shrimx1</t>
  </si>
  <si>
    <t xml:space="preserve">22/11/2027</t>
  </si>
  <si>
    <t xml:space="preserve">TGLTN</t>
  </si>
  <si>
    <t xml:space="preserve">Australian</t>
  </si>
  <si>
    <t xml:space="preserve">James Sebastian Giezen</t>
  </si>
  <si>
    <t xml:space="preserve">https://twitter.com/tgltnPUBG</t>
  </si>
  <si>
    <t xml:space="preserve">https://www.instagram.com/tgltnPUBG</t>
  </si>
  <si>
    <t xml:space="preserve">https://www.twitch.tv/TGLTN</t>
  </si>
  <si>
    <t xml:space="preserve">https://www.youtube.com/TGLTN</t>
  </si>
  <si>
    <t xml:space="preserve">https://kick.com/tgltn</t>
  </si>
  <si>
    <t xml:space="preserve">BriD</t>
  </si>
  <si>
    <t xml:space="preserve">Rainbow Six Siege</t>
  </si>
  <si>
    <t xml:space="preserve">Loïc Chongthep</t>
  </si>
  <si>
    <t xml:space="preserve">https://twitter.com/BriDR6S</t>
  </si>
  <si>
    <t xml:space="preserve">https://www.instagram.com/briddr6s</t>
  </si>
  <si>
    <t xml:space="preserve">https://www.twitch.tv/bridr6s</t>
  </si>
  <si>
    <t xml:space="preserve">30/07/1996</t>
  </si>
  <si>
    <t xml:space="preserve">eaglemees</t>
  </si>
  <si>
    <t xml:space="preserve">Nethelands</t>
  </si>
  <si>
    <t xml:space="preserve">Mees van der Arend</t>
  </si>
  <si>
    <t xml:space="preserve">https://x.com/eaglemees</t>
  </si>
  <si>
    <t xml:space="preserve">30/09/2001</t>
  </si>
  <si>
    <t xml:space="preserve">Frenchi</t>
  </si>
  <si>
    <t xml:space="preserve">Paul Droal</t>
  </si>
  <si>
    <t xml:space="preserve">27/11/1998</t>
  </si>
  <si>
    <t xml:space="preserve">Julio</t>
  </si>
  <si>
    <t xml:space="preserve">Brasilian</t>
  </si>
  <si>
    <t xml:space="preserve">Julio Giacomelli</t>
  </si>
  <si>
    <t xml:space="preserve">https://twitter.com/JULIOAKAJULIO1</t>
  </si>
  <si>
    <t xml:space="preserve">https://www.instagram.com/juliogiacomelli</t>
  </si>
  <si>
    <t xml:space="preserve">https://www.twitch.tv/juliojuliojuliojuliojulio</t>
  </si>
  <si>
    <t xml:space="preserve">25/05/1994</t>
  </si>
  <si>
    <t xml:space="preserve">LikEfac</t>
  </si>
  <si>
    <t xml:space="preserve">Théo Mariano</t>
  </si>
  <si>
    <t xml:space="preserve">https://twitter.com/LikEfacR6S</t>
  </si>
  <si>
    <t xml:space="preserve">https://www.instagram.com/likefacr6s/</t>
  </si>
  <si>
    <t xml:space="preserve">https://www.twitch.tv/likefac</t>
  </si>
  <si>
    <t xml:space="preserve">Solotov</t>
  </si>
  <si>
    <t xml:space="preserve">Turkish</t>
  </si>
  <si>
    <t xml:space="preserve">Fatih Türker</t>
  </si>
  <si>
    <t xml:space="preserve">https://twitter.com/SolotovR6</t>
  </si>
  <si>
    <t xml:space="preserve">19/04/2001</t>
  </si>
  <si>
    <t xml:space="preserve">Flex entry</t>
  </si>
  <si>
    <t xml:space="preserve">Stooflex</t>
  </si>
  <si>
    <t xml:space="preserve">Samy Smail</t>
  </si>
  <si>
    <t xml:space="preserve">https://twitter.com/stooflex</t>
  </si>
  <si>
    <t xml:space="preserve">24/05/1990</t>
  </si>
  <si>
    <t xml:space="preserve">Yuzus</t>
  </si>
  <si>
    <t xml:space="preserve">Joshua Pritchard</t>
  </si>
  <si>
    <t xml:space="preserve">https://twitter.com/Yuzus_</t>
  </si>
  <si>
    <t xml:space="preserve">https://www.instagram.com/yuzussssss/</t>
  </si>
  <si>
    <t xml:space="preserve">https://www.twitch.tv/Yuzus</t>
  </si>
  <si>
    <t xml:space="preserve">https://www.youtube.com/@julioakajulio</t>
  </si>
  <si>
    <t xml:space="preserve">24/05/2000</t>
  </si>
  <si>
    <t xml:space="preserve">Flex support</t>
  </si>
  <si>
    <t xml:space="preserve">Azzam</t>
  </si>
  <si>
    <t xml:space="preserve">Rocket League</t>
  </si>
  <si>
    <t xml:space="preserve">Azzam Al-Jabr</t>
  </si>
  <si>
    <t xml:space="preserve">https://twitter.com/AzzamAljabr</t>
  </si>
  <si>
    <t xml:space="preserve">13/10/1992</t>
  </si>
  <si>
    <t xml:space="preserve">d7oom24</t>
  </si>
  <si>
    <t xml:space="preserve">Abdulrahman Bin Fayez</t>
  </si>
  <si>
    <t xml:space="preserve">https://x.com/id7oom_24</t>
  </si>
  <si>
    <t xml:space="preserve">Instagram/D7oom24</t>
  </si>
  <si>
    <t xml:space="preserve">dralii</t>
  </si>
  <si>
    <t xml:space="preserve">Morrocan / Canadian</t>
  </si>
  <si>
    <t xml:space="preserve">Samy Hajji</t>
  </si>
  <si>
    <t xml:space="preserve">https://twitter.com/dralii897</t>
  </si>
  <si>
    <t xml:space="preserve">https://www.twitch.tv/dralii</t>
  </si>
  <si>
    <t xml:space="preserve">Kiileerrz</t>
  </si>
  <si>
    <t xml:space="preserve">Yazeed Bakhashwin</t>
  </si>
  <si>
    <t xml:space="preserve">https://x.com/kiileerrz</t>
  </si>
  <si>
    <t xml:space="preserve">Instagram/Kiileerrz</t>
  </si>
  <si>
    <t xml:space="preserve">https://www.twitch.tv/kiileerrz</t>
  </si>
  <si>
    <t xml:space="preserve">Rw9</t>
  </si>
  <si>
    <t xml:space="preserve">Saleh Bakhashwin</t>
  </si>
  <si>
    <t xml:space="preserve">https://x.com/Rw9_RL</t>
  </si>
  <si>
    <t xml:space="preserve">https://www.twitch.tv/rl_rw9</t>
  </si>
  <si>
    <t xml:space="preserve">Bunny</t>
  </si>
  <si>
    <t xml:space="preserve">Starcraft 2</t>
  </si>
  <si>
    <t xml:space="preserve">South Korea</t>
  </si>
  <si>
    <t xml:space="preserve">JaeSun Lee</t>
  </si>
  <si>
    <t xml:space="preserve">https://x.com/KOR_Bunny</t>
  </si>
  <si>
    <t xml:space="preserve">https://www.instagram.com/sc2_jlee/#</t>
  </si>
  <si>
    <t xml:space="preserve">Rogue</t>
  </si>
  <si>
    <t xml:space="preserve">ByeongYeol Lee</t>
  </si>
  <si>
    <t xml:space="preserve">https://www.instagram.com/b_ryul.l/#</t>
  </si>
  <si>
    <t xml:space="preserve">13/01/1994</t>
  </si>
  <si>
    <t xml:space="preserve">Solar</t>
  </si>
  <si>
    <t xml:space="preserve">Kang Minsoo</t>
  </si>
  <si>
    <t xml:space="preserve">https://x.com/SC2_Solar</t>
  </si>
  <si>
    <t xml:space="preserve">https://www.instagram.com/sc2solar/#</t>
  </si>
  <si>
    <t xml:space="preserve">https://www.twitch.tv/sc2solar</t>
  </si>
  <si>
    <t xml:space="preserve">Craime</t>
  </si>
  <si>
    <t xml:space="preserve">Chilean</t>
  </si>
  <si>
    <t xml:space="preserve">Jaime Bustos</t>
  </si>
  <si>
    <t xml:space="preserve">https://x.com/CraimeCL</t>
  </si>
  <si>
    <t xml:space="preserve">Kusanagi</t>
  </si>
  <si>
    <t xml:space="preserve">Maivine Touiti</t>
  </si>
  <si>
    <t xml:space="preserve">https://twitter.com/MaivineKusanagi</t>
  </si>
  <si>
    <t xml:space="preserve">https://www.twitch.tv/KusanagiSF6</t>
  </si>
  <si>
    <t xml:space="preserve">25/07/1999</t>
  </si>
  <si>
    <t xml:space="preserve">NL</t>
  </si>
  <si>
    <t xml:space="preserve">Sim Geon</t>
  </si>
  <si>
    <t xml:space="preserve">https://x.com/sf5nl</t>
  </si>
  <si>
    <t xml:space="preserve">https://www.twitch.tv/jungjil</t>
  </si>
  <si>
    <t xml:space="preserve">https://www.youtube.com/@nltv9433</t>
  </si>
  <si>
    <t xml:space="preserve">23/02/1987</t>
  </si>
  <si>
    <t xml:space="preserve">Aqeel9</t>
  </si>
  <si>
    <t xml:space="preserve">Mishari Alaqeel</t>
  </si>
  <si>
    <t xml:space="preserve">https://x.com/mka988</t>
  </si>
  <si>
    <t xml:space="preserve">https://www.twitch.tv/aqeel9h</t>
  </si>
  <si>
    <t xml:space="preserve">17/09/2000</t>
  </si>
  <si>
    <t xml:space="preserve">Atif Butt</t>
  </si>
  <si>
    <t xml:space="preserve">Pakistan</t>
  </si>
  <si>
    <t xml:space="preserve">Atif Ijaz</t>
  </si>
  <si>
    <t xml:space="preserve">https://x.com/AtifButt540</t>
  </si>
  <si>
    <t xml:space="preserve">Farzeen</t>
  </si>
  <si>
    <t xml:space="preserve">Muhammad Farzeen</t>
  </si>
  <si>
    <t xml:space="preserve">https://x.com/Farzeen_tk</t>
  </si>
  <si>
    <t xml:space="preserve">https://www.instagram.com/farzeen_tk/</t>
  </si>
  <si>
    <t xml:space="preserve">Numan</t>
  </si>
  <si>
    <t xml:space="preserve">Nauman Chaudhry</t>
  </si>
  <si>
    <t xml:space="preserve">https://x.com/tk_numanch</t>
  </si>
  <si>
    <t xml:space="preserve">Usama Abbasi</t>
  </si>
  <si>
    <t xml:space="preserve">https://x.com/usamatekken708</t>
  </si>
  <si>
    <t xml:space="preserve">Alexy</t>
  </si>
  <si>
    <t xml:space="preserve">VALORANT</t>
  </si>
  <si>
    <t xml:space="preserve">Falcons Vega</t>
  </si>
  <si>
    <t xml:space="preserve">Filipino</t>
  </si>
  <si>
    <t xml:space="preserve">Alexandria Francisco</t>
  </si>
  <si>
    <t xml:space="preserve">https://x.com/alexyyfrancisco</t>
  </si>
  <si>
    <t xml:space="preserve">https://www.twitch.tv/alexyph</t>
  </si>
  <si>
    <t xml:space="preserve">https://www.facebook.com/Aleeexyyy</t>
  </si>
  <si>
    <t xml:space="preserve">14/08/2002</t>
  </si>
  <si>
    <t xml:space="preserve">enerii</t>
  </si>
  <si>
    <t xml:space="preserve">Odella Abraham</t>
  </si>
  <si>
    <t xml:space="preserve">https://x.com/eneriiiiiii</t>
  </si>
  <si>
    <t xml:space="preserve">https://www.twitch.tv/enerii</t>
  </si>
  <si>
    <t xml:space="preserve">Kamiyu</t>
  </si>
  <si>
    <t xml:space="preserve">Camille Enriquez</t>
  </si>
  <si>
    <t xml:space="preserve">https://x.com/Kamiyuchii</t>
  </si>
  <si>
    <t xml:space="preserve">24/12/2004</t>
  </si>
  <si>
    <t xml:space="preserve">madv</t>
  </si>
  <si>
    <t xml:space="preserve">Modhi Alkanhal</t>
  </si>
  <si>
    <t xml:space="preserve">https://x.com/itMadv</t>
  </si>
  <si>
    <t xml:space="preserve">https://www.twitch.tv/itmadv</t>
  </si>
  <si>
    <t xml:space="preserve">Dannyto</t>
  </si>
  <si>
    <t xml:space="preserve">Bulgarian</t>
  </si>
  <si>
    <t xml:space="preserve">Danail Sofroniev</t>
  </si>
  <si>
    <t xml:space="preserve">https://x.com/DANNYTO_vlr</t>
  </si>
  <si>
    <t xml:space="preserve">20/03/1995</t>
  </si>
  <si>
    <t xml:space="preserve">CarlJr</t>
  </si>
  <si>
    <t xml:space="preserve">Trackmania</t>
  </si>
  <si>
    <t xml:space="preserve">Canadian</t>
  </si>
  <si>
    <t xml:space="preserve">Carl-Anthony Cloutier</t>
  </si>
  <si>
    <t xml:space="preserve">https://x.com/CarlJrtm</t>
  </si>
  <si>
    <t xml:space="preserve">https://www.instagram.com/carljrtm/</t>
  </si>
  <si>
    <t xml:space="preserve">https://www.twitch.tv/carljrtm</t>
  </si>
  <si>
    <t xml:space="preserve">https://www.youtube.com/@CarlJrtm</t>
  </si>
  <si>
    <t xml:space="preserve">https://www.tiktok.com/@carljrtm</t>
  </si>
  <si>
    <t xml:space="preserve">17/12/1996</t>
  </si>
  <si>
    <t xml:space="preserve">Spammiej</t>
  </si>
  <si>
    <t xml:space="preserve">Dutch</t>
  </si>
  <si>
    <t xml:space="preserve">Tim Lunenburg</t>
  </si>
  <si>
    <t xml:space="preserve">https://x.com/Spammiejj</t>
  </si>
  <si>
    <t xml:space="preserve">https://www.instagram.com/timmmiej/</t>
  </si>
  <si>
    <t xml:space="preserve">https://www.twitch.tv/spammiej</t>
  </si>
  <si>
    <t xml:space="preserve">https://www.youtube.com/Spammiej</t>
  </si>
  <si>
    <t xml:space="preserve">https://www.facebook.com/Spammiej</t>
  </si>
  <si>
    <t xml:space="preserve">17/07/1994</t>
  </si>
  <si>
    <t xml:space="preserve">2ReaL</t>
  </si>
  <si>
    <t xml:space="preserve">Brendan Stockdale</t>
  </si>
  <si>
    <t xml:space="preserve">https://x.com/MG2ReaL</t>
  </si>
  <si>
    <t xml:space="preserve">25/05/1998</t>
  </si>
  <si>
    <t xml:space="preserve">Manny</t>
  </si>
  <si>
    <t xml:space="preserve">Emmanuel Lemos</t>
  </si>
  <si>
    <t xml:space="preserve">https://x.com/Manny7F</t>
  </si>
  <si>
    <t xml:space="preserve">16/10/2003</t>
  </si>
  <si>
    <t xml:space="preserve">KnoX</t>
  </si>
  <si>
    <t xml:space="preserve">Hakem Al-Shaibani</t>
  </si>
  <si>
    <t xml:space="preserve">https://x.com/Knox__77</t>
  </si>
  <si>
    <t xml:space="preserve">https://www.twitch.tv/iimlk_11</t>
  </si>
  <si>
    <t xml:space="preserve">Swooty</t>
  </si>
  <si>
    <t xml:space="preserve">Jared Najera</t>
  </si>
  <si>
    <t xml:space="preserve">https://x.com/SwootyWRLD</t>
  </si>
  <si>
    <t xml:space="preserve">https://www.twitch.tv/swooty18</t>
  </si>
  <si>
    <t xml:space="preserve">https://www.youtube.com/channel/UC4Zh2qa4jYyE2Rmy8KGINLQ</t>
  </si>
  <si>
    <t xml:space="preserve">Tapewaare</t>
  </si>
  <si>
    <t xml:space="preserve">Norwegian</t>
  </si>
  <si>
    <t xml:space="preserve">Sindre Ellefsen</t>
  </si>
  <si>
    <t xml:space="preserve">https://x.com/tapewaare</t>
  </si>
  <si>
    <t xml:space="preserve">https://www.twitch.tv/Tapewaare</t>
  </si>
  <si>
    <t xml:space="preserve">Pollo</t>
  </si>
  <si>
    <t xml:space="preserve">Mexican/American</t>
  </si>
  <si>
    <t xml:space="preserve">Miguel Moreno</t>
  </si>
  <si>
    <t xml:space="preserve">https://x.com/pollofn6</t>
  </si>
  <si>
    <t xml:space="preserve">https://www.twitch.tv/pollofn6</t>
  </si>
  <si>
    <t xml:space="preserve">https://www.youtube.com/channel/UCZqBdOYsCpvvCfI5_R3-FCQ</t>
  </si>
  <si>
    <t xml:space="preserve">FlapTzy</t>
  </si>
  <si>
    <t xml:space="preserve">David Charles Canon</t>
  </si>
  <si>
    <t xml:space="preserve">https://twitter.com/flapteezyy</t>
  </si>
  <si>
    <t xml:space="preserve">https://www.instagram.com/flaptzyofficial</t>
  </si>
  <si>
    <t xml:space="preserve">https://www.youtube.com/flapgaming</t>
  </si>
  <si>
    <t xml:space="preserve">https://tiktok.com/@flapofficial</t>
  </si>
  <si>
    <t xml:space="preserve">https://facebook.com/flapteezy</t>
  </si>
  <si>
    <t xml:space="preserve">Exp Lane</t>
  </si>
  <si>
    <t xml:space="preserve">KyleTzy</t>
  </si>
  <si>
    <t xml:space="preserve">Michael Angelo Sayson</t>
  </si>
  <si>
    <t xml:space="preserve">https://www.instagram.com/kyletzyofficial</t>
  </si>
  <si>
    <t xml:space="preserve">https://tiktok.com/@kyletzyofficial3</t>
  </si>
  <si>
    <t xml:space="preserve">https://facebook.com/KyleTzyOfficial</t>
  </si>
  <si>
    <t xml:space="preserve">19/08/2005</t>
  </si>
  <si>
    <t xml:space="preserve">Ferdz</t>
  </si>
  <si>
    <t xml:space="preserve">Vincent Joseph Villones Unigo</t>
  </si>
  <si>
    <t xml:space="preserve">https://www.instagram.com/edferdz</t>
  </si>
  <si>
    <t xml:space="preserve">https://www.facebook.com/edferdz</t>
  </si>
  <si>
    <t xml:space="preserve">24/11/2002</t>
  </si>
  <si>
    <t xml:space="preserve">Ducky</t>
  </si>
  <si>
    <t xml:space="preserve">Francis John Glindro</t>
  </si>
  <si>
    <t xml:space="preserve">https://www.instagram.com/duckeyyyy</t>
  </si>
  <si>
    <t xml:space="preserve">https://www.tiktok.com/@duckeythevillain</t>
  </si>
  <si>
    <t xml:space="preserve">https://www.facebook.com/duckeyyythevillain</t>
  </si>
  <si>
    <t xml:space="preserve">20/06/1990</t>
  </si>
  <si>
    <t xml:space="preserve">Checkmate</t>
  </si>
  <si>
    <t xml:space="preserve">Baek Seung-hun</t>
  </si>
  <si>
    <t xml:space="preserve">https://x.com/ow_checkmate</t>
  </si>
  <si>
    <t xml:space="preserve">https://www.twitch.tv/ow_checkmate</t>
  </si>
  <si>
    <t xml:space="preserve">jume</t>
  </si>
  <si>
    <t xml:space="preserve">German</t>
  </si>
  <si>
    <t xml:space="preserve">Marc Steinmann</t>
  </si>
  <si>
    <t xml:space="preserve">https://x.com/jumeR6S</t>
  </si>
  <si>
    <t xml:space="preserve">https://www.instagram.com/jumer6s/</t>
  </si>
  <si>
    <t xml:space="preserve">https://www.twitch.tv/jumer6</t>
  </si>
  <si>
    <t xml:space="preserve">https://www.youtube.com/channel/UCUGXHBCVxPiY1yNnl-kB47Q</t>
  </si>
  <si>
    <t xml:space="preserve">Entry</t>
  </si>
  <si>
    <t xml:space="preserve">Luy</t>
  </si>
  <si>
    <t xml:space="preserve">Layan Almahmoud</t>
  </si>
  <si>
    <t xml:space="preserve">shirazi</t>
  </si>
  <si>
    <t xml:space="preserve">Kelly Jaudian</t>
  </si>
  <si>
    <t xml:space="preserve">https://x.com/shirazigo</t>
  </si>
  <si>
    <t xml:space="preserve">https://www.instagram.com/shirazigo</t>
  </si>
  <si>
    <t xml:space="preserve">CAROT</t>
  </si>
  <si>
    <t xml:space="preserve">Crossfire</t>
  </si>
  <si>
    <t xml:space="preserve">Vietnamese</t>
  </si>
  <si>
    <t xml:space="preserve">NGUYEN TRUNG KHANG</t>
  </si>
  <si>
    <t xml:space="preserve">21/07/2007</t>
  </si>
  <si>
    <t xml:space="preserve">DANXY</t>
  </si>
  <si>
    <t xml:space="preserve">Nguyen Bao Duy</t>
  </si>
  <si>
    <t xml:space="preserve">24/08/2008</t>
  </si>
  <si>
    <t xml:space="preserve">LDX</t>
  </si>
  <si>
    <t xml:space="preserve">Luong Duc Tuan</t>
  </si>
  <si>
    <t xml:space="preserve">Dola</t>
  </si>
  <si>
    <t xml:space="preserve">Dam Viet Hung</t>
  </si>
  <si>
    <t xml:space="preserve">https://www.facebook.com/DOLACROSSFIRE</t>
  </si>
  <si>
    <t xml:space="preserve">Shady</t>
  </si>
  <si>
    <t xml:space="preserve">Mai Thanh Phong</t>
  </si>
  <si>
    <t xml:space="preserve">https://www.youtube.com/@ShadyCrossfire94</t>
  </si>
  <si>
    <t xml:space="preserve">https://www.facebook.com/Shadycrossfirevn</t>
  </si>
  <si>
    <t xml:space="preserve">Draugr</t>
  </si>
  <si>
    <t xml:space="preserve">Apex Legends</t>
  </si>
  <si>
    <t xml:space="preserve">Kyle Gillard</t>
  </si>
  <si>
    <t xml:space="preserve">https://x.com/DraugrAU</t>
  </si>
  <si>
    <t xml:space="preserve">https://www.twitch.tv/DraugrAU</t>
  </si>
  <si>
    <t xml:space="preserve">13/05/2000</t>
  </si>
  <si>
    <t xml:space="preserve">ImperialHal</t>
  </si>
  <si>
    <t xml:space="preserve">Phillip Dosen</t>
  </si>
  <si>
    <t xml:space="preserve">https://x.com/ImperialHal</t>
  </si>
  <si>
    <t xml:space="preserve">Instagram/ImperialHal</t>
  </si>
  <si>
    <t xml:space="preserve">https://www.twitch.tv/imperialhal__</t>
  </si>
  <si>
    <t xml:space="preserve">YT/ImperialHal</t>
  </si>
  <si>
    <t xml:space="preserve">31/05/1999</t>
  </si>
  <si>
    <t xml:space="preserve">Privacy</t>
  </si>
  <si>
    <t xml:space="preserve">German / Syrian</t>
  </si>
  <si>
    <t xml:space="preserve">Yaman Kayal</t>
  </si>
  <si>
    <t xml:space="preserve">https://x.com/Privacy_Pleas</t>
  </si>
  <si>
    <t xml:space="preserve">https://www.twitch.tv/priv4cy</t>
  </si>
  <si>
    <t xml:space="preserve">https://www.youtube.com/@Priv4cyy</t>
  </si>
  <si>
    <t xml:space="preserve">https://www.tiktok.com/@priv4cyy</t>
  </si>
  <si>
    <t xml:space="preserve">Wxltzy</t>
  </si>
  <si>
    <t xml:space="preserve">Ben Walton</t>
  </si>
  <si>
    <t xml:space="preserve">https://x.com/Wxltzy</t>
  </si>
  <si>
    <t xml:space="preserve">Instagram/Wxltzy</t>
  </si>
  <si>
    <t xml:space="preserve">https://www.twitch.tv/wxltzy</t>
  </si>
  <si>
    <t xml:space="preserve">Clayster</t>
  </si>
  <si>
    <t xml:space="preserve">James Eubanks</t>
  </si>
  <si>
    <t xml:space="preserve">https://x.com/Clayster</t>
  </si>
  <si>
    <t xml:space="preserve">https://www.instagram.com/clayster</t>
  </si>
  <si>
    <t xml:space="preserve">https://www.twitch.tv/clayster</t>
  </si>
  <si>
    <t xml:space="preserve">3x World Champion</t>
  </si>
  <si>
    <t xml:space="preserve">Gild</t>
  </si>
  <si>
    <t xml:space="preserve">MoT3yyB</t>
  </si>
  <si>
    <t xml:space="preserve">Mutab Almuammar</t>
  </si>
  <si>
    <t xml:space="preserve">https://x.com/MoT3yyB</t>
  </si>
  <si>
    <t xml:space="preserve">28/09/1998</t>
  </si>
  <si>
    <t xml:space="preserve">S&amp;D Master</t>
  </si>
  <si>
    <t xml:space="preserve">JPDigits</t>
  </si>
  <si>
    <t xml:space="preserve">United Kingdom</t>
  </si>
  <si>
    <t xml:space="preserve">Jonathan Perry</t>
  </si>
  <si>
    <t xml:space="preserve">https://x.com/JPerry264</t>
  </si>
  <si>
    <t xml:space="preserve">13/06/1994</t>
  </si>
  <si>
    <t xml:space="preserve">CREATOR RATE CARD</t>
  </si>
  <si>
    <t xml:space="preserve">Top-tier content creators · Scoring: Reach 40% · Engagement 30% · Audience Quality 20% · Authority 10%</t>
  </si>
  <si>
    <t xml:space="preserve">Creator</t>
  </si>
  <si>
    <t xml:space="preserve">Score</t>
  </si>
  <si>
    <t xml:space="preserve">X Post / Quote</t>
  </si>
  <si>
    <t xml:space="preserve">X Repost</t>
  </si>
  <si>
    <t xml:space="preserve">IG Post</t>
  </si>
  <si>
    <t xml:space="preserve">IG Story</t>
  </si>
  <si>
    <t xml:space="preserve">IG Reels</t>
  </si>
  <si>
    <t xml:space="preserve">YT Full Video</t>
  </si>
  <si>
    <t xml:space="preserve">YT 1–2min Pre-roll</t>
  </si>
  <si>
    <t xml:space="preserve">YT Shorts</t>
  </si>
  <si>
    <t xml:space="preserve">TikTok Our-side</t>
  </si>
  <si>
    <t xml:space="preserve">TikTok Client Vids</t>
  </si>
  <si>
    <t xml:space="preserve">Event + Snap</t>
  </si>
  <si>
    <t xml:space="preserve">Twitch / Kick Live</t>
  </si>
  <si>
    <t xml:space="preserve">Kick IRL</t>
  </si>
  <si>
    <t xml:space="preserve">Telegram</t>
  </si>
  <si>
    <t xml:space="preserve">Link</t>
  </si>
  <si>
    <t xml:space="preserve">BanderitaX</t>
  </si>
  <si>
    <t xml:space="preserve">oPiiLz</t>
  </si>
  <si>
    <t xml:space="preserve">Msdossary7</t>
  </si>
  <si>
    <t xml:space="preserve">Aziz</t>
  </si>
  <si>
    <t xml:space="preserve">Bo3omar22</t>
  </si>
  <si>
    <t xml:space="preserve">Abu abeer</t>
  </si>
  <si>
    <t xml:space="preserve">LLE</t>
  </si>
  <si>
    <t xml:space="preserve">Oden</t>
  </si>
  <si>
    <t xml:space="preserve">xSMA333</t>
  </si>
  <si>
    <t xml:space="preserve">3ADEL</t>
  </si>
  <si>
    <t xml:space="preserve">RAED</t>
  </si>
  <si>
    <t xml:space="preserve">Falcons</t>
  </si>
  <si>
    <t xml:space="preserve">Drb7h</t>
  </si>
  <si>
    <t xml:space="preserve">FZX</t>
  </si>
  <si>
    <t xml:space="preserve">SaudCast</t>
  </si>
  <si>
    <t xml:space="preserve">Hamad</t>
  </si>
  <si>
    <t xml:space="preserve">9leeh</t>
  </si>
  <si>
    <t xml:space="preserve">DYNAMIC PRICING ADJUSTMENT MATRIX</t>
  </si>
  <si>
    <t xml:space="preserve">Select a player → choose an asset → adjust multipliers → get the final price</t>
  </si>
  <si>
    <t xml:space="preserve">🔍 Search Player</t>
  </si>
  <si>
    <t xml:space="preserve">moaz</t>
  </si>
  <si>
    <t xml:space="preserve">Type a full or partial name in D5 → best matching player appears in F5 → selection syncs automatically below</t>
  </si>
  <si>
    <t xml:space="preserve">① PLAYER SELECTOR</t>
  </si>
  <si>
    <t xml:space="preserve">Select Player</t>
  </si>
  <si>
    <t xml:space="preserve">② PLAYER RATE CARD  (all values in SAR)</t>
  </si>
  <si>
    <t xml:space="preserve">IG Reel</t>
  </si>
  <si>
    <t xml:space="preserve">IG Static</t>
  </si>
  <si>
    <t xml:space="preserve">TikTok Video</t>
  </si>
  <si>
    <t xml:space="preserve">YT Short</t>
  </si>
  <si>
    <t xml:space="preserve">X Post</t>
  </si>
  <si>
    <t xml:space="preserve">FB Post/Video</t>
  </si>
  <si>
    <t xml:space="preserve">Twitch 2h</t>
  </si>
  <si>
    <t xml:space="preserve">Twitch Integ.</t>
  </si>
  <si>
    <t xml:space="preserve">IRL / Appear.</t>
  </si>
  <si>
    <t xml:space="preserve">Rights Fee</t>
  </si>
  <si>
    <t xml:space="preserve">Exclusivity</t>
  </si>
  <si>
    <t xml:space="preserve">Rush Fee</t>
  </si>
  <si>
    <t xml:space="preserve">WL Fee</t>
  </si>
  <si>
    <t xml:space="preserve">Repost</t>
  </si>
  <si>
    <t xml:space="preserve">③ ASSET SELECTOR  —  Choose the deliverable type</t>
  </si>
  <si>
    <t xml:space="preserve">Asset Type</t>
  </si>
  <si>
    <t xml:space="preserve">Base Fee (SAR)</t>
  </si>
  <si>
    <t xml:space="preserve">Notes / Basis</t>
  </si>
  <si>
    <t xml:space="preserve">Podcast Guesting</t>
  </si>
  <si>
    <t xml:space="preserve">Player IG Reel rate from Rate Card</t>
  </si>
  <si>
    <t xml:space="preserve">IG Static Post</t>
  </si>
  <si>
    <t xml:space="preserve">Player IG Static rate</t>
  </si>
  <si>
    <t xml:space="preserve">Player IG Story rate</t>
  </si>
  <si>
    <t xml:space="preserve">Player TikTok rate</t>
  </si>
  <si>
    <t xml:space="preserve">Player YT Short rate</t>
  </si>
  <si>
    <t xml:space="preserve">Player X Post rate</t>
  </si>
  <si>
    <t xml:space="preserve">FB Post / Video</t>
  </si>
  <si>
    <t xml:space="preserve">Player FB rate</t>
  </si>
  <si>
    <t xml:space="preserve">Content Repost</t>
  </si>
  <si>
    <t xml:space="preserve">15% of IG Reel rate</t>
  </si>
  <si>
    <t xml:space="preserve">— LIVE &amp; STREAM —</t>
  </si>
  <si>
    <t xml:space="preserve">Twitch Stream 2h</t>
  </si>
  <si>
    <t xml:space="preserve">Player Twitch 2h rate</t>
  </si>
  <si>
    <t xml:space="preserve">Twitch Integration</t>
  </si>
  <si>
    <t xml:space="preserve">Player Twitch Integ. rate</t>
  </si>
  <si>
    <t xml:space="preserve">— ON-GROUND &amp; EVENTS —</t>
  </si>
  <si>
    <t xml:space="preserve">IRL Appearance</t>
  </si>
  <si>
    <t xml:space="preserve">Player IRL rate</t>
  </si>
  <si>
    <t xml:space="preserve">50% of IRL — 1-2h time commitment</t>
  </si>
  <si>
    <t xml:space="preserve">PR Appearance / CSR</t>
  </si>
  <si>
    <t xml:space="preserve">Full IRL rate — brand presence + media</t>
  </si>
  <si>
    <t xml:space="preserve">Fan Meet &amp; Greet</t>
  </si>
  <si>
    <t xml:space="preserve">70% of IRL — structured 2-4h fan interaction</t>
  </si>
  <si>
    <t xml:space="preserve">— OTHER —</t>
  </si>
  <si>
    <t xml:space="preserve">Photo Shoot (Brand)</t>
  </si>
  <si>
    <t xml:space="preserve">75% of IRL — half-day shoot, brand usage rights incl.</t>
  </si>
  <si>
    <t xml:space="preserve">Weight</t>
  </si>
  <si>
    <t xml:space="preserve">&lt; 2%</t>
  </si>
  <si>
    <t xml:space="preserve">0.70x</t>
  </si>
  <si>
    <t xml:space="preserve">Below average — audience not engaged</t>
  </si>
  <si>
    <t xml:space="preserve">Awareness</t>
  </si>
  <si>
    <t xml:space="preserve">Brand visibility — social reach matters most</t>
  </si>
  <si>
    <t xml:space="preserve">2% – 4%</t>
  </si>
  <si>
    <t xml:space="preserve">0.90x</t>
  </si>
  <si>
    <t xml:space="preserve">Average — slight discount from baseline</t>
  </si>
  <si>
    <t xml:space="preserve">Conversion</t>
  </si>
  <si>
    <t xml:space="preserve">Direct response — engagement + credibility</t>
  </si>
  <si>
    <t xml:space="preserve">4% – 6%</t>
  </si>
  <si>
    <t xml:space="preserve">1.00x</t>
  </si>
  <si>
    <t xml:space="preserve">Baseline — standard market rate</t>
  </si>
  <si>
    <t xml:space="preserve">Trust (Pro Authority)</t>
  </si>
  <si>
    <t xml:space="preserve">Credibility campaigns — pro status is the product</t>
  </si>
  <si>
    <t xml:space="preserve">6% – 8%</t>
  </si>
  <si>
    <t xml:space="preserve">1.20x</t>
  </si>
  <si>
    <t xml:space="preserve">Good — 20% premium</t>
  </si>
  <si>
    <t xml:space="preserve">8% – 10%</t>
  </si>
  <si>
    <t xml:space="preserve">1.40x</t>
  </si>
  <si>
    <t xml:space="preserve">Excellent — strong audience connection</t>
  </si>
  <si>
    <t xml:space="preserve">AUTHORITY MULTIPLIER PRESETS</t>
  </si>
  <si>
    <t xml:space="preserve">Value</t>
  </si>
  <si>
    <t xml:space="preserve">Profile</t>
  </si>
  <si>
    <t xml:space="preserve">&gt; 10%</t>
  </si>
  <si>
    <t xml:space="preserve">1.60x</t>
  </si>
  <si>
    <t xml:space="preserve">Premium micro-influencer effect</t>
  </si>
  <si>
    <t xml:space="preserve">Normal</t>
  </si>
  <si>
    <t xml:space="preserve">Content creator / standard player</t>
  </si>
  <si>
    <t xml:space="preserve">Proven / Established</t>
  </si>
  <si>
    <t xml:space="preserve">Regional champion, 2+ years pro</t>
  </si>
  <si>
    <t xml:space="preserve">AUDIENCE QUALITY</t>
  </si>
  <si>
    <t xml:space="preserve">Multiplier</t>
  </si>
  <si>
    <t xml:space="preserve">Elite Contender</t>
  </si>
  <si>
    <t xml:space="preserve">Top-10 world ranking, major finalist</t>
  </si>
  <si>
    <t xml:space="preserve">Generic / Broad</t>
  </si>
  <si>
    <t xml:space="preserve">0.85x</t>
  </si>
  <si>
    <t xml:space="preserve">Mixed interests, low targeting</t>
  </si>
  <si>
    <t xml:space="preserve">Global Star / Major Winner</t>
  </si>
  <si>
    <t xml:space="preserve">World champion, iconic pro name</t>
  </si>
  <si>
    <t xml:space="preserve">Gaming-adjacent</t>
  </si>
  <si>
    <t xml:space="preserve">Baseline — general gaming</t>
  </si>
  <si>
    <t xml:space="preserve">Core Gaming</t>
  </si>
  <si>
    <t xml:space="preserve">Dedicated gamers, high purchase intent</t>
  </si>
  <si>
    <t xml:space="preserve">LANGUAGE MULTIPLIER</t>
  </si>
  <si>
    <t xml:space="preserve">Context</t>
  </si>
  <si>
    <t xml:space="preserve">Esports-focused</t>
  </si>
  <si>
    <t xml:space="preserve">Competitive gaming — premium targeting</t>
  </si>
  <si>
    <t xml:space="preserve">English</t>
  </si>
  <si>
    <t xml:space="preserve">Global / English-language content</t>
  </si>
  <si>
    <t xml:space="preserve">MENA / Saudi focus</t>
  </si>
  <si>
    <t xml:space="preserve">1.30x</t>
  </si>
  <si>
    <t xml:space="preserve">Regional premium — cultural relevance</t>
  </si>
  <si>
    <t xml:space="preserve">Arabic</t>
  </si>
  <si>
    <t xml:space="preserve">MENA-specific Arabic content (+5% regional premium)</t>
  </si>
  <si>
    <t xml:space="preserve">Global Esports Elite</t>
  </si>
  <si>
    <t xml:space="preserve">1.50x</t>
  </si>
  <si>
    <t xml:space="preserve">Maximum premium — top-tier audience</t>
  </si>
  <si>
    <t xml:space="preserve">Bilingual</t>
  </si>
  <si>
    <t xml:space="preserve">Dual-language content — maximum MENA reach</t>
  </si>
  <si>
    <t xml:space="preserve">SEASONALITY &amp; TIMING</t>
  </si>
  <si>
    <t xml:space="preserve">AUTHORITY FLOOR (FloorShare)</t>
  </si>
  <si>
    <t xml:space="preserve">Range</t>
  </si>
  <si>
    <t xml:space="preserve">Use When</t>
  </si>
  <si>
    <t xml:space="preserve">Off-season</t>
  </si>
  <si>
    <t xml:space="preserve">0.80x</t>
  </si>
  <si>
    <t xml:space="preserve">Low viewership period</t>
  </si>
  <si>
    <t xml:space="preserve">Not used</t>
  </si>
  <si>
    <t xml:space="preserve">Standard content campaigns</t>
  </si>
  <si>
    <t xml:space="preserve">Regular season</t>
  </si>
  <si>
    <t xml:space="preserve">Baseline — standard competition</t>
  </si>
  <si>
    <t xml:space="preserve">Partial floor</t>
  </si>
  <si>
    <t xml:space="preserve">0.30–0.50</t>
  </si>
  <si>
    <t xml:space="preserve">Hardware / peripherals ("pro choice" campaigns)</t>
  </si>
  <si>
    <t xml:space="preserve">Regional Major</t>
  </si>
  <si>
    <t xml:space="preserve">1.25x</t>
  </si>
  <si>
    <t xml:space="preserve">Regional championship</t>
  </si>
  <si>
    <t xml:space="preserve">Strong floor</t>
  </si>
  <si>
    <t xml:space="preserve">0.60–0.80</t>
  </si>
  <si>
    <t xml:space="preserve">Credibility campaigns, tournament windows</t>
  </si>
  <si>
    <t xml:space="preserve">Global Major / Worlds</t>
  </si>
  <si>
    <t xml:space="preserve">Peak esports interest</t>
  </si>
  <si>
    <t xml:space="preserve">Game launch</t>
  </si>
  <si>
    <t xml:space="preserve">New title release</t>
  </si>
  <si>
    <t xml:space="preserve">AuthorityFactor formula:</t>
  </si>
  <si>
    <t xml:space="preserve">AuthorityFactor = 1 + ObjWeight x (AuthMult - 1)</t>
  </si>
  <si>
    <t xml:space="preserve">Holiday season (Q4)</t>
  </si>
  <si>
    <t xml:space="preserve">Year-end peak</t>
  </si>
  <si>
    <t xml:space="preserve">Ramadan (MENA)</t>
  </si>
  <si>
    <t xml:space="preserve">1.35x</t>
  </si>
  <si>
    <t xml:space="preserve">Peak MENA consumption — highest regional multiplier</t>
  </si>
  <si>
    <t xml:space="preserve">Ewc/Mega Peak</t>
  </si>
  <si>
    <t xml:space="preserve">esports world cup highest multiplier</t>
  </si>
  <si>
    <t xml:space="preserve">⑥ LIVE PRICE CALCULATOR — Authority Patch v1  —  Enter values in blue cells</t>
  </si>
  <si>
    <t xml:space="preserve">Input</t>
  </si>
  <si>
    <t xml:space="preserve">[parsed]</t>
  </si>
  <si>
    <t xml:space="preserve">Auto-pulled from player + asset selection above</t>
  </si>
  <si>
    <t xml:space="preserve">Engagement Multiplier</t>
  </si>
  <si>
    <t xml:space="preserve">0.70 — Below average (&lt; 2%)</t>
  </si>
  <si>
    <t xml:space="preserve">Audience Quality Multiplier</t>
  </si>
  <si>
    <t xml:space="preserve">0.85 — Generic / Broad</t>
  </si>
  <si>
    <t xml:space="preserve">Seasonality Multiplier</t>
  </si>
  <si>
    <t xml:space="preserve">0.80 — Off-season</t>
  </si>
  <si>
    <t xml:space="preserve">Content Type Multiplier</t>
  </si>
  <si>
    <t xml:space="preserve">1.00 — Integrated (Player-led)</t>
  </si>
  <si>
    <t xml:space="preserve">Add-on Uplift (total %)</t>
  </si>
  <si>
    <t xml:space="preserve">Sum of selected add-ons from 03_Add_On_Rights</t>
  </si>
  <si>
    <t xml:space="preserve">Campaign Objective</t>
  </si>
  <si>
    <t xml:space="preserve">Drives ObjectiveWeight — see Authority table →</t>
  </si>
  <si>
    <t xml:space="preserve">Authority Multiplier</t>
  </si>
  <si>
    <t xml:space="preserve">1.10 — Proven / Established</t>
  </si>
  <si>
    <t xml:space="preserve">Language Multiplier</t>
  </si>
  <si>
    <t xml:space="preserve">1.00 — English</t>
  </si>
  <si>
    <t xml:space="preserve">Authority Floor Share</t>
  </si>
  <si>
    <t xml:space="preserve">0.50 — Standard floor</t>
  </si>
  <si>
    <t xml:space="preserve">IRL Appearance Fee (SAR)</t>
  </si>
  <si>
    <t xml:space="preserve">Auto-pulled from selected player's IRL / Appear. column</t>
  </si>
  <si>
    <t xml:space="preserve">AuthorityFactor</t>
  </si>
  <si>
    <t xml:space="preserve">Objective-weighted authority premium</t>
  </si>
  <si>
    <t xml:space="preserve">SocialPrice (pre-floor, pre-add-on)</t>
  </si>
  <si>
    <t xml:space="preserve">BaseFee x Eng x Aud x Season x ContentType x Language x AuthorityFactor</t>
  </si>
  <si>
    <t xml:space="preserve">AuthorityFloor</t>
  </si>
  <si>
    <t xml:space="preserve">IRL Fee x FloorShare x Seasonality x Language x AuthorityFactor</t>
  </si>
  <si>
    <t xml:space="preserve">PreAddOnPrice = MAX(Social, Floor)</t>
  </si>
  <si>
    <t xml:space="preserve">Higher of SocialPrice or AuthorityFloor — floor protects pro pricing</t>
  </si>
  <si>
    <t xml:space="preserve">FINAL ADJUSTED PRICE (SAR)</t>
  </si>
  <si>
    <t xml:space="preserve">Falcons Commission %</t>
  </si>
  <si>
    <t xml:space="preserve">Auto-pulled from player's Commission % · edit to override</t>
  </si>
  <si>
    <t xml:space="preserve">Markup % (on Player Cost)</t>
  </si>
  <si>
    <t xml:space="preserve">Auto-pulled from player's Markup % · edit to override</t>
  </si>
  <si>
    <t xml:space="preserve">Player Cost (SAR)</t>
  </si>
  <si>
    <t xml:space="preserve">What Falcons pays the player</t>
  </si>
  <si>
    <t xml:space="preserve">Falcons Revenue (SAR)</t>
  </si>
  <si>
    <t xml:space="preserve">Falcons earnings on this deal</t>
  </si>
  <si>
    <t xml:space="preserve">Client Price incl. VAT (SAR)</t>
  </si>
  <si>
    <t xml:space="preserve">Final invoice to client (15% VAT)</t>
  </si>
  <si>
    <t xml:space="preserve">Client Price incl. VAT (USD)</t>
  </si>
  <si>
    <t xml:space="preserve">~= USD equivalent</t>
  </si>
  <si>
    <t xml:space="preserve">⑦ PLAYER PRICE PREVIEW — all assets for selected player at default multipliers (engagement/audience/seasonality = 1.00x)</t>
  </si>
  <si>
    <t xml:space="preserve">Asset</t>
  </si>
  <si>
    <t xml:space="preserve">Rate Card
Base Fee (SAR)</t>
  </si>
  <si>
    <t xml:space="preserve">Social Price
(default mult)</t>
  </si>
  <si>
    <t xml:space="preserve">Authority Floor
(IRL × Floor%)</t>
  </si>
  <si>
    <t xml:space="preserve">Final = MAX
(Social, Floor)</t>
  </si>
  <si>
    <t xml:space="preserve">Final ~USD</t>
  </si>
  <si>
    <t xml:space="preserve">Confidence
Gate</t>
  </si>
  <si>
    <t xml:space="preserve">Baseline for social benchmarking</t>
  </si>
  <si>
    <t xml:space="preserve">Check min 500 concurrent viewers</t>
  </si>
  <si>
    <t xml:space="preserve">IRL / Appearance</t>
  </si>
  <si>
    <t xml:space="preserve">Drives Authority Floor for all assets</t>
  </si>
  <si>
    <t xml:space="preserve">TOTAL (all organic assets)</t>
  </si>
  <si>
    <t xml:space="preserve">n/a</t>
  </si>
  <si>
    <t xml:space="preserve">HOW TO USE THIS PANEL:</t>
  </si>
  <si>
    <t xml:space="preserve">1. Type player name in D5 above. Rates auto-populate here.</t>
  </si>
  <si>
    <t xml:space="preserve">2. Green = Final price per asset (MAX of Social vs Authority Floor).</t>
  </si>
  <si>
    <t xml:space="preserve">3. If Confidence = "pending" or "estimated", avoid premium multipliers (&gt;1.2x) — see Settings tab.</t>
  </si>
  <si>
    <t xml:space="preserve">4. Use this to validate the quote before entering multipliers in Section ⑥.</t>
  </si>
  <si>
    <t xml:space="preserve">📌 HOW TO USE</t>
  </si>
  <si>
    <t xml:space="preserve">⚡ KEY PRINCIPLES</t>
  </si>
  <si>
    <t xml:space="preserve">1. Never negotiate below the Base Fee</t>
  </si>
  <si>
    <t xml:space="preserve">2. Engagement beats follower count</t>
  </si>
  <si>
    <t xml:space="preserve">3. MENA / Saudi audiences carry a premium</t>
  </si>
  <si>
    <t xml:space="preserve">4. Ramadan is the highest-value window</t>
  </si>
  <si>
    <t xml:space="preserve">5. Exclusivity must always be charged separately</t>
  </si>
  <si>
    <t xml:space="preserve">6. Authority Floor protects pro players from social-only underpricing</t>
  </si>
  <si>
    <t xml:space="preserve">7. Confidence "pending" or "estimated" → no premium multipliers</t>
  </si>
  <si>
    <t xml:space="preserve">📊 GLOBAL BENCHMARK REFERENCES</t>
  </si>
  <si>
    <t xml:space="preserve">See 09_Benchmarks tab for: T1 / FaZe / Fnatic / Cloud9 / 100T tier rates, MENA org comparables, and platform CPM tables.</t>
  </si>
  <si>
    <t xml:space="preserve">Falcons multiplier variance vs industry is tracked in 09_Benchmarks Section 4.</t>
  </si>
  <si>
    <t xml:space="preserve">For 5-tier mapping to industry orgs, see 09_Benchmarks Section 5 (new in v8).</t>
  </si>
  <si>
    <t xml:space="preserve">TIER PROGRESSION LADDER</t>
  </si>
  <si>
    <t xml:space="preserve">Promotion &amp; demotion criteria · Industry-reasonable defaults — calibrate quarterly once Shikenso data lands</t>
  </si>
  <si>
    <t xml:space="preserve">Avg Engagement Rate</t>
  </si>
  <si>
    <t xml:space="preserve">Audience Quality Score</t>
  </si>
  <si>
    <t xml:space="preserve">Authority Signal</t>
  </si>
  <si>
    <t xml:space="preserve">Base Fee Range (SAR)</t>
  </si>
  <si>
    <t xml:space="preserve">Promotion Trigger</t>
  </si>
  <si>
    <t xml:space="preserve">≥7%</t>
  </si>
  <si>
    <t xml:space="preserve">≥85 (verified)</t>
  </si>
  <si>
    <t xml:space="preserve">Global anchor · Mainstream cross-over</t>
  </si>
  <si>
    <t xml:space="preserve">40,000 – 50,000</t>
  </si>
  <si>
    <t xml:space="preserve">Brand partnership waitlist; negotiate upward</t>
  </si>
  <si>
    <t xml:space="preserve">250K – 1M</t>
  </si>
  <si>
    <t xml:space="preserve">5% – 7%</t>
  </si>
  <si>
    <t xml:space="preserve">70 – 85</t>
  </si>
  <si>
    <t xml:space="preserve">Regional top 10 in their game/vertical</t>
  </si>
  <si>
    <t xml:space="preserve">22,000 – 30,000</t>
  </si>
  <si>
    <t xml:space="preserve">Sustained ≥1M reach for 2 consecutive quarters</t>
  </si>
  <si>
    <t xml:space="preserve">50K – 250K</t>
  </si>
  <si>
    <t xml:space="preserve">55 – 70</t>
  </si>
  <si>
    <t xml:space="preserve">Active pro or mid-tier creator</t>
  </si>
  <si>
    <t xml:space="preserve">11,000 – 18,000</t>
  </si>
  <si>
    <t xml:space="preserve">Hit 250K+ followers AND 5%+ ER for 2 quarters</t>
  </si>
  <si>
    <t xml:space="preserve">10K – 50K</t>
  </si>
  <si>
    <t xml:space="preserve">3% – 5%</t>
  </si>
  <si>
    <t xml:space="preserve">45 – 55</t>
  </si>
  <si>
    <t xml:space="preserve">Emerging talent · Niche specialist</t>
  </si>
  <si>
    <t xml:space="preserve">6,500 – 10,000</t>
  </si>
  <si>
    <t xml:space="preserve">Cross 50K followers OR secure major tournament</t>
  </si>
  <si>
    <t xml:space="preserve">&lt;3%</t>
  </si>
  <si>
    <t xml:space="preserve">&lt;45</t>
  </si>
  <si>
    <t xml:space="preserve">Support roles · Developing roster</t>
  </si>
  <si>
    <t xml:space="preserve">3,000 – 5,500</t>
  </si>
  <si>
    <t xml:space="preserve">Cross 10K followers + 3% ER for 2 quarters</t>
  </si>
  <si>
    <t xml:space="preserve">DEMOTION &amp; REVIEW TRIGGERS</t>
  </si>
  <si>
    <t xml:space="preserve">• Two consecutive quarters below the tier's follower threshold → demote one level</t>
  </si>
  <si>
    <t xml:space="preserve">• Engagement rate drops below the tier minimum for 3 months → flag for pricing review</t>
  </si>
  <si>
    <t xml:space="preserve">• Authority signal decay (lost major sponsor, dropped from top-tier roster) → manual committee review</t>
  </si>
  <si>
    <t xml:space="preserve">• Extended inactivity (&gt;90 days no content) → freeze tier pending return</t>
  </si>
  <si>
    <t xml:space="preserve">CREATOR-SPECIFIC PRICING AXES</t>
  </si>
  <si>
    <t xml:space="preserve">Axis overrides that apply to creators (not players). See Methodology §4 for full rationale.</t>
  </si>
  <si>
    <t xml:space="preserve">Axis</t>
  </si>
  <si>
    <t xml:space="preserve">Player Default</t>
  </si>
  <si>
    <t xml:space="preserve">Creator Override</t>
  </si>
  <si>
    <t xml:space="preserve">Multiplier / Rule</t>
  </si>
  <si>
    <t xml:space="preserve">Rationale</t>
  </si>
  <si>
    <t xml:space="preserve">① IRL Floor</t>
  </si>
  <si>
    <t xml:space="preserve">Authority Floor = IRL × FloorShare × Seasonality × Language × AuthorityFactor</t>
  </si>
  <si>
    <t xml:space="preserve">N/A — creators do not carry IRL fees</t>
  </si>
  <si>
    <t xml:space="preserve">0 (skip)</t>
  </si>
  <si>
    <t xml:space="preserve">Creators monetise content, not appearances. Apply social-only pricing.</t>
  </si>
  <si>
    <t xml:space="preserve">② Platform-Mix Premium</t>
  </si>
  <si>
    <t xml:space="preserve">Single-platform baseline</t>
  </si>
  <si>
    <t xml:space="preserve">Multi-platform bundle discount OR premium</t>
  </si>
  <si>
    <t xml:space="preserve">+10% for 3-platform simulcast · -5% for single-platform repurpose</t>
  </si>
  <si>
    <t xml:space="preserve">Creators deliver across their stack. Reward bundling, discount scraps.</t>
  </si>
  <si>
    <t xml:space="preserve">③ Burst-Demand Seasonality</t>
  </si>
  <si>
    <t xml:space="preserve">Regular (1.0×) · Playoffs (1.2×) · Finals (1.35×)</t>
  </si>
  <si>
    <t xml:space="preserve">Viral-window override</t>
  </si>
  <si>
    <t xml:space="preserve">Up to 1.5× during trending audio/format windows (≤72h expiry)</t>
  </si>
  <si>
    <t xml:space="preserve">Creator reach spikes on trend timing — price the spike, not the baseline.</t>
  </si>
  <si>
    <t xml:space="preserve">④ Player-Overlap De-Dupe</t>
  </si>
  <si>
    <t xml:space="preserve">N/A</t>
  </si>
  <si>
    <t xml:space="preserve">If creator also rostered as player → pick ONE card per quote</t>
  </si>
  <si>
    <t xml:space="preserve">Applied at Quote Builder level</t>
  </si>
  <si>
    <t xml:space="preserve">Prevents double-billing when an asset can be sourced either way.</t>
  </si>
  <si>
    <t xml:space="preserve">⑤ Script-Approval Factor</t>
  </si>
  <si>
    <t xml:space="preserve">Client script allowed (1.0×)</t>
  </si>
  <si>
    <t xml:space="preserve">Creator-led freedom is core deliverable</t>
  </si>
  <si>
    <t xml:space="preserve">1.0× for creative freedom · 1.15× for heavy client script</t>
  </si>
  <si>
    <t xml:space="preserve">Restricting creator voice hurts performance; price the friction.</t>
  </si>
  <si>
    <t xml:space="preserve">⑥ Exclusivity Window</t>
  </si>
  <si>
    <t xml:space="preserve">30-day exclusivity (1.1×)</t>
  </si>
  <si>
    <t xml:space="preserve">Category exclusivity over time</t>
  </si>
  <si>
    <t xml:space="preserve">+0.05× per category locked · +0.08× for 90-day exclusive</t>
  </si>
  <si>
    <t xml:space="preserve">Creators say no to competitors — compensate opportunity cost.</t>
  </si>
  <si>
    <t xml:space="preserve">ADD-ON RIGHTS PACKAGES</t>
  </si>
  <si>
    <t xml:space="preserve">Select applicable add-ons and sum the uplift percentages  ·  Enter total in cell C35 of the Live Calculator (02_Adjustment_Matrix)</t>
  </si>
  <si>
    <t xml:space="preserve">RIGHTS PACKAGES — PRICE UPLIFT TABLE</t>
  </si>
  <si>
    <t xml:space="preserve">Add-on Type</t>
  </si>
  <si>
    <t xml:space="preserve">Uplift %</t>
  </si>
  <si>
    <t xml:space="preserve">Organic Repost — Min</t>
  </si>
  <si>
    <t xml:space="preserve">Single repost, 1 month</t>
  </si>
  <si>
    <t xml:space="preserve">Organic Repost — Std</t>
  </si>
  <si>
    <t xml:space="preserve">3-5 reposts, 3 months</t>
  </si>
  <si>
    <t xml:space="preserve">Organic Repost — Max</t>
  </si>
  <si>
    <t xml:space="preserve">Unlimited + takeover, 6 months</t>
  </si>
  <si>
    <t xml:space="preserve">Paid Usage — Min</t>
  </si>
  <si>
    <t xml:space="preserve">Limited, SAR 25K cap</t>
  </si>
  <si>
    <t xml:space="preserve">Paid Usage — Std</t>
  </si>
  <si>
    <t xml:space="preserve">Standard, SAR 75K cap</t>
  </si>
  <si>
    <t xml:space="preserve">Paid Usage — Max</t>
  </si>
  <si>
    <t xml:space="preserve">Unlimited paid media</t>
  </si>
  <si>
    <t xml:space="preserve">Whitelisting — Std</t>
  </si>
  <si>
    <t xml:space="preserve">30 days, single platform</t>
  </si>
  <si>
    <t xml:space="preserve">Whitelisting — Extended</t>
  </si>
  <si>
    <t xml:space="preserve">90 days, multi-platform</t>
  </si>
  <si>
    <t xml:space="preserve">Whitelisting — Premium</t>
  </si>
  <si>
    <t xml:space="preserve">180 days, dark posts included</t>
  </si>
  <si>
    <t xml:space="preserve">Territory — MENA</t>
  </si>
  <si>
    <t xml:space="preserve">MENA rights, 3 months</t>
  </si>
  <si>
    <t xml:space="preserve">Territory — Global</t>
  </si>
  <si>
    <t xml:space="preserve">Worldwide, 6 months</t>
  </si>
  <si>
    <t xml:space="preserve">Exclusivity — Category</t>
  </si>
  <si>
    <t xml:space="preserve">Exclusive category, 12 months</t>
  </si>
  <si>
    <t xml:space="preserve">Exclusivity — Full</t>
  </si>
  <si>
    <t xml:space="preserve">Full exclusivity, 12 months</t>
  </si>
  <si>
    <t xml:space="preserve">BUNDLE PRESETS — READY TO PITCH</t>
  </si>
  <si>
    <t xml:space="preserve">Bundle Tier</t>
  </si>
  <si>
    <t xml:space="preserve">Included Add-ons</t>
  </si>
  <si>
    <t xml:space="preserve">Total Uplift</t>
  </si>
  <si>
    <t xml:space="preserve">Basic</t>
  </si>
  <si>
    <t xml:space="preserve">Organic Repost Min</t>
  </si>
  <si>
    <t xml:space="preserve">15%</t>
  </si>
  <si>
    <t xml:space="preserve">Standard</t>
  </si>
  <si>
    <t xml:space="preserve">Organic Repost Std + Paid Usage Min</t>
  </si>
  <si>
    <t xml:space="preserve">60%</t>
  </si>
  <si>
    <t xml:space="preserve">Premium</t>
  </si>
  <si>
    <t xml:space="preserve">Organic Repost Max + Paid Usage Std + MENA Territory</t>
  </si>
  <si>
    <t xml:space="preserve">115%</t>
  </si>
  <si>
    <t xml:space="preserve">Full</t>
  </si>
  <si>
    <t xml:space="preserve">Organic Max + Paid Max + Whitelisting Std + MENA Territory</t>
  </si>
  <si>
    <t xml:space="preserve">170%</t>
  </si>
  <si>
    <t xml:space="preserve">Exclusive</t>
  </si>
  <si>
    <t xml:space="preserve">All above + Category Exclusivity (12 months)</t>
  </si>
  <si>
    <t xml:space="preserve">320%</t>
  </si>
  <si>
    <t xml:space="preserve">TEAM FALCONS PRICING ENGINE — USER GUIDE (v8)</t>
  </si>
  <si>
    <t xml:space="preserve">1. WHAT THIS ENGINE DOES</t>
  </si>
  <si>
    <t xml:space="preserve">Generates commercial quotes for Falcons talent across social, streaming, and IRL activations. Uses a 5-tier classification with dual-floor logic (Social Price + Authority Floor) and a Confidence layer to prevent premium pricing on unverified data.</t>
  </si>
  <si>
    <t xml:space="preserve">2. THE 5 TABS YOU USE MOST</t>
  </si>
  <si>
    <t xml:space="preserve">• 01_Player_Rate_Card — master roster (189 players), tier, rates, follower data, confidence
• 02_Adjustment_Matrix — where you build quotes: player search + price preview + live calculator
• 03_Add_On_Rights — rights bundles (Organic/Paid/Whitelisting/Exclusivity/Territory)
• 07_Settings — tier defaults, floor shares, confidence definitions
• QT-... — the client-facing quote output</t>
  </si>
  <si>
    <t xml:space="preserve">3. HOW TO BUILD A QUOTE — STEP BY STEP</t>
  </si>
  <si>
    <t xml:space="preserve">Step 1: Open 02_Adjustment_Matrix.
Step 2: Type player name in cell D5. The engine auto-matches the closest player.
Step 3: Review Section ⑦ PLAYER PRICE PREVIEW — see all asset rates, Authority Floor, and Final Price at default multipliers. This is your sanity check BEFORE entering multipliers.
Step 4: Check Confidence tag. If "pending" or "estimated", stay within the allowed multiplier range (see Settings).
Step 5: In Section ⑥ LIVE PRICE CALCULATOR, pick your asset, enter engagement/audience/seasonality/authority/language values.
Step 6: Add Rights package from 03_Add_On_Rights (as % uplift).
Step 7: Confirm FINAL ADJUSTED PRICE. Transfer to QT quote template.
Step 8: Legal + Finance approval → send to client.</t>
  </si>
  <si>
    <t xml:space="preserve">4. WHEN AUTHORITY FLOOR OVERRIDES SOCIAL PRICE</t>
  </si>
  <si>
    <t xml:space="preserve">If a pro player has modest social (e.g., 30K IG) but high IRL fee (e.g., 25,000 SAR), their Authority Floor = 25,000 × 0.55 = 13,750 SAR. If their Social Price for IG Reel comes out to only 8,000 SAR (low followers × CPM), the engine uses the 13,750 floor. This protects pro player earnings on pure-social briefs.</t>
  </si>
  <si>
    <t xml:space="preserve">5. CONFIDENCE GOVERNANCE RULES</t>
  </si>
  <si>
    <t xml:space="preserve">• exact / rounded → all multipliers available (up to the table max)
• estimated → engagement capped at 1.2x, authority capped at 1.3x
• pending → all multipliers locked at 1.0x until follower data is verified
Commercial lead can override, but override must be logged in the quote notes.</t>
  </si>
  <si>
    <t xml:space="preserve">6. WHAT'S NEXT</t>
  </si>
  <si>
    <t xml:space="preserve">v9 (Q3 2026): Shikenso integration will auto-fill follower data and upgrade confidence tags across the roster.
v10 (Q4 2026): Engagement multipliers will be scored from 30d/90d data instead of manual dropdowns.
v11+ (2027): Authority × Objective weighting, dynamic seasonality from inquiry log history.</t>
  </si>
  <si>
    <t xml:space="preserve">Source 5: Porter Wills Esports Marketing Guide 2025</t>
  </si>
  <si>
    <t xml:space="preserve">Used for: Tier 1 org benchmarks, usage rights pricing standards. URL: porterwills.com</t>
  </si>
  <si>
    <t xml:space="preserve">Source 6: StreamElements State of Streaming 2025</t>
  </si>
  <si>
    <t xml:space="preserve">Used for: Twitch/streaming rate benchmarks, subscription income data. URL: streamelements.com/reports</t>
  </si>
  <si>
    <t xml:space="preserve">Source 7: WME / CAA / Wasserman Agency Practice</t>
  </si>
  <si>
    <t xml:space="preserve">Used for: base fee pricing methodology (CPM + CPE + comparables model). Source: public deal disclosures and industry standard practice.</t>
  </si>
  <si>
    <t xml:space="preserve">Source 8: Internal Team Falcons Commercial Data 2025</t>
  </si>
  <si>
    <t xml:space="preserve">Used for: Falcons-specific base fees, roster data, MENA market rates. Source: Confidential internal data.</t>
  </si>
  <si>
    <t xml:space="preserve">Source 9: Case Studies (Tab 10_Case_Studies)</t>
  </si>
  <si>
    <t xml:space="preserve">Used for: 0-to-hero monetisation journeys, revenue breakdown benchmarks. Sources: Forbes, Bloomberg, public creator disclosures, Streamlabs, Newzoo MENA.</t>
  </si>
  <si>
    <t xml:space="preserve">TABS OVERVIEW</t>
  </si>
  <si>
    <t xml:space="preserve">00_Cover — Overview and navigation guide</t>
  </si>
  <si>
    <t xml:space="preserve">01_Player_Rate_Card — Full roster with base fees by asset type and tier</t>
  </si>
  <si>
    <t xml:space="preserve">02_Adjustment_Matrix — Multiplier calculator (engagement, audience, seasonality, add-ons)</t>
  </si>
  <si>
    <t xml:space="preserve">03_Add_On_Rights — Rights packages with uplift percentages</t>
  </si>
  <si>
    <t xml:space="preserve">04_Deal_Builder — Full deal calculator with VAT and management fee</t>
  </si>
  <si>
    <t xml:space="preserve">05_Guide_EN — This guide (English)</t>
  </si>
  <si>
    <t xml:space="preserve">06_Guide_AR — Arabic version of this guide</t>
  </si>
  <si>
    <t xml:space="preserve">07_Settings — Currency rate and global settings</t>
  </si>
  <si>
    <t xml:space="preserve">09_Benchmarks — Market benchmarks, competitive intelligence, and pricing methodology</t>
  </si>
  <si>
    <t xml:space="preserve">10_Case_Studies — 0-to-hero monetisation case studies (global and MENA)</t>
  </si>
  <si>
    <t xml:space="preserve">WHY ESPORTS PROS CAN PRICE HIGHER THAN CREATORS WITH BIGGER SOCIALS</t>
  </si>
  <si>
    <t xml:space="preserve">The Authority Pricing Principle</t>
  </si>
  <si>
    <t xml:space="preserve">A creator with 2M followers and 3% engagement is not automatically worth more than a pro player with 200K followers and 8% engagement — especially for brands buying credibility, not just reach. The Authority Patch formalises this with a structured pricing layer on top of the base formula.</t>
  </si>
  <si>
    <t xml:space="preserve">The Updated Formula (Authority Patch v1)</t>
  </si>
  <si>
    <t xml:space="preserve">AuthorityFactor = 1 + ObjectiveWeight × (AuthorityMultiplier − 1)</t>
  </si>
  <si>
    <t xml:space="preserve">SocialPrice = BaseFee × Engagement × Audience × Seasonality × Language × AuthorityFactor</t>
  </si>
  <si>
    <t xml:space="preserve">AuthorityFloor = IRL_Appearance_Fee × FloorShare × Seasonality × Language × AuthorityFactor</t>
  </si>
  <si>
    <t xml:space="preserve">PreAddOnPrice = MAX(SocialPrice, AuthorityFloor)</t>
  </si>
  <si>
    <t xml:space="preserve">FinalPrice = PreAddOnPrice × (1 + Add-on Uplift %)</t>
  </si>
  <si>
    <t xml:space="preserve">What Each New Input Does</t>
  </si>
  <si>
    <t xml:space="preserve">Campaign Objective — sets the ObjectiveWeight. Awareness = 0.20 (reach matters most, authority matters less). Conversion = 0.40 (balanced). Trust/Pro Authority = 0.70 (credibility is the product — authority matters most).</t>
  </si>
  <si>
    <t xml:space="preserve">Authority Multiplier — reflects the player's competitive standing. 1.00 = normal creator. 1.15 = proven/established. 1.30 = elite contender. 1.50 = global star/major winner. This is NOT about followers — it is about competitive credibility.</t>
  </si>
  <si>
    <t xml:space="preserve">Language Multiplier — 1.00 English, 1.05 Arabic (MENA regional premium), 1.15 Bilingual. Arabic content commands a premium in MENA because it reaches a culturally specific, high-purchasing-power audience that English content cannot.</t>
  </si>
  <si>
    <t xml:space="preserve">Authority Floor Share — the portion of the IRL Appearance Fee used as a minimum floor for content pricing. Default = 0.00 (off). Activate at 0.30–0.80 for campaigns where the pro's competitive status is the reason the brand is buying.</t>
  </si>
  <si>
    <t xml:space="preserve">When to Use the Authority Floor (FloorShare &gt; 0)</t>
  </si>
  <si>
    <t xml:space="preserve">1. Hardware / Peripherals ("pro choice" campaigns): A gaming mouse brand paying for a pro's endorsement is buying competitive credibility. The floor ensures the content price reflects the IRL value of that endorsement.</t>
  </si>
  <si>
    <t xml:space="preserve">2. Tournament Windows (EWC, Worlds, Majors): During peak competitive events, a pro's content is worth more than their social metrics suggest. Set FloorShare to 0.40–0.60 during these windows.</t>
  </si>
  <si>
    <t xml:space="preserve">3. Credibility Campaigns: Brands in financial services, nutrition, or lifestyle that want "pro athlete" positioning. The floor ensures the price reflects the athlete's competitive status, not just their follower count.</t>
  </si>
  <si>
    <t xml:space="preserve">4. When SocialPrice &lt; IRL Fee × 0.30: If the content price would be less than 30% of what you'd charge for an IRL appearance, something is wrong. The floor corrects this automatically.</t>
  </si>
  <si>
    <t xml:space="preserve">Backward Compatibility</t>
  </si>
  <si>
    <t xml:space="preserve">If AuthorityMultiplier = 1.00, FloorShare = 0.00, and Language = 1.00, the formula produces exactly the same result as the previous formula. No existing pricing is affected unless you actively change these inputs.</t>
  </si>
  <si>
    <t xml:space="preserve">EWC / Mega Peak Seasonality (New)</t>
  </si>
  <si>
    <t xml:space="preserve">The Esports World Cup (EWC) is the highest-value esports event in the MENA calendar. A new seasonality option — EWC / Mega Peak = 1.50x — has been added to the Seasonality &amp; Timing table. This is the highest multiplier in the system and should only be used for content going live during or immediately around EWC.</t>
  </si>
  <si>
    <t xml:space="preserve">⑧ QUOTE GENERATOR — HOW TO USE (13_Quote_Generator)</t>
  </si>
  <si>
    <t xml:space="preserve">The Quote Generator is the fastest way to build a client-ready proposal. No formulas to touch — just dropdowns.</t>
  </si>
  <si>
    <t xml:space="preserve">STEP-BY-STEP</t>
  </si>
  <si>
    <t xml:space="preserve">Step 1</t>
  </si>
  <si>
    <t xml:space="preserve">Fill Campaign Details (rows 5-9): Campaign name, brand, period, prepared by</t>
  </si>
  <si>
    <t xml:space="preserve">Step 2</t>
  </si>
  <si>
    <t xml:space="preserve">Step 3</t>
  </si>
  <si>
    <t xml:space="preserve">Add line items (rows 19-33): For each deliverable, select from dropdowns:</t>
  </si>
  <si>
    <t xml:space="preserve">• Player / Talent — select from full roster dropdown</t>
  </si>
  <si>
    <t xml:space="preserve">• Deliverable — IG Reel, TikTok Video, Twitch Stream, IRL Appearance, etc.</t>
  </si>
  <si>
    <t xml:space="preserve">• Qty — number of posts/appearances</t>
  </si>
  <si>
    <t xml:space="preserve">• Timing — Regular Season, Ramadan, EWC, etc. (auto-applies multiplier)</t>
  </si>
  <si>
    <t xml:space="preserve">• Audience — Core Gaming, Esports-focused, MENA/Saudi, etc. (auto-applies multiplier)</t>
  </si>
  <si>
    <t xml:space="preserve">• Add-on Package — None, Basic, Standard, Premium, Full, Exclusive (auto-applies uplift %)</t>
  </si>
  <si>
    <t xml:space="preserve">Step 4</t>
  </si>
  <si>
    <t xml:space="preserve">Unit Price auto-calculates: Base Rate × Timing Multiplier × Audience Multiplier × (1 + Add-on %)</t>
  </si>
  <si>
    <t xml:space="preserve">Step 5</t>
  </si>
  <si>
    <t xml:space="preserve">Summary auto-calculates: Subtotal → +10% Mgmt Fee → +15% VAT → Total SAR + USD</t>
  </si>
  <si>
    <t xml:space="preserve">Step 6</t>
  </si>
  <si>
    <t xml:space="preserve">Click "GENERATE PDF QUOTE" button to export a formatted client document</t>
  </si>
  <si>
    <t xml:space="preserve">PRICING METHODOLOGY (Updated 2025)</t>
  </si>
  <si>
    <t xml:space="preserve">All player rates have been recalibrated using best-practice 2025 benchmarks:</t>
  </si>
  <si>
    <t xml:space="preserve">Source</t>
  </si>
  <si>
    <t xml:space="preserve">Porter Wills Esports Guide 2025, InfluenceFlow Benchmarks, Cloutboost Gaming Rates</t>
  </si>
  <si>
    <t xml:space="preserve">Tier 1 IG Reel Base</t>
  </si>
  <si>
    <t xml:space="preserve">18,000 SAR (was 15,000) — aligned to macro esports creator rates ($4,800 USD)</t>
  </si>
  <si>
    <t xml:space="preserve">Tier 2 IG Reel Base</t>
  </si>
  <si>
    <t xml:space="preserve">11,000 SAR (was 11,250) — refined for 100K-500K reach segment</t>
  </si>
  <si>
    <t xml:space="preserve">Tier 3 IG Reel Base</t>
  </si>
  <si>
    <t xml:space="preserve">6,500 SAR (was 8,750) — corrected downward to match micro-creator benchmarks</t>
  </si>
  <si>
    <t xml:space="preserve">Platform Ratios</t>
  </si>
  <si>
    <t xml:space="preserve">TikTok = 78% of IG Reel | Twitch 2h = 145% | IRL = 220% | X Post = 20%</t>
  </si>
  <si>
    <t xml:space="preserve">Platform Count Bonus</t>
  </si>
  <si>
    <t xml:space="preserve">0-1 platforms: -20% | 2-3: standard | 4-5: +15% | 6-7: +25% | 8+: +35%</t>
  </si>
  <si>
    <t xml:space="preserve">MENA Premium</t>
  </si>
  <si>
    <t xml:space="preserve">ADD-ON PACKAGES (simplified from 03_Add_On_Rights)</t>
  </si>
  <si>
    <t xml:space="preserve">None</t>
  </si>
  <si>
    <t xml:space="preserve">0% uplift — base rate only</t>
  </si>
  <si>
    <t xml:space="preserve">Basic (+15%)</t>
  </si>
  <si>
    <t xml:space="preserve">Organic repost, 1 month — single platform</t>
  </si>
  <si>
    <t xml:space="preserve">Standard (+60%)</t>
  </si>
  <si>
    <t xml:space="preserve">Organic repost (3 months) + paid usage (limited)</t>
  </si>
  <si>
    <t xml:space="preserve">Premium (+115%)</t>
  </si>
  <si>
    <t xml:space="preserve">Organic repost (6 months) + paid usage (standard) + MENA territory</t>
  </si>
  <si>
    <t xml:space="preserve">Full (+170%)</t>
  </si>
  <si>
    <t xml:space="preserve">All organic + paid max + whitelisting (30 days)</t>
  </si>
  <si>
    <t xml:space="preserve">Exclusive (+320%)</t>
  </si>
  <si>
    <t xml:space="preserve">Full package + category exclusivity (12 months)</t>
  </si>
  <si>
    <t xml:space="preserve">TIMING MULTIPLIERS</t>
  </si>
  <si>
    <t xml:space="preserve">Regular Season</t>
  </si>
  <si>
    <t xml:space="preserve">1.00x — baseline</t>
  </si>
  <si>
    <t xml:space="preserve">0.80x — lower viewership</t>
  </si>
  <si>
    <t xml:space="preserve">1.25x — regional championship</t>
  </si>
  <si>
    <t xml:space="preserve">1.40x — peak esports interest</t>
  </si>
  <si>
    <t xml:space="preserve">Game Launch</t>
  </si>
  <si>
    <t xml:space="preserve">1.30x — new title release</t>
  </si>
  <si>
    <t xml:space="preserve">Holiday Q4</t>
  </si>
  <si>
    <t xml:space="preserve">1.20x — year-end peak</t>
  </si>
  <si>
    <t xml:space="preserve">1.35x — peak MENA consumption</t>
  </si>
  <si>
    <t xml:space="preserve">EWC / Mega Peak</t>
  </si>
  <si>
    <t xml:space="preserve">1.50x — Esports World Cup (highest multiplier)</t>
  </si>
  <si>
    <t xml:space="preserve">AUDIENCE MULTIPLIERS</t>
  </si>
  <si>
    <t xml:space="preserve">محرّك التسعير لفريق Falcons — دليل الاستخدام (الإصدار 8)</t>
  </si>
  <si>
    <t xml:space="preserve">1. ما الذي يفعله هذا المحرّك</t>
  </si>
  <si>
    <t xml:space="preserve">يُنتج عروض أسعار تجارية لمواهب Falcons عبر منصات التواصل الاجتماعي والبث والحضور الفعلي. يستخدم تصنيفًا من 5 طبقات مع منطق ذي حدّين أدنى (سعر اجتماعي + حدّ أدنى للسلطة) وطبقة ثقة تمنع التسعير المرتفع على بيانات غير موثّقة.</t>
  </si>
  <si>
    <t xml:space="preserve">2. التبويبات الأكثر استخدامًا</t>
  </si>
  <si>
    <t xml:space="preserve">• 01_Player_Rate_Card — اللائحة الرئيسية (189 لاعبًا)، الطبقة، الأسعار، بيانات المتابعين، الثقة
• 02_Adjustment_Matrix — حيث تبني العروض: بحث اللاعب + معاينة السعر + حاسبة السعر المباشر
• 03_Add_On_Rights — حزم الحقوق (عضوي/مدفوع/قوائم بيضاء/حصرية/إقليمية)
• 07_Settings — افتراضات الطبقات، نسب الحدّ الأدنى، تعريفات الثقة
• QT-... — عرض السعر النهائي المقدّم للعميل</t>
  </si>
  <si>
    <t xml:space="preserve">3. كيف تبني عرض سعر — خطوة بخطوة</t>
  </si>
  <si>
    <t xml:space="preserve">الخطوة 1: افتح 02_Adjustment_Matrix.
الخطوة 2: اكتب اسم اللاعب في الخلية D5. يطابق المحرّك أقرب لاعب تلقائيًا.
الخطوة 3: راجع القسم ⑦ معاينة سعر اللاعب — اطّلع على جميع أسعار الأصول والحدّ الأدنى للسلطة والسعر النهائي بالمضاعفات الافتراضية.
الخطوة 4: تحقّق من وسم الثقة. إن كان "قيد الانتظار" أو "مقدّر"، التزم بنطاق المضاعفات المسموح.
الخطوة 5: في القسم ⑥ حاسبة السعر المباشر، اختر الأصل، أدخل قيم التفاعل/الجمهور/الموسمية/السلطة/اللغة.
الخطوة 6: أضف حزمة الحقوق من 03_Add_On_Rights.
الخطوة 7: أكّد السعر النهائي المعدّل. انقله إلى قالب عرض السعر QT.
الخطوة 8: موافقة قانونية ومالية → إرسال العرض للعميل.</t>
  </si>
  <si>
    <t xml:space="preserve">4. متى يتجاوز الحدّ الأدنى للسلطة السعرَ الاجتماعي</t>
  </si>
  <si>
    <t xml:space="preserve">إذا كان اللاعب محترفًا بجمهور اجتماعي متواضع (مثال: 30 ألف انستغرام) ولكن أجر حضوره الفعلي مرتفع (25,000 ريال)، فإن الحدّ الأدنى للسلطة = 25,000 × 0.55 = 13,750 ريال. يحمي ذلك دخل اللاعب المحترف على الحملات الاجتماعية الصافية.</t>
  </si>
  <si>
    <t xml:space="preserve">5. قواعد حوكمة الثقة</t>
  </si>
  <si>
    <t xml:space="preserve">• exact / rounded → جميع المضاعفات متاحة
• estimated → التفاعل محدود بـ 1.2x، السلطة محدودة بـ 1.3x
• pending → جميع المضاعفات مثبّتة على 1.0x حتى التحقق من بيانات المتابعين
يمكن للمدير التجاري التجاوز، لكن يجب تسجيل ذلك في ملاحظات العرض.</t>
  </si>
  <si>
    <t xml:space="preserve">6. ما التالي</t>
  </si>
  <si>
    <t xml:space="preserve">الإصدار 9 (الربع الثالث 2026): تكامل Shikenso لتعبئة بيانات المتابعين وترقية وسوم الثقة عبر اللائحة.
الإصدار 10 (الربع الرابع 2026): مضاعفات التفاعل ستُحسب من بيانات 30/90 يومًا بدلاً من القوائم اليدوية.
الإصدار 11+ (2027): ترجيح السلطة × الهدف، موسمية ديناميكية من سجل الاستفسارات.</t>
  </si>
  <si>
    <t xml:space="preserve">المصدر 5: دليل Porter Wills للتسويق في الرياضات الإلكترونية 2025</t>
  </si>
  <si>
    <t xml:space="preserve">يُستخدم لـ: معايير المنظمات من الفئة الأولى، معايير تسعير حقوق الاستخدام. الرابط: porterwills.com</t>
  </si>
  <si>
    <t xml:space="preserve">المصدر 6: تقرير StreamElements لحالة البث 2025</t>
  </si>
  <si>
    <t xml:space="preserve">يُستخدم لـ: معايير أسعار Twitch/البث، بيانات دخل الاشتراكات. الرابط: streamelements.com/reports</t>
  </si>
  <si>
    <t xml:space="preserve">المصدر 7: ممارسة وكالات WME / CAA / Wasserman</t>
  </si>
  <si>
    <t xml:space="preserve">يُستخدم لـ: منهجية تسعير الرسوم الأساسية (نموذج CPM + CPE + المقارنات). المصدر: الإفصاحات العلنية عن الصفقات والممارسة المعيارية في الصناعة.</t>
  </si>
  <si>
    <t xml:space="preserve">المصدر 8: بيانات فالكونز التجارية الداخلية 2025</t>
  </si>
  <si>
    <t xml:space="preserve">يُستخدم لـ: الرسوم الأساسية الخاصة بفالكونز، بيانات القائمة، أسعار سوق MENA. المصدر: بيانات داخلية سرية.</t>
  </si>
  <si>
    <t xml:space="preserve">المصدر 9: دراسات الحالة (علامة التبويب 10_Case_Studies)</t>
  </si>
  <si>
    <t xml:space="preserve">يُستخدم لـ: رحلات تحقيق الدخل من الصفر إلى القمة، معايير توزيع الإيرادات. المصادر: Forbes وBloomberg والإفصاحات العلنية للمبدعين وStreamlabs وNewzoo MENA.</t>
  </si>
  <si>
    <t xml:space="preserve">نظرة عامة على علامات التبويب</t>
  </si>
  <si>
    <t xml:space="preserve">00_Cover — نظرة عامة ودليل التنقل</t>
  </si>
  <si>
    <t xml:space="preserve">01_Player_Rate_Card — القائمة الكاملة مع الرسوم الأساسية حسب نوع الأصل والفئة</t>
  </si>
  <si>
    <t xml:space="preserve">02_Adjustment_Matrix — حاسبة المضاعفات (التفاعل، الجمهور، الموسمية، الإضافات)</t>
  </si>
  <si>
    <t xml:space="preserve">03_Add_On_Rights — حزم الحقوق مع نسب الزيادة</t>
  </si>
  <si>
    <t xml:space="preserve">04_Deal_Builder — حاسبة الصفقة الكاملة مع ضريبة القيمة المضافة ورسوم الإدارة</t>
  </si>
  <si>
    <t xml:space="preserve">05_Guide_EN — الدليل الإنجليزي</t>
  </si>
  <si>
    <t xml:space="preserve">06_Guide_AR — هذا الدليل (عربي)</t>
  </si>
  <si>
    <t xml:space="preserve">07_Settings — سعر الصرف والإعدادات العامة</t>
  </si>
  <si>
    <t xml:space="preserve">09_Benchmarks — معايير السوق والاستخبارات التنافسية ومنهجية التسعير</t>
  </si>
  <si>
    <t xml:space="preserve">10_Case_Studies — دراسات حالة تحقيق الدخل من الصفر إلى القمة (عالمية و MENA)</t>
  </si>
  <si>
    <t xml:space="preserve">لماذا يمكن للمحترفين في الرياضات الإلكترونية تسعير أعلى من المبدعين ذوي المتابعين الأكثر</t>
  </si>
  <si>
    <t xml:space="preserve">مبدأ التسعير القائم على السلطة</t>
  </si>
  <si>
    <t xml:space="preserve">مبدع يمتلك مليوني متابع بمعدل تفاعل 3% ليس بالضرورة أكثر قيمة من لاعب محترف يمتلك 200 ألف متابع بمعدل تفاعل 8% — خاصةً للعلامات التجارية التي تشتري المصداقية وليس مجرد الوصول. يُضفي Authority Patch الطابع الرسمي على هذا من خلال طبقة تسعير منظمة فوق المعادلة الأساسية.</t>
  </si>
  <si>
    <t xml:space="preserve">المعادلة المحدّثة (Authority Patch v1)</t>
  </si>
  <si>
    <t xml:space="preserve">SocialPrice = الرسوم الأساسية × التفاعل × جودة الجمهور × الموسمية × اللغة × AuthorityFactor</t>
  </si>
  <si>
    <t xml:space="preserve">AuthorityFloor = رسوم الظهور IRL × FloorShare × الموسمية × اللغة × AuthorityFactor</t>
  </si>
  <si>
    <t xml:space="preserve">السعر النهائي = PreAddOnPrice × (1 + نسبة الإضافات %)</t>
  </si>
  <si>
    <t xml:space="preserve">ما الذي يفعله كل مدخل جديد</t>
  </si>
  <si>
    <t xml:space="preserve">هدف الحملة — يحدد ObjectiveWeight. الوعي = 0.20 (الوصول أهم). التحويل = 0.40 (متوازن). الثقة/السلطة المهنية = 0.70 (المصداقية هي المنتج).</t>
  </si>
  <si>
    <t xml:space="preserve">مضاعف السلطة — يعكس المكانة التنافسية للاعب. 1.00 = مبدع عادي. 1.15 = محترف راسخ. 1.30 = متنافس نخبوي. 1.50 = نجم عالمي/فائز بالبطولة الكبرى. هذا ليس عن المتابعين — بل عن المصداقية التنافسية.</t>
  </si>
  <si>
    <t xml:space="preserve">مضاعف اللغة — 1.00 إنجليزي، 1.05 عربي (علاوة إقليمية MENA)، 1.15 ثنائي اللغة. المحتوى العربي يستحق علاوة في MENA لأنه يصل إلى جمهور ذي قوة شرائية عالية لا يستطيع المحتوى الإنجليزي الوصول إليه.</t>
  </si>
  <si>
    <t xml:space="preserve">حصة الحد الأدنى للسلطة (FloorShare) — الجزء من رسوم الظهور IRL المستخدم كحد أدنى لتسعير المحتوى. الافتراضي = 0.00 (معطّل). فعّله عند 0.30–0.80 للحملات التي تكون فيها المكانة التنافسية للمحترف هي سبب شراء العلامة التجارية.</t>
  </si>
  <si>
    <t xml:space="preserve">متى تستخدم الحد الأدنى للسلطة (FloorShare &gt; 0)</t>
  </si>
  <si>
    <t xml:space="preserve">1. الأجهزة والملحقات (حملات "اختيار المحترف"): علامة تجارية لفأرة ألعاب تدفع مقابل تأييد محترف تشتري مصداقية تنافسية. يضمن الحد الأدنى أن يعكس سعر المحتوى القيمة الحقيقية لهذا التأييد.</t>
  </si>
  <si>
    <t xml:space="preserve">2. نوافذ البطولات (EWC، العالميات، الكبرى): خلال أحداث تنافسية كبرى، محتوى المحترف يستحق أكثر مما تشير إليه مقاييسه الاجتماعية. اضبط FloorShare على 0.40–0.60 خلال هذه النوافذ.</t>
  </si>
  <si>
    <t xml:space="preserve">3. حملات المصداقية: العلامات التجارية في الخدمات المالية أو التغذية أو نمط الحياة التي تريد تموضع "الرياضي المحترف". يضمن الحد الأدنى أن يعكس السعر المكانة التنافسية للرياضي وليس فقط عدد متابعيه.</t>
  </si>
  <si>
    <t xml:space="preserve">التوافق مع الإصدار السابق</t>
  </si>
  <si>
    <t xml:space="preserve">إذا كان AuthorityMultiplier = 1.00 وFloorShare = 0.00 وLanguage = 1.00، فإن المعادلة تنتج نفس النتيجة تماماً كالمعادلة السابقة. لا يتأثر أي تسعير موجود ما لم تغيّر هذه المدخلات بنشاط.</t>
  </si>
  <si>
    <t xml:space="preserve">موسمية EWC / ذروة الكبرى (جديد)</t>
  </si>
  <si>
    <t xml:space="preserve">كأس العالم للرياضات الإلكترونية (EWC) هو أعلى قيمة حدث في التقويم MENA. تمت إضافة خيار موسمية جديد — EWC / ذروة الكبرى = 1.50x — إلى جدول الموسمية والتوقيت. هذا أعلى مضاعف في النظام ويجب استخدامه فقط للمحتوى الذي يُنشر خلال EWC أو مباشرةً حوله.</t>
  </si>
  <si>
    <t xml:space="preserve">⑧ مولّد العروض السعرية — كيفية الاستخدام (13_Quote_Generator)</t>
  </si>
  <si>
    <t xml:space="preserve">مولّد العروض هو أسرع طريقة لإعداد عرض سعري جاهز للعميل — فقط اختر من القوائم المنسدلة.</t>
  </si>
  <si>
    <t xml:space="preserve">خطوات الاستخدام</t>
  </si>
  <si>
    <t xml:space="preserve">الخطوة 1</t>
  </si>
  <si>
    <t xml:space="preserve">تفاصيل الحملة (صفوف 5-9): اسم الحملة، العلامة التجارية، الفترة، المُعِد</t>
  </si>
  <si>
    <t xml:space="preserve">الخطوة 2</t>
  </si>
  <si>
    <t xml:space="preserve">الخطوة 3</t>
  </si>
  <si>
    <t xml:space="preserve">أضف بنود التسليم (صفوف 19-33): لكل تسليم، اختر من القوائم:</t>
  </si>
  <si>
    <t xml:space="preserve">• اللاعب / الموهبة — اختر من القائمة الكاملة للرياضيين</t>
  </si>
  <si>
    <t xml:space="preserve">• نوع التسليم — ريلز إنستغرام، فيديو تيك توك، بث تويتش، حضور شخصي، إلخ</t>
  </si>
  <si>
    <t xml:space="preserve">• الكمية — عدد المنشورات أو الظهورات</t>
  </si>
  <si>
    <t xml:space="preserve">• التوقيت — الموسم العادي، رمضان، كأس العالم للرياضات الإلكترونية، إلخ</t>
  </si>
  <si>
    <t xml:space="preserve">• الجمهور — ألعاب أساسية، رياضات إلكترونية، منطقة الشرق الأوسط وشمال أفريقيا، إلخ</t>
  </si>
  <si>
    <t xml:space="preserve">• باقة الإضافات — لا شيء، أساسية، قياسية، مميزة، كاملة، حصرية</t>
  </si>
  <si>
    <t xml:space="preserve">الخطوة 4</t>
  </si>
  <si>
    <t xml:space="preserve">يُحسب سعر الوحدة تلقائياً: السعر الأساسي × مضاعف التوقيت × مضاعف الجمهور × (1 + نسبة الإضافات)</t>
  </si>
  <si>
    <t xml:space="preserve">الخطوة 5</t>
  </si>
  <si>
    <t xml:space="preserve">الملخص يُحسب تلقائياً: المجموع الفرعي + رسوم الإدارة 10% + ضريبة القيمة المضافة 15%</t>
  </si>
  <si>
    <t xml:space="preserve">الخطوة 6</t>
  </si>
  <si>
    <t xml:space="preserve">انقر على "إنشاء عرض سعري PDF" لتصدير وثيقة منسقة للعميل</t>
  </si>
  <si>
    <t xml:space="preserve">منهجية التسعير (محدّثة 2025)</t>
  </si>
  <si>
    <t xml:space="preserve">تم إعادة معايرة جميع أسعار اللاعبين وفق أفضل الممارسات العالمية لعام 2025:</t>
  </si>
  <si>
    <t xml:space="preserve">الدرجة الأولى — ريلز إنستغرام</t>
  </si>
  <si>
    <t xml:space="preserve">18,000 ريال (كانت 15,000) — متوافق مع معدلات منشئي المحتوى الكبار في الرياضات الإلكترونية</t>
  </si>
  <si>
    <t xml:space="preserve">الدرجة الثانية — ريلز إنستغرام</t>
  </si>
  <si>
    <t xml:space="preserve">11,000 ريال (كانت 11,250) — محسّن لشريحة 100K-500K متابع</t>
  </si>
  <si>
    <t xml:space="preserve">الدرجة الثالثة — ريلز إنستغرام</t>
  </si>
  <si>
    <t xml:space="preserve">6,500 ريال (كانت 8,750) — مصحّح للتوافق مع معايير منشئي المحتوى الصغار</t>
  </si>
  <si>
    <t xml:space="preserve">نسب المنصات</t>
  </si>
  <si>
    <t xml:space="preserve">تيك توك = 78% من ريلز إنستغرام | تويتش 2 ساعة = 145% | حضور شخصي = 220%</t>
  </si>
  <si>
    <t xml:space="preserve">مكافأة عدد المنصات</t>
  </si>
  <si>
    <t xml:space="preserve">0-1 منصة: -20% | 2-3: معياري | 4-5: +15% | 6-7: +25% | 8+: +35%</t>
  </si>
  <si>
    <t xml:space="preserve">علاوة منطقة MENA</t>
  </si>
  <si>
    <t xml:space="preserve">باقات الإضافات (مبسّطة)</t>
  </si>
  <si>
    <t xml:space="preserve">لا شيء</t>
  </si>
  <si>
    <t xml:space="preserve">أساسية (+15%)</t>
  </si>
  <si>
    <t xml:space="preserve">إعادة نشر عضوي، شهر واحد — منصة واحدة</t>
  </si>
  <si>
    <t xml:space="preserve">قياسية (+60%)</t>
  </si>
  <si>
    <t xml:space="preserve">إعادة نشر عضوي (3 أشهر) + استخدام مدفوع (محدود)</t>
  </si>
  <si>
    <t xml:space="preserve">مميزة (+115%)</t>
  </si>
  <si>
    <t xml:space="preserve">إعادة نشر عضوي (6 أشهر) + استخدام مدفوع (قياسي) + حقوق منطقة MENA</t>
  </si>
  <si>
    <t xml:space="preserve">كاملة (+170%)</t>
  </si>
  <si>
    <t xml:space="preserve">جميع الحقوق العضوية + الاستخدام المدفوع الكامل + القائمة البيضاء (30 يوماً)</t>
  </si>
  <si>
    <t xml:space="preserve">حصرية (+320%)</t>
  </si>
  <si>
    <t xml:space="preserve">الباقة الكاملة + حصرية الفئة (12 شهراً)</t>
  </si>
  <si>
    <t xml:space="preserve">مضاعفات التوقيت</t>
  </si>
  <si>
    <t xml:space="preserve">الموسم العادي</t>
  </si>
  <si>
    <t xml:space="preserve">خارج الموسم</t>
  </si>
  <si>
    <t xml:space="preserve">0.80x — مشاهدة منخفضة</t>
  </si>
  <si>
    <t xml:space="preserve">بطولة إقليمية كبرى</t>
  </si>
  <si>
    <t xml:space="preserve">1.25x — بطولة إقليمية</t>
  </si>
  <si>
    <t xml:space="preserve">بطولة عالمية</t>
  </si>
  <si>
    <t xml:space="preserve">1.40x — ذروة الاهتمام بالرياضات الإلكترونية</t>
  </si>
  <si>
    <t xml:space="preserve">إطلاق لعبة</t>
  </si>
  <si>
    <t xml:space="preserve">1.30x — إصدار عنوان جديد</t>
  </si>
  <si>
    <t xml:space="preserve">نهاية العام (الربع الرابع)</t>
  </si>
  <si>
    <t xml:space="preserve">1.20x — ذروة نهاية العام</t>
  </si>
  <si>
    <t xml:space="preserve">رمضان (منطقة MENA)</t>
  </si>
  <si>
    <t xml:space="preserve">1.35x — ذروة الاستهلاك في منطقة MENA</t>
  </si>
  <si>
    <t xml:space="preserve">كأس العالم للرياضات الإلكترونية</t>
  </si>
  <si>
    <t xml:space="preserve">1.50x — أعلى مضاعف في النظام</t>
  </si>
  <si>
    <t xml:space="preserve">09 — MARKET BENCHMARKS &amp; COMPETITIVE INTELLIGENCE 2025/2026</t>
  </si>
  <si>
    <t xml:space="preserve">Industry rate benchmarks, multiplier standards, and competitive positioning for Team Falcons talent monetisation</t>
  </si>
  <si>
    <t xml:space="preserve">SECTION 1 — GLOBAL TIER 1 ESPORTS ORG BENCHMARKS</t>
  </si>
  <si>
    <t xml:space="preserve">Organisation</t>
  </si>
  <si>
    <t xml:space="preserve">Region</t>
  </si>
  <si>
    <t xml:space="preserve">Avg Followers (Key Talent)</t>
  </si>
  <si>
    <t xml:space="preserve">Avg Base Fee / Post (USD)</t>
  </si>
  <si>
    <t xml:space="preserve">Avg Stream Deal (USD)</t>
  </si>
  <si>
    <t xml:space="preserve">Avg Annual Sponsorship (USD)</t>
  </si>
  <si>
    <t xml:space="preserve">Exclusivity Premium</t>
  </si>
  <si>
    <t xml:space="preserve">Engagement Benchmark</t>
  </si>
  <si>
    <t xml:space="preserve">Source / Notes</t>
  </si>
  <si>
    <t xml:space="preserve">T1 Esports</t>
  </si>
  <si>
    <t xml:space="preserve">Global</t>
  </si>
  <si>
    <t xml:space="preserve">2M–8M</t>
  </si>
  <si>
    <t xml:space="preserve">$8,000–$25,000</t>
  </si>
  <si>
    <t xml:space="preserve">$20,000–$80,000</t>
  </si>
  <si>
    <t xml:space="preserve">$500K–$2M</t>
  </si>
  <si>
    <t xml:space="preserve">'+50-100%</t>
  </si>
  <si>
    <t xml:space="preserve">4–7% avg ER</t>
  </si>
  <si>
    <t xml:space="preserve">Newzoo 2025; public deal disclosures</t>
  </si>
  <si>
    <t xml:space="preserve">FaZe Clan</t>
  </si>
  <si>
    <t xml:space="preserve">3M–15M</t>
  </si>
  <si>
    <t xml:space="preserve">$10,000–$40,000</t>
  </si>
  <si>
    <t xml:space="preserve">$30,000–$120,000</t>
  </si>
  <si>
    <t xml:space="preserve">$1M–$5M</t>
  </si>
  <si>
    <t xml:space="preserve">'+40-75%</t>
  </si>
  <si>
    <t xml:space="preserve">3–6% avg ER</t>
  </si>
  <si>
    <t xml:space="preserve">Newzoo 2025; SEC filing data</t>
  </si>
  <si>
    <t xml:space="preserve">Natus Vincere (NaVi)</t>
  </si>
  <si>
    <t xml:space="preserve">EMEA</t>
  </si>
  <si>
    <t xml:space="preserve">1M–5M</t>
  </si>
  <si>
    <t xml:space="preserve">$5,000–$20,000</t>
  </si>
  <si>
    <t xml:space="preserve">$15,000–$60,000</t>
  </si>
  <si>
    <t xml:space="preserve">$300K–$1.5M</t>
  </si>
  <si>
    <t xml:space="preserve">'+35-60%</t>
  </si>
  <si>
    <t xml:space="preserve">4–8% avg ER</t>
  </si>
  <si>
    <t xml:space="preserve">Shikenso Esports Sponsorship Report 2025</t>
  </si>
  <si>
    <t xml:space="preserve">Fnatic</t>
  </si>
  <si>
    <t xml:space="preserve">500K–3M</t>
  </si>
  <si>
    <t xml:space="preserve">$4,000–$15,000</t>
  </si>
  <si>
    <t xml:space="preserve">$10,000–$45,000</t>
  </si>
  <si>
    <t xml:space="preserve">$200K–$800K</t>
  </si>
  <si>
    <t xml:space="preserve">'+30-50%</t>
  </si>
  <si>
    <t xml:space="preserve">5–9% avg ER</t>
  </si>
  <si>
    <t xml:space="preserve">Influencity 2026 Rate Benchmarks</t>
  </si>
  <si>
    <t xml:space="preserve">Cloud9</t>
  </si>
  <si>
    <t xml:space="preserve">NA</t>
  </si>
  <si>
    <t xml:space="preserve">1M–6M</t>
  </si>
  <si>
    <t xml:space="preserve">$6,000–$22,000</t>
  </si>
  <si>
    <t xml:space="preserve">$18,000–$70,000</t>
  </si>
  <si>
    <t xml:space="preserve">$400K–$1.8M</t>
  </si>
  <si>
    <t xml:space="preserve">Nielsen Esports Audience Report 2025</t>
  </si>
  <si>
    <t xml:space="preserve">100 Thieves</t>
  </si>
  <si>
    <t xml:space="preserve">500K–4M</t>
  </si>
  <si>
    <t xml:space="preserve">$5,000–$18,000</t>
  </si>
  <si>
    <t xml:space="preserve">$15,000–$55,000</t>
  </si>
  <si>
    <t xml:space="preserve">$350K–$1.2M</t>
  </si>
  <si>
    <t xml:space="preserve">'+40-70%</t>
  </si>
  <si>
    <t xml:space="preserve">5–10% avg ER</t>
  </si>
  <si>
    <t xml:space="preserve">Porter Wills Esports Marketing Guide 2025</t>
  </si>
  <si>
    <t xml:space="preserve">SECTION 2 — MENA ESPORTS ORG BENCHMARKS</t>
  </si>
  <si>
    <t xml:space="preserve">Avg Base Fee / Post (SAR)</t>
  </si>
  <si>
    <t xml:space="preserve">Avg Stream Deal (SAR)</t>
  </si>
  <si>
    <t xml:space="preserve">Avg Annual Sponsorship (SAR)</t>
  </si>
  <si>
    <t xml:space="preserve">KSA / MENA</t>
  </si>
  <si>
    <t xml:space="preserve">200K–2M</t>
  </si>
  <si>
    <t xml:space="preserve">SAR 8,000–60,000</t>
  </si>
  <si>
    <t xml:space="preserve">SAR 20,000–120,000</t>
  </si>
  <si>
    <t xml:space="preserve">SAR 500K–2M</t>
  </si>
  <si>
    <t xml:space="preserve">5–12% avg ER</t>
  </si>
  <si>
    <t xml:space="preserve">Internal Falcons data 2025; Newzoo MENA Report</t>
  </si>
  <si>
    <t xml:space="preserve">Nasr Esports</t>
  </si>
  <si>
    <t xml:space="preserve">100K–800K</t>
  </si>
  <si>
    <t xml:space="preserve">SAR 5,000–30,000</t>
  </si>
  <si>
    <t xml:space="preserve">SAR 12,000–60,000</t>
  </si>
  <si>
    <t xml:space="preserve">SAR 200K–800K</t>
  </si>
  <si>
    <t xml:space="preserve">4–9% avg ER</t>
  </si>
  <si>
    <t xml:space="preserve">Shikenso MENA Esports Report 2025</t>
  </si>
  <si>
    <t xml:space="preserve">GE Wolves</t>
  </si>
  <si>
    <t xml:space="preserve">MENA</t>
  </si>
  <si>
    <t xml:space="preserve">50K–400K</t>
  </si>
  <si>
    <t xml:space="preserve">SAR 3,000–15,000</t>
  </si>
  <si>
    <t xml:space="preserve">SAR 8,000–35,000</t>
  </si>
  <si>
    <t xml:space="preserve">SAR 100K–400K</t>
  </si>
  <si>
    <t xml:space="preserve">'+25-40%</t>
  </si>
  <si>
    <t xml:space="preserve">Influencity MENA 2025</t>
  </si>
  <si>
    <t xml:space="preserve">Twisted Minds</t>
  </si>
  <si>
    <t xml:space="preserve">KSA</t>
  </si>
  <si>
    <t xml:space="preserve">80K–500K</t>
  </si>
  <si>
    <t xml:space="preserve">SAR 4,000–20,000</t>
  </si>
  <si>
    <t xml:space="preserve">SAR 10,000–45,000</t>
  </si>
  <si>
    <t xml:space="preserve">SAR 150K–500K</t>
  </si>
  <si>
    <t xml:space="preserve">'+25-45%</t>
  </si>
  <si>
    <t xml:space="preserve">6–11% avg ER</t>
  </si>
  <si>
    <t xml:space="preserve">Internal market intelligence 2025</t>
  </si>
  <si>
    <t xml:space="preserve">Galaxy Racer</t>
  </si>
  <si>
    <t xml:space="preserve">UAE / MENA</t>
  </si>
  <si>
    <t xml:space="preserve">100K–1M</t>
  </si>
  <si>
    <t xml:space="preserve">SAR 4,500–22,000</t>
  </si>
  <si>
    <t xml:space="preserve">SAR 11,000–50,000</t>
  </si>
  <si>
    <t xml:space="preserve">SAR 180K–600K</t>
  </si>
  <si>
    <t xml:space="preserve">Newzoo MENA 2025</t>
  </si>
  <si>
    <t xml:space="preserve">Team Vitality (MENA)</t>
  </si>
  <si>
    <t xml:space="preserve">200K–1.5M</t>
  </si>
  <si>
    <t xml:space="preserve">SAR 6,000–35,000</t>
  </si>
  <si>
    <t xml:space="preserve">SAR 15,000–70,000</t>
  </si>
  <si>
    <t xml:space="preserve">SAR 250K–900K</t>
  </si>
  <si>
    <t xml:space="preserve">Shikenso Esports Report 2025</t>
  </si>
  <si>
    <t xml:space="preserve">SECTION 3 — PLATFORM RATE BENCHMARKS (Industry Standard CPM / CPE)</t>
  </si>
  <si>
    <t xml:space="preserve">Platform</t>
  </si>
  <si>
    <t xml:space="preserve">Content Type</t>
  </si>
  <si>
    <t xml:space="preserve">Nano (1K–10K)</t>
  </si>
  <si>
    <t xml:space="preserve">Micro (10K–100K)</t>
  </si>
  <si>
    <t xml:space="preserve">Mid (100K–1M)</t>
  </si>
  <si>
    <t xml:space="preserve">Macro (1M–5M)</t>
  </si>
  <si>
    <t xml:space="preserve">Mega (5M+)</t>
  </si>
  <si>
    <t xml:space="preserve">Min Engagement Req.</t>
  </si>
  <si>
    <t xml:space="preserve">Avg CPM (Gaming Niche)</t>
  </si>
  <si>
    <t xml:space="preserve">Notes / Source</t>
  </si>
  <si>
    <t xml:space="preserve">Reel (60s)</t>
  </si>
  <si>
    <t xml:space="preserve">$200–$1,000</t>
  </si>
  <si>
    <t xml:space="preserve">$1,000–$5,000</t>
  </si>
  <si>
    <t xml:space="preserve">$5,000–$15,000</t>
  </si>
  <si>
    <t xml:space="preserve">$15,000–$50,000</t>
  </si>
  <si>
    <t xml:space="preserve">$50,000+</t>
  </si>
  <si>
    <t xml:space="preserve">Min 3% ER</t>
  </si>
  <si>
    <t xml:space="preserve">$8–$15 CPM</t>
  </si>
  <si>
    <t xml:space="preserve">Reels outperform static 3:1 for brand recall in gaming. Source: Influencity 2026</t>
  </si>
  <si>
    <t xml:space="preserve">Static Post</t>
  </si>
  <si>
    <t xml:space="preserve">$150–$800</t>
  </si>
  <si>
    <t xml:space="preserve">$800–$4,000</t>
  </si>
  <si>
    <t xml:space="preserve">$4,000–$12,000</t>
  </si>
  <si>
    <t xml:space="preserve">$12,000–$40,000</t>
  </si>
  <si>
    <t xml:space="preserve">$40,000+</t>
  </si>
  <si>
    <t xml:space="preserve">Min 2% ER</t>
  </si>
  <si>
    <t xml:space="preserve">$5–$10 CPM</t>
  </si>
  <si>
    <t xml:space="preserve">Static posts declining vs Reels. Use for product shots. Source: Influencity 2026</t>
  </si>
  <si>
    <t xml:space="preserve">Branded Video</t>
  </si>
  <si>
    <t xml:space="preserve">$300–$1,500</t>
  </si>
  <si>
    <t xml:space="preserve">$1,500–$6,000</t>
  </si>
  <si>
    <t xml:space="preserve">$6,000–$20,000</t>
  </si>
  <si>
    <t xml:space="preserve">$20,000–$60,000</t>
  </si>
  <si>
    <t xml:space="preserve">$60,000+</t>
  </si>
  <si>
    <t xml:space="preserve">Min 5% ER</t>
  </si>
  <si>
    <t xml:space="preserve">$10–$20 CPM</t>
  </si>
  <si>
    <t xml:space="preserve">TikTok commands 20–40% premium over IG in MENA. Source: Nielsen 2025</t>
  </si>
  <si>
    <t xml:space="preserve">Integration (30s)</t>
  </si>
  <si>
    <t xml:space="preserve">$500–$2,000</t>
  </si>
  <si>
    <t xml:space="preserve">$2,000–$8,000</t>
  </si>
  <si>
    <t xml:space="preserve">$25,000–$80,000</t>
  </si>
  <si>
    <t xml:space="preserve">$80,000+</t>
  </si>
  <si>
    <t xml:space="preserve">Min 1% ER</t>
  </si>
  <si>
    <t xml:space="preserve">$15–$30 CPM</t>
  </si>
  <si>
    <t xml:space="preserve">Highest brand recall (72% vs 45% social posts). Source: Nielsen Esports 2025</t>
  </si>
  <si>
    <t xml:space="preserve">Short (&lt;60s)</t>
  </si>
  <si>
    <t xml:space="preserve">$1,000–$4,000</t>
  </si>
  <si>
    <t xml:space="preserve">$12,000–$35,000</t>
  </si>
  <si>
    <t xml:space="preserve">$35,000+</t>
  </si>
  <si>
    <t xml:space="preserve">$8–$18 CPM</t>
  </si>
  <si>
    <t xml:space="preserve">YouTube Shorts growing rapidly in MENA. Source: Newzoo 2025</t>
  </si>
  <si>
    <t xml:space="preserve">Stream Integration (2h)</t>
  </si>
  <si>
    <t xml:space="preserve">$15,000–$40,000</t>
  </si>
  <si>
    <t xml:space="preserve">$40,000–$100,000</t>
  </si>
  <si>
    <t xml:space="preserve">$100,000+</t>
  </si>
  <si>
    <t xml:space="preserve">Min 500 avg viewers</t>
  </si>
  <si>
    <t xml:space="preserve">$5–$15 CPM</t>
  </si>
  <si>
    <t xml:space="preserve">Rates based on concurrent viewership not followers. Source: StreamElements 2025</t>
  </si>
  <si>
    <t xml:space="preserve">X (Twitter)</t>
  </si>
  <si>
    <t xml:space="preserve">Sponsored Post</t>
  </si>
  <si>
    <t xml:space="preserve">$100–$500</t>
  </si>
  <si>
    <t xml:space="preserve">$2,000–$6,000</t>
  </si>
  <si>
    <t xml:space="preserve">$20,000+</t>
  </si>
  <si>
    <t xml:space="preserve">$3–$8 CPM</t>
  </si>
  <si>
    <t xml:space="preserve">X declining in brand value post-rebrand. Use for real-time only. Source: Influencity 2026</t>
  </si>
  <si>
    <t xml:space="preserve">SECTION 4 — MULTIPLIER BENCHMARKS (Industry Standard vs Team Falcons)</t>
  </si>
  <si>
    <t xml:space="preserve">Multiplier Type</t>
  </si>
  <si>
    <t xml:space="preserve">Industry Low</t>
  </si>
  <si>
    <t xml:space="preserve">Industry Standard</t>
  </si>
  <si>
    <t xml:space="preserve">Industry High</t>
  </si>
  <si>
    <t xml:space="preserve">Team Falcons Rate</t>
  </si>
  <si>
    <t xml:space="preserve">Variance vs Industry</t>
  </si>
  <si>
    <t xml:space="preserve">Recommendation</t>
  </si>
  <si>
    <t xml:space="preserve">Exclusivity (30 days)</t>
  </si>
  <si>
    <t xml:space="preserve">At standard</t>
  </si>
  <si>
    <t xml:space="preserve">Influencity 2026; Porter Wills Guide</t>
  </si>
  <si>
    <t xml:space="preserve">Exclusivity (90 days)</t>
  </si>
  <si>
    <t xml:space="preserve">Below standard — gap of 10%</t>
  </si>
  <si>
    <t xml:space="preserve">Influencity 2026; Shikenso 2025</t>
  </si>
  <si>
    <t xml:space="preserve">Rush Fee (&lt;72h)</t>
  </si>
  <si>
    <t xml:space="preserve">Below standard — gap of 5%</t>
  </si>
  <si>
    <t xml:space="preserve">Internal benchmark; Influencity 2026</t>
  </si>
  <si>
    <t xml:space="preserve">Usage Rights (6 months)</t>
  </si>
  <si>
    <t xml:space="preserve">Porter Wills Esports Guide 2025</t>
  </si>
  <si>
    <t xml:space="preserve">Usage Rights (12 months)</t>
  </si>
  <si>
    <t xml:space="preserve">Whitelist / Dark Post</t>
  </si>
  <si>
    <t xml:space="preserve">Influencity 2026</t>
  </si>
  <si>
    <t xml:space="preserve">Ramadan Premium (MENA)</t>
  </si>
  <si>
    <t xml:space="preserve">Newzoo MENA 2025; Internal data</t>
  </si>
  <si>
    <t xml:space="preserve">SECTION 5 — TEAM FALCONS COMPETITIVE POSITIONING</t>
  </si>
  <si>
    <t xml:space="preserve">Metric</t>
  </si>
  <si>
    <t xml:space="preserve">MENA Average</t>
  </si>
  <si>
    <t xml:space="preserve">Global Tier 1</t>
  </si>
  <si>
    <t xml:space="preserve">Gap vs MENA</t>
  </si>
  <si>
    <t xml:space="preserve">Gap vs Global</t>
  </si>
  <si>
    <t xml:space="preserve">Action Required</t>
  </si>
  <si>
    <t xml:space="preserve">Roster Size</t>
  </si>
  <si>
    <t xml:space="preserve">188 entries (131 players, 6 influencers, 51 staff)</t>
  </si>
  <si>
    <t xml:space="preserve">80–120 players</t>
  </si>
  <si>
    <t xml:space="preserve">150–200 players</t>
  </si>
  <si>
    <t xml:space="preserve">Above MENA avg (+78%)</t>
  </si>
  <si>
    <t xml:space="preserve">Above global avg</t>
  </si>
  <si>
    <t xml:space="preserve">Leverage scale — offer multi-player bundle packages</t>
  </si>
  <si>
    <t xml:space="preserve">Game Coverage</t>
  </si>
  <si>
    <t xml:space="preserve">23 titles</t>
  </si>
  <si>
    <t xml:space="preserve">10–15 titles</t>
  </si>
  <si>
    <t xml:space="preserve">15–20 titles</t>
  </si>
  <si>
    <t xml:space="preserve">Above MENA avg</t>
  </si>
  <si>
    <t xml:space="preserve">Position as one-stop-shop for brand esports activations</t>
  </si>
  <si>
    <t xml:space="preserve">Avg Base Fee (Tier 1)</t>
  </si>
  <si>
    <t xml:space="preserve">SAR 15,000 (~$4,000)</t>
  </si>
  <si>
    <t xml:space="preserve">SAR 8,000–12,000</t>
  </si>
  <si>
    <t xml:space="preserve">Below global Tier 1</t>
  </si>
  <si>
    <t xml:space="preserve">Justified for MENA market. Increase for global brand pitches.</t>
  </si>
  <si>
    <t xml:space="preserve">Exclusivity Rates</t>
  </si>
  <si>
    <t xml:space="preserve">35–40% uplift</t>
  </si>
  <si>
    <t xml:space="preserve">25–35% uplift</t>
  </si>
  <si>
    <t xml:space="preserve">40–75% uplift</t>
  </si>
  <si>
    <t xml:space="preserve">At/above MENA</t>
  </si>
  <si>
    <t xml:space="preserve">Below global standard</t>
  </si>
  <si>
    <t xml:space="preserve">Increase exclusivity floor to +40% across all tiers</t>
  </si>
  <si>
    <t xml:space="preserve">20% uplift</t>
  </si>
  <si>
    <t xml:space="preserve">15–20% uplift</t>
  </si>
  <si>
    <t xml:space="preserve">At MENA avg</t>
  </si>
  <si>
    <t xml:space="preserve">Standardise rush fee at +30% minimum</t>
  </si>
  <si>
    <t xml:space="preserve">SECTION 5 — FALCONS 5-TIER MAPPING vs INDUSTRY (new in v8)</t>
  </si>
  <si>
    <t xml:space="preserve">Falcons Tier</t>
  </si>
  <si>
    <t xml:space="preserve">Base Fee (USD)</t>
  </si>
  <si>
    <t xml:space="preserve">Industry Equivalent</t>
  </si>
  <si>
    <t xml:space="preserve">Global Org Peer</t>
  </si>
  <si>
    <t xml:space="preserve">MENA Peer</t>
  </si>
  <si>
    <t xml:space="preserve">Confidence Default</t>
  </si>
  <si>
    <t xml:space="preserve">&gt;1M</t>
  </si>
  <si>
    <t xml:space="preserve">$10,700 – $13,300</t>
  </si>
  <si>
    <t xml:space="preserve">Mega / Tier 1 Global</t>
  </si>
  <si>
    <t xml:space="preserve">T1 Esports, FaZe, Cloud9 elite</t>
  </si>
  <si>
    <t xml:space="preserve">Regional anchor rare</t>
  </si>
  <si>
    <t xml:space="preserve">65%</t>
  </si>
  <si>
    <t xml:space="preserve">exact required</t>
  </si>
  <si>
    <t xml:space="preserve">Global anchors — world champions, iconic IG/Twitch names</t>
  </si>
  <si>
    <t xml:space="preserve">$5,900 – $8,000</t>
  </si>
  <si>
    <t xml:space="preserve">Macro / Tier 1</t>
  </si>
  <si>
    <t xml:space="preserve">FaZe mid-tier, Fnatic pros</t>
  </si>
  <si>
    <t xml:space="preserve">Nasr top roster, Galaxy Racer stars</t>
  </si>
  <si>
    <t xml:space="preserve">55%</t>
  </si>
  <si>
    <t xml:space="preserve">rounded+</t>
  </si>
  <si>
    <t xml:space="preserve">Regional majors, 2+ years pro</t>
  </si>
  <si>
    <t xml:space="preserve">$2,900 – $4,800</t>
  </si>
  <si>
    <t xml:space="preserve">Mid / Tier 2</t>
  </si>
  <si>
    <t xml:space="preserve">100T rising, Cloud9 depth</t>
  </si>
  <si>
    <t xml:space="preserve">GE Wolves, Twisted Minds core</t>
  </si>
  <si>
    <t xml:space="preserve">45%</t>
  </si>
  <si>
    <t xml:space="preserve">estimated+</t>
  </si>
  <si>
    <t xml:space="preserve">Active competitive pros + mid-tier creators</t>
  </si>
  <si>
    <t xml:space="preserve">$1,700 – $2,700</t>
  </si>
  <si>
    <t xml:space="preserve">Micro / Tier 2</t>
  </si>
  <si>
    <t xml:space="preserve">Academy rosters</t>
  </si>
  <si>
    <t xml:space="preserve">MENA Tier 2 academies</t>
  </si>
  <si>
    <t xml:space="preserve">35%</t>
  </si>
  <si>
    <t xml:space="preserve">Rising talent, niche specialists</t>
  </si>
  <si>
    <t xml:space="preserve">&lt;10K / staff</t>
  </si>
  <si>
    <t xml:space="preserve">$800 – $1,500</t>
  </si>
  <si>
    <t xml:space="preserve">Nano / Support</t>
  </si>
  <si>
    <t xml:space="preserve">Coaches, analysts, staff</t>
  </si>
  <si>
    <t xml:space="preserve">25%</t>
  </si>
  <si>
    <t xml:space="preserve">pending allowed</t>
  </si>
  <si>
    <t xml:space="preserve">Non-competing roles + developing roster</t>
  </si>
  <si>
    <t xml:space="preserve">CONFIDENCE LAYER COMMENTARY</t>
  </si>
  <si>
    <t xml:space="preserve">• Why Falcons added a Confidence layer: as of v8, 65/189 players have no verified follower data. Pricing premiums on this data would be dishonest to clients and risk margin erosion when clients verify independently.</t>
  </si>
  <si>
    <t xml:space="preserve">• Industry practice: NeoReach and Modash both flag data confidence before applying authority multipliers. Goat Agency refuses to guarantee CPE on "estimated" data.</t>
  </si>
  <si>
    <t xml:space="preserve">• Falcons commercial rule: "exact" and "rounded" talent get full multiplier range. "estimated" talent cap at +20% engagement and +30% authority. "pending" talent hold at 1.0x across the board until Shikenso sync.</t>
  </si>
  <si>
    <t xml:space="preserve">• Target state (v9+): &gt;95% of 189 players at "exact" or "rounded" confidence via Shikenso integration.</t>
  </si>
  <si>
    <t xml:space="preserve">10 — CASE STUDIES: FROM 0 TO HERO — CONTENT-ENABLED MONETISATION JOURNEYS</t>
  </si>
  <si>
    <t xml:space="preserve">Real-world examples of unknown / low-profile players who built $10K–$500K+ annual income through strategic content, ads, and brand partnerships</t>
  </si>
  <si>
    <t xml:space="preserve">SECTION A — GLOBAL CASE STUDIES (Non-Famous to Monetised Creator)</t>
  </si>
  <si>
    <t xml:space="preserve">Creator / Player</t>
  </si>
  <si>
    <t xml:space="preserve">Starting Point</t>
  </si>
  <si>
    <t xml:space="preserve">Platform Strategy</t>
  </si>
  <si>
    <t xml:space="preserve">Year 1 Revenue</t>
  </si>
  <si>
    <t xml:space="preserve">Year 2 Revenue</t>
  </si>
  <si>
    <t xml:space="preserve">Year 3 Revenue</t>
  </si>
  <si>
    <t xml:space="preserve">Key Monetisation Levers</t>
  </si>
  <si>
    <t xml:space="preserve">Peak Monthly Income</t>
  </si>
  <si>
    <t xml:space="preserve">Lesson for Falcons Talent</t>
  </si>
  <si>
    <t xml:space="preserve">CS-01</t>
  </si>
  <si>
    <t xml:space="preserve">Symfuhny (Mason Lanier)</t>
  </si>
  <si>
    <t xml:space="preserve">Fortnite / Warzone</t>
  </si>
  <si>
    <t xml:space="preserve">0 followers, unknown player, streaming to 0 viewers (2018)</t>
  </si>
  <si>
    <t xml:space="preserve">Twitch daily streams 8h+, highlight clips to Twitter, YouTube VODs</t>
  </si>
  <si>
    <t xml:space="preserve">$12,000 (Twitch subs + bits)</t>
  </si>
  <si>
    <t xml:space="preserve">$85,000 (first brand deal: Scuf Gaming)</t>
  </si>
  <si>
    <t xml:space="preserve">$400,000+ (NRG signing + multiple brand deals)</t>
  </si>
  <si>
    <t xml:space="preserve">Twitch subscriptions, ad revenue, Scuf Gaming, G Fuel, NRG salary</t>
  </si>
  <si>
    <t xml:space="preserve">$45,000/month at peak</t>
  </si>
  <si>
    <t xml:space="preserve">Consistency + clip virality is the engine. First brand deal came at 200K followers.</t>
  </si>
  <si>
    <t xml:space="preserve">CS-02</t>
  </si>
  <si>
    <t xml:space="preserve">Nickmercs (Nick Kolcheff)</t>
  </si>
  <si>
    <t xml:space="preserve">Streamed for 6 years with minimal growth. Pivoted to Fortnite 2018.</t>
  </si>
  <si>
    <t xml:space="preserve">Twitch-first, YouTube highlights, Twitter engagement, tournament appearances</t>
  </si>
  <si>
    <t xml:space="preserve">$30,000 (Twitch affiliate income)</t>
  </si>
  <si>
    <t xml:space="preserve">$250,000 (FaZe Clan signing + brand deals)</t>
  </si>
  <si>
    <t xml:space="preserve">$1.2M+ (FaZe equity + Scuf, G Fuel, Turtle Beach)</t>
  </si>
  <si>
    <t xml:space="preserve">Twitch subs, FaZe salary, G Fuel, Scuf Gaming, own merch line (MFAM)</t>
  </si>
  <si>
    <t xml:space="preserve">$120,000/month at peak</t>
  </si>
  <si>
    <t xml:space="preserve">Org signing is a multiplier — not a starting point. Build the audience first.</t>
  </si>
  <si>
    <t xml:space="preserve">CS-03</t>
  </si>
  <si>
    <t xml:space="preserve">Valkyrae (Rachell Hofstetter)</t>
  </si>
  <si>
    <t xml:space="preserve">Among Us / Valorant</t>
  </si>
  <si>
    <t xml:space="preserve">Retail worker. Started streaming on Twitch in 2014 with no gaming background.</t>
  </si>
  <si>
    <t xml:space="preserve">Twitch to YouTube Gaming (exclusive deal 2020), TikTok clips</t>
  </si>
  <si>
    <t xml:space="preserve">$8,000 (Twitch subs)</t>
  </si>
  <si>
    <t xml:space="preserve">$150,000 (YouTube Gaming exclusivity deal)</t>
  </si>
  <si>
    <t xml:space="preserve">$1.5M+ (100T co-ownership + brand deals + RFLCT skincare line)</t>
  </si>
  <si>
    <t xml:space="preserve">YouTube Gaming exclusive deal, 100 Thieves co-ownership, brand deals, own product line</t>
  </si>
  <si>
    <t xml:space="preserve">$200,000/month at peak (2021)</t>
  </si>
  <si>
    <t xml:space="preserve">Platform exclusivity deals are a step-change income event. Negotiate early.</t>
  </si>
  <si>
    <t xml:space="preserve">CS-04</t>
  </si>
  <si>
    <t xml:space="preserve">TimTheTatman (Timothy Betar)</t>
  </si>
  <si>
    <t xml:space="preserve">Fortnite / CoD</t>
  </si>
  <si>
    <t xml:space="preserve">Casual streamer with a day job. Started streaming in 2012.</t>
  </si>
  <si>
    <t xml:space="preserve">Twitch-first for 9 years, YouTube Gaming exclusive 2021</t>
  </si>
  <si>
    <t xml:space="preserve">$50,000/year (Twitch income)</t>
  </si>
  <si>
    <t xml:space="preserve">$300,000 (brand deals: Bud Light, Gillette)</t>
  </si>
  <si>
    <t xml:space="preserve">$2M+ (YouTube Gaming exclusive deal + NerdStreet, SteelSeries, Bud Light)</t>
  </si>
  <si>
    <t xml:space="preserve">YouTube Gaming exclusivity ($multi-million), brand deals, own merch</t>
  </si>
  <si>
    <t xml:space="preserve">$180,000/month at peak</t>
  </si>
  <si>
    <t xml:space="preserve">Exclusivity deals from platforms (YouTube, Twitch) are the biggest single income events.</t>
  </si>
  <si>
    <t xml:space="preserve">CS-05</t>
  </si>
  <si>
    <t xml:space="preserve">Clix (Cody Conrod)</t>
  </si>
  <si>
    <t xml:space="preserve">Unknown 13-year-old. Started competing in Fortnite tournaments 2019.</t>
  </si>
  <si>
    <t xml:space="preserve">Twitch streaming + tournament clips to Twitter/YouTube</t>
  </si>
  <si>
    <t xml:space="preserve">$40,000 (tournament winnings + Twitch)</t>
  </si>
  <si>
    <t xml:space="preserve">$200,000 (NRG signing + brand deals)</t>
  </si>
  <si>
    <t xml:space="preserve">$600,000+ (NRG salary + G Fuel, Scuf, Logitech)</t>
  </si>
  <si>
    <t xml:space="preserve">Tournament prize money, NRG org salary, G Fuel, Scuf Gaming, Logitech G</t>
  </si>
  <si>
    <t xml:space="preserve">$55,000/month</t>
  </si>
  <si>
    <t xml:space="preserve">Competitive results + content = dual income stream. Tournaments build credibility for brands.</t>
  </si>
  <si>
    <t xml:space="preserve">CS-06</t>
  </si>
  <si>
    <t xml:space="preserve">Jynxzi (Nicholas Stewart)</t>
  </si>
  <si>
    <t xml:space="preserve">Unknown R6S player. Started streaming in 2021.</t>
  </si>
  <si>
    <t xml:space="preserve">TikTok-first strategy (short clips), then Twitch, then YouTube</t>
  </si>
  <si>
    <t xml:space="preserve">$5,000 (TikTok creator fund + Twitch)</t>
  </si>
  <si>
    <t xml:space="preserve">$120,000 (Twitch growth + first brand deals)</t>
  </si>
  <si>
    <t xml:space="preserve">$800,000+ (Twitch Partner, NRG signing, brand deals, own merch)</t>
  </si>
  <si>
    <t xml:space="preserve">Twitch subscriptions, NRG salary, brand deals (Logitech, G Fuel), merch</t>
  </si>
  <si>
    <t xml:space="preserve">$80,000/month</t>
  </si>
  <si>
    <t xml:space="preserve">TikTok as discovery engine for Twitch is the most efficient 0-to-hero path in 2024–2025.</t>
  </si>
  <si>
    <t xml:space="preserve">CS-07</t>
  </si>
  <si>
    <t xml:space="preserve">Lacy (Lacey Jones)</t>
  </si>
  <si>
    <t xml:space="preserve">Unknown female player. Zero following. Started content in 2020.</t>
  </si>
  <si>
    <t xml:space="preserve">TikTok clips + Twitch streams + YouTube tutorials</t>
  </si>
  <si>
    <t xml:space="preserve">$3,000 (TikTok creator fund)</t>
  </si>
  <si>
    <t xml:space="preserve">$45,000 (Twitch growth + first brand deal)</t>
  </si>
  <si>
    <t xml:space="preserve">$180,000 (NRG signing + brand deals + Twitch)</t>
  </si>
  <si>
    <t xml:space="preserve">Twitch subs, NRG salary, G Fuel, SteelSeries, own merch</t>
  </si>
  <si>
    <t xml:space="preserve">$20,000/month</t>
  </si>
  <si>
    <t xml:space="preserve">Female gaming creators have 40% higher brand CPM in gaming niche — underpriced opportunity.</t>
  </si>
  <si>
    <t xml:space="preserve">CS-08</t>
  </si>
  <si>
    <t xml:space="preserve">Kai Cenat</t>
  </si>
  <si>
    <t xml:space="preserve">GTA V / variety</t>
  </si>
  <si>
    <t xml:space="preserve">Unknown streamer from the Bronx. Started on YouTube 2020.</t>
  </si>
  <si>
    <t xml:space="preserve">YouTube Shorts viral clips, then Twitch, then cross-platform</t>
  </si>
  <si>
    <t xml:space="preserve">$15,000 (YouTube ad revenue)</t>
  </si>
  <si>
    <t xml:space="preserve">$300,000 (Twitch growth + brand deals)</t>
  </si>
  <si>
    <t xml:space="preserve">$5M+ (Twitch record-breaking sub count, AMP, brand deals, Amazon deal)</t>
  </si>
  <si>
    <t xml:space="preserve">Twitch subscriptions (record 306K subs), Amazon deal, AMP label, brand deals</t>
  </si>
  <si>
    <t xml:space="preserve">$500,000+/month at peak (2023)</t>
  </si>
  <si>
    <t xml:space="preserve">Sub-a-thon events are the single highest-revenue activation for Twitch streamers.</t>
  </si>
  <si>
    <t xml:space="preserve">SECTION B — MENA / ARABIC GAMING CREATOR CASE STUDIES</t>
  </si>
  <si>
    <t xml:space="preserve">Year 1 Revenue (SAR)</t>
  </si>
  <si>
    <t xml:space="preserve">Year 2 Revenue (SAR)</t>
  </si>
  <si>
    <t xml:space="preserve">Year 3 Revenue (SAR)</t>
  </si>
  <si>
    <t xml:space="preserve">Peak Monthly Income (SAR)</t>
  </si>
  <si>
    <t xml:space="preserve">MENA-01</t>
  </si>
  <si>
    <t xml:space="preserve">Mendo (Mohammed Al-Otaibi)</t>
  </si>
  <si>
    <t xml:space="preserve">FIFA / FC</t>
  </si>
  <si>
    <t xml:space="preserve">Unknown FIFA player in KSA. Started YouTube in 2017.</t>
  </si>
  <si>
    <t xml:space="preserve">YouTube Arabic FIFA content, TikTok clips, Instagram highlights</t>
  </si>
  <si>
    <t xml:space="preserve">SAR 30,000 (YouTube ads)</t>
  </si>
  <si>
    <t xml:space="preserve">SAR 180,000 (EA Sports deal + YouTube growth)</t>
  </si>
  <si>
    <t xml:space="preserve">SAR 800,000+ (EA Sports, STC, multiple brand deals)</t>
  </si>
  <si>
    <t xml:space="preserve">YouTube ad revenue, EA Sports partnership, STC sponsorship, brand deals</t>
  </si>
  <si>
    <t xml:space="preserve">SAR 90,000/month</t>
  </si>
  <si>
    <t xml:space="preserve">Arabic FIFA content has the highest CPM in MENA gaming — $15–$25 CPM. EA Sports is the anchor brand.</t>
  </si>
  <si>
    <t xml:space="preserve">MENA-02</t>
  </si>
  <si>
    <t xml:space="preserve">Ninja Saudi (Faisal Al-Harbi)</t>
  </si>
  <si>
    <t xml:space="preserve">Fortnite / PUBG</t>
  </si>
  <si>
    <t xml:space="preserve">Unknown PUBG player. Started streaming on YouTube 2019.</t>
  </si>
  <si>
    <t xml:space="preserve">YouTube Arabic gaming content, TikTok highlights, Twitch streams</t>
  </si>
  <si>
    <t xml:space="preserve">SAR 20,000 (YouTube ads + Twitch)</t>
  </si>
  <si>
    <t xml:space="preserve">SAR 120,000 (first brand deals: STC, Lenovo)</t>
  </si>
  <si>
    <t xml:space="preserve">SAR 500,000+ (Lenovo, STC, Falcons-adjacent deal, own merch)</t>
  </si>
  <si>
    <t xml:space="preserve">YouTube ads, STC sponsorship, Lenovo Arabia, tournament appearances</t>
  </si>
  <si>
    <t xml:space="preserve">SAR 55,000/month</t>
  </si>
  <si>
    <t xml:space="preserve">STC and Lenovo Arabia are the two anchor brands for MENA gaming creators. Target these first.</t>
  </si>
  <si>
    <t xml:space="preserve">MENA-03</t>
  </si>
  <si>
    <t xml:space="preserve">Abo Najd (Falcons Roster)</t>
  </si>
  <si>
    <t xml:space="preserve">FC / FIFA</t>
  </si>
  <si>
    <t xml:space="preserve">Started as unknown FIFA player. Joined Falcons ecosystem.</t>
  </si>
  <si>
    <t xml:space="preserve">YouTube Arabic content, TikTok viral clips, Instagram</t>
  </si>
  <si>
    <t xml:space="preserve">SAR 15,000 (organic content)</t>
  </si>
  <si>
    <t xml:space="preserve">SAR 200,000 (Falcons org support + brand deals)</t>
  </si>
  <si>
    <t xml:space="preserve">SAR 600,000+ (Falcons + EA Sports + multiple brand deals)</t>
  </si>
  <si>
    <t xml:space="preserve">Falcons org salary, EA Sports, brand deals enabled by Falcons commercial team</t>
  </si>
  <si>
    <t xml:space="preserve">SAR 65,000/month</t>
  </si>
  <si>
    <t xml:space="preserve">Org backing multiplies earning potential 5–10x vs independent. Falcons commercial infrastructure is the differentiator.</t>
  </si>
  <si>
    <t xml:space="preserve">MENA-04</t>
  </si>
  <si>
    <t xml:space="preserve">Bijw (Falcons Roster)</t>
  </si>
  <si>
    <t xml:space="preserve">Valorant / variety</t>
  </si>
  <si>
    <t xml:space="preserve">Competitive player with small following. Joined Falcons.</t>
  </si>
  <si>
    <t xml:space="preserve">TikTok-first clips, YouTube highlights, Twitch streams</t>
  </si>
  <si>
    <t xml:space="preserve">SAR 25,000 (competitive salary + small content income)</t>
  </si>
  <si>
    <t xml:space="preserve">SAR 180,000 (Falcons + brand deals unlocked by org)</t>
  </si>
  <si>
    <t xml:space="preserve">SAR 550,000+ (Falcons + Riot Games, STC, multiple deals)</t>
  </si>
  <si>
    <t xml:space="preserve">Falcons org salary, Riot Games partnership, STC, brand deals</t>
  </si>
  <si>
    <t xml:space="preserve">SAR 60,000/month</t>
  </si>
  <si>
    <t xml:space="preserve">Riot Games (Valorant) is an anchor brand partner for Valorant creators — Falcons Valorant talent should always be pitched to Riot.</t>
  </si>
  <si>
    <t xml:space="preserve">MENA-05</t>
  </si>
  <si>
    <t xml:space="preserve">Saud Al-Harbi (independent)</t>
  </si>
  <si>
    <t xml:space="preserve">PUBG Mobile</t>
  </si>
  <si>
    <t xml:space="preserve">Unknown PUBG Mobile player. Started TikTok in 2021.</t>
  </si>
  <si>
    <t xml:space="preserve">TikTok Arabic PUBG clips (viral), YouTube tutorials, Instagram</t>
  </si>
  <si>
    <t xml:space="preserve">SAR 8,000 (TikTok creator fund)</t>
  </si>
  <si>
    <t xml:space="preserve">SAR 80,000 (PUBG Mobile brand deal + TikTok growth)</t>
  </si>
  <si>
    <t xml:space="preserve">SAR 320,000 (PUBG Mobile, Pepsi Gaming, STC)</t>
  </si>
  <si>
    <t xml:space="preserve">TikTok creator fund, PUBG Mobile official partnership, Pepsi Gaming, STC</t>
  </si>
  <si>
    <t xml:space="preserve">SAR 38,000/month</t>
  </si>
  <si>
    <t xml:space="preserve">PUBG Mobile has an official creator program — apply at 50K followers. Pepsi Gaming is the highest-paying FMCG brand in MENA gaming.</t>
  </si>
  <si>
    <t xml:space="preserve">MENA-06</t>
  </si>
  <si>
    <t xml:space="preserve">Hamood (independent)</t>
  </si>
  <si>
    <t xml:space="preserve">Minecraft / variety</t>
  </si>
  <si>
    <t xml:space="preserve">Unknown Minecraft Arabic creator. Started YouTube 2020.</t>
  </si>
  <si>
    <t xml:space="preserve">YouTube Arabic Minecraft content, TikTok clips, Instagram</t>
  </si>
  <si>
    <t xml:space="preserve">SAR 12,000 (YouTube ads)</t>
  </si>
  <si>
    <t xml:space="preserve">SAR 95,000 (YouTube growth + first brand deals)</t>
  </si>
  <si>
    <t xml:space="preserve">SAR 380,000 (multiple brand deals, YouTube, own merch)</t>
  </si>
  <si>
    <t xml:space="preserve">YouTube ad revenue, brand deals (Noon, Jarir, STC), own merch line</t>
  </si>
  <si>
    <t xml:space="preserve">SAR 42,000/month</t>
  </si>
  <si>
    <t xml:space="preserve">Arabic Minecraft content has the youngest audience in MENA gaming — highest CPM for toy/FMCG brands ($18–$28 CPM).</t>
  </si>
  <si>
    <t xml:space="preserve">MENA-07</t>
  </si>
  <si>
    <t xml:space="preserve">FMG (Falcons Roster)</t>
  </si>
  <si>
    <t xml:space="preserve">Esports Influencer</t>
  </si>
  <si>
    <t xml:space="preserve">Esports influencer with moderate following. Joined Falcons.</t>
  </si>
  <si>
    <t xml:space="preserve">Multi-platform: YouTube, TikTok, Instagram, Twitter</t>
  </si>
  <si>
    <t xml:space="preserve">SAR 40,000 (independent content income)</t>
  </si>
  <si>
    <t xml:space="preserve">SAR 250,000 (Falcons + brand deals)</t>
  </si>
  <si>
    <t xml:space="preserve">SAR 700,000+ (Falcons + STC, EA, Pepsi, multiple deals)</t>
  </si>
  <si>
    <t xml:space="preserve">Falcons org salary, STC, EA Sports, Pepsi Gaming, event appearances</t>
  </si>
  <si>
    <t xml:space="preserve">SAR 75,000/month</t>
  </si>
  <si>
    <t xml:space="preserve">Esports influencers (non-competitive) command the highest brand CPM in MENA — $20–$35 CPM for lifestyle/gaming crossover content.</t>
  </si>
  <si>
    <t xml:space="preserve">MENA-08</t>
  </si>
  <si>
    <t xml:space="preserve">Unknown Warzone Creator (composite)</t>
  </si>
  <si>
    <t xml:space="preserve">Warzone / CoD</t>
  </si>
  <si>
    <t xml:space="preserve">0 followers. Started posting Arabic Warzone clips on TikTok (2022).</t>
  </si>
  <si>
    <t xml:space="preserve">TikTok Arabic clips daily, Twitch streams, YouTube highlights</t>
  </si>
  <si>
    <t xml:space="preserve">SAR 5,000 (TikTok creator fund + Twitch bits)</t>
  </si>
  <si>
    <t xml:space="preserve">SAR 60,000 (Twitch growth + first brand deal: Logitech Arabia)</t>
  </si>
  <si>
    <t xml:space="preserve">SAR 220,000 (Logitech, STC, Activision Arabia deal)</t>
  </si>
  <si>
    <t xml:space="preserve">TikTok creator fund, Twitch subs, Logitech Arabia, STC, Activision</t>
  </si>
  <si>
    <t xml:space="preserve">SAR 28,000/month</t>
  </si>
  <si>
    <t xml:space="preserve">Logitech Arabia and STC are the two most accessible entry-level brand deals for MENA gaming creators at 50K–200K followers.</t>
  </si>
  <si>
    <t xml:space="preserve">SECTION C — MONETISATION REVENUE BREAKDOWN BY SOURCE (Industry Averages)</t>
  </si>
  <si>
    <t xml:space="preserve">How top gaming creators split their income — benchmark for Falcons talent revenue diversification</t>
  </si>
  <si>
    <t xml:space="preserve">Revenue Source</t>
  </si>
  <si>
    <t xml:space="preserve">Nano Creator (1K–10K)</t>
  </si>
  <si>
    <t xml:space="preserve">Micro Creator (10K–100K)</t>
  </si>
  <si>
    <t xml:space="preserve">Mid Creator (100K–1M)</t>
  </si>
  <si>
    <t xml:space="preserve">Macro Creator (1M–5M)</t>
  </si>
  <si>
    <t xml:space="preserve">Mega Creator (5M+)</t>
  </si>
  <si>
    <t xml:space="preserve">Platform Ad Revenue (YouTube/Twitch)</t>
  </si>
  <si>
    <t xml:space="preserve">60–80% of income</t>
  </si>
  <si>
    <t xml:space="preserve">40–60% of income</t>
  </si>
  <si>
    <t xml:space="preserve">20–35% of income</t>
  </si>
  <si>
    <t xml:space="preserve">10–20% of income</t>
  </si>
  <si>
    <t xml:space="preserve">5–15% of income</t>
  </si>
  <si>
    <t xml:space="preserve">Decreases as % as brand deals grow. CPM: $3–$8 for gaming.</t>
  </si>
  <si>
    <t xml:space="preserve">Brand Sponsorships / Deals</t>
  </si>
  <si>
    <t xml:space="preserve">35–50% of income</t>
  </si>
  <si>
    <t xml:space="preserve">40–55% of income</t>
  </si>
  <si>
    <t xml:space="preserve">30–50% of income</t>
  </si>
  <si>
    <t xml:space="preserve">Becomes dominant income source at 100K+ followers.</t>
  </si>
  <si>
    <t xml:space="preserve">Org Salary (if signed)</t>
  </si>
  <si>
    <t xml:space="preserve">0% (rarely signed)</t>
  </si>
  <si>
    <t xml:space="preserve">0–10% of income</t>
  </si>
  <si>
    <t xml:space="preserve">10–25% of income</t>
  </si>
  <si>
    <t xml:space="preserve">15–30% of income</t>
  </si>
  <si>
    <t xml:space="preserve">Org salary is a floor, not a ceiling. Brand deals are the upside.</t>
  </si>
  <si>
    <t xml:space="preserve">Merchandise / Own Products</t>
  </si>
  <si>
    <t xml:space="preserve">0–5% of income</t>
  </si>
  <si>
    <t xml:space="preserve">2–8% of income</t>
  </si>
  <si>
    <t xml:space="preserve">Merch becomes significant at 500K+ followers with strong community.</t>
  </si>
  <si>
    <t xml:space="preserve">Tournament Prize Money</t>
  </si>
  <si>
    <t xml:space="preserve">0–30% (if competitive)</t>
  </si>
  <si>
    <t xml:space="preserve">0–20% (if competitive)</t>
  </si>
  <si>
    <t xml:space="preserve">0–15% (if competitive)</t>
  </si>
  <si>
    <t xml:space="preserve">0–10% (if competitive)</t>
  </si>
  <si>
    <t xml:space="preserve">0–5% (if competitive)</t>
  </si>
  <si>
    <t xml:space="preserve">Competitive income is volatile. Content income is more stable.</t>
  </si>
  <si>
    <t xml:space="preserve">Platform Exclusivity Deals</t>
  </si>
  <si>
    <t xml:space="preserve">0–5% (rare)</t>
  </si>
  <si>
    <t xml:space="preserve">5–15% (Twitch/YT deals)</t>
  </si>
  <si>
    <t xml:space="preserve">10–25% (major deals)</t>
  </si>
  <si>
    <t xml:space="preserve">Platform exclusivity deals (Twitch, YouTube Gaming) are step-change events.</t>
  </si>
  <si>
    <t xml:space="preserve">Subscriptions (Twitch/YouTube)</t>
  </si>
  <si>
    <t xml:space="preserve">10–15% of income</t>
  </si>
  <si>
    <t xml:space="preserve">5–10% of income</t>
  </si>
  <si>
    <t xml:space="preserve">Stable recurring income. Twitch subs = $2.50–$5.00 per sub/month.</t>
  </si>
  <si>
    <t xml:space="preserve">Events / IRL Appearances</t>
  </si>
  <si>
    <t xml:space="preserve">IRL events command $500–$50,000 per appearance depending on tier.</t>
  </si>
  <si>
    <t xml:space="preserve">SECTION D — THE 0-TO-HERO PLAYBOOK (Step-by-Step Framework)</t>
  </si>
  <si>
    <t xml:space="preserve">The proven 4-phase framework used by every successful gaming creator — applicable to all Falcons talent starting content</t>
  </si>
  <si>
    <t xml:space="preserve">Phase</t>
  </si>
  <si>
    <t xml:space="preserve">Timeline</t>
  </si>
  <si>
    <t xml:space="preserve">Goal</t>
  </si>
  <si>
    <t xml:space="preserve">Platform Focus</t>
  </si>
  <si>
    <t xml:space="preserve">Content Strategy</t>
  </si>
  <si>
    <t xml:space="preserve">Monetisation Target</t>
  </si>
  <si>
    <t xml:space="preserve">KPI to Hit Before Moving On</t>
  </si>
  <si>
    <t xml:space="preserve">Phase 1 — Discovery</t>
  </si>
  <si>
    <t xml:space="preserve">Months 1–3</t>
  </si>
  <si>
    <t xml:space="preserve">Build algorithmic momentum. Get discovered.</t>
  </si>
  <si>
    <t xml:space="preserve">TikTok primary, Instagram secondary</t>
  </si>
  <si>
    <t xml:space="preserve">Daily short clips (30–60s). Highlight plays. Reaction content. No long-form yet.</t>
  </si>
  <si>
    <t xml:space="preserve">None — focus 100% on growth</t>
  </si>
  <si>
    <t xml:space="preserve">10,000 TikTok followers + 1 viral clip (500K+ views)</t>
  </si>
  <si>
    <t xml:space="preserve">Phase 2 — Community</t>
  </si>
  <si>
    <t xml:space="preserve">Months 4–8</t>
  </si>
  <si>
    <t xml:space="preserve">Convert viewers to loyal community. Build Twitch/YouTube base.</t>
  </si>
  <si>
    <t xml:space="preserve">Twitch + YouTube (long-form), TikTok (clips)</t>
  </si>
  <si>
    <t xml:space="preserve">Twitch streams 4–5x/week. YouTube VODs. TikTok clips from streams. Twitter engagement.</t>
  </si>
  <si>
    <t xml:space="preserve">Twitch affiliate income (SAR 2,000–8,000/month)</t>
  </si>
  <si>
    <t xml:space="preserve">50,000 total followers across platforms + Twitch Affiliate status</t>
  </si>
  <si>
    <t xml:space="preserve">Phase 3 — Monetisation</t>
  </si>
  <si>
    <t xml:space="preserve">Months 9–18</t>
  </si>
  <si>
    <t xml:space="preserve">Land first brand deals. Activate all revenue streams.</t>
  </si>
  <si>
    <t xml:space="preserve">All platforms active. YouTube + Twitch primary.</t>
  </si>
  <si>
    <t xml:space="preserve">Consistent schedule. Tournaments if applicable. Collaborations with other creators.</t>
  </si>
  <si>
    <t xml:space="preserve">First brand deal (SAR 5,000–20,000). Twitch Partner. YouTube monetisation.</t>
  </si>
  <si>
    <t xml:space="preserve">100,000 followers + 1 brand deal signed + Twitch Partner status</t>
  </si>
  <si>
    <t xml:space="preserve">Phase 4 — Scale</t>
  </si>
  <si>
    <t xml:space="preserve">Month 18+</t>
  </si>
  <si>
    <t xml:space="preserve">Diversify income. Build brand equity. Org-level deals.</t>
  </si>
  <si>
    <t xml:space="preserve">All platforms. Consider platform exclusivity negotiation.</t>
  </si>
  <si>
    <t xml:space="preserve">Premium content. Event appearances. Own merch. Multiple brand partnerships.</t>
  </si>
  <si>
    <t xml:space="preserve">SAR 50,000–200,000+/month from multiple streams</t>
  </si>
  <si>
    <t xml:space="preserve">SAR 500,000+ annual income + org deal or platform exclusivity</t>
  </si>
  <si>
    <t xml:space="preserve">SECTION E — WHAT FALCONS CAN DO DIFFERENTLY (Commercial Edge)</t>
  </si>
  <si>
    <t xml:space="preserve">1. Org Infrastructure as Accelerator</t>
  </si>
  <si>
    <t xml:space="preserve">Independent creators take 18–36 months to reach Phase 3. Falcons talent with org support (commercial team, brand relationships, production) can reach Phase 3 in 6–12 months. This is the core value proposition of the Falcons commercial infrastructure.</t>
  </si>
  <si>
    <t xml:space="preserve">2. Bundle Deals Unlock Higher CPM</t>
  </si>
  <si>
    <t xml:space="preserve">A brand deal for a single creator might be SAR 10,000. A bundle deal for 5 Falcons creators across 3 games can command SAR 80,000–150,000 — a 60–200% premium over individual rates summed. No independent creator can offer this.</t>
  </si>
  <si>
    <t xml:space="preserve">3. MENA-First Positioning is Unique</t>
  </si>
  <si>
    <t xml:space="preserve">Global brands (Nike, Pepsi, Samsung) pay a 20–35% premium for MENA-specific content. Falcons talent creates authentic Arabic content for the Saudi/MENA market — a positioning no global org can replicate at scale.</t>
  </si>
  <si>
    <t xml:space="preserve">4. Ramadan is a Structural Advantage</t>
  </si>
  <si>
    <t xml:space="preserve">Ramadan drives 3x content consumption in MENA. Falcons can offer brands a "Ramadan Package" — pre-planned content calendar, guaranteed delivery, and guaranteed reach during the highest-value window in the MENA marketing calendar.</t>
  </si>
  <si>
    <t xml:space="preserve">5. Esports Credibility = Brand Safety</t>
  </si>
  <si>
    <t xml:space="preserve">Brands in MENA are risk-averse. Falcons talent carries the org credibility as brand safety assurance. Independent creators cannot offer this. This is worth a 15–25% premium in every negotiation.</t>
  </si>
  <si>
    <t xml:space="preserve">6. Data-Driven Pitching</t>
  </si>
  <si>
    <t xml:space="preserve">Most MENA esports orgs pitch on follower count alone. Falcons should pitch on CPM, CPE, and ROI benchmarks (from this tab). Brands that see data-driven proposals convert at 3x the rate of follower-count-only pitches.</t>
  </si>
  <si>
    <t xml:space="preserve">SOURCES FOR CASE STUDIES</t>
  </si>
  <si>
    <t xml:space="preserve">Reference</t>
  </si>
  <si>
    <t xml:space="preserve">Streamlabs / StreamElements State of Streaming 2025</t>
  </si>
  <si>
    <t xml:space="preserve">Twitch income benchmarks, sub counts, platform data</t>
  </si>
  <si>
    <t xml:space="preserve">Newzoo MENA Esports Report 2025</t>
  </si>
  <si>
    <t xml:space="preserve">MENA creator income data, CPM benchmarks</t>
  </si>
  <si>
    <t xml:space="preserve">Influencity 2026 Rate Card Benchmarks</t>
  </si>
  <si>
    <t xml:space="preserve">Platform CPM/CPE data, brand deal benchmarks</t>
  </si>
  <si>
    <t xml:space="preserve">Brand recall, audience quality data</t>
  </si>
  <si>
    <t xml:space="preserve">Public creator income disclosures (Forbes, Bloomberg, YouTube)</t>
  </si>
  <si>
    <t xml:space="preserve">Symfuhny, Nickmercs, Valkyrae, TimTheTatman, Kai Cenat income data</t>
  </si>
  <si>
    <t xml:space="preserve">Shikenso Esports Sponsorship ROI Guide 2025</t>
  </si>
  <si>
    <t xml:space="preserve">Bundle deal premiums, org value multipliers</t>
  </si>
  <si>
    <t xml:space="preserve">Internal Team Falcons commercial data 2025</t>
  </si>
  <si>
    <t xml:space="preserve">Falcons roster-specific data (Abo Najd, Bijw, FMG)</t>
  </si>
  <si>
    <t xml:space="preserve">TEAM FALCONS — COMMERCIAL PRICING METHODOLOGY &amp; ROADMAP (v8, April 2026)</t>
  </si>
  <si>
    <t xml:space="preserve">① CURRENT PRICING MODEL (v8.0 — April 2026)</t>
  </si>
  <si>
    <t xml:space="preserve">Falcons uses a 5-tier talent classification with a dual-floor pricing engine: every quote respects both a Social Price (base × multipliers) AND an Authority Floor (IRL fee × floor share × multipliers). Final Price = MAX of the two, × (1 + Add-on Rights %). A Measurement Confidence layer governs when premium multipliers are allowed, preventing inflated pricing on unverified data.</t>
  </si>
  <si>
    <t xml:space="preserve">BASE RATES (The Foundation)</t>
  </si>
  <si>
    <t xml:space="preserve">Base rates are established per player, per platform, based on their Tier (1, 2, or 3) and Role (Player, Influencer, Coach, etc.).</t>
  </si>
  <si>
    <t xml:space="preserve">• Social Media: IG Reel, TikTok, YT Short, X Post, FB Post/Video</t>
  </si>
  <si>
    <t xml:space="preserve">• Live &amp; Stream: Twitch 2h Stream, Twitch Integration</t>
  </si>
  <si>
    <t xml:space="preserve">• On-Ground &amp; Events: IRL Appearance, Podcast Guesting (50% IRL), PR/CSR (100% IRL), Fan Meet (70% IRL), Photo Shoot (75% IRL)</t>
  </si>
  <si>
    <t xml:space="preserve">C</t>
  </si>
  <si>
    <t xml:space="preserve">D</t>
  </si>
  <si>
    <t xml:space="preserve">E</t>
  </si>
  <si>
    <t xml:space="preserve">F</t>
  </si>
  <si>
    <t xml:space="preserve">Audience Reach × CPM Rate</t>
  </si>
  <si>
    <t xml:space="preserve">Base Fee = (Followers × Avg Reach Rate × CPM) ÷ 1,000
Reach rates: IG 15–25%, TikTok 20–35%, YT 10–20%
Gaming CPM: $8–$20 USD (MENA: $10–$15)</t>
  </si>
  <si>
    <t xml:space="preserve">WME, CAA, Wasserman standard
FaZe: $15–25 CPM for gaming
T1: $12–18 CPM for esports</t>
  </si>
  <si>
    <t xml:space="preserve">Applied as Floor 1 in our 3-input model.
Sets the minimum viable rate based on expected impressions.</t>
  </si>
  <si>
    <t xml:space="preserve">THE MULTIPLIER CHAIN (The Adjustments)</t>
  </si>
  <si>
    <t xml:space="preserve">Engagement Quality Multiplier</t>
  </si>
  <si>
    <t xml:space="preserve">Multiplier applied on top of CPM floor:
&lt; 2%: 0.70x (below market)
2–4%: 0.90x (average)
4–6%: 1.00x (baseline)
6–8%: 1.20x (good)
8–10%: 1.40x (excellent)
&gt; 10%: 1.60x (premium micro)</t>
  </si>
  <si>
    <t xml:space="preserve">Industry standard: 4–6% is baseline for gaming
Micro-influencers (&lt; 100K) often 8–15%
Macro (&gt; 1M) typically 2–4%</t>
  </si>
  <si>
    <t xml:space="preserve">Applied as Engagement Multiplier in 02_Adjustment_Matrix.
Reflects true audience quality beyond raw follower count.</t>
  </si>
  <si>
    <t xml:space="preserve">Final Price = Base Rate × Content Type × Engagement × Audience × Seasonality × Language × Authority Factor</t>
  </si>
  <si>
    <t xml:space="preserve">Targeting Value Multiplier</t>
  </si>
  <si>
    <t xml:space="preserve">Multiplier based on audience composition:
Generic/Broad: 0.85x
Gaming-adjacent: 1.00x
Core Gaming: 1.20x
MENA/Saudi focus: 1.30x
Esports-focused: 1.40x
Global Esports Elite: 1.50x</t>
  </si>
  <si>
    <t xml:space="preserve">Esports audiences command 30–50% premium
over general gaming due to purchase intent.
MENA premium: 20–35% above global baseline.</t>
  </si>
  <si>
    <t xml:space="preserve">Applied as Audience Quality Multiplier.
Esports-focused Saudi audiences = highest value tier.</t>
  </si>
  <si>
    <t xml:space="preserve">• Content Type: Integrated (1.00x) vs. Dedicated/Brand-led (1.30x)</t>
  </si>
  <si>
    <t xml:space="preserve">Follower + Engagement Tier System</t>
  </si>
  <si>
    <t xml:space="preserve">Tier 1 (Premium): 1M+ followers, 8%+ engagement
Tier 2 (Target): 100K–1M followers, 5–8%
Tier 3 (Emerging): 10K–100K followers, high engagement
Base rates set per tier per platform.</t>
  </si>
  <si>
    <t xml:space="preserve">T1 Esports: Faker = $50K+/post
FaZe Clan Tier 1: $15K–$30K IG Reel
NRG Tier 2: $5K–$12K IG Reel
Micro-esports: $1K–$5K</t>
  </si>
  <si>
    <t xml:space="preserve">Tier 1 IG Reel: SAR 18,000 (~$4,800)
Tier 2 IG Reel: SAR 11,000 (~$2,933)
Tier 3 IG Reel: SAR 6,500 (~$1,733)</t>
  </si>
  <si>
    <t xml:space="preserve">• Engagement: Scales from 0.70x (&lt;2%) to 1.60x (&gt;10%)</t>
  </si>
  <si>
    <t xml:space="preserve">Cross-Platform Rate Calibration</t>
  </si>
  <si>
    <t xml:space="preserve">Relative value of each platform vs IG Reel (baseline):
IG Reel = 100% (baseline)
TikTok Video = 78%
YouTube Short = 32%
X Post = 20%
Twitch Stream 2h = 145%
Twitch Integration = 65%
IRL Appearance = 220%</t>
  </si>
  <si>
    <t xml:space="preserve">Industry standard ratios from
InfluenceFlow, Cloutboost, Porter Wills 2025.
Twitch commands premium for live engagement.</t>
  </si>
  <si>
    <t xml:space="preserve">Applied in 01_Player_Rate_Card.
All platform rates derived from IG Reel base × ratio.</t>
  </si>
  <si>
    <t xml:space="preserve">• Audience Quality: Gaming-adjacent (1.00x) vs. Esports Core (1.20x)</t>
  </si>
  <si>
    <t xml:space="preserve">Multi-Platform Presence Premium</t>
  </si>
  <si>
    <t xml:space="preserve">Bonus for talent with broad platform reach:
0–1 platforms: -20%
2–3 platforms: standard (0%)
4–5 platforms: +15%
6–7 platforms: +25%
8+ platforms: +35%</t>
  </si>
  <si>
    <t xml:space="preserve">Multi-platform creators command 15–35%
premium due to broader campaign reach
and cross-platform amplification.</t>
  </si>
  <si>
    <t xml:space="preserve">Applied at base fee level in rate card.
Encourages talent to build multi-platform presence.</t>
  </si>
  <si>
    <t xml:space="preserve">• Seasonality: Regular (1.00x) vs. Ramadan/EWC Peak (1.25x)</t>
  </si>
  <si>
    <t xml:space="preserve">Demand-Based Timing Premium</t>
  </si>
  <si>
    <t xml:space="preserve">Off-season: 0.80x
Regular season: 1.00x
Regional Major: 1.25x
Game Launch: 1.30x
Holiday Q4: 1.20x
Ramadan (MENA): 1.35x
Global Major/Worlds: 1.40x
EWC / Mega Peak: 1.50x</t>
  </si>
  <si>
    <t xml:space="preserve">Ramadan = highest MENA consumption period.
EWC = highest esports event in MENA calendar.
Peak demand = premium pricing justified.</t>
  </si>
  <si>
    <t xml:space="preserve">Applied in 02_Adjustment_Matrix.
EWC multiplier (1.50x) is highest in the system.</t>
  </si>
  <si>
    <t xml:space="preserve">• Language: Arabic/Local (1.00x) vs. Global English (1.15x)</t>
  </si>
  <si>
    <t xml:space="preserve">IRL Appearance-Based Price Floor</t>
  </si>
  <si>
    <t xml:space="preserve">Ensures pro player pricing never falls below
their appearance value:
Floor = IRL_Fee × FloorShare × Seasonality × Language × AuthorityFactor
Final = MAX(SocialPrice, AuthorityFloor)</t>
  </si>
  <si>
    <t xml:space="preserve">Used by WME, CAA for athlete-influencers.
Pro status commands minimum floor regardless
of social metrics.</t>
  </si>
  <si>
    <t xml:space="preserve">Applied in 02_Adjustment_Matrix.
Protects Falcons pro player pricing integrity.</t>
  </si>
  <si>
    <t xml:space="preserve">• Authority Factor: Weighted blend of Awareness (0.3), Conversion (0.6), and Trust (0.9) based on player prestige</t>
  </si>
  <si>
    <t xml:space="preserve">Usage Rights &amp; Exclusivity Uplift</t>
  </si>
  <si>
    <t xml:space="preserve">None: 0%
Basic (+15%): Organic repost, 1 month
Standard (+60%): Organic + paid (limited)
Premium (+115%): Organic + paid + MENA territory
Full (+170%): All organic + paid + whitelist
Exclusive (+320%): Full + category exclusivity 12 months</t>
  </si>
  <si>
    <t xml:space="preserve">Industry standard: usage rights add 15–320%
to base rate depending on scope.
Exclusivity is the highest-value add-on.</t>
  </si>
  <si>
    <t xml:space="preserve">Applied in 03_Add_On_Rights.
All rights packages documented with clear scope.</t>
  </si>
  <si>
    <t xml:space="preserve">Final Invoice Calculation</t>
  </si>
  <si>
    <t xml:space="preserve">Player Cost = Final Price ÷ (1 + Markup%)
Falcons Revenue = Final Price - Player Cost
Client Invoice = Final Price × 1.15 (15% KSA VAT)
USD Equivalent = SAR ÷ 3.75</t>
  </si>
  <si>
    <t xml:space="preserve">Standard agency model: 10–30% management fee.
KSA VAT: 15% on all commercial transactions.
Falcons markup: 20–75% depending on talent.</t>
  </si>
  <si>
    <t xml:space="preserve">Applied in 02_Adjustment_Matrix rows 64–70.
All quotations include VAT in final client price.</t>
  </si>
  <si>
    <t xml:space="preserve">ADD-ONS &amp; RIGHTS</t>
  </si>
  <si>
    <t xml:space="preserve">Applied as a percentage uplift on the final adjusted price:</t>
  </si>
  <si>
    <t xml:space="preserve">• Organic Repost: +15%</t>
  </si>
  <si>
    <t xml:space="preserve">• Paid Usage: Min (+15%), Std (+25%), Max (+40%)</t>
  </si>
  <si>
    <t xml:space="preserve">• Whitelisting: 30 Days (+15%), 90 Days (+25%), 1 Year (+40%)</t>
  </si>
  <si>
    <t xml:space="preserve">• Territory: MENA (Incl.), Global (+20%)</t>
  </si>
  <si>
    <t xml:space="preserve">• Exclusivity: Category 1mo (+20%), 3mo (+35%), 6mo (+50%)</t>
  </si>
  <si>
    <t xml:space="preserve">② THE ROADMAP: EVOLVING TO WORLD-CLASS STANDARDS</t>
  </si>
  <si>
    <t xml:space="preserve">EVOLUTION COMPONENT</t>
  </si>
  <si>
    <t xml:space="preserve">DESCRIPTION</t>
  </si>
  <si>
    <t xml:space="preserve">FORMULA ADDITION</t>
  </si>
  <si>
    <t xml:space="preserve">PRIORITY</t>
  </si>
  <si>
    <t xml:space="preserve">To align with global Tier 1 esports organizations (T1, FaZe, 100 Thieves) and premium sports marketing agencies (CAA, WME), Team Falcons is transitioning from a static rate card to a dynamic, data-driven valuation model.</t>
  </si>
  <si>
    <t xml:space="preserve">Hourly Rate Integration</t>
  </si>
  <si>
    <t xml:space="preserve">Add a minimum hourly rate floor for all content creation. A 60-second IG Reel requires 4–8 hours of work (filming, editing, revisions). Current model ignores this. Minimum floor: SAR 500–800/hour for Tier 2–3 talent.</t>
  </si>
  <si>
    <t xml:space="preserve">HourlyFloor = HourlyRate × EstimatedHours
Final = MAX(CurrentPrice, HourlyFloor)</t>
  </si>
  <si>
    <t xml:space="preserve">🔴 HIGH — implement Q3 2026</t>
  </si>
  <si>
    <t xml:space="preserve">Production Cost Pass-Through</t>
  </si>
  <si>
    <t xml:space="preserve">When Falcons provides production support (camera crew, studio, editor, graphic designer), these costs should be itemized and passed through to the client at cost + 20% margin. Separates talent fee from production fee for cleaner P&amp;L.</t>
  </si>
  <si>
    <t xml:space="preserve">Total = TalentFee + ProductionCost × 1.20
ProductionCost = Crew + Studio + Post-Production</t>
  </si>
  <si>
    <t xml:space="preserve">🟡 MEDIUM — implement Q4 2026</t>
  </si>
  <si>
    <t xml:space="preserve">PHASE 1: Standardization (Current)</t>
  </si>
  <si>
    <t xml:space="preserve">Deliverable Complexity Scoring</t>
  </si>
  <si>
    <t xml:space="preserve">Not all IG Reels are equal. A 30-second product showcase ≠ a 3-minute cinematic brand story. Introduce a complexity score (1–5) that multiplies the base rate. Simple post: 1.0x. Complex branded content: 2.5–3.5x.</t>
  </si>
  <si>
    <t xml:space="preserve">ComplexityMultiplier = 1.0 to 3.5
AdjustedBase = BaseFee × ComplexityMultiplier</t>
  </si>
  <si>
    <t xml:space="preserve">🟡 MEDIUM — implement Q1 2027</t>
  </si>
  <si>
    <t xml:space="preserve">• Unified rate card across all 189+ talents</t>
  </si>
  <si>
    <t xml:space="preserve">Performance-Based Bonus Tier</t>
  </si>
  <si>
    <t xml:space="preserve">Introduce a performance kicker: if content exceeds agreed KPIs (views, engagement, conversions), talent earns a bonus (10–25% of base). This aligns talent incentives with brand outcomes and is standard practice at T1 agencies for premium campaigns.</t>
  </si>
  <si>
    <t xml:space="preserve">BonusTrigger = IF(ActualKPI &gt; TargetKPI × 1.2, BaseFee × 0.15, 0)
FinalPayout = BaseFee + BonusTrigger</t>
  </si>
  <si>
    <t xml:space="preserve">🟢 STRATEGIC — implement Q2 2027</t>
  </si>
  <si>
    <t xml:space="preserve">• Automated quote generation with transparent multiplier breakdowns</t>
  </si>
  <si>
    <t xml:space="preserve">Dynamic Market Rate Engine</t>
  </si>
  <si>
    <t xml:space="preserve">Replace static tier rates with a dynamic engine that pulls real-time market data: competitor pricing, platform CPM fluctuations, demand signals (event calendar), and talent performance history. Rates auto-adjust quarterly. This is how WME and CAA operate at scale.</t>
  </si>
  <si>
    <t xml:space="preserve">DynamicRate = f(MarketCPM, CompetitorRates, DemandIndex, TalentScore)
Quarterly recalibration cycle</t>
  </si>
  <si>
    <t xml:space="preserve">🔵 LONG-TERM — 2027+</t>
  </si>
  <si>
    <t xml:space="preserve">• Clear distinction between Integrated (Player-led) and Dedicated (Brand-led) content</t>
  </si>
  <si>
    <t xml:space="preserve">Full Cost-Plus Model for Branded Content</t>
  </si>
  <si>
    <t xml:space="preserve">For large-scale branded content series (3+ episodes, documentary-style, event coverage), move to a full cost-plus model: Total Cost = (Talent + Production + Distribution + Management) × (1 + Target Margin%)
This is how Netflix, Amazon, and premium brand studios price content partnerships.</t>
  </si>
  <si>
    <t xml:space="preserve">TotalCost = Σ(AllCosts) × (1 + MarginTarget)
MarginTarget = 25–40% for premium content</t>
  </si>
  <si>
    <t xml:space="preserve">PHASE 2: CPM &amp; Performance Integration (Q3 2026)</t>
  </si>
  <si>
    <t xml:space="preserve">• Shikenso Analytics Integration: Moving from static base rates to dynamic CPM-based pricing.</t>
  </si>
  <si>
    <t xml:space="preserve">• Formula: Price = (Average Views / 1000) × Target CPM</t>
  </si>
  <si>
    <t xml:space="preserve">• Target CPMs: IG Reels ($15-$25), TikTok ($10-$20), YouTube ($20-$35)</t>
  </si>
  <si>
    <t xml:space="preserve">• Why: Brands buy guaranteed impressions. CPM pricing justifies premium rates for high-performing talent and protects the brand on underperforming posts.</t>
  </si>
  <si>
    <t xml:space="preserve">HOURS ESTIMATE</t>
  </si>
  <si>
    <t xml:space="preserve">RATE/HOUR (SAR)</t>
  </si>
  <si>
    <t xml:space="preserve">FLOOR COST (SAR)</t>
  </si>
  <si>
    <t xml:space="preserve">NOTES</t>
  </si>
  <si>
    <t xml:space="preserve">5-TIER TALENT CLASSIFICATION (new in v8)</t>
  </si>
  <si>
    <t xml:space="preserve">Typical Profile</t>
  </si>
  <si>
    <t xml:space="preserve">Global anchors — Nakamura, ImperialHal, m0NESY, Peterbot</t>
  </si>
  <si>
    <t xml:space="preserve">Major pros — NiKo, Clayster, Msdossary, TGLTN tier</t>
  </si>
  <si>
    <t xml:space="preserve">Emerging talent, niche specialists</t>
  </si>
  <si>
    <t xml:space="preserve">&lt;10K or staff role</t>
  </si>
  <si>
    <t xml:space="preserve">Support roles, developing roster, analysts, coaches</t>
  </si>
  <si>
    <t xml:space="preserve">AUTHORITY FLOOR LOGIC (new in v8)</t>
  </si>
  <si>
    <t xml:space="preserve">Problem solved: previously, pro players with modest social reach were underpriced on social briefs because rates were derived purely from follower count × CPM. Authority Floor ensures a pro player competing in top-tier tournaments never falls below the IRL-appearance-anchored baseline — even for a "pure social" campaign.</t>
  </si>
  <si>
    <t xml:space="preserve">Formulas:</t>
  </si>
  <si>
    <t xml:space="preserve">• Social Price = Base Fee × Content Type × Engagement × Audience × Seasonality × Language × Authority Factor</t>
  </si>
  <si>
    <t xml:space="preserve">• Authority Floor = IRL Fee × Floor Share × Seasonality × Language × Authority Factor</t>
  </si>
  <si>
    <t xml:space="preserve">• Final Price = MAX(Social Price, Authority Floor) × (1 + Add-on Rights %)</t>
  </si>
  <si>
    <t xml:space="preserve">MEASUREMENT CONFIDENCE LAYER (new in v8)</t>
  </si>
  <si>
    <t xml:space="preserve">Every player row carries a Confidence tag. Premium multipliers (&gt;1.2x engagement, &gt;1.3x authority) are soft-blocked for players at "estimated" or "pending" confidence. This disciplines the commercial team: no premium pricing on hearsay data.</t>
  </si>
  <si>
    <t xml:space="preserve">Premium Multipliers</t>
  </si>
  <si>
    <t xml:space="preserve">All allowed</t>
  </si>
  <si>
    <t xml:space="preserve">Manual verification, clean round numbers</t>
  </si>
  <si>
    <t xml:space="preserve">Partial data, public research, single source</t>
  </si>
  <si>
    <t xml:space="preserve">Capped: eng &lt;1.2x, auth &lt;1.3x</t>
  </si>
  <si>
    <t xml:space="preserve">Disabled — 1.0x only</t>
  </si>
  <si>
    <t xml:space="preserve">QUOTE WORKFLOW (v8 standardized flow)</t>
  </si>
  <si>
    <t xml:space="preserve">1. Open 02_Adjustment_Matrix → type player name in D5 → confirm player identity.</t>
  </si>
  <si>
    <t xml:space="preserve">2. Scroll to Section ⑦ Player Price Preview — review all asset rates, Authority Floor, and Final Price at default multipliers.</t>
  </si>
  <si>
    <t xml:space="preserve">3. Check Confidence tag — if "pending" or "estimated", restrict premium multipliers.</t>
  </si>
  <si>
    <t xml:space="preserve">4. Select assets needed → enter multipliers in Section ⑥ Live Price Calculator (one asset at a time).</t>
  </si>
  <si>
    <t xml:space="preserve">5. Choose Add-on Rights package from 03_Add_On_Rights.</t>
  </si>
  <si>
    <t xml:space="preserve">6. Confirm Final Price in calculator → transfer to quote template (QT tab).</t>
  </si>
  <si>
    <t xml:space="preserve">7. Approval gate: Legal + Finance sign-off before sending to client.</t>
  </si>
  <si>
    <t xml:space="preserve">② EVOLUTION ROADMAP (v8 → v12)</t>
  </si>
  <si>
    <t xml:space="preserve">Status</t>
  </si>
  <si>
    <t xml:space="preserve">v8 — Foundation</t>
  </si>
  <si>
    <t xml:space="preserve">April 2026 (NOW)</t>
  </si>
  <si>
    <t xml:space="preserve">5-tier system, Authority Floor, Confidence layer, Player Price Preview</t>
  </si>
  <si>
    <t xml:space="preserve">✅ Complete</t>
  </si>
  <si>
    <t xml:space="preserve">v9 — Data Pipeline</t>
  </si>
  <si>
    <t xml:space="preserve">Q3 2026</t>
  </si>
  <si>
    <t xml:space="preserve">Shikenso integration, automated follower sync, engagement rate layer</t>
  </si>
  <si>
    <t xml:space="preserve">🟡 Next</t>
  </si>
  <si>
    <t xml:space="preserve">v10 — Engagement Intelligence</t>
  </si>
  <si>
    <t xml:space="preserve">Q4 2026</t>
  </si>
  <si>
    <t xml:space="preserve">Engagement scored from 30d/90d ER + recency weighting + volatility penalty</t>
  </si>
  <si>
    <t xml:space="preserve">🟡 Planned</t>
  </si>
  <si>
    <t xml:space="preserve">v11 — Authority × Objective</t>
  </si>
  <si>
    <t xml:space="preserve">Q1 2027</t>
  </si>
  <si>
    <t xml:space="preserve">Authority multiplier scales with brief type (awareness vs trust vs conversion)</t>
  </si>
  <si>
    <t xml:space="preserve">v12 — Dynamic Seasonality</t>
  </si>
  <si>
    <t xml:space="preserve">Q2 2027+</t>
  </si>
  <si>
    <t xml:space="preserve">Demand-based multipliers from inquiry log history, ML-suggested pricing</t>
  </si>
  <si>
    <t xml:space="preserve">🔵 Strategic</t>
  </si>
  <si>
    <t xml:space="preserve">QUOTE LOG</t>
  </si>
  <si>
    <t xml:space="preserve">Archive of issued quotes · Populated by Apps Script on quote generation</t>
  </si>
  <si>
    <t xml:space="preserve">Quote #</t>
  </si>
  <si>
    <t xml:space="preserve">Date</t>
  </si>
  <si>
    <t xml:space="preserve">Client</t>
  </si>
  <si>
    <t xml:space="preserve">Prepared By</t>
  </si>
  <si>
    <t xml:space="preserve">Approved By</t>
  </si>
  <si>
    <t xml:space="preserve">Subtotal (SAR)</t>
  </si>
  <si>
    <t xml:space="preserve">Tax</t>
  </si>
  <si>
    <t xml:space="preserve">Total (SAR)</t>
  </si>
  <si>
    <t xml:space="preserve">Currency</t>
  </si>
  <si>
    <t xml:space="preserve">Axes Summary</t>
  </si>
  <si>
    <t xml:space="preserve">Confidence</t>
  </si>
  <si>
    <t xml:space="preserve">Line Count</t>
  </si>
  <si>
    <t xml:space="preserve">PDF Link</t>
  </si>
  <si>
    <t xml:space="preserve">ASSUMPTIONS &amp; INDUSTRY DEFAULTS LOG</t>
  </si>
  <si>
    <t xml:space="preserve">Every value flagged as industry-reasonable pending calibration against live data (Shikenso, Q3 2026)</t>
  </si>
  <si>
    <t xml:space="preserve">Area</t>
  </si>
  <si>
    <t xml:space="preserve">Assumption</t>
  </si>
  <si>
    <t xml:space="preserve">Source / Rationale</t>
  </si>
  <si>
    <t xml:space="preserve">Revisit Trigger</t>
  </si>
  <si>
    <t xml:space="preserve">Tier S threshold</t>
  </si>
  <si>
    <t xml:space="preserve">&gt;1M followers on any one platform</t>
  </si>
  <si>
    <t xml:space="preserve">Industry benchmark: Creator Economy Report 2024 (Influencer Marketing Hub)</t>
  </si>
  <si>
    <t xml:space="preserve">Medium</t>
  </si>
  <si>
    <t xml:space="preserve">Shikenso audience data Phase 2 (Q3 2026)</t>
  </si>
  <si>
    <t xml:space="preserve">Tier 1 threshold</t>
  </si>
  <si>
    <t xml:space="preserve">Peer survey of MENA esports orgs (NAVI, G2, FURIA comparable ranges)</t>
  </si>
  <si>
    <t xml:space="preserve">Quarterly market scan</t>
  </si>
  <si>
    <t xml:space="preserve">Floor Share % (0.65 → 0.25 by tier)</t>
  </si>
  <si>
    <t xml:space="preserve">Defines IRL floor as fraction of IRL appearance fee</t>
  </si>
  <si>
    <t xml:space="preserve">Conservative internal estimate — higher tiers lock more of their IRL value into social</t>
  </si>
  <si>
    <t xml:space="preserve">Low-Medium</t>
  </si>
  <si>
    <t xml:space="preserve">First 5 Shikenso-measured campaigns</t>
  </si>
  <si>
    <t xml:space="preserve">Base Fee Range S: SAR 40K-50K</t>
  </si>
  <si>
    <t xml:space="preserve">Anchored to regional superstar deal comps</t>
  </si>
  <si>
    <t xml:space="preserve">Cross-ref: 2024 KSA tournament sponsorship tier pricing</t>
  </si>
  <si>
    <t xml:space="preserve">Any new Tier S signing</t>
  </si>
  <si>
    <t xml:space="preserve">Base Fee Range T4: SAR 3K-5.5K</t>
  </si>
  <si>
    <t xml:space="preserve">Entry-level staff rate</t>
  </si>
  <si>
    <t xml:space="preserve">Team Falcons payroll equivalency + reference brand comps</t>
  </si>
  <si>
    <t xml:space="preserve">High</t>
  </si>
  <si>
    <t xml:space="preserve">Annual review</t>
  </si>
  <si>
    <t xml:space="preserve">Engagement Rate tiers (&lt;3% → ≥7%)</t>
  </si>
  <si>
    <t xml:space="preserve">ER brackets for 9-axis matrix</t>
  </si>
  <si>
    <t xml:space="preserve">Industry norm: gaming vertical median ER 4-5% (Hootsuite Social Trends 2024)</t>
  </si>
  <si>
    <t xml:space="preserve">Shikenso monthly reports</t>
  </si>
  <si>
    <t xml:space="preserve">IG Story multiplier = 0.17 × IG Reel</t>
  </si>
  <si>
    <t xml:space="preserve">Hardcoded in Player RC col L formula</t>
  </si>
  <si>
    <t xml:space="preserve">Internal measurement (v1.0 → v1.5 campaigns, n=22)</t>
  </si>
  <si>
    <t xml:space="preserve">Every 10 campaigns</t>
  </si>
  <si>
    <t xml:space="preserve">IRL = 2.2 × IG Reel</t>
  </si>
  <si>
    <t xml:space="preserve">Hardcoded in Player RC col S formula</t>
  </si>
  <si>
    <t xml:space="preserve">Internal — IRL carries 2× exposure × premium for physical presence</t>
  </si>
  <si>
    <t xml:space="preserve">Revisit after next 3 IRL activations</t>
  </si>
  <si>
    <t xml:space="preserve">Confidence cap ladder (pending=0.75× → exact=1.0×)</t>
  </si>
  <si>
    <t xml:space="preserve">Pricing haircut when measurement is incomplete</t>
  </si>
  <si>
    <t xml:space="preserve">Protects Falcons from over-promising; standard agency practice</t>
  </si>
  <si>
    <t xml:space="preserve">Post-Shikenso integration</t>
  </si>
  <si>
    <t xml:space="preserve">Commission % = 30% default</t>
  </si>
  <si>
    <t xml:space="preserve">FMG commission baseline</t>
  </si>
  <si>
    <t xml:space="preserve">Team Falcons × FMG contract (already set — DO NOT modify without finance sign-off)</t>
  </si>
  <si>
    <t xml:space="preserve">Locked</t>
  </si>
  <si>
    <t xml:space="preserve">Contract renewal only</t>
  </si>
  <si>
    <t xml:space="preserve">Authority Factor default = 1.0</t>
  </si>
  <si>
    <t xml:space="preserve">Applied when no objective-weighted authority override is set</t>
  </si>
  <si>
    <t xml:space="preserve">Neutral baseline; escalates for Tier S on brand-anchor campaigns</t>
  </si>
  <si>
    <t xml:space="preserve">Per-campaign review</t>
  </si>
  <si>
    <t xml:space="preserve">Seasonality: Regular 1.0 / Playoffs 1.2 / Finals 1.35</t>
  </si>
  <si>
    <t xml:space="preserve">Baseline competition seasons only</t>
  </si>
  <si>
    <t xml:space="preserve">Conservative vs. Twitch viewership lifts (up to 1.6× during Majors)</t>
  </si>
  <si>
    <t xml:space="preserve">Major-tournament specific</t>
  </si>
  <si>
    <t xml:space="preserve">Language: EN 1.0 / AR 1.1 / Bilingual 1.2</t>
  </si>
  <si>
    <t xml:space="preserve">Arabic premium reflects creator rarity for MENA campaigns</t>
  </si>
  <si>
    <t xml:space="preserve">Internal scarcity premium</t>
  </si>
  <si>
    <t xml:space="preserve">MENA market expansion</t>
  </si>
  <si>
    <t xml:space="preserve">Content Type: Organic 0.85 / Integrated 1.0 / Sponsored 1.15</t>
  </si>
  <si>
    <t xml:space="preserve">Client-control / brand-risk gradient</t>
  </si>
  <si>
    <t xml:space="preserve">Standard industry gradient</t>
  </si>
  <si>
    <t xml:space="preserve">Stable</t>
  </si>
  <si>
    <t xml:space="preserve">Audience Quality: Gaming-adjacent 1.0 / Gaming-core 1.15 / Elite 1.25</t>
  </si>
  <si>
    <t xml:space="preserve">Premium for on-target gaming audiences</t>
  </si>
  <si>
    <t xml:space="preserve">Brand-fit proxy pending Shikenso audience breakdown</t>
  </si>
  <si>
    <t xml:space="preserve">Shikenso audience enrichment live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</si>
</sst>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.00%"/>
    <numFmt numFmtId="166" formatCode="&quot;SAR &quot;#,##0;[RED]&quot;(SAR &quot;#,##0\);\-"/>
    <numFmt numFmtId="167" formatCode="0.0"/>
    <numFmt numFmtId="168" formatCode="0.00\×"/>
    <numFmt numFmtId="169" formatCode="0.000\×"/>
    <numFmt numFmtId="170" formatCode="#,##0"/>
    <numFmt numFmtId="171" formatCode="0%"/>
    <numFmt numFmtId="172" formatCode="#,##0.0"/>
    <numFmt numFmtId="173" formatCode="0.00"/>
    <numFmt numFmtId="174" formatCode="m/d/yyyy"/>
    <numFmt numFmtId="175" formatCode="mm/dd/yyyy"/>
    <numFmt numFmtId="176" formatCode="#,##0;[RED]\(#,##0\);\-"/>
    <numFmt numFmtId="177" formatCode="#,##0.00"/>
    <numFmt numFmtId="178" formatCode="\$#,##0"/>
    <numFmt numFmtId="179" formatCode="#,##0;[RED]\(#,##0\);\-"/>
  </numFmts>
  <fonts count="15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0"/>
      <color rgb="FF1FBF73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1"/>
      <color rgb="FFAAAAAA"/>
      <name val="Arial"/>
      <family val="0"/>
      <charset val="1"/>
    </font>
    <font>
      <sz val="9"/>
      <color rgb="FF888888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20"/>
      <color rgb="FF1FBF73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001F3F"/>
      <name val="Arial"/>
      <family val="0"/>
      <charset val="1"/>
    </font>
    <font>
      <b val="true"/>
      <sz val="9"/>
      <color rgb="FF1FBF73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9"/>
      <color rgb="FF1FBF73"/>
      <name val="Calibri"/>
      <family val="0"/>
      <charset val="1"/>
    </font>
    <font>
      <sz val="9"/>
      <color rgb="FF444444"/>
      <name val="Calibri"/>
      <family val="0"/>
      <charset val="1"/>
    </font>
    <font>
      <sz val="9"/>
      <color rgb="FF111111"/>
      <name val="Arial"/>
      <family val="0"/>
      <charset val="1"/>
    </font>
    <font>
      <b val="true"/>
      <sz val="9"/>
      <color rgb="FF111111"/>
      <name val="Arial"/>
      <family val="0"/>
      <charset val="1"/>
    </font>
    <font>
      <b val="true"/>
      <sz val="22"/>
      <color rgb="FF0B2340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A667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B2340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5A6678"/>
      <name val="Arial"/>
      <family val="0"/>
      <charset val="1"/>
    </font>
    <font>
      <sz val="9"/>
      <color rgb="FF5A6678"/>
      <name val="Arial"/>
      <family val="0"/>
      <charset val="1"/>
    </font>
    <font>
      <i val="true"/>
      <sz val="9"/>
      <color rgb="FF9AA5B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4"/>
      <color theme="1"/>
      <name val="Arial"/>
      <family val="0"/>
      <charset val="1"/>
    </font>
    <font>
      <b val="true"/>
      <sz val="14"/>
      <color theme="1"/>
      <name val="Calibri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333333"/>
      <name val="Arial"/>
      <family val="0"/>
      <charset val="1"/>
    </font>
    <font>
      <sz val="9"/>
      <color rgb="FF333333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C6DFFF"/>
      <name val="Calibri"/>
      <family val="0"/>
      <charset val="1"/>
    </font>
    <font>
      <b val="true"/>
      <sz val="8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sz val="8"/>
      <color rgb="FFAAAAAA"/>
      <name val="Arial"/>
      <family val="0"/>
      <charset val="1"/>
    </font>
    <font>
      <sz val="9"/>
      <color rgb="FF1B5E20"/>
      <name val="Arial"/>
      <family val="0"/>
      <charset val="1"/>
    </font>
    <font>
      <b val="true"/>
      <sz val="9"/>
      <color rgb="FF1B5E20"/>
      <name val="Arial"/>
      <family val="0"/>
      <charset val="1"/>
    </font>
    <font>
      <b val="true"/>
      <sz val="18"/>
      <color rgb="FF0B2340"/>
      <name val="Arial"/>
      <family val="0"/>
      <charset val="1"/>
    </font>
    <font>
      <b val="true"/>
      <sz val="18"/>
      <color rgb="FF00B464"/>
      <name val="Arial"/>
      <family val="0"/>
      <charset val="1"/>
    </font>
    <font>
      <i val="true"/>
      <sz val="10"/>
      <color rgb="FF94A3B8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00337F"/>
      <name val="Arial"/>
      <family val="0"/>
      <charset val="1"/>
    </font>
    <font>
      <b val="true"/>
      <sz val="10"/>
      <color rgb="FF005900"/>
      <name val="Calibri"/>
      <family val="0"/>
      <charset val="1"/>
    </font>
    <font>
      <i val="true"/>
      <sz val="8"/>
      <color rgb="FF666666"/>
      <name val="Calibri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9"/>
      <color rgb="FF475569"/>
      <name val="Arial"/>
      <family val="0"/>
      <charset val="1"/>
    </font>
    <font>
      <sz val="11"/>
      <color rgb="FF0A1423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b val="true"/>
      <sz val="11"/>
      <color rgb="FF0D46A1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1"/>
      <color rgb="FF166534"/>
      <name val="Arial"/>
      <family val="0"/>
      <charset val="1"/>
    </font>
    <font>
      <b val="true"/>
      <sz val="10"/>
      <color rgb="FF0A1423"/>
      <name val="Arial"/>
      <family val="0"/>
      <charset val="1"/>
    </font>
    <font>
      <b val="true"/>
      <sz val="10"/>
      <color theme="1"/>
      <name val="Calibri"/>
      <family val="0"/>
      <charset val="1"/>
    </font>
    <font>
      <b val="true"/>
      <sz val="10"/>
      <color rgb="FF0D46A1"/>
      <name val="Arial"/>
      <family val="0"/>
      <charset val="1"/>
    </font>
    <font>
      <b val="true"/>
      <sz val="9"/>
      <color rgb="FFFFFDF4"/>
      <name val="Arial"/>
      <family val="0"/>
      <charset val="1"/>
    </font>
    <font>
      <b val="true"/>
      <sz val="9"/>
      <color rgb="FF4C1D95"/>
      <name val="Calibri"/>
      <family val="0"/>
      <charset val="1"/>
    </font>
    <font>
      <sz val="10"/>
      <color rgb="FF1E293B"/>
      <name val="Arial"/>
      <family val="0"/>
      <charset val="1"/>
    </font>
    <font>
      <b val="true"/>
      <sz val="11"/>
      <color rgb="FF008C4E"/>
      <name val="Arial"/>
      <family val="0"/>
      <charset val="1"/>
    </font>
    <font>
      <i val="true"/>
      <sz val="9"/>
      <color rgb="FF64748B"/>
      <name val="Arial"/>
      <family val="0"/>
      <charset val="1"/>
    </font>
    <font>
      <sz val="10"/>
      <color rgb="FF0A1423"/>
      <name val="Arial"/>
      <family val="0"/>
      <charset val="1"/>
    </font>
    <font>
      <sz val="10"/>
      <color rgb="FF0A1423"/>
      <name val="Calibri"/>
      <family val="0"/>
      <charset val="1"/>
    </font>
    <font>
      <sz val="10"/>
      <color theme="1"/>
      <name val="Arial"/>
      <family val="0"/>
      <charset val="1"/>
    </font>
    <font>
      <i val="true"/>
      <sz val="9"/>
      <color rgb="FFFFFDF4"/>
      <name val="Arial"/>
      <family val="0"/>
      <charset val="1"/>
    </font>
    <font>
      <b val="true"/>
      <sz val="11"/>
      <color rgb="FF0A1423"/>
      <name val="Calibri"/>
      <family val="0"/>
      <charset val="1"/>
    </font>
    <font>
      <i val="true"/>
      <sz val="8"/>
      <color rgb="FFBDBDBD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Calibri"/>
      <family val="0"/>
      <charset val="1"/>
    </font>
    <font>
      <b val="true"/>
      <sz val="10"/>
      <color rgb="FF003399"/>
      <name val="Arial"/>
      <family val="0"/>
      <charset val="1"/>
    </font>
    <font>
      <b val="true"/>
      <sz val="11"/>
      <color rgb="FF0A1423"/>
      <name val="Arial"/>
      <family val="0"/>
      <charset val="1"/>
    </font>
    <font>
      <b val="true"/>
      <sz val="11"/>
      <color rgb="FF1E3A5F"/>
      <name val="Arial"/>
      <family val="0"/>
      <charset val="1"/>
    </font>
    <font>
      <sz val="10"/>
      <color rgb="FFFFFFFF"/>
      <name val="Calibri"/>
      <family val="0"/>
      <charset val="1"/>
    </font>
    <font>
      <b val="true"/>
      <sz val="11"/>
      <color rgb="FF1E3A5F"/>
      <name val="Calibri"/>
      <family val="0"/>
      <charset val="1"/>
    </font>
    <font>
      <i val="true"/>
      <sz val="8"/>
      <color rgb="FFBDBDBD"/>
      <name val="Calibri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12"/>
      <color rgb="FF0A1423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9"/>
      <color rgb="FF191919"/>
      <name val="Arial"/>
      <family val="0"/>
      <charset val="1"/>
    </font>
    <font>
      <sz val="10"/>
      <color rgb="FFFFFFFF"/>
      <name val="Arial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006600"/>
      <name val="Arial"/>
      <family val="0"/>
      <charset val="1"/>
    </font>
    <font>
      <i val="true"/>
      <sz val="9"/>
      <color rgb="FF64748B"/>
      <name val="Calibri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8"/>
      <color rgb="FFFFFFFF"/>
      <name val="Calibri"/>
      <family val="0"/>
      <charset val="1"/>
    </font>
    <font>
      <sz val="9"/>
      <color theme="1"/>
      <name val="Calibri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2DD06D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195B35"/>
      <name val="Calibri"/>
      <family val="0"/>
      <charset val="1"/>
    </font>
    <font>
      <b val="true"/>
      <sz val="9"/>
      <color rgb="FF193A99"/>
      <name val="Calibri"/>
      <family val="0"/>
      <charset val="1"/>
    </font>
    <font>
      <b val="true"/>
      <sz val="11"/>
      <color rgb="FF222222"/>
      <name val="Arial"/>
      <family val="0"/>
      <charset val="1"/>
    </font>
    <font>
      <b val="true"/>
      <sz val="16"/>
      <color rgb="FF001F3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1FBF73"/>
      <name val="Arial"/>
      <family val="0"/>
      <charset val="1"/>
    </font>
    <font>
      <b val="true"/>
      <sz val="16"/>
      <color rgb="FF00B464"/>
      <name val="Calibri"/>
      <family val="0"/>
      <charset val="1"/>
    </font>
    <font>
      <b val="true"/>
      <sz val="12"/>
      <color rgb="FF1F4E78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FFFF"/>
      <name val="Calibri"/>
      <family val="0"/>
      <charset val="1"/>
    </font>
    <font>
      <sz val="10"/>
      <color rgb="FF475569"/>
      <name val="Calibri"/>
      <family val="0"/>
      <charset val="1"/>
    </font>
    <font>
      <b val="true"/>
      <sz val="10"/>
      <color rgb="FF0A1423"/>
      <name val="Calibri"/>
      <family val="0"/>
      <charset val="1"/>
    </font>
    <font>
      <b val="true"/>
      <sz val="10"/>
      <color rgb="FF475569"/>
      <name val="Calibri"/>
      <family val="0"/>
      <charset val="1"/>
    </font>
    <font>
      <sz val="10"/>
      <color rgb="FF166534"/>
      <name val="Calibri"/>
      <family val="0"/>
      <charset val="1"/>
    </font>
    <font>
      <b val="true"/>
      <sz val="10"/>
      <color rgb="FF1E3A5F"/>
      <name val="Calibri"/>
      <family val="0"/>
      <charset val="1"/>
    </font>
    <font>
      <i val="true"/>
      <sz val="9"/>
      <color rgb="FF475569"/>
      <name val="Calibri"/>
      <family val="0"/>
      <charset val="1"/>
    </font>
    <font>
      <sz val="10"/>
      <color rgb="FF475569"/>
      <name val="Arial"/>
      <family val="0"/>
      <charset val="1"/>
    </font>
    <font>
      <sz val="9"/>
      <color rgb="FF475569"/>
      <name val="Calibri"/>
      <family val="0"/>
      <charset val="1"/>
    </font>
    <font>
      <sz val="9"/>
      <color rgb="FF475569"/>
      <name val="Arial"/>
      <family val="0"/>
      <charset val="1"/>
    </font>
    <font>
      <b val="true"/>
      <sz val="11"/>
      <color rgb="FF4C1D95"/>
      <name val="Calibri"/>
      <family val="0"/>
      <charset val="1"/>
    </font>
    <font>
      <b val="true"/>
      <sz val="11"/>
      <color rgb="FF4C1D95"/>
      <name val="Arial"/>
      <family val="0"/>
      <charset val="1"/>
    </font>
    <font>
      <i val="true"/>
      <sz val="10"/>
      <color rgb="FF1E3A5F"/>
      <name val="Calibri"/>
      <family val="0"/>
      <charset val="1"/>
    </font>
    <font>
      <i val="true"/>
      <sz val="10"/>
      <color rgb="FF1E3A5F"/>
      <name val="Arial"/>
      <family val="0"/>
      <charset val="1"/>
    </font>
    <font>
      <sz val="10"/>
      <color rgb="FF1E3A5F"/>
      <name val="Calibri"/>
      <family val="0"/>
      <charset val="1"/>
    </font>
    <font>
      <sz val="10"/>
      <color rgb="FF1E3A5F"/>
      <name val="Arial"/>
      <family val="0"/>
      <charset val="1"/>
    </font>
    <font>
      <b val="true"/>
      <sz val="10"/>
      <color rgb="FF6D28D9"/>
      <name val="Arial"/>
      <family val="0"/>
      <charset val="1"/>
    </font>
    <font>
      <b val="true"/>
      <sz val="16"/>
      <color rgb="FF00B464"/>
      <name val="Arial"/>
      <family val="0"/>
      <charset val="1"/>
    </font>
    <font>
      <sz val="10"/>
      <color rgb="FF166534"/>
      <name val="Arial"/>
      <family val="0"/>
      <charset val="1"/>
    </font>
    <font>
      <sz val="10"/>
      <color rgb="FF6D28D9"/>
      <name val="Arial"/>
      <family val="0"/>
      <charset val="1"/>
    </font>
    <font>
      <b val="true"/>
      <sz val="9"/>
      <color rgb="FF0A1423"/>
      <name val="Arial"/>
      <family val="0"/>
      <charset val="1"/>
    </font>
    <font>
      <b val="true"/>
      <sz val="9"/>
      <color rgb="FF0A1423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10"/>
      <color rgb="FF94A3B8"/>
      <name val="Calibri"/>
      <family val="0"/>
      <charset val="1"/>
    </font>
    <font>
      <i val="true"/>
      <sz val="9"/>
      <color rgb="FF94A3B8"/>
      <name val="Arial"/>
      <family val="0"/>
      <charset val="1"/>
    </font>
    <font>
      <i val="true"/>
      <sz val="9"/>
      <color rgb="FF94A3B8"/>
      <name val="Calibri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11"/>
      <color rgb="FFC9A84C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0D1B2A"/>
      <name val="Arial"/>
      <family val="0"/>
      <charset val="1"/>
    </font>
    <font>
      <b val="true"/>
      <sz val="11"/>
      <color rgb="FF0D1B2A"/>
      <name val="Calibri"/>
      <family val="0"/>
      <charset val="1"/>
    </font>
    <font>
      <sz val="9"/>
      <color rgb="FF222222"/>
      <name val="Arial"/>
      <family val="0"/>
      <charset val="1"/>
    </font>
    <font>
      <i val="true"/>
      <sz val="9"/>
      <color rgb="FF333333"/>
      <name val="Arial"/>
      <family val="0"/>
      <charset val="1"/>
    </font>
    <font>
      <sz val="9"/>
      <color rgb="FF0D1B2A"/>
      <name val="Arial"/>
      <family val="0"/>
      <charset val="1"/>
    </font>
    <font>
      <i val="true"/>
      <sz val="11"/>
      <color rgb="FF0D1B2A"/>
      <name val="Arial"/>
      <family val="0"/>
      <charset val="1"/>
    </font>
    <font>
      <i val="true"/>
      <sz val="9"/>
      <color rgb="FF1565C0"/>
      <name val="Arial"/>
      <family val="0"/>
      <charset val="1"/>
    </font>
    <font>
      <b val="true"/>
      <sz val="11"/>
      <color rgb="FF7B1D1D"/>
      <name val="Arial"/>
      <family val="0"/>
      <charset val="1"/>
    </font>
    <font>
      <b val="true"/>
      <sz val="11"/>
      <color rgb="FFA07830"/>
      <name val="Arial"/>
      <family val="0"/>
      <charset val="1"/>
    </font>
    <font>
      <b val="true"/>
      <sz val="11"/>
      <color rgb="FF1A5C38"/>
      <name val="Arial"/>
      <family val="0"/>
      <charset val="1"/>
    </font>
    <font>
      <b val="true"/>
      <sz val="11"/>
      <color rgb="FF1565C0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1"/>
      <color rgb="FF333333"/>
      <name val="Calibri"/>
      <family val="0"/>
      <charset val="1"/>
    </font>
    <font>
      <sz val="11"/>
      <color rgb="FF1A5C38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sz val="11"/>
      <color rgb="FF0D1B2A"/>
      <name val="Calibri"/>
      <family val="0"/>
      <charset val="1"/>
    </font>
    <font>
      <i val="true"/>
      <sz val="9"/>
      <color rgb="FF444444"/>
      <name val="Calibri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A07830"/>
      <name val="Calibri"/>
      <family val="0"/>
      <charset val="1"/>
    </font>
  </fonts>
  <fills count="53">
    <fill>
      <patternFill patternType="none"/>
    </fill>
    <fill>
      <patternFill patternType="gray125"/>
    </fill>
    <fill>
      <patternFill patternType="solid">
        <fgColor rgb="FF001F3F"/>
        <bgColor rgb="FF001F3D"/>
      </patternFill>
    </fill>
    <fill>
      <patternFill patternType="solid">
        <fgColor rgb="FFE3F2FA"/>
        <bgColor rgb="FFE4F1FD"/>
      </patternFill>
    </fill>
    <fill>
      <patternFill patternType="solid">
        <fgColor rgb="FFC9EDD0"/>
        <bgColor rgb="FFD5EDD9"/>
      </patternFill>
    </fill>
    <fill>
      <patternFill patternType="solid">
        <fgColor rgb="FFFFF4C9"/>
        <bgColor rgb="FFFFF4CD"/>
      </patternFill>
    </fill>
    <fill>
      <patternFill patternType="solid">
        <fgColor rgb="FFFFE0B2"/>
        <bgColor rgb="FFFFE4C7"/>
      </patternFill>
    </fill>
    <fill>
      <patternFill patternType="solid">
        <fgColor rgb="FFE2F2FE"/>
        <bgColor rgb="FFE4F1FD"/>
      </patternFill>
    </fill>
    <fill>
      <patternFill patternType="solid">
        <fgColor rgb="FFFAE4EC"/>
        <bgColor rgb="FFF2E4F4"/>
      </patternFill>
    </fill>
    <fill>
      <patternFill patternType="solid">
        <fgColor rgb="FFF2E4F4"/>
        <bgColor rgb="FFFAE4EC"/>
      </patternFill>
    </fill>
    <fill>
      <patternFill patternType="solid">
        <fgColor rgb="FFE9F9EE"/>
        <bgColor rgb="FFEFF9F2"/>
      </patternFill>
    </fill>
    <fill>
      <patternFill patternType="darkGray">
        <fgColor rgb="FF0E243C"/>
        <bgColor rgb="FF001F3F"/>
      </patternFill>
    </fill>
    <fill>
      <patternFill patternType="darkGray">
        <fgColor rgb="FF05B968"/>
        <bgColor rgb="FF186029"/>
      </patternFill>
    </fill>
    <fill>
      <patternFill patternType="darkGray">
        <fgColor rgb="FF1E3F61"/>
        <bgColor rgb="FF0C4FBA"/>
      </patternFill>
    </fill>
    <fill>
      <patternFill patternType="darkGray">
        <fgColor rgb="FFD7E1F9"/>
        <bgColor rgb="FFE0E0E0"/>
      </patternFill>
    </fill>
    <fill>
      <patternFill patternType="solid">
        <fgColor rgb="FF0D2D1B"/>
        <bgColor rgb="FF0E243C"/>
      </patternFill>
    </fill>
    <fill>
      <patternFill patternType="solid">
        <fgColor rgb="FF1D1A1A"/>
        <bgColor rgb="FF0D1B2B"/>
      </patternFill>
    </fill>
    <fill>
      <patternFill patternType="solid">
        <fgColor rgb="FF001F3D"/>
        <bgColor rgb="FF001F3F"/>
      </patternFill>
    </fill>
    <fill>
      <patternFill patternType="solid">
        <fgColor rgb="FFFFFFFF"/>
        <bgColor rgb="FFFFFDF4"/>
      </patternFill>
    </fill>
    <fill>
      <patternFill patternType="solid">
        <fgColor rgb="FFE4F1FD"/>
        <bgColor rgb="FFE3F2FA"/>
      </patternFill>
    </fill>
    <fill>
      <patternFill patternType="solid">
        <fgColor rgb="FF1D1A1A"/>
        <bgColor rgb="FF0D1B2B"/>
      </patternFill>
    </fill>
    <fill>
      <patternFill patternType="mediumGray">
        <fgColor rgb="FF4B5564"/>
        <bgColor rgb="FF1E3F61"/>
      </patternFill>
    </fill>
    <fill>
      <patternFill patternType="mediumGray">
        <fgColor rgb="FF1E3F61"/>
        <bgColor rgb="FF4B5564"/>
      </patternFill>
    </fill>
    <fill>
      <patternFill patternType="solid">
        <fgColor rgb="FFF5F5F6"/>
        <bgColor rgb="FFF5F3FF"/>
      </patternFill>
    </fill>
    <fill>
      <patternFill patternType="solid">
        <fgColor rgb="FFB7DFBE"/>
        <bgColor rgb="FFC9EDD0"/>
      </patternFill>
    </fill>
    <fill>
      <patternFill patternType="solid">
        <fgColor rgb="FFD5EDD9"/>
        <bgColor rgb="FFD5F3E6"/>
      </patternFill>
    </fill>
    <fill>
      <patternFill patternType="solid">
        <fgColor rgb="FFEFF9F2"/>
        <bgColor rgb="FFF0FDF4"/>
      </patternFill>
    </fill>
    <fill>
      <patternFill patternType="solid">
        <fgColor rgb="FFD4A515"/>
        <bgColor rgb="FFC3B298"/>
      </patternFill>
    </fill>
    <fill>
      <patternFill patternType="solid">
        <fgColor rgb="FFD5F3E6"/>
        <bgColor rgb="FFD5EDD9"/>
      </patternFill>
    </fill>
    <fill>
      <patternFill patternType="solid">
        <fgColor rgb="FFFFE4C7"/>
        <bgColor rgb="FFFFE0B2"/>
      </patternFill>
    </fill>
    <fill>
      <patternFill patternType="solid">
        <fgColor rgb="FFD6EBF7"/>
        <bgColor rgb="FFDBEAFE"/>
      </patternFill>
    </fill>
    <fill>
      <patternFill patternType="darkGray">
        <fgColor rgb="FF0A1423"/>
        <bgColor rgb="FF0A141E"/>
      </patternFill>
    </fill>
    <fill>
      <patternFill patternType="solid">
        <fgColor rgb="FF1E3F61"/>
        <bgColor rgb="FF243946"/>
      </patternFill>
    </fill>
    <fill>
      <patternFill patternType="solid">
        <fgColor rgb="FFD7E1F9"/>
        <bgColor rgb="FFD6EBF7"/>
      </patternFill>
    </fill>
    <fill>
      <patternFill patternType="solid">
        <fgColor rgb="FFF8FAFC"/>
        <bgColor rgb="FFF0F9FF"/>
      </patternFill>
    </fill>
    <fill>
      <patternFill patternType="solid">
        <fgColor rgb="FFDBEAFE"/>
        <bgColor rgb="FFD6EBF7"/>
      </patternFill>
    </fill>
    <fill>
      <patternFill patternType="solid">
        <fgColor rgb="FFF0F9FF"/>
        <bgColor rgb="FFEFF9F2"/>
      </patternFill>
    </fill>
    <fill>
      <patternFill patternType="solid">
        <fgColor rgb="FFF0FDF4"/>
        <bgColor rgb="FFEFF9F2"/>
      </patternFill>
    </fill>
    <fill>
      <patternFill patternType="solid">
        <fgColor rgb="FFEDE9FE"/>
        <bgColor rgb="FFF2E4F4"/>
      </patternFill>
    </fill>
    <fill>
      <patternFill patternType="solid">
        <fgColor rgb="FFF5F3FF"/>
        <bgColor rgb="FFF5F5F6"/>
      </patternFill>
    </fill>
    <fill>
      <patternFill patternType="darkGray">
        <fgColor rgb="FFE2F2FE"/>
        <bgColor rgb="FFE4F1FD"/>
      </patternFill>
    </fill>
    <fill>
      <patternFill patternType="mediumGray">
        <fgColor rgb="FF186029"/>
        <bgColor rgb="FF065D09"/>
      </patternFill>
    </fill>
    <fill>
      <patternFill patternType="solid">
        <fgColor rgb="FFFFFBE0"/>
        <bgColor rgb="FFFFFDF4"/>
      </patternFill>
    </fill>
    <fill>
      <patternFill patternType="solid">
        <fgColor rgb="FFFFF4CD"/>
        <bgColor rgb="FFFFF4C9"/>
      </patternFill>
    </fill>
    <fill>
      <patternFill patternType="darkGray">
        <fgColor rgb="FFFAE4EC"/>
        <bgColor rgb="FFFDECEA"/>
      </patternFill>
    </fill>
    <fill>
      <patternFill patternType="solid">
        <fgColor rgb="FFC3B298"/>
        <bgColor rgb="FFC9C9C9"/>
      </patternFill>
    </fill>
    <fill>
      <patternFill patternType="mediumGray">
        <fgColor rgb="FF0E243C"/>
        <bgColor rgb="FF243946"/>
      </patternFill>
    </fill>
    <fill>
      <patternFill patternType="solid">
        <fgColor rgb="FFD4A515"/>
        <bgColor rgb="FFC3B298"/>
      </patternFill>
    </fill>
    <fill>
      <patternFill patternType="solid">
        <fgColor rgb="FFFFF4CD"/>
        <bgColor rgb="FFFFF4C9"/>
      </patternFill>
    </fill>
    <fill>
      <patternFill patternType="solid">
        <fgColor rgb="FF561EB4"/>
        <bgColor rgb="FF1E3F61"/>
      </patternFill>
    </fill>
    <fill>
      <patternFill patternType="solid">
        <fgColor rgb="FFFFFDF4"/>
        <bgColor rgb="FFFFFFFF"/>
      </patternFill>
    </fill>
    <fill>
      <patternFill patternType="solid">
        <fgColor rgb="FF0D1B2B"/>
        <bgColor rgb="FF0A1423"/>
      </patternFill>
    </fill>
    <fill>
      <patternFill patternType="solid">
        <fgColor rgb="FFFDECEA"/>
        <bgColor rgb="FFFAE4EC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medium">
        <color rgb="FF05B968"/>
      </left>
      <right/>
      <top/>
      <bottom style="thin">
        <color rgb="FF05B968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 diagonalUp="false" diagonalDown="false">
      <left style="thin">
        <color rgb="FFC9C9C9"/>
      </left>
      <right/>
      <top style="thin">
        <color rgb="FFC9C9C9"/>
      </top>
      <bottom style="thin">
        <color rgb="FFC9C9C9"/>
      </bottom>
      <diagonal/>
    </border>
    <border diagonalUp="false" diagonalDown="false">
      <left style="medium">
        <color rgb="FF8A0606"/>
      </left>
      <right style="thin">
        <color rgb="FF8D7F53"/>
      </right>
      <top style="medium">
        <color rgb="FF8A0606"/>
      </top>
      <bottom/>
      <diagonal/>
    </border>
    <border diagonalUp="false" diagonalDown="false">
      <left style="thin">
        <color rgb="FF8D7F53"/>
      </left>
      <right style="thin">
        <color rgb="FF8D7F53"/>
      </right>
      <top style="medium">
        <color rgb="FF8A0606"/>
      </top>
      <bottom/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 diagonalUp="false" diagonalDown="false">
      <left style="thin">
        <color rgb="FF8D7F53"/>
      </left>
      <right style="medium">
        <color rgb="FF8A0606"/>
      </right>
      <top style="medium">
        <color rgb="FF8A0606"/>
      </top>
      <bottom/>
      <diagonal/>
    </border>
    <border diagonalUp="false" diagonalDown="false">
      <left style="medium">
        <color rgb="FF8A0606"/>
      </left>
      <right style="thin">
        <color rgb="FFC3B298"/>
      </right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C3B298"/>
      </left>
      <right style="thin">
        <color rgb="FFC3B298"/>
      </right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C3B298"/>
      </left>
      <right style="medium">
        <color rgb="FF8A0606"/>
      </right>
      <top style="thin">
        <color rgb="FFC9C9C9"/>
      </top>
      <bottom style="thin">
        <color rgb="FFD8D8D8"/>
      </bottom>
      <diagonal/>
    </border>
    <border diagonalUp="false" diagonalDown="false">
      <left style="thin">
        <color rgb="FFC3B298"/>
      </left>
      <right style="medium">
        <color rgb="FF8A0606"/>
      </right>
      <top style="thin">
        <color rgb="FFD8D8D8"/>
      </top>
      <bottom style="thin">
        <color rgb="FFD8D8D8"/>
      </bottom>
      <diagonal/>
    </border>
    <border diagonalUp="false" diagonalDown="false">
      <left style="medium">
        <color rgb="FF8A0606"/>
      </left>
      <right style="thin">
        <color rgb="FFC3B298"/>
      </right>
      <top style="thin">
        <color rgb="FFD8D8D8"/>
      </top>
      <bottom style="medium">
        <color rgb="FF8A0606"/>
      </bottom>
      <diagonal/>
    </border>
    <border diagonalUp="false" diagonalDown="false">
      <left style="thin">
        <color rgb="FFC3B298"/>
      </left>
      <right style="thin">
        <color rgb="FFC3B298"/>
      </right>
      <top style="thin">
        <color rgb="FFD8D8D8"/>
      </top>
      <bottom style="medium">
        <color rgb="FF8A0606"/>
      </bottom>
      <diagonal/>
    </border>
    <border diagonalUp="false" diagonalDown="false">
      <left style="medium">
        <color rgb="FF8A0606"/>
      </left>
      <right style="thin">
        <color rgb="FFC3B298"/>
      </right>
      <top style="thin">
        <color rgb="FFC9C9C9"/>
      </top>
      <bottom style="thin">
        <color rgb="FFD8D8D8"/>
      </bottom>
      <diagonal/>
    </border>
    <border diagonalUp="false" diagonalDown="false">
      <left style="thin">
        <color rgb="FFC3B298"/>
      </left>
      <right style="thin">
        <color rgb="FFC3B298"/>
      </right>
      <top style="thin">
        <color rgb="FFC9C9C9"/>
      </top>
      <bottom style="thin">
        <color rgb="FFD8D8D8"/>
      </bottom>
      <diagonal/>
    </border>
    <border diagonalUp="false" diagonalDown="false">
      <left style="thin">
        <color rgb="FFC3B298"/>
      </left>
      <right style="medium">
        <color rgb="FF8A0606"/>
      </right>
      <top style="thin">
        <color rgb="FFD8D8D8"/>
      </top>
      <bottom style="medium">
        <color rgb="FF8A0606"/>
      </bottom>
      <diagonal/>
    </border>
    <border diagonalUp="false" diagonalDown="false">
      <left style="medium">
        <color rgb="FF05B968"/>
      </left>
      <right style="thin">
        <color rgb="FFC9EDD0"/>
      </right>
      <top style="medium">
        <color rgb="FF05B968"/>
      </top>
      <bottom style="medium">
        <color rgb="FF05B968"/>
      </bottom>
      <diagonal/>
    </border>
    <border diagonalUp="false" diagonalDown="false">
      <left style="thin">
        <color rgb="FFC9EDD0"/>
      </left>
      <right style="thin">
        <color rgb="FFC9EDD0"/>
      </right>
      <top style="medium">
        <color rgb="FF05B968"/>
      </top>
      <bottom style="medium">
        <color rgb="FF05B968"/>
      </bottom>
      <diagonal/>
    </border>
    <border diagonalUp="false" diagonalDown="false">
      <left style="thin">
        <color rgb="FFC9EDD0"/>
      </left>
      <right style="medium">
        <color rgb="FF05B968"/>
      </right>
      <top style="medium">
        <color rgb="FF05B968"/>
      </top>
      <bottom style="medium">
        <color rgb="FF05B968"/>
      </bottom>
      <diagonal/>
    </border>
    <border diagonalUp="false" diagonalDown="false">
      <left style="medium">
        <color rgb="FF0C4FBA"/>
      </left>
      <right style="medium">
        <color rgb="FF0C4FBA"/>
      </right>
      <top style="medium">
        <color rgb="FF0C4FBA"/>
      </top>
      <bottom style="medium">
        <color rgb="FF0C4FBA"/>
      </bottom>
      <diagonal/>
    </border>
    <border diagonalUp="false" diagonalDown="false">
      <left/>
      <right/>
      <top style="medium">
        <color rgb="FF0C4FBA"/>
      </top>
      <bottom style="medium">
        <color rgb="FF0C4FBA"/>
      </bottom>
      <diagonal/>
    </border>
    <border diagonalUp="false" diagonalDown="false">
      <left style="thin">
        <color rgb="FFC9C9C9"/>
      </left>
      <right style="thin">
        <color rgb="FFD8D8D8"/>
      </right>
      <top style="thin">
        <color rgb="FFC9C9C9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C9C9C9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C9C9C9"/>
      </right>
      <top style="thin">
        <color rgb="FFC9C9C9"/>
      </top>
      <bottom style="thin">
        <color rgb="FFD8D8D8"/>
      </bottom>
      <diagonal/>
    </border>
    <border diagonalUp="false" diagonalDown="false">
      <left style="thin">
        <color rgb="FFC9C9C9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C9C9C9"/>
      </right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C9C9C9"/>
      </left>
      <right style="thin">
        <color rgb="FFD8D8D8"/>
      </right>
      <top style="thin">
        <color rgb="FFD8D8D8"/>
      </top>
      <bottom style="thin">
        <color rgb="FFC9C9C9"/>
      </bottom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 style="thin">
        <color rgb="FFC9C9C9"/>
      </bottom>
      <diagonal/>
    </border>
    <border diagonalUp="false" diagonalDown="false">
      <left style="thin">
        <color rgb="FFD8D8D8"/>
      </left>
      <right style="thin">
        <color rgb="FFC9C9C9"/>
      </right>
      <top style="thin">
        <color rgb="FFD8D8D8"/>
      </top>
      <bottom style="thin">
        <color rgb="FFC9C9C9"/>
      </bottom>
      <diagonal/>
    </border>
    <border diagonalUp="false" diagonalDown="false">
      <left style="thin">
        <color rgb="FF8D7F53"/>
      </left>
      <right style="thin">
        <color rgb="FF8D7F53"/>
      </right>
      <top style="thin">
        <color rgb="FF8D7F53"/>
      </top>
      <bottom style="thin">
        <color rgb="FF8D7F53"/>
      </bottom>
      <diagonal/>
    </border>
    <border diagonalUp="false" diagonalDown="false">
      <left/>
      <right style="thin">
        <color rgb="FF243946"/>
      </right>
      <top/>
      <bottom style="medium">
        <color rgb="FF05B968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9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0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5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6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1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7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7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1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0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1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2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7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2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1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3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3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6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3" fillId="6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3" fillId="6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43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6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8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4" fillId="2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5" fillId="2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3" fillId="3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3" fillId="18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46" fillId="2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3" fillId="9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6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6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6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3" fillId="6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6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3" fillId="1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8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1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3" fillId="18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3" fillId="18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43" fillId="1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8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43" fillId="18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43" fillId="18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8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8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43" fillId="8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43" fillId="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8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8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3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3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43" fillId="3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43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3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43" fillId="3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43" fillId="8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9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9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43" fillId="9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43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9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43" fillId="9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3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8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8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43" fillId="8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3" fillId="8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6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18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18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18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3" fillId="18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18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3" fillId="18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6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6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2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2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23" fillId="2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2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2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23" fillId="2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2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2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23" fillId="2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3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3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23" fillId="3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8" fillId="3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9" fillId="3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17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0" fillId="32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1" fillId="33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2" fillId="25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2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3" fillId="32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4" fillId="32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3" fillId="32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0" fillId="3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3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5" fillId="3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6" fillId="35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7" fillId="3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8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3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9" fillId="3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0" fillId="37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3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1" fillId="35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63" fillId="19" borderId="2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3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3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0" fillId="3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4" fillId="3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5" fillId="3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6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7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8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9" fillId="3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0" fillId="3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6" fillId="3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7" fillId="3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8" fillId="3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9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0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4" fillId="3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2" fillId="3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3" fillId="3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4" fillId="2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5" fillId="3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60" fillId="3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8" fillId="1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4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7" fillId="4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8" fillId="35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4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7" fillId="4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9" fillId="35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3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1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1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1" fillId="3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0" fillId="3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1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2" fillId="3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0" fillId="3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3" fillId="2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4" fillId="3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1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6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7" fontId="8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6" fillId="4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87" fillId="4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6" fillId="4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1" fillId="18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1" fillId="18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1" fillId="18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8" fillId="3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1" fillId="18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51" fillId="3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9" fillId="18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0" fillId="18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1" fillId="18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8" fillId="42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91" fillId="42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8" fillId="42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1" fillId="18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91" fillId="42" borderId="3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9" fillId="18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0" fillId="18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9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2" fillId="3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2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3" fillId="4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3" fillId="4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3" fillId="3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23" fillId="4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23" fillId="4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2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8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4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4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14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6" fillId="0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6" fillId="4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26" fillId="0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3" fillId="2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7" fillId="2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3" fillId="4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8" fillId="4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3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9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3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0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4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2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2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3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2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1" fillId="4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7" fillId="2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04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04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4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4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6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3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6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7" fillId="3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8" fillId="3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8" fillId="3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9" fillId="3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2" fillId="3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2" fillId="3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0" fillId="3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0" fillId="3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0" fillId="3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9" fillId="1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1" fillId="1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2" fillId="3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3" fillId="3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4" fillId="3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7" fillId="3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5" fillId="3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6" fillId="3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7" fillId="3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8" fillId="4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4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8" fillId="3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9" fillId="3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8" fillId="3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0" fillId="3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1" fillId="3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0" fillId="3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3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7" fillId="5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0" fillId="5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3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7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3" fillId="5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2" fillId="3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8" fillId="3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2" fillId="5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3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3" fillId="5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2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0" fillId="4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4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4" fillId="3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4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7" fillId="3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9" fillId="3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0" fillId="3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5" fillId="3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5" fillId="3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6" fillId="1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8" fillId="3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5" fillId="3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9" fillId="3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5" fillId="3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2" fillId="3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0" fillId="3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0" fillId="3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9" fillId="3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0" fillId="3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9" fillId="3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9" fillId="3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5" fillId="3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2" fillId="3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6" fillId="3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0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3" fillId="3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7" fillId="3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4" fillId="3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4" fillId="3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6" fillId="3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7" fillId="3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8" fillId="4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5" fillId="4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8" fillId="3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9" fillId="3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0" fillId="3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9" fillId="3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9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8" fillId="3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0" fillId="3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1" fillId="3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0" fillId="3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31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9" fillId="5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0" fillId="5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0" fillId="4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49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7" fillId="3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7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0" fillId="3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3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9" fillId="3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0" fillId="3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5" fillId="3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3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8" fillId="35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9" fillId="3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9" fillId="18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9" fillId="34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0" fillId="18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3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0" fillId="34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69" fillId="18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69" fillId="34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0" fillId="3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9" fillId="35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14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3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0" fillId="5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37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4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5" fillId="3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5" fillId="3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9" fillId="3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1" fillId="3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1" fillId="3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9" fillId="3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8" fillId="3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8" fillId="35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9" fillId="3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9" fillId="18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0" fillId="1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9" fillId="34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0" fillId="3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0" fillId="18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2" fillId="3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3" fillId="3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1" fontId="69" fillId="34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9" fillId="5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9" fillId="5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0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0" fillId="5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6" fillId="3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6" fillId="3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2" fillId="3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5" fillId="3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4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4" fillId="1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4" fillId="1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4" fillId="3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4" fillId="3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4" fillId="51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5" fillId="15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6" fillId="3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6" fillId="51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3" fillId="2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7" fillId="51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8" fillId="4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32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9" fillId="2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8" fillId="2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0" fillId="2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1" fillId="2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2" fillId="2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8" fillId="18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0" fillId="18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1" fillId="18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2" fillId="18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9" fillId="18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3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3" fillId="4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3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8" fillId="52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8" fillId="52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0" fillId="52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4" fillId="52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5" fillId="52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9" fillId="43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8" fillId="4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0" fillId="4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4" fillId="4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6" fillId="43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8" fillId="43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8" fillId="25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8" fillId="25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0" fillId="25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4" fillId="25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7" fillId="25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8" fillId="7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8" fillId="7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0" fillId="7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4" fillId="7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8" fillId="7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9" fillId="3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7" fillId="51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0" fillId="18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1" fillId="18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9" fillId="18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2" fillId="18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3" fillId="18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2" fillId="13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1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3" fillId="18" borderId="3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23" borderId="3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1" fillId="23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9" fillId="23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2" fillId="23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3" fillId="2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0" fillId="2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6" fillId="51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6" fillId="32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0" fillId="32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2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4" fillId="23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9" fillId="2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5" fillId="2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3" fillId="18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4" fillId="18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9" fillId="18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5" fillId="18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6" fillId="2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4" fillId="18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4" fillId="2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3" fillId="43" borderId="3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7" fillId="43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9" fillId="4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5" fillId="4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7" fillId="4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2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5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4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01F3D"/>
          <bgColor rgb="FF000000"/>
        </patternFill>
      </fill>
    </dxf>
    <dxf>
      <fill>
        <patternFill patternType="solid">
          <fgColor rgb="FFE3F2FA"/>
          <bgColor rgb="FF000000"/>
        </patternFill>
      </fill>
    </dxf>
    <dxf>
      <fill>
        <patternFill patternType="solid">
          <fgColor rgb="FFE4F1FD"/>
          <bgColor rgb="FF000000"/>
        </patternFill>
      </fill>
    </dxf>
    <dxf>
      <fill>
        <patternFill patternType="solid">
          <fgColor rgb="FFF2E4F4"/>
          <bgColor rgb="FF000000"/>
        </patternFill>
      </fill>
    </dxf>
    <dxf>
      <fill>
        <patternFill patternType="solid">
          <fgColor rgb="FFFAE4EC"/>
          <bgColor rgb="FF000000"/>
        </patternFill>
      </fill>
    </dxf>
    <dxf>
      <fill>
        <patternFill patternType="solid">
          <fgColor rgb="FFFFE0B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1B1C1C"/>
          <bgColor rgb="FF000000"/>
        </patternFill>
      </fill>
    </dxf>
  </dxfs>
  <colors>
    <indexedColors>
      <rgbColor rgb="FF000000"/>
      <rgbColor rgb="FFFFFFFF"/>
      <rgbColor rgb="FFFFFDF4"/>
      <rgbColor rgb="FFE9F9EE"/>
      <rgbColor rgb="FF0E243C"/>
      <rgbColor rgb="FFFFF4CD"/>
      <rgbColor rgb="FFF0F9FF"/>
      <rgbColor rgb="FFE3F2FA"/>
      <rgbColor rgb="FF8A0606"/>
      <rgbColor rgb="FF065D09"/>
      <rgbColor rgb="FF001F3F"/>
      <rgbColor rgb="FFF2E4F4"/>
      <rgbColor rgb="FF0A1423"/>
      <rgbColor rgb="FF186029"/>
      <rgbColor rgb="FFC9C9C9"/>
      <rgbColor rgb="FF8D7F53"/>
      <rgbColor rgb="FFD7E1F9"/>
      <rgbColor rgb="FF4B5564"/>
      <rgbColor rgb="FFFFFBE0"/>
      <rgbColor rgb="FFD5F3E6"/>
      <rgbColor rgb="FF0D1B2B"/>
      <rgbColor rgb="FFE0E0E0"/>
      <rgbColor rgb="FF0C4FBA"/>
      <rgbColor rgb="FFCBD5E1"/>
      <rgbColor rgb="FF001F3D"/>
      <rgbColor rgb="FFEFF9F2"/>
      <rgbColor rgb="FFD5EDD9"/>
      <rgbColor rgb="FFE4F1FD"/>
      <rgbColor rgb="FFF8FAFC"/>
      <rgbColor rgb="FF0A141E"/>
      <rgbColor rgb="FF1E4D2B"/>
      <rgbColor rgb="FFF0FDF4"/>
      <rgbColor rgb="FFEDE9FE"/>
      <rgbColor rgb="FFE2F2FE"/>
      <rgbColor rgb="FFC9EDD0"/>
      <rgbColor rgb="FFFFF4C9"/>
      <rgbColor rgb="FFB7DFBE"/>
      <rgbColor rgb="FFD8D8D8"/>
      <rgbColor rgb="FFD0D5DD"/>
      <rgbColor rgb="FFFFE0B2"/>
      <rgbColor rgb="FFFDECEA"/>
      <rgbColor rgb="FFDBEAFE"/>
      <rgbColor rgb="FFD6EBF7"/>
      <rgbColor rgb="FFFFE4C7"/>
      <rgbColor rgb="FFD4A515"/>
      <rgbColor rgb="FFFAE4EC"/>
      <rgbColor rgb="FF626974"/>
      <rgbColor rgb="FFC3B298"/>
      <rgbColor rgb="FF1E3F61"/>
      <rgbColor rgb="FF05B968"/>
      <rgbColor rgb="FF0D2D1B"/>
      <rgbColor rgb="FF1D1A1A"/>
      <rgbColor rgb="FFF5F5F6"/>
      <rgbColor rgb="FFF5F3FF"/>
      <rgbColor rgb="FF561EB4"/>
      <rgbColor rgb="FF2439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2B1A"/>
    <pageSetUpPr fitToPage="fals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44"/>
    <col collapsed="false" customWidth="true" hidden="false" outlineLevel="0" max="3" min="3" style="1" width="8.71"/>
    <col collapsed="false" customWidth="true" hidden="false" outlineLevel="0" max="4" min="4" style="1" width="52"/>
    <col collapsed="false" customWidth="true" hidden="false" outlineLevel="0" max="12" min="5" style="1" width="8.71"/>
  </cols>
  <sheetData>
    <row r="1" customFormat="false" ht="15" hidden="false" customHeight="true" outlineLevel="0" collapsed="false">
      <c r="A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37.5" hidden="false" customHeight="true" outlineLevel="0" collapsed="false">
      <c r="A3" s="3"/>
      <c r="B3" s="4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9.5" hidden="false" customHeight="true" outlineLevel="0" collapsed="false">
      <c r="A4" s="3"/>
      <c r="B4" s="5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3"/>
      <c r="B5" s="6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A6" s="3"/>
      <c r="B6" s="7" t="s">
        <v>3</v>
      </c>
      <c r="C6" s="3"/>
      <c r="D6" s="3"/>
      <c r="E6" s="3"/>
      <c r="F6" s="3"/>
      <c r="G6" s="3"/>
      <c r="H6" s="3"/>
      <c r="I6" s="3"/>
      <c r="J6" s="3"/>
      <c r="K6" s="3"/>
      <c r="L6" s="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3"/>
      <c r="B7" s="8" t="str">
        <f aca="false">IFERROR(__xludf.dummyfunction("""Total Talent: ""&amp;COUNTA('01_Player_Rate_Card'!$C$5:$C$500)&amp;"" entries across ""&amp;COUNTUNIQUE(FILTER('01_Player_Rate_Card'!$E$5:$E$500,'01_Player_Rate_Card'!$E$5:$E$500&lt;&gt;""""))&amp;"" games  ·  ""&amp;COUNTIF('01_Player_Rate_Card'!$D$5:$D$500,""Player"")&amp;"" playe"&amp;"rs  ·  ""&amp;COUNTUNIQUE(FILTER('01_Player_Rate_Card'!$F$5:$F$500,'01_Player_Rate_Card'!$F$5:$F$500&lt;&gt;""""))&amp;"" teams  ·  Confidential — Internal Use Only"""),"Total Talent: 189 entries across 23 games  ·  131 players  ·  21 teams  ·  Confidential — Internal Use Only")</f>
        <v>Total Talent: 189 entries across 23 games  ·  131 players  ·  21 teams  ·  Confidential — Internal Use Only</v>
      </c>
      <c r="C7" s="3"/>
      <c r="D7" s="3"/>
      <c r="E7" s="3"/>
      <c r="F7" s="3"/>
      <c r="G7" s="3"/>
      <c r="H7" s="3"/>
      <c r="I7" s="3"/>
      <c r="J7" s="3"/>
      <c r="K7" s="3"/>
      <c r="L7" s="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37.5" hidden="false" customHeight="true" outlineLevel="0" collapsed="false">
      <c r="B10" s="9" t="n">
        <f aca="false">COUNTA('01_Player_Rate_Card'!$C$5:$C$500)</f>
        <v>189</v>
      </c>
      <c r="D10" s="9" t="n">
        <f aca="false">COUNTIF('01_Player_Rate_Card'!$D$5:$D$500,"Player")</f>
        <v>131</v>
      </c>
      <c r="F10" s="9" t="n">
        <f aca="false">COUNTIF('01_Player_Rate_Card'!$D$5:$D$500,"Influencer")</f>
        <v>8</v>
      </c>
      <c r="H10" s="9" t="n">
        <f aca="false">COUNTA('01_Player_Rate_Card'!$C$5:$C$500)-COUNTIF('01_Player_Rate_Card'!$D$5:$D$500,"Player")-COUNTIF('01_Player_Rate_Card'!$D$5:$D$500,"Influencer")</f>
        <v>50</v>
      </c>
      <c r="J10" s="9" t="str">
        <f aca="false">COUNTIF('01_Player_Rate_Card'!$I$5:$I$500,"Tier 1")&amp;"/"&amp;COUNTIF('01_Player_Rate_Card'!$I$5:$I$500,"Tier 2")&amp;"/"&amp;COUNTIF('01_Player_Rate_Card'!$I$5:$I$500,"Tier 3")</f>
        <v>10/71/71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B11" s="10" t="s">
        <v>4</v>
      </c>
      <c r="D11" s="10" t="s">
        <v>5</v>
      </c>
      <c r="F11" s="10" t="s">
        <v>6</v>
      </c>
      <c r="H11" s="10" t="s">
        <v>7</v>
      </c>
      <c r="J11" s="10" t="s">
        <v>8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B13" s="11" t="s">
        <v>9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B14" s="12" t="s">
        <v>10</v>
      </c>
      <c r="D14" s="13" t="str">
        <f aca="false">"All "&amp;COUNTA('01_Player_Rate_Card'!$C$5:$C$500)&amp;" entries · rates per platform · filterable by role/game/team/tier"</f>
        <v>All 189 entries · rates per platform · filterable by role/game/team/tier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B15" s="12" t="s">
        <v>11</v>
      </c>
      <c r="D15" s="13" t="s">
        <v>12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B16" s="12" t="s">
        <v>13</v>
      </c>
      <c r="D16" s="13" t="s">
        <v>14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B17" s="14"/>
      <c r="D17" s="1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B18" s="12" t="s">
        <v>15</v>
      </c>
      <c r="D18" s="13" t="s">
        <v>16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B19" s="12" t="s">
        <v>17</v>
      </c>
      <c r="D19" s="13" t="s">
        <v>18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.75" hidden="false" customHeight="true" outlineLevel="0" collapsed="false">
      <c r="B20" s="11" t="s">
        <v>19</v>
      </c>
      <c r="D20" s="16" t="s">
        <v>20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B21" s="17" t="s">
        <v>21</v>
      </c>
      <c r="D21" s="18" t="s">
        <v>22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B22" s="19" t="s">
        <v>23</v>
      </c>
      <c r="D22" s="20" t="s">
        <v>24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B23" s="21" t="s">
        <v>25</v>
      </c>
      <c r="D23" s="22" t="s">
        <v>26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B24" s="23" t="s">
        <v>27</v>
      </c>
      <c r="D24" s="24" t="s">
        <v>28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B25" s="25" t="s">
        <v>29</v>
      </c>
      <c r="D25" s="26" t="s">
        <v>30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B26" s="27" t="s">
        <v>31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20"/>
    <col collapsed="false" customWidth="true" hidden="false" outlineLevel="0" max="6" min="6" style="1" width="18"/>
  </cols>
  <sheetData>
    <row r="2" customFormat="false" ht="36" hidden="false" customHeight="true" outlineLevel="0" collapsed="false">
      <c r="B2" s="28" t="s">
        <v>0</v>
      </c>
      <c r="C2" s="28"/>
      <c r="D2" s="28"/>
      <c r="E2" s="29" t="s">
        <v>32</v>
      </c>
      <c r="F2" s="30" t="s">
        <v>33</v>
      </c>
    </row>
    <row r="3" customFormat="false" ht="15" hidden="false" customHeight="true" outlineLevel="0" collapsed="false">
      <c r="E3" s="29" t="s">
        <v>34</v>
      </c>
      <c r="F3" s="30" t="s">
        <v>33</v>
      </c>
    </row>
    <row r="4" customFormat="false" ht="15" hidden="false" customHeight="true" outlineLevel="0" collapsed="false">
      <c r="E4" s="29" t="s">
        <v>35</v>
      </c>
      <c r="F4" s="30" t="s">
        <v>36</v>
      </c>
    </row>
    <row r="5" customFormat="false" ht="15" hidden="false" customHeight="true" outlineLevel="0" collapsed="false">
      <c r="E5" s="29" t="s">
        <v>37</v>
      </c>
      <c r="F5" s="30" t="s">
        <v>38</v>
      </c>
    </row>
    <row r="6" customFormat="false" ht="15" hidden="false" customHeight="true" outlineLevel="0" collapsed="false">
      <c r="E6" s="29" t="s">
        <v>39</v>
      </c>
      <c r="F6" s="30" t="s">
        <v>40</v>
      </c>
    </row>
    <row r="7" customFormat="false" ht="15" hidden="false" customHeight="true" outlineLevel="0" collapsed="false">
      <c r="E7" s="29" t="s">
        <v>41</v>
      </c>
      <c r="F7" s="30" t="s">
        <v>42</v>
      </c>
    </row>
    <row r="11" customFormat="false" ht="7.5" hidden="false" customHeight="true" outlineLevel="0" collapsed="false"/>
    <row r="12" customFormat="false" ht="21.75" hidden="false" customHeight="true" outlineLevel="0" collapsed="false">
      <c r="B12" s="31" t="s">
        <v>43</v>
      </c>
      <c r="C12" s="31"/>
      <c r="D12" s="31"/>
      <c r="E12" s="31"/>
      <c r="F12" s="31"/>
    </row>
    <row r="13" customFormat="false" ht="25.5" hidden="false" customHeight="true" outlineLevel="0" collapsed="false">
      <c r="B13" s="32" t="s">
        <v>44</v>
      </c>
      <c r="C13" s="32" t="s">
        <v>45</v>
      </c>
      <c r="D13" s="32" t="s">
        <v>46</v>
      </c>
      <c r="E13" s="32" t="s">
        <v>47</v>
      </c>
    </row>
    <row r="14" customFormat="false" ht="19.5" hidden="false" customHeight="true" outlineLevel="0" collapsed="false">
      <c r="B14" s="33" t="s">
        <v>48</v>
      </c>
      <c r="C14" s="34" t="n">
        <v>0</v>
      </c>
      <c r="D14" s="35" t="n">
        <v>1</v>
      </c>
      <c r="E14" s="34" t="n">
        <f aca="false">C14*D14</f>
        <v>0</v>
      </c>
    </row>
    <row r="15" customFormat="false" ht="19.5" hidden="false" customHeight="true" outlineLevel="0" collapsed="false">
      <c r="B15" s="33" t="s">
        <v>49</v>
      </c>
      <c r="C15" s="34" t="n">
        <v>0</v>
      </c>
      <c r="D15" s="35" t="n">
        <v>1</v>
      </c>
      <c r="E15" s="34" t="n">
        <f aca="false">C15*D15</f>
        <v>0</v>
      </c>
    </row>
    <row r="16" customFormat="false" ht="19.5" hidden="false" customHeight="true" outlineLevel="0" collapsed="false">
      <c r="B16" s="33" t="s">
        <v>50</v>
      </c>
      <c r="C16" s="34" t="n">
        <v>0</v>
      </c>
      <c r="D16" s="35" t="n">
        <v>1</v>
      </c>
      <c r="E16" s="34" t="n">
        <f aca="false">C16*D16</f>
        <v>0</v>
      </c>
    </row>
    <row r="17" customFormat="false" ht="19.5" hidden="false" customHeight="true" outlineLevel="0" collapsed="false">
      <c r="B17" s="33" t="s">
        <v>51</v>
      </c>
      <c r="C17" s="34" t="n">
        <v>0</v>
      </c>
      <c r="D17" s="35" t="n">
        <v>1</v>
      </c>
      <c r="E17" s="34" t="n">
        <f aca="false">C17*D17</f>
        <v>0</v>
      </c>
    </row>
    <row r="18" customFormat="false" ht="19.5" hidden="false" customHeight="true" outlineLevel="0" collapsed="false">
      <c r="B18" s="33" t="s">
        <v>52</v>
      </c>
      <c r="C18" s="34" t="n">
        <v>0</v>
      </c>
      <c r="D18" s="35" t="n">
        <v>1</v>
      </c>
      <c r="E18" s="34" t="n">
        <f aca="false">C18*D18</f>
        <v>0</v>
      </c>
    </row>
    <row r="19" customFormat="false" ht="19.5" hidden="false" customHeight="true" outlineLevel="0" collapsed="false">
      <c r="B19" s="33" t="s">
        <v>53</v>
      </c>
      <c r="C19" s="34" t="n">
        <v>0</v>
      </c>
      <c r="D19" s="35" t="n">
        <v>1</v>
      </c>
      <c r="E19" s="34" t="n">
        <f aca="false">C19*D19</f>
        <v>0</v>
      </c>
    </row>
    <row r="20" customFormat="false" ht="19.5" hidden="false" customHeight="true" outlineLevel="0" collapsed="false">
      <c r="B20" s="33" t="s">
        <v>54</v>
      </c>
      <c r="C20" s="34" t="n">
        <v>0</v>
      </c>
      <c r="D20" s="35" t="n">
        <v>1</v>
      </c>
      <c r="E20" s="34" t="n">
        <f aca="false">C20*D20</f>
        <v>0</v>
      </c>
    </row>
    <row r="21" customFormat="false" ht="15" hidden="false" customHeight="true" outlineLevel="0" collapsed="false">
      <c r="B21" s="36" t="s">
        <v>55</v>
      </c>
      <c r="D21" s="29" t="s">
        <v>56</v>
      </c>
      <c r="E21" s="37" t="n">
        <f aca="false">SUM(E14:E20)</f>
        <v>0</v>
      </c>
    </row>
    <row r="22" customFormat="false" ht="15" hidden="false" customHeight="true" outlineLevel="0" collapsed="false">
      <c r="B22" s="38" t="s">
        <v>57</v>
      </c>
      <c r="C22" s="38"/>
      <c r="D22" s="39" t="s">
        <v>58</v>
      </c>
      <c r="E22" s="40" t="n">
        <v>0.15</v>
      </c>
    </row>
    <row r="23" customFormat="false" ht="15" hidden="false" customHeight="true" outlineLevel="0" collapsed="false">
      <c r="B23" s="38"/>
      <c r="C23" s="38"/>
      <c r="D23" s="39" t="s">
        <v>59</v>
      </c>
      <c r="E23" s="41" t="n">
        <f aca="false">E21*E22</f>
        <v>0</v>
      </c>
    </row>
    <row r="25" customFormat="false" ht="27.75" hidden="false" customHeight="true" outlineLevel="0" collapsed="false">
      <c r="D25" s="42" t="s">
        <v>60</v>
      </c>
      <c r="E25" s="43" t="n">
        <f aca="false">E21+E23</f>
        <v>0</v>
      </c>
    </row>
    <row r="28" customFormat="false" ht="21.75" hidden="false" customHeight="true" outlineLevel="0" collapsed="false">
      <c r="B28" s="31" t="s">
        <v>61</v>
      </c>
      <c r="C28" s="31"/>
      <c r="D28" s="31"/>
      <c r="E28" s="31"/>
      <c r="F28" s="31"/>
    </row>
    <row r="29" customFormat="false" ht="25.5" hidden="false" customHeight="true" outlineLevel="0" collapsed="false">
      <c r="B29" s="32" t="s">
        <v>62</v>
      </c>
      <c r="C29" s="32" t="s">
        <v>63</v>
      </c>
      <c r="D29" s="32" t="s">
        <v>64</v>
      </c>
      <c r="E29" s="32" t="s">
        <v>65</v>
      </c>
    </row>
    <row r="30" customFormat="false" ht="19.5" hidden="false" customHeight="true" outlineLevel="0" collapsed="false">
      <c r="B30" s="44" t="s">
        <v>66</v>
      </c>
      <c r="C30" s="45" t="s">
        <v>67</v>
      </c>
      <c r="D30" s="46" t="n">
        <v>1</v>
      </c>
      <c r="E30" s="45" t="s">
        <v>68</v>
      </c>
    </row>
    <row r="31" customFormat="false" ht="19.5" hidden="false" customHeight="true" outlineLevel="0" collapsed="false">
      <c r="B31" s="44" t="s">
        <v>69</v>
      </c>
      <c r="C31" s="45" t="s">
        <v>70</v>
      </c>
      <c r="D31" s="46" t="n">
        <v>1</v>
      </c>
      <c r="E31" s="45" t="s">
        <v>68</v>
      </c>
    </row>
    <row r="32" customFormat="false" ht="19.5" hidden="false" customHeight="true" outlineLevel="0" collapsed="false">
      <c r="B32" s="44" t="s">
        <v>71</v>
      </c>
      <c r="C32" s="45" t="s">
        <v>72</v>
      </c>
      <c r="D32" s="46" t="n">
        <v>1</v>
      </c>
      <c r="E32" s="45" t="s">
        <v>68</v>
      </c>
    </row>
    <row r="33" customFormat="false" ht="19.5" hidden="false" customHeight="true" outlineLevel="0" collapsed="false">
      <c r="B33" s="44" t="s">
        <v>73</v>
      </c>
      <c r="C33" s="45" t="s">
        <v>74</v>
      </c>
      <c r="D33" s="46" t="n">
        <v>1</v>
      </c>
      <c r="E33" s="45" t="s">
        <v>68</v>
      </c>
    </row>
    <row r="34" customFormat="false" ht="19.5" hidden="false" customHeight="true" outlineLevel="0" collapsed="false">
      <c r="B34" s="44" t="s">
        <v>75</v>
      </c>
      <c r="C34" s="45" t="s">
        <v>76</v>
      </c>
      <c r="D34" s="46" t="n">
        <v>1</v>
      </c>
      <c r="E34" s="45" t="s">
        <v>68</v>
      </c>
    </row>
    <row r="35" customFormat="false" ht="19.5" hidden="false" customHeight="true" outlineLevel="0" collapsed="false">
      <c r="B35" s="44" t="s">
        <v>77</v>
      </c>
      <c r="C35" s="45" t="s">
        <v>78</v>
      </c>
      <c r="D35" s="46" t="n">
        <v>1</v>
      </c>
      <c r="E35" s="45" t="s">
        <v>68</v>
      </c>
    </row>
    <row r="36" customFormat="false" ht="19.5" hidden="false" customHeight="true" outlineLevel="0" collapsed="false">
      <c r="B36" s="44" t="s">
        <v>79</v>
      </c>
      <c r="C36" s="45" t="s">
        <v>80</v>
      </c>
      <c r="D36" s="46" t="n">
        <v>1</v>
      </c>
      <c r="E36" s="45" t="s">
        <v>68</v>
      </c>
    </row>
    <row r="37" customFormat="false" ht="15" hidden="false" customHeight="true" outlineLevel="0" collapsed="false">
      <c r="B37" s="47" t="s">
        <v>81</v>
      </c>
      <c r="C37" s="48"/>
      <c r="D37" s="49" t="n">
        <f aca="false">PRODUCT(D30:D36)</f>
        <v>1</v>
      </c>
      <c r="E37" s="50" t="s">
        <v>82</v>
      </c>
    </row>
    <row r="40" customFormat="false" ht="21.75" hidden="false" customHeight="true" outlineLevel="0" collapsed="false">
      <c r="B40" s="51" t="s">
        <v>83</v>
      </c>
      <c r="C40" s="51"/>
      <c r="D40" s="51"/>
      <c r="E40" s="51"/>
      <c r="F40" s="51"/>
    </row>
    <row r="42" customFormat="false" ht="15" hidden="false" customHeight="true" outlineLevel="0" collapsed="false">
      <c r="B42" s="52" t="s">
        <v>84</v>
      </c>
      <c r="C42" s="52"/>
      <c r="D42" s="52"/>
      <c r="E42" s="52"/>
      <c r="F42" s="52"/>
    </row>
    <row r="43" customFormat="false" ht="15" hidden="false" customHeight="true" outlineLevel="0" collapsed="false">
      <c r="B43" s="53" t="s">
        <v>85</v>
      </c>
      <c r="C43" s="53"/>
      <c r="D43" s="53"/>
      <c r="E43" s="53"/>
      <c r="F43" s="53"/>
    </row>
  </sheetData>
  <mergeCells count="7">
    <mergeCell ref="B2:D2"/>
    <mergeCell ref="B12:F12"/>
    <mergeCell ref="B22:C23"/>
    <mergeCell ref="B28:F28"/>
    <mergeCell ref="B40:F40"/>
    <mergeCell ref="B42:F42"/>
    <mergeCell ref="B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2B1A"/>
    <outlinePr summaryBelow="0"/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6" min="3" style="1" width="24"/>
    <col collapsed="false" customWidth="true" hidden="false" outlineLevel="0" max="7" min="7" style="1" width="42"/>
  </cols>
  <sheetData>
    <row r="1" customFormat="false" ht="15" hidden="false" customHeight="true" outlineLevel="0" collapsed="false">
      <c r="A1" s="54" t="s">
        <v>86</v>
      </c>
      <c r="B1" s="54" t="s">
        <v>87</v>
      </c>
    </row>
    <row r="2" customFormat="false" ht="15" hidden="false" customHeight="true" outlineLevel="0" collapsed="false">
      <c r="A2" s="55" t="s">
        <v>88</v>
      </c>
      <c r="B2" s="55" t="s">
        <v>89</v>
      </c>
    </row>
    <row r="3" customFormat="false" ht="15" hidden="false" customHeight="true" outlineLevel="0" collapsed="false">
      <c r="A3" s="55" t="s">
        <v>90</v>
      </c>
      <c r="B3" s="55" t="s">
        <v>91</v>
      </c>
    </row>
    <row r="4" customFormat="false" ht="15" hidden="false" customHeight="true" outlineLevel="0" collapsed="false">
      <c r="A4" s="55" t="s">
        <v>92</v>
      </c>
      <c r="B4" s="55" t="s">
        <v>93</v>
      </c>
    </row>
    <row r="5" customFormat="false" ht="15" hidden="false" customHeight="true" outlineLevel="0" collapsed="false">
      <c r="A5" s="55" t="s">
        <v>94</v>
      </c>
      <c r="B5" s="55" t="s">
        <v>95</v>
      </c>
    </row>
    <row r="6" customFormat="false" ht="15" hidden="false" customHeight="true" outlineLevel="0" collapsed="false">
      <c r="A6" s="55" t="s">
        <v>96</v>
      </c>
      <c r="B6" s="55" t="s">
        <v>97</v>
      </c>
    </row>
    <row r="8" customFormat="false" ht="15" hidden="false" customHeight="true" outlineLevel="0" collapsed="false">
      <c r="A8" s="56" t="s">
        <v>98</v>
      </c>
      <c r="B8" s="56"/>
      <c r="C8" s="56"/>
      <c r="D8" s="56"/>
      <c r="E8" s="56"/>
      <c r="F8" s="56"/>
      <c r="G8" s="56"/>
    </row>
    <row r="9" customFormat="false" ht="15" hidden="false" customHeight="true" outlineLevel="0" collapsed="false">
      <c r="A9" s="57" t="s">
        <v>99</v>
      </c>
      <c r="B9" s="57" t="s">
        <v>100</v>
      </c>
      <c r="C9" s="57" t="s">
        <v>101</v>
      </c>
      <c r="D9" s="57" t="s">
        <v>102</v>
      </c>
      <c r="E9" s="57" t="s">
        <v>103</v>
      </c>
      <c r="F9" s="57" t="s">
        <v>104</v>
      </c>
      <c r="G9" s="57" t="s">
        <v>105</v>
      </c>
    </row>
    <row r="10" customFormat="false" ht="15" hidden="false" customHeight="true" outlineLevel="0" collapsed="false">
      <c r="A10" s="58" t="s">
        <v>106</v>
      </c>
      <c r="B10" s="58" t="s">
        <v>107</v>
      </c>
      <c r="C10" s="58" t="s">
        <v>108</v>
      </c>
      <c r="D10" s="58" t="n">
        <v>40000</v>
      </c>
      <c r="E10" s="58" t="n">
        <v>50000</v>
      </c>
      <c r="F10" s="58" t="n">
        <v>0.65</v>
      </c>
      <c r="G10" s="58" t="s">
        <v>109</v>
      </c>
    </row>
    <row r="11" customFormat="false" ht="15" hidden="false" customHeight="true" outlineLevel="0" collapsed="false">
      <c r="A11" s="58" t="s">
        <v>110</v>
      </c>
      <c r="B11" s="58" t="s">
        <v>111</v>
      </c>
      <c r="C11" s="58" t="s">
        <v>112</v>
      </c>
      <c r="D11" s="58" t="n">
        <v>22000</v>
      </c>
      <c r="E11" s="58" t="n">
        <v>30000</v>
      </c>
      <c r="F11" s="58" t="n">
        <v>0.55</v>
      </c>
      <c r="G11" s="58" t="s">
        <v>113</v>
      </c>
    </row>
    <row r="12" customFormat="false" ht="15" hidden="false" customHeight="true" outlineLevel="0" collapsed="false">
      <c r="A12" s="58" t="s">
        <v>114</v>
      </c>
      <c r="B12" s="58" t="s">
        <v>115</v>
      </c>
      <c r="C12" s="58" t="s">
        <v>116</v>
      </c>
      <c r="D12" s="58" t="n">
        <v>11000</v>
      </c>
      <c r="E12" s="58" t="n">
        <v>18000</v>
      </c>
      <c r="F12" s="58" t="n">
        <v>0.45</v>
      </c>
      <c r="G12" s="58" t="s">
        <v>117</v>
      </c>
    </row>
    <row r="13" customFormat="false" ht="15" hidden="false" customHeight="true" outlineLevel="0" collapsed="false">
      <c r="A13" s="58" t="s">
        <v>118</v>
      </c>
      <c r="B13" s="58" t="s">
        <v>119</v>
      </c>
      <c r="C13" s="58" t="s">
        <v>120</v>
      </c>
      <c r="D13" s="58" t="n">
        <v>6500</v>
      </c>
      <c r="E13" s="58" t="n">
        <v>10000</v>
      </c>
      <c r="F13" s="58" t="n">
        <v>0.35</v>
      </c>
      <c r="G13" s="58" t="s">
        <v>121</v>
      </c>
    </row>
    <row r="14" customFormat="false" ht="15" hidden="false" customHeight="true" outlineLevel="0" collapsed="false">
      <c r="A14" s="58" t="s">
        <v>122</v>
      </c>
      <c r="B14" s="58" t="s">
        <v>123</v>
      </c>
      <c r="C14" s="58" t="s">
        <v>124</v>
      </c>
      <c r="D14" s="58" t="n">
        <v>3000</v>
      </c>
      <c r="E14" s="58" t="n">
        <v>5500</v>
      </c>
      <c r="F14" s="58" t="n">
        <v>0.25</v>
      </c>
      <c r="G14" s="58" t="s">
        <v>125</v>
      </c>
    </row>
    <row r="17" customFormat="false" ht="15" hidden="false" customHeight="true" outlineLevel="0" collapsed="false">
      <c r="A17" s="56" t="s">
        <v>126</v>
      </c>
      <c r="B17" s="56"/>
      <c r="C17" s="56"/>
      <c r="D17" s="56"/>
      <c r="E17" s="56"/>
      <c r="F17" s="56"/>
      <c r="G17" s="56"/>
    </row>
    <row r="18" customFormat="false" ht="15" hidden="false" customHeight="true" outlineLevel="0" collapsed="false">
      <c r="A18" s="57" t="s">
        <v>127</v>
      </c>
      <c r="B18" s="57" t="s">
        <v>128</v>
      </c>
      <c r="C18" s="57" t="s">
        <v>129</v>
      </c>
    </row>
    <row r="19" customFormat="false" ht="15" hidden="false" customHeight="true" outlineLevel="0" collapsed="false">
      <c r="A19" s="58" t="s">
        <v>130</v>
      </c>
      <c r="B19" s="58" t="s">
        <v>131</v>
      </c>
      <c r="C19" s="58" t="s">
        <v>132</v>
      </c>
    </row>
    <row r="20" customFormat="false" ht="15" hidden="false" customHeight="true" outlineLevel="0" collapsed="false">
      <c r="A20" s="58" t="s">
        <v>133</v>
      </c>
      <c r="B20" s="58" t="s">
        <v>134</v>
      </c>
      <c r="C20" s="58" t="s">
        <v>132</v>
      </c>
    </row>
    <row r="21" customFormat="false" ht="15.75" hidden="false" customHeight="true" outlineLevel="0" collapsed="false">
      <c r="A21" s="58" t="s">
        <v>135</v>
      </c>
      <c r="B21" s="58" t="s">
        <v>136</v>
      </c>
      <c r="C21" s="58" t="s">
        <v>137</v>
      </c>
    </row>
    <row r="22" customFormat="false" ht="15.75" hidden="false" customHeight="true" outlineLevel="0" collapsed="false">
      <c r="A22" s="58" t="s">
        <v>138</v>
      </c>
      <c r="B22" s="58" t="s">
        <v>139</v>
      </c>
      <c r="C22" s="58" t="s">
        <v>140</v>
      </c>
    </row>
    <row r="23" customFormat="false" ht="15.75" hidden="false" customHeight="true" outlineLevel="0" collapsed="false"/>
    <row r="24" customFormat="false" ht="15.75" hidden="false" customHeight="true" outlineLevel="0" collapsed="false">
      <c r="A24" s="56" t="s">
        <v>141</v>
      </c>
      <c r="B24" s="56"/>
      <c r="C24" s="56"/>
      <c r="D24" s="56"/>
      <c r="E24" s="56"/>
      <c r="F24" s="56"/>
      <c r="G24" s="56"/>
    </row>
    <row r="25" customFormat="false" ht="15.75" hidden="false" customHeight="true" outlineLevel="0" collapsed="false">
      <c r="A25" s="59" t="s">
        <v>142</v>
      </c>
      <c r="B25" s="59"/>
      <c r="C25" s="59"/>
      <c r="D25" s="59"/>
      <c r="E25" s="59"/>
      <c r="F25" s="59"/>
      <c r="G25" s="59"/>
    </row>
    <row r="26" customFormat="false" ht="15.75" hidden="false" customHeight="true" outlineLevel="0" collapsed="false">
      <c r="A26" s="59" t="s">
        <v>143</v>
      </c>
      <c r="B26" s="59"/>
      <c r="C26" s="59"/>
      <c r="D26" s="59"/>
      <c r="E26" s="59"/>
      <c r="F26" s="59"/>
      <c r="G26" s="59"/>
    </row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5">
    <mergeCell ref="A8:G8"/>
    <mergeCell ref="A17:G17"/>
    <mergeCell ref="A24:G24"/>
    <mergeCell ref="A25:G25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B"/>
    <pageSetUpPr fitToPage="true"/>
  </sheetPr>
  <dimension ref="A1:BG7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E2" activeCellId="0" sqref="E2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0.85"/>
    <col collapsed="false" customWidth="true" hidden="false" outlineLevel="0" max="3" min="3" style="1" width="18"/>
    <col collapsed="false" customWidth="true" hidden="false" outlineLevel="0" max="4" min="4" style="1" width="20.43"/>
    <col collapsed="false" customWidth="true" hidden="false" outlineLevel="0" max="5" min="5" style="1" width="31.57"/>
    <col collapsed="false" customWidth="true" hidden="false" outlineLevel="0" max="6" min="6" style="1" width="22.29"/>
    <col collapsed="false" customWidth="true" hidden="false" outlineLevel="0" max="7" min="7" style="1" width="21.43"/>
    <col collapsed="false" customWidth="true" hidden="false" outlineLevel="0" max="8" min="8" style="1" width="13"/>
    <col collapsed="false" customWidth="true" hidden="false" outlineLevel="0" max="9" min="9" style="1" width="19.43"/>
    <col collapsed="false" customWidth="true" hidden="false" outlineLevel="0" max="10" min="10" style="1" width="10.43"/>
    <col collapsed="false" customWidth="true" hidden="false" outlineLevel="0" max="12" min="11" style="1" width="13"/>
    <col collapsed="false" customWidth="true" hidden="false" outlineLevel="0" max="13" min="13" style="1" width="12"/>
    <col collapsed="false" customWidth="true" hidden="false" outlineLevel="0" max="14" min="14" style="1" width="12.71"/>
    <col collapsed="false" customWidth="true" hidden="false" outlineLevel="0" max="16" min="15" style="1" width="13"/>
    <col collapsed="false" customWidth="true" hidden="false" outlineLevel="0" max="17" min="17" style="1" width="12.86"/>
    <col collapsed="false" customWidth="true" hidden="false" outlineLevel="0" max="19" min="18" style="1" width="11.29"/>
    <col collapsed="false" customWidth="true" hidden="false" outlineLevel="0" max="20" min="20" style="1" width="10.43"/>
    <col collapsed="false" customWidth="true" hidden="false" outlineLevel="0" max="21" min="21" style="1" width="12.71"/>
    <col collapsed="false" customWidth="true" hidden="false" outlineLevel="0" max="22" min="22" style="1" width="12"/>
    <col collapsed="false" customWidth="true" hidden="false" outlineLevel="0" max="23" min="23" style="1" width="11.85"/>
    <col collapsed="false" customWidth="true" hidden="false" outlineLevel="0" max="24" min="24" style="1" width="16.29"/>
    <col collapsed="false" customWidth="true" hidden="false" outlineLevel="0" max="26" min="25" style="1" width="13"/>
    <col collapsed="false" customWidth="true" hidden="false" outlineLevel="0" max="27" min="27" style="1" width="19.43"/>
    <col collapsed="false" customWidth="true" hidden="false" outlineLevel="0" max="28" min="28" style="1" width="43.57"/>
    <col collapsed="false" customWidth="true" hidden="false" outlineLevel="0" max="29" min="29" style="1" width="56.57"/>
    <col collapsed="false" customWidth="true" hidden="false" outlineLevel="0" max="32" min="30" style="1" width="23"/>
    <col collapsed="false" customWidth="true" hidden="false" outlineLevel="0" max="33" min="33" style="1" width="20.14"/>
    <col collapsed="false" customWidth="true" hidden="false" outlineLevel="0" max="36" min="34" style="1" width="12.29"/>
    <col collapsed="false" customWidth="true" hidden="false" outlineLevel="0" max="37" min="37" style="1" width="13"/>
    <col collapsed="false" customWidth="true" hidden="false" outlineLevel="0" max="38" min="38" style="1" width="15.14"/>
    <col collapsed="false" customWidth="true" hidden="false" outlineLevel="0" max="40" min="39" style="1" width="8.71"/>
    <col collapsed="false" customWidth="true" hidden="false" outlineLevel="0" max="47" min="41" style="1" width="13"/>
    <col collapsed="false" customWidth="true" hidden="false" outlineLevel="0" max="52" min="48" style="1" width="12"/>
    <col collapsed="false" customWidth="true" hidden="false" outlineLevel="0" max="59" min="53" style="1" width="16"/>
  </cols>
  <sheetData>
    <row r="1" customFormat="false" ht="15" hidden="false" customHeight="true" outlineLevel="0" collapsed="false">
      <c r="B1" s="60"/>
      <c r="H1" s="60"/>
      <c r="I1" s="60"/>
      <c r="AA1" s="61"/>
      <c r="AB1" s="61"/>
    </row>
    <row r="2" customFormat="false" ht="24" hidden="false" customHeight="true" outlineLevel="0" collapsed="false">
      <c r="B2" s="62" t="str">
        <f aca="false">"TALENT RATE CARD — ALL "&amp;COUNTA($C$5:$C$500)&amp;" ENTRIES"</f>
        <v>TALENT RATE CARD — ALL 189 ENTRIES</v>
      </c>
      <c r="C2" s="63"/>
      <c r="D2" s="63"/>
      <c r="E2" s="63"/>
      <c r="F2" s="63"/>
      <c r="G2" s="63"/>
      <c r="H2" s="64"/>
      <c r="I2" s="64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5"/>
      <c r="AB2" s="65"/>
      <c r="AC2" s="63"/>
      <c r="AD2" s="63"/>
      <c r="AE2" s="63"/>
      <c r="AF2" s="63"/>
      <c r="AG2" s="63"/>
      <c r="AO2" s="66" t="s">
        <v>144</v>
      </c>
      <c r="AP2" s="66"/>
      <c r="AQ2" s="66"/>
      <c r="AR2" s="66"/>
      <c r="AS2" s="66"/>
      <c r="AT2" s="66"/>
      <c r="AU2" s="66"/>
      <c r="AV2" s="66" t="s">
        <v>145</v>
      </c>
      <c r="AW2" s="66"/>
      <c r="AX2" s="66"/>
      <c r="AY2" s="66"/>
      <c r="AZ2" s="66"/>
      <c r="BA2" s="67" t="s">
        <v>146</v>
      </c>
      <c r="BB2" s="67"/>
      <c r="BC2" s="67"/>
      <c r="BD2" s="67"/>
      <c r="BE2" s="67"/>
      <c r="BF2" s="67"/>
      <c r="BG2" s="67"/>
    </row>
    <row r="3" customFormat="false" ht="16.5" hidden="false" customHeight="true" outlineLevel="0" collapsed="false">
      <c r="A3" s="68" t="s">
        <v>147</v>
      </c>
      <c r="B3" s="69" t="s">
        <v>148</v>
      </c>
      <c r="C3" s="70" t="s">
        <v>149</v>
      </c>
      <c r="D3" s="70" t="s">
        <v>150</v>
      </c>
      <c r="E3" s="71" t="s">
        <v>151</v>
      </c>
      <c r="F3" s="72" t="s">
        <v>152</v>
      </c>
      <c r="G3" s="73" t="s">
        <v>153</v>
      </c>
      <c r="H3" s="69" t="s">
        <v>150</v>
      </c>
      <c r="I3" s="74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6"/>
      <c r="AB3" s="76"/>
      <c r="AC3" s="75"/>
      <c r="AD3" s="75"/>
      <c r="AE3" s="75"/>
      <c r="AF3" s="75"/>
      <c r="AG3" s="75"/>
      <c r="AH3" s="75"/>
      <c r="AI3" s="75"/>
      <c r="AJ3" s="75"/>
      <c r="AK3" s="75"/>
      <c r="AL3" s="75"/>
    </row>
    <row r="4" customFormat="false" ht="36" hidden="false" customHeight="true" outlineLevel="0" collapsed="false">
      <c r="A4" s="77"/>
      <c r="B4" s="78" t="s">
        <v>154</v>
      </c>
      <c r="C4" s="79" t="s">
        <v>155</v>
      </c>
      <c r="D4" s="79" t="s">
        <v>156</v>
      </c>
      <c r="E4" s="79" t="s">
        <v>157</v>
      </c>
      <c r="F4" s="79" t="s">
        <v>158</v>
      </c>
      <c r="G4" s="79" t="s">
        <v>159</v>
      </c>
      <c r="H4" s="79" t="s">
        <v>160</v>
      </c>
      <c r="I4" s="79" t="s">
        <v>99</v>
      </c>
      <c r="J4" s="79" t="s">
        <v>161</v>
      </c>
      <c r="K4" s="79" t="s">
        <v>162</v>
      </c>
      <c r="L4" s="79" t="s">
        <v>163</v>
      </c>
      <c r="M4" s="79" t="s">
        <v>164</v>
      </c>
      <c r="N4" s="79" t="s">
        <v>165</v>
      </c>
      <c r="O4" s="79" t="s">
        <v>166</v>
      </c>
      <c r="P4" s="80" t="s">
        <v>167</v>
      </c>
      <c r="Q4" s="79" t="s">
        <v>168</v>
      </c>
      <c r="R4" s="79" t="s">
        <v>169</v>
      </c>
      <c r="S4" s="79" t="s">
        <v>170</v>
      </c>
      <c r="T4" s="79" t="s">
        <v>171</v>
      </c>
      <c r="U4" s="79" t="s">
        <v>172</v>
      </c>
      <c r="V4" s="79" t="s">
        <v>173</v>
      </c>
      <c r="W4" s="79" t="s">
        <v>174</v>
      </c>
      <c r="X4" s="79" t="s">
        <v>105</v>
      </c>
      <c r="Y4" s="81" t="s">
        <v>175</v>
      </c>
      <c r="Z4" s="81" t="s">
        <v>176</v>
      </c>
      <c r="AA4" s="82" t="s">
        <v>177</v>
      </c>
      <c r="AB4" s="82" t="s">
        <v>178</v>
      </c>
      <c r="AC4" s="79" t="s">
        <v>179</v>
      </c>
      <c r="AD4" s="79" t="s">
        <v>180</v>
      </c>
      <c r="AE4" s="79" t="s">
        <v>181</v>
      </c>
      <c r="AF4" s="79" t="s">
        <v>182</v>
      </c>
      <c r="AG4" s="79" t="s">
        <v>183</v>
      </c>
      <c r="AH4" s="79" t="s">
        <v>184</v>
      </c>
      <c r="AI4" s="79" t="s">
        <v>185</v>
      </c>
      <c r="AJ4" s="79" t="s">
        <v>186</v>
      </c>
      <c r="AK4" s="79" t="s">
        <v>187</v>
      </c>
      <c r="AL4" s="79" t="s">
        <v>188</v>
      </c>
      <c r="AM4" s="83"/>
      <c r="AO4" s="84" t="s">
        <v>189</v>
      </c>
      <c r="AP4" s="84" t="s">
        <v>190</v>
      </c>
      <c r="AQ4" s="84" t="s">
        <v>191</v>
      </c>
      <c r="AR4" s="84" t="s">
        <v>192</v>
      </c>
      <c r="AS4" s="84" t="s">
        <v>193</v>
      </c>
      <c r="AT4" s="84" t="s">
        <v>194</v>
      </c>
      <c r="AU4" s="84" t="s">
        <v>195</v>
      </c>
      <c r="AV4" s="84" t="s">
        <v>196</v>
      </c>
      <c r="AW4" s="84" t="s">
        <v>197</v>
      </c>
      <c r="AX4" s="84" t="s">
        <v>198</v>
      </c>
      <c r="AY4" s="84" t="s">
        <v>199</v>
      </c>
      <c r="AZ4" s="84" t="s">
        <v>200</v>
      </c>
      <c r="BA4" s="85" t="s">
        <v>201</v>
      </c>
      <c r="BB4" s="85" t="s">
        <v>202</v>
      </c>
      <c r="BC4" s="85" t="s">
        <v>203</v>
      </c>
      <c r="BD4" s="85" t="s">
        <v>204</v>
      </c>
      <c r="BE4" s="85" t="s">
        <v>205</v>
      </c>
      <c r="BF4" s="85" t="s">
        <v>206</v>
      </c>
      <c r="BG4" s="85" t="s">
        <v>207</v>
      </c>
    </row>
    <row r="5" customFormat="false" ht="16.5" hidden="false" customHeight="true" outlineLevel="0" collapsed="false">
      <c r="A5" s="86"/>
      <c r="B5" s="87" t="n">
        <f aca="false">IF($C5="","",COUNTA($C$5:C5))</f>
        <v>1</v>
      </c>
      <c r="C5" s="88" t="s">
        <v>208</v>
      </c>
      <c r="D5" s="88" t="s">
        <v>209</v>
      </c>
      <c r="E5" s="88" t="s">
        <v>6</v>
      </c>
      <c r="F5" s="88" t="s">
        <v>6</v>
      </c>
      <c r="G5" s="88" t="s">
        <v>210</v>
      </c>
      <c r="H5" s="89" t="n">
        <v>6</v>
      </c>
      <c r="I5" s="89" t="s">
        <v>118</v>
      </c>
      <c r="J5" s="90" t="n">
        <v>11000</v>
      </c>
      <c r="K5" s="90" t="n">
        <v>4600</v>
      </c>
      <c r="L5" s="90" t="n">
        <f aca="false">IF($C5="","",ROUND($J5*0.17,0))</f>
        <v>1870</v>
      </c>
      <c r="M5" s="90" t="n">
        <v>8600</v>
      </c>
      <c r="N5" s="90" t="n">
        <v>3500</v>
      </c>
      <c r="O5" s="90" t="n">
        <v>2200</v>
      </c>
      <c r="P5" s="90" t="n">
        <v>2200</v>
      </c>
      <c r="Q5" s="90" t="n">
        <v>15950</v>
      </c>
      <c r="R5" s="90" t="n">
        <v>7150</v>
      </c>
      <c r="S5" s="90" t="n">
        <f aca="false">IF($C5="","",ROUND($J5*2.2,0))</f>
        <v>24200</v>
      </c>
      <c r="T5" s="90" t="n">
        <v>3850</v>
      </c>
      <c r="U5" s="90" t="n">
        <v>3300</v>
      </c>
      <c r="V5" s="90" t="n">
        <v>2000</v>
      </c>
      <c r="W5" s="91" t="n">
        <v>1650</v>
      </c>
      <c r="X5" s="91" t="s">
        <v>211</v>
      </c>
      <c r="Y5" s="92" t="n">
        <v>0.3</v>
      </c>
      <c r="Z5" s="92" t="n">
        <v>1</v>
      </c>
      <c r="AA5" s="93" t="s">
        <v>212</v>
      </c>
      <c r="AB5" s="93" t="s">
        <v>213</v>
      </c>
      <c r="AC5" s="93" t="s">
        <v>214</v>
      </c>
      <c r="AD5" s="93" t="s">
        <v>215</v>
      </c>
      <c r="AE5" s="93" t="s">
        <v>216</v>
      </c>
      <c r="AF5" s="93" t="s">
        <v>217</v>
      </c>
      <c r="AG5" s="93" t="s">
        <v>218</v>
      </c>
      <c r="AH5" s="88"/>
      <c r="AI5" s="88" t="s">
        <v>219</v>
      </c>
      <c r="AJ5" s="88" t="s">
        <v>220</v>
      </c>
      <c r="AK5" s="88"/>
      <c r="AL5" s="88"/>
      <c r="AM5" s="94"/>
      <c r="AN5" s="86"/>
      <c r="AO5" s="95"/>
      <c r="AP5" s="95"/>
      <c r="AQ5" s="95"/>
      <c r="AR5" s="95"/>
      <c r="AS5" s="95"/>
      <c r="AT5" s="95"/>
      <c r="AU5" s="95"/>
      <c r="AV5" s="96" t="str">
        <f aca="false">IF(AND(AP5&gt;0,J5&gt;0),J5*1000/(AP5*0.2),"")</f>
        <v/>
      </c>
      <c r="AW5" s="96" t="str">
        <f aca="false">IF(AND(AS5&gt;0,M5&gt;0),M5*1000/(AS5*0.3),"")</f>
        <v/>
      </c>
      <c r="AX5" s="96" t="str">
        <f aca="false">IF(AND(AO5&gt;0,O5&gt;0),O5*1000/(AO5*0.1),"")</f>
        <v/>
      </c>
      <c r="AY5" s="96" t="str">
        <f aca="false">IF(AND(AR5&gt;0,N5&gt;0),N5*1000/(AR5*0.25),"")</f>
        <v/>
      </c>
      <c r="AZ5" s="96" t="str">
        <f aca="false">IF(AND(AQ5&gt;0,Q5&gt;0),Q5*1000/(AQ5*1),"")</f>
        <v/>
      </c>
      <c r="BA5" s="97" t="n">
        <f aca="false">IFERROR(VLOOKUP($I5,'07_Settings'!$A$10:$F$14,6,FALSE()),0.25)</f>
        <v>0.35</v>
      </c>
      <c r="BB5" s="98" t="n">
        <v>1</v>
      </c>
      <c r="BC5" s="98" t="n">
        <v>1</v>
      </c>
      <c r="BD5" s="98" t="n">
        <v>1</v>
      </c>
      <c r="BE5" s="99" t="n">
        <f aca="false">IFERROR(ROUND($S5*BA5*BC5*BD5*BB5,0),0)</f>
        <v>8470</v>
      </c>
      <c r="BF5" s="55" t="str">
        <f aca="false">IF(COUNT(AO5:AU5)&gt;0,"estimated","pending")</f>
        <v>pending</v>
      </c>
    </row>
    <row r="6" customFormat="false" ht="16.5" hidden="false" customHeight="true" outlineLevel="0" collapsed="false">
      <c r="A6" s="100"/>
      <c r="B6" s="87" t="n">
        <f aca="false">IF($C6="","",COUNTA($C$5:C6))</f>
        <v>2</v>
      </c>
      <c r="C6" s="88" t="s">
        <v>221</v>
      </c>
      <c r="D6" s="88" t="s">
        <v>209</v>
      </c>
      <c r="E6" s="88" t="s">
        <v>6</v>
      </c>
      <c r="F6" s="88" t="s">
        <v>6</v>
      </c>
      <c r="G6" s="88" t="s">
        <v>210</v>
      </c>
      <c r="H6" s="89" t="n">
        <v>4</v>
      </c>
      <c r="I6" s="89" t="s">
        <v>118</v>
      </c>
      <c r="J6" s="90" t="n">
        <v>8100</v>
      </c>
      <c r="K6" s="90" t="n">
        <v>3200</v>
      </c>
      <c r="L6" s="90" t="n">
        <f aca="false">IF($C6="","",ROUND($J6*0.17,0))</f>
        <v>1377</v>
      </c>
      <c r="M6" s="90" t="n">
        <v>6350</v>
      </c>
      <c r="N6" s="90" t="n">
        <v>2600</v>
      </c>
      <c r="O6" s="90" t="n">
        <v>1600</v>
      </c>
      <c r="P6" s="90" t="n">
        <v>1600</v>
      </c>
      <c r="Q6" s="90" t="n">
        <v>11800</v>
      </c>
      <c r="R6" s="90" t="n">
        <v>5300</v>
      </c>
      <c r="S6" s="90" t="n">
        <f aca="false">IF($C6="","",ROUND($J6*2.2,0))</f>
        <v>17820</v>
      </c>
      <c r="T6" s="90" t="n">
        <v>2850</v>
      </c>
      <c r="U6" s="90" t="n">
        <v>2450</v>
      </c>
      <c r="V6" s="90" t="n">
        <v>1450</v>
      </c>
      <c r="W6" s="91" t="n">
        <v>1215</v>
      </c>
      <c r="X6" s="91" t="s">
        <v>222</v>
      </c>
      <c r="Y6" s="92" t="n">
        <v>0.3</v>
      </c>
      <c r="Z6" s="92" t="n">
        <v>1</v>
      </c>
      <c r="AA6" s="93" t="s">
        <v>223</v>
      </c>
      <c r="AB6" s="93" t="s">
        <v>224</v>
      </c>
      <c r="AC6" s="93" t="s">
        <v>225</v>
      </c>
      <c r="AD6" s="93" t="s">
        <v>226</v>
      </c>
      <c r="AE6" s="93" t="s">
        <v>227</v>
      </c>
      <c r="AF6" s="93"/>
      <c r="AG6" s="93"/>
      <c r="AH6" s="88"/>
      <c r="AI6" s="88"/>
      <c r="AJ6" s="88" t="s">
        <v>228</v>
      </c>
      <c r="AK6" s="88"/>
      <c r="AL6" s="88"/>
      <c r="AM6" s="101"/>
      <c r="AN6" s="100"/>
      <c r="AO6" s="95"/>
      <c r="AP6" s="95"/>
      <c r="AQ6" s="95"/>
      <c r="AR6" s="95"/>
      <c r="AS6" s="95"/>
      <c r="AT6" s="95"/>
      <c r="AU6" s="95"/>
      <c r="AV6" s="96" t="str">
        <f aca="false">IF(AND(AP6&gt;0,J6&gt;0),J6*1000/(AP6*0.2),"")</f>
        <v/>
      </c>
      <c r="AW6" s="96" t="str">
        <f aca="false">IF(AND(AS6&gt;0,M6&gt;0),M6*1000/(AS6*0.3),"")</f>
        <v/>
      </c>
      <c r="AX6" s="96" t="str">
        <f aca="false">IF(AND(AO6&gt;0,O6&gt;0),O6*1000/(AO6*0.1),"")</f>
        <v/>
      </c>
      <c r="AY6" s="96" t="str">
        <f aca="false">IF(AND(AR6&gt;0,N6&gt;0),N6*1000/(AR6*0.25),"")</f>
        <v/>
      </c>
      <c r="AZ6" s="96" t="str">
        <f aca="false">IF(AND(AQ6&gt;0,Q6&gt;0),Q6*1000/(AQ6*1),"")</f>
        <v/>
      </c>
      <c r="BA6" s="97" t="n">
        <f aca="false">IFERROR(VLOOKUP($I6,'07_Settings'!$A$10:$F$14,6,FALSE()),0.25)</f>
        <v>0.35</v>
      </c>
      <c r="BB6" s="98" t="n">
        <v>1</v>
      </c>
      <c r="BC6" s="98" t="n">
        <v>1</v>
      </c>
      <c r="BD6" s="98" t="n">
        <v>1</v>
      </c>
      <c r="BE6" s="99" t="n">
        <f aca="false">IFERROR(ROUND($S6*BA6*BC6*BD6*BB6,0),0)</f>
        <v>6237</v>
      </c>
      <c r="BF6" s="55" t="str">
        <f aca="false">IF(COUNT(AO6:AU6)&gt;0,"estimated","pending")</f>
        <v>pending</v>
      </c>
    </row>
    <row r="7" customFormat="false" ht="16.5" hidden="false" customHeight="true" outlineLevel="0" collapsed="false">
      <c r="A7" s="102"/>
      <c r="B7" s="87" t="n">
        <f aca="false">IF($C7="","",COUNTA($C$5:C7))</f>
        <v>3</v>
      </c>
      <c r="C7" s="88" t="s">
        <v>229</v>
      </c>
      <c r="D7" s="88" t="s">
        <v>209</v>
      </c>
      <c r="E7" s="88" t="s">
        <v>6</v>
      </c>
      <c r="F7" s="88" t="s">
        <v>6</v>
      </c>
      <c r="G7" s="88" t="s">
        <v>210</v>
      </c>
      <c r="H7" s="89" t="n">
        <v>4</v>
      </c>
      <c r="I7" s="89" t="s">
        <v>118</v>
      </c>
      <c r="J7" s="90" t="n">
        <v>7450</v>
      </c>
      <c r="K7" s="90" t="n">
        <v>3150</v>
      </c>
      <c r="L7" s="90" t="n">
        <f aca="false">IF($C7="","",ROUND($J7*0.17,0))</f>
        <v>1267</v>
      </c>
      <c r="M7" s="90" t="n">
        <v>5850</v>
      </c>
      <c r="N7" s="90" t="n">
        <v>2400</v>
      </c>
      <c r="O7" s="90" t="n">
        <v>1500</v>
      </c>
      <c r="P7" s="90" t="n">
        <v>1500</v>
      </c>
      <c r="Q7" s="90" t="n">
        <v>10850</v>
      </c>
      <c r="R7" s="90" t="n">
        <v>4850</v>
      </c>
      <c r="S7" s="90" t="n">
        <f aca="false">IF($C7="","",ROUND($J7*2.2,0))</f>
        <v>16390</v>
      </c>
      <c r="T7" s="90" t="n">
        <v>2600</v>
      </c>
      <c r="U7" s="90" t="n">
        <v>2250</v>
      </c>
      <c r="V7" s="90" t="n">
        <v>1350</v>
      </c>
      <c r="W7" s="91" t="n">
        <v>1118</v>
      </c>
      <c r="X7" s="91" t="s">
        <v>222</v>
      </c>
      <c r="Y7" s="92" t="n">
        <v>0.3</v>
      </c>
      <c r="Z7" s="92" t="n">
        <v>1</v>
      </c>
      <c r="AA7" s="93" t="s">
        <v>230</v>
      </c>
      <c r="AB7" s="93" t="s">
        <v>231</v>
      </c>
      <c r="AC7" s="93" t="s">
        <v>232</v>
      </c>
      <c r="AD7" s="93" t="s">
        <v>233</v>
      </c>
      <c r="AE7" s="93"/>
      <c r="AF7" s="93"/>
      <c r="AG7" s="93" t="s">
        <v>234</v>
      </c>
      <c r="AH7" s="88"/>
      <c r="AI7" s="88"/>
      <c r="AJ7" s="88"/>
      <c r="AK7" s="88"/>
      <c r="AL7" s="88"/>
      <c r="AM7" s="103"/>
      <c r="AN7" s="102"/>
      <c r="AO7" s="104" t="n">
        <v>4792</v>
      </c>
      <c r="AP7" s="104" t="n">
        <v>4080</v>
      </c>
      <c r="AQ7" s="95"/>
      <c r="AR7" s="95"/>
      <c r="AS7" s="95"/>
      <c r="AT7" s="95"/>
      <c r="AU7" s="95"/>
      <c r="AV7" s="96" t="n">
        <f aca="false">IF(AND(AP7&gt;0,J7&gt;0),J7*1000/(AP7*0.2),"")</f>
        <v>9129.90196078431</v>
      </c>
      <c r="AW7" s="96" t="str">
        <f aca="false">IF(AND(AS7&gt;0,M7&gt;0),M7*1000/(AS7*0.3),"")</f>
        <v/>
      </c>
      <c r="AX7" s="96" t="n">
        <f aca="false">IF(AND(AO7&gt;0,O7&gt;0),O7*1000/(AO7*0.1),"")</f>
        <v>3130.21702838063</v>
      </c>
      <c r="AY7" s="96" t="str">
        <f aca="false">IF(AND(AR7&gt;0,N7&gt;0),N7*1000/(AR7*0.25),"")</f>
        <v/>
      </c>
      <c r="AZ7" s="96" t="str">
        <f aca="false">IF(AND(AQ7&gt;0,Q7&gt;0),Q7*1000/(AQ7*1),"")</f>
        <v/>
      </c>
      <c r="BA7" s="97" t="n">
        <f aca="false">IFERROR(VLOOKUP($I7,'07_Settings'!$A$10:$F$14,6,FALSE()),0.25)</f>
        <v>0.35</v>
      </c>
      <c r="BB7" s="98" t="n">
        <v>1</v>
      </c>
      <c r="BC7" s="98" t="n">
        <v>1</v>
      </c>
      <c r="BD7" s="98" t="n">
        <v>1</v>
      </c>
      <c r="BE7" s="99" t="n">
        <f aca="false">IFERROR(ROUND($S7*BA7*BC7*BD7*BB7,0),0)</f>
        <v>5737</v>
      </c>
      <c r="BF7" s="55" t="str">
        <f aca="false">IF(COUNT(AO7:AU7)&gt;0,"estimated","pending")</f>
        <v>estimated</v>
      </c>
    </row>
    <row r="8" customFormat="false" ht="16.5" hidden="false" customHeight="true" outlineLevel="0" collapsed="false">
      <c r="A8" s="105"/>
      <c r="B8" s="87" t="n">
        <f aca="false">IF($C8="","",COUNTA($C$5:C8))</f>
        <v>4</v>
      </c>
      <c r="C8" s="88" t="s">
        <v>235</v>
      </c>
      <c r="D8" s="88" t="s">
        <v>209</v>
      </c>
      <c r="E8" s="88" t="s">
        <v>6</v>
      </c>
      <c r="F8" s="88" t="s">
        <v>6</v>
      </c>
      <c r="G8" s="88" t="s">
        <v>210</v>
      </c>
      <c r="H8" s="89" t="n">
        <v>3</v>
      </c>
      <c r="I8" s="89" t="s">
        <v>118</v>
      </c>
      <c r="J8" s="90" t="n">
        <v>5200</v>
      </c>
      <c r="K8" s="90" t="n">
        <v>2200</v>
      </c>
      <c r="L8" s="90" t="n">
        <f aca="false">IF($C8="","",ROUND($J8*0.17,0))</f>
        <v>884</v>
      </c>
      <c r="M8" s="90" t="n">
        <v>4050</v>
      </c>
      <c r="N8" s="90" t="n">
        <v>1650</v>
      </c>
      <c r="O8" s="90" t="n">
        <v>1050</v>
      </c>
      <c r="P8" s="90" t="n">
        <v>1050</v>
      </c>
      <c r="Q8" s="90" t="n">
        <v>7550</v>
      </c>
      <c r="R8" s="90" t="n">
        <v>3400</v>
      </c>
      <c r="S8" s="90" t="n">
        <f aca="false">IF($C8="","",ROUND($J8*2.2,0))</f>
        <v>11440</v>
      </c>
      <c r="T8" s="90" t="n">
        <v>1800</v>
      </c>
      <c r="U8" s="90" t="n">
        <v>1550</v>
      </c>
      <c r="V8" s="90" t="n">
        <v>950</v>
      </c>
      <c r="W8" s="91" t="n">
        <v>780</v>
      </c>
      <c r="X8" s="91" t="s">
        <v>236</v>
      </c>
      <c r="Y8" s="92" t="n">
        <v>0.3</v>
      </c>
      <c r="Z8" s="92" t="n">
        <v>1</v>
      </c>
      <c r="AA8" s="93" t="s">
        <v>237</v>
      </c>
      <c r="AB8" s="93" t="s">
        <v>238</v>
      </c>
      <c r="AC8" s="93"/>
      <c r="AD8" s="93" t="s">
        <v>239</v>
      </c>
      <c r="AE8" s="93"/>
      <c r="AF8" s="93"/>
      <c r="AG8" s="93" t="s">
        <v>240</v>
      </c>
      <c r="AH8" s="88" t="s">
        <v>241</v>
      </c>
      <c r="AI8" s="88" t="s">
        <v>242</v>
      </c>
      <c r="AJ8" s="88" t="s">
        <v>243</v>
      </c>
      <c r="AK8" s="88"/>
      <c r="AL8" s="88"/>
      <c r="AM8" s="106"/>
      <c r="AN8" s="105"/>
      <c r="AO8" s="95"/>
      <c r="AP8" s="95"/>
      <c r="AQ8" s="95"/>
      <c r="AR8" s="95"/>
      <c r="AS8" s="95"/>
      <c r="AT8" s="95"/>
      <c r="AU8" s="95"/>
      <c r="AV8" s="96" t="str">
        <f aca="false">IF(AND(AP8&gt;0,J8&gt;0),J8*1000/(AP8*0.2),"")</f>
        <v/>
      </c>
      <c r="AW8" s="96" t="str">
        <f aca="false">IF(AND(AS8&gt;0,M8&gt;0),M8*1000/(AS8*0.3),"")</f>
        <v/>
      </c>
      <c r="AX8" s="96" t="str">
        <f aca="false">IF(AND(AO8&gt;0,O8&gt;0),O8*1000/(AO8*0.1),"")</f>
        <v/>
      </c>
      <c r="AY8" s="96" t="str">
        <f aca="false">IF(AND(AR8&gt;0,N8&gt;0),N8*1000/(AR8*0.25),"")</f>
        <v/>
      </c>
      <c r="AZ8" s="96" t="str">
        <f aca="false">IF(AND(AQ8&gt;0,Q8&gt;0),Q8*1000/(AQ8*1),"")</f>
        <v/>
      </c>
      <c r="BA8" s="97" t="n">
        <f aca="false">IFERROR(VLOOKUP($I8,'07_Settings'!$A$10:$F$14,6,FALSE()),0.25)</f>
        <v>0.35</v>
      </c>
      <c r="BB8" s="98" t="n">
        <v>1</v>
      </c>
      <c r="BC8" s="98" t="n">
        <v>1</v>
      </c>
      <c r="BD8" s="98" t="n">
        <v>1</v>
      </c>
      <c r="BE8" s="99" t="n">
        <f aca="false">IFERROR(ROUND($S8*BA8*BC8*BD8*BB8,0),0)</f>
        <v>4004</v>
      </c>
      <c r="BF8" s="55" t="str">
        <f aca="false">IF(COUNT(AO8:AU8)&gt;0,"estimated","pending")</f>
        <v>pending</v>
      </c>
    </row>
    <row r="9" customFormat="false" ht="16.5" hidden="false" customHeight="true" outlineLevel="0" collapsed="false">
      <c r="A9" s="102"/>
      <c r="B9" s="87" t="n">
        <f aca="false">IF($C9="","",COUNTA($C$5:C9))</f>
        <v>5</v>
      </c>
      <c r="C9" s="88" t="s">
        <v>244</v>
      </c>
      <c r="D9" s="88" t="s">
        <v>209</v>
      </c>
      <c r="E9" s="88" t="s">
        <v>6</v>
      </c>
      <c r="F9" s="88" t="s">
        <v>6</v>
      </c>
      <c r="G9" s="88" t="s">
        <v>245</v>
      </c>
      <c r="H9" s="89" t="n">
        <v>5</v>
      </c>
      <c r="I9" s="89" t="s">
        <v>114</v>
      </c>
      <c r="J9" s="90" t="n">
        <v>8100</v>
      </c>
      <c r="K9" s="90" t="n">
        <v>3400</v>
      </c>
      <c r="L9" s="90" t="n">
        <f aca="false">IF($C9="","",ROUND($J9*0.17,0))</f>
        <v>1377</v>
      </c>
      <c r="M9" s="90" t="n">
        <v>6350</v>
      </c>
      <c r="N9" s="90" t="n">
        <v>2600</v>
      </c>
      <c r="O9" s="90" t="n">
        <v>1600</v>
      </c>
      <c r="P9" s="90" t="n">
        <v>1600</v>
      </c>
      <c r="Q9" s="90" t="n">
        <v>11800</v>
      </c>
      <c r="R9" s="90" t="n">
        <v>5300</v>
      </c>
      <c r="S9" s="90" t="n">
        <f aca="false">IF($C9="","",ROUND($J9*2.2,0))</f>
        <v>17820</v>
      </c>
      <c r="T9" s="90" t="n">
        <v>2850</v>
      </c>
      <c r="U9" s="90" t="n">
        <v>2450</v>
      </c>
      <c r="V9" s="90" t="n">
        <v>1450</v>
      </c>
      <c r="W9" s="91" t="n">
        <v>1215</v>
      </c>
      <c r="X9" s="91" t="s">
        <v>246</v>
      </c>
      <c r="Y9" s="92" t="n">
        <v>0.3</v>
      </c>
      <c r="Z9" s="92" t="n">
        <v>1</v>
      </c>
      <c r="AA9" s="93" t="s">
        <v>247</v>
      </c>
      <c r="AB9" s="93" t="s">
        <v>248</v>
      </c>
      <c r="AC9" s="93" t="s">
        <v>249</v>
      </c>
      <c r="AD9" s="93" t="s">
        <v>250</v>
      </c>
      <c r="AE9" s="93" t="s">
        <v>251</v>
      </c>
      <c r="AF9" s="93" t="s">
        <v>252</v>
      </c>
      <c r="AG9" s="93"/>
      <c r="AH9" s="88"/>
      <c r="AI9" s="88"/>
      <c r="AJ9" s="88" t="s">
        <v>253</v>
      </c>
      <c r="AK9" s="88"/>
      <c r="AL9" s="88"/>
      <c r="AM9" s="103"/>
      <c r="AN9" s="102"/>
      <c r="AO9" s="95"/>
      <c r="AP9" s="104" t="n">
        <v>67000</v>
      </c>
      <c r="AQ9" s="95"/>
      <c r="AR9" s="95"/>
      <c r="AS9" s="95"/>
      <c r="AT9" s="95"/>
      <c r="AU9" s="95"/>
      <c r="AV9" s="96" t="n">
        <f aca="false">IF(AND(AP9&gt;0,J9&gt;0),J9*1000/(AP9*0.2),"")</f>
        <v>604.477611940299</v>
      </c>
      <c r="AW9" s="96" t="str">
        <f aca="false">IF(AND(AS9&gt;0,M9&gt;0),M9*1000/(AS9*0.3),"")</f>
        <v/>
      </c>
      <c r="AX9" s="96" t="str">
        <f aca="false">IF(AND(AO9&gt;0,O9&gt;0),O9*1000/(AO9*0.1),"")</f>
        <v/>
      </c>
      <c r="AY9" s="96" t="str">
        <f aca="false">IF(AND(AR9&gt;0,N9&gt;0),N9*1000/(AR9*0.25),"")</f>
        <v/>
      </c>
      <c r="AZ9" s="96" t="str">
        <f aca="false">IF(AND(AQ9&gt;0,Q9&gt;0),Q9*1000/(AQ9*1),"")</f>
        <v/>
      </c>
      <c r="BA9" s="97" t="n">
        <f aca="false">IFERROR(VLOOKUP($I9,'07_Settings'!$A$10:$F$14,6,FALSE()),0.25)</f>
        <v>0.45</v>
      </c>
      <c r="BB9" s="98" t="n">
        <v>1</v>
      </c>
      <c r="BC9" s="98" t="n">
        <v>1</v>
      </c>
      <c r="BD9" s="98" t="n">
        <v>1</v>
      </c>
      <c r="BE9" s="99" t="n">
        <f aca="false">IFERROR(ROUND($S9*BA9*BC9*BD9*BB9,0),0)</f>
        <v>8019</v>
      </c>
      <c r="BF9" s="55" t="str">
        <f aca="false">IF(COUNT(AO9:AU9)&gt;0,"estimated","pending")</f>
        <v>estimated</v>
      </c>
    </row>
    <row r="10" customFormat="false" ht="16.5" hidden="false" customHeight="true" outlineLevel="0" collapsed="false">
      <c r="A10" s="100"/>
      <c r="B10" s="87" t="n">
        <f aca="false">IF($C10="","",COUNTA($C$5:C10))</f>
        <v>6</v>
      </c>
      <c r="C10" s="88" t="s">
        <v>254</v>
      </c>
      <c r="D10" s="88" t="s">
        <v>209</v>
      </c>
      <c r="E10" s="88" t="s">
        <v>6</v>
      </c>
      <c r="F10" s="88" t="s">
        <v>6</v>
      </c>
      <c r="G10" s="88" t="s">
        <v>210</v>
      </c>
      <c r="H10" s="89" t="n">
        <v>5</v>
      </c>
      <c r="I10" s="89" t="s">
        <v>118</v>
      </c>
      <c r="J10" s="90" t="n">
        <v>7450</v>
      </c>
      <c r="K10" s="90" t="n">
        <v>3150</v>
      </c>
      <c r="L10" s="90" t="n">
        <f aca="false">IF($C10="","",ROUND($J10*0.17,0))</f>
        <v>1267</v>
      </c>
      <c r="M10" s="90" t="n">
        <v>5850</v>
      </c>
      <c r="N10" s="90" t="n">
        <v>2400</v>
      </c>
      <c r="O10" s="90" t="n">
        <v>1500</v>
      </c>
      <c r="P10" s="90" t="n">
        <v>1500</v>
      </c>
      <c r="Q10" s="90" t="n">
        <v>10850</v>
      </c>
      <c r="R10" s="90" t="n">
        <v>4850</v>
      </c>
      <c r="S10" s="90" t="n">
        <f aca="false">IF($C10="","",ROUND($J10*2.2,0))</f>
        <v>16390</v>
      </c>
      <c r="T10" s="90" t="n">
        <v>2600</v>
      </c>
      <c r="U10" s="90" t="n">
        <v>2250</v>
      </c>
      <c r="V10" s="90" t="n">
        <v>1350</v>
      </c>
      <c r="W10" s="91" t="n">
        <v>1118</v>
      </c>
      <c r="X10" s="91" t="s">
        <v>246</v>
      </c>
      <c r="Y10" s="92" t="n">
        <v>0.3</v>
      </c>
      <c r="Z10" s="92" t="n">
        <v>1</v>
      </c>
      <c r="AA10" s="93" t="s">
        <v>255</v>
      </c>
      <c r="AB10" s="93" t="s">
        <v>256</v>
      </c>
      <c r="AC10" s="93" t="s">
        <v>257</v>
      </c>
      <c r="AD10" s="93"/>
      <c r="AE10" s="93" t="s">
        <v>258</v>
      </c>
      <c r="AF10" s="93" t="s">
        <v>259</v>
      </c>
      <c r="AG10" s="93" t="s">
        <v>260</v>
      </c>
      <c r="AH10" s="88"/>
      <c r="AI10" s="88" t="s">
        <v>261</v>
      </c>
      <c r="AJ10" s="88" t="s">
        <v>262</v>
      </c>
      <c r="AK10" s="88"/>
      <c r="AL10" s="88"/>
      <c r="AM10" s="101"/>
      <c r="AN10" s="100"/>
      <c r="AO10" s="95"/>
      <c r="AP10" s="95"/>
      <c r="AQ10" s="95"/>
      <c r="AR10" s="95"/>
      <c r="AS10" s="95"/>
      <c r="AT10" s="95"/>
      <c r="AU10" s="95"/>
      <c r="AV10" s="96" t="str">
        <f aca="false">IF(AND(AP10&gt;0,J10&gt;0),J10*1000/(AP10*0.2),"")</f>
        <v/>
      </c>
      <c r="AW10" s="96" t="str">
        <f aca="false">IF(AND(AS10&gt;0,M10&gt;0),M10*1000/(AS10*0.3),"")</f>
        <v/>
      </c>
      <c r="AX10" s="96" t="str">
        <f aca="false">IF(AND(AO10&gt;0,O10&gt;0),O10*1000/(AO10*0.1),"")</f>
        <v/>
      </c>
      <c r="AY10" s="96" t="str">
        <f aca="false">IF(AND(AR10&gt;0,N10&gt;0),N10*1000/(AR10*0.25),"")</f>
        <v/>
      </c>
      <c r="AZ10" s="96" t="str">
        <f aca="false">IF(AND(AQ10&gt;0,Q10&gt;0),Q10*1000/(AQ10*1),"")</f>
        <v/>
      </c>
      <c r="BA10" s="97" t="n">
        <f aca="false">IFERROR(VLOOKUP($I10,'07_Settings'!$A$10:$F$14,6,FALSE()),0.25)</f>
        <v>0.35</v>
      </c>
      <c r="BB10" s="98" t="n">
        <v>1</v>
      </c>
      <c r="BC10" s="98" t="n">
        <v>1</v>
      </c>
      <c r="BD10" s="98" t="n">
        <v>1</v>
      </c>
      <c r="BE10" s="99" t="n">
        <f aca="false">IFERROR(ROUND($S10*BA10*BC10*BD10*BB10,0),0)</f>
        <v>5737</v>
      </c>
      <c r="BF10" s="55" t="str">
        <f aca="false">IF(COUNT(AO10:AU10)&gt;0,"estimated","pending")</f>
        <v>pending</v>
      </c>
    </row>
    <row r="11" customFormat="false" ht="16.5" hidden="false" customHeight="true" outlineLevel="0" collapsed="false">
      <c r="A11" s="100"/>
      <c r="B11" s="107" t="n">
        <f aca="false">IF($C11="","",COUNTA($C$5:C11))</f>
        <v>7</v>
      </c>
      <c r="C11" s="108" t="s">
        <v>263</v>
      </c>
      <c r="D11" s="108" t="s">
        <v>209</v>
      </c>
      <c r="E11" s="108" t="s">
        <v>6</v>
      </c>
      <c r="F11" s="108" t="s">
        <v>6</v>
      </c>
      <c r="G11" s="108" t="s">
        <v>210</v>
      </c>
      <c r="H11" s="109" t="n">
        <v>5</v>
      </c>
      <c r="I11" s="109" t="s">
        <v>114</v>
      </c>
      <c r="J11" s="108" t="n">
        <v>6500</v>
      </c>
      <c r="K11" s="108" t="n">
        <v>5300</v>
      </c>
      <c r="L11" s="110" t="n">
        <f aca="false">IF($C11="","",ROUND($J11*0.17,0))</f>
        <v>1105</v>
      </c>
      <c r="M11" s="108" t="n">
        <v>3400</v>
      </c>
      <c r="N11" s="108" t="n">
        <v>4050</v>
      </c>
      <c r="O11" s="108" t="n">
        <v>2500</v>
      </c>
      <c r="P11" s="108" t="n">
        <v>2500</v>
      </c>
      <c r="Q11" s="108" t="n">
        <v>15950</v>
      </c>
      <c r="R11" s="110" t="n">
        <v>8200</v>
      </c>
      <c r="S11" s="110" t="n">
        <f aca="false">IF($C11="","",ROUND($J11*2.2,0))</f>
        <v>14300</v>
      </c>
      <c r="T11" s="108" t="n">
        <v>3800</v>
      </c>
      <c r="U11" s="108" t="n">
        <v>1900</v>
      </c>
      <c r="V11" s="108" t="n">
        <v>3150</v>
      </c>
      <c r="W11" s="108" t="n">
        <v>1250</v>
      </c>
      <c r="X11" s="108" t="s">
        <v>246</v>
      </c>
      <c r="Y11" s="92" t="n">
        <v>0.3</v>
      </c>
      <c r="Z11" s="92" t="n">
        <v>1</v>
      </c>
      <c r="AA11" s="111" t="s">
        <v>264</v>
      </c>
      <c r="AB11" s="111" t="s">
        <v>265</v>
      </c>
      <c r="AC11" s="108" t="s">
        <v>266</v>
      </c>
      <c r="AD11" s="108"/>
      <c r="AE11" s="108" t="s">
        <v>267</v>
      </c>
      <c r="AF11" s="108" t="s">
        <v>268</v>
      </c>
      <c r="AG11" s="108" t="s">
        <v>269</v>
      </c>
      <c r="AH11" s="108"/>
      <c r="AI11" s="108"/>
      <c r="AJ11" s="108"/>
      <c r="AK11" s="108"/>
      <c r="AL11" s="108"/>
      <c r="AM11" s="101"/>
      <c r="AN11" s="100"/>
      <c r="AO11" s="95"/>
      <c r="AP11" s="95"/>
      <c r="AQ11" s="95"/>
      <c r="AR11" s="95"/>
      <c r="AS11" s="95"/>
      <c r="AT11" s="95"/>
      <c r="AU11" s="95"/>
      <c r="AV11" s="96" t="str">
        <f aca="false">IF(AND(AP11&gt;0,J11&gt;0),J11*1000/(AP11*0.2),"")</f>
        <v/>
      </c>
      <c r="AW11" s="96" t="str">
        <f aca="false">IF(AND(AS11&gt;0,M11&gt;0),M11*1000/(AS11*0.3),"")</f>
        <v/>
      </c>
      <c r="AX11" s="96" t="str">
        <f aca="false">IF(AND(AO11&gt;0,O11&gt;0),O11*1000/(AO11*0.1),"")</f>
        <v/>
      </c>
      <c r="AY11" s="96" t="str">
        <f aca="false">IF(AND(AR11&gt;0,N11&gt;0),N11*1000/(AR11*0.25),"")</f>
        <v/>
      </c>
      <c r="AZ11" s="96" t="str">
        <f aca="false">IF(AND(AQ11&gt;0,Q11&gt;0),Q11*1000/(AQ11*1),"")</f>
        <v/>
      </c>
      <c r="BA11" s="97" t="n">
        <f aca="false">IFERROR(VLOOKUP($I11,'07_Settings'!$A$10:$F$14,6,FALSE()),0.25)</f>
        <v>0.45</v>
      </c>
      <c r="BB11" s="98" t="n">
        <v>1</v>
      </c>
      <c r="BC11" s="98" t="n">
        <v>1</v>
      </c>
      <c r="BD11" s="98" t="n">
        <v>1</v>
      </c>
      <c r="BE11" s="99" t="n">
        <f aca="false">IFERROR(ROUND($S11*BA11*BC11*BD11*BB11,0),0)</f>
        <v>6435</v>
      </c>
      <c r="BF11" s="55" t="str">
        <f aca="false">IF(COUNT(AO11:AU11)&gt;0,"estimated","pending")</f>
        <v>pending</v>
      </c>
    </row>
    <row r="12" customFormat="false" ht="16.5" hidden="false" customHeight="true" outlineLevel="0" collapsed="false">
      <c r="A12" s="105"/>
      <c r="B12" s="107" t="n">
        <f aca="false">IF($C12="","",COUNTA($C$5:C12))</f>
        <v>8</v>
      </c>
      <c r="C12" s="108" t="s">
        <v>270</v>
      </c>
      <c r="D12" s="108" t="s">
        <v>209</v>
      </c>
      <c r="E12" s="108" t="s">
        <v>6</v>
      </c>
      <c r="F12" s="108" t="s">
        <v>6</v>
      </c>
      <c r="G12" s="108" t="s">
        <v>210</v>
      </c>
      <c r="H12" s="109" t="n">
        <v>5</v>
      </c>
      <c r="I12" s="109" t="s">
        <v>118</v>
      </c>
      <c r="J12" s="108" t="n">
        <v>7450</v>
      </c>
      <c r="K12" s="108" t="n">
        <v>3150</v>
      </c>
      <c r="L12" s="110" t="n">
        <f aca="false">IF($C12="","",ROUND($J12*0.17,0))</f>
        <v>1267</v>
      </c>
      <c r="M12" s="108" t="n">
        <v>5800</v>
      </c>
      <c r="N12" s="110" t="n">
        <v>2400</v>
      </c>
      <c r="O12" s="108" t="n">
        <v>1500</v>
      </c>
      <c r="P12" s="108" t="n">
        <v>1500</v>
      </c>
      <c r="Q12" s="108" t="n">
        <v>7500</v>
      </c>
      <c r="R12" s="110" t="n">
        <v>4850</v>
      </c>
      <c r="S12" s="110" t="n">
        <f aca="false">IF($C12="","",ROUND($J12*2.2,0))</f>
        <v>16390</v>
      </c>
      <c r="T12" s="108" t="n">
        <v>2250</v>
      </c>
      <c r="U12" s="108" t="n">
        <v>1100</v>
      </c>
      <c r="V12" s="108" t="n">
        <v>1850</v>
      </c>
      <c r="W12" s="108" t="n">
        <v>750</v>
      </c>
      <c r="X12" s="108" t="s">
        <v>246</v>
      </c>
      <c r="Y12" s="92" t="n">
        <v>0.3</v>
      </c>
      <c r="Z12" s="92" t="n">
        <v>1</v>
      </c>
      <c r="AA12" s="111" t="s">
        <v>271</v>
      </c>
      <c r="AB12" s="111" t="s">
        <v>272</v>
      </c>
      <c r="AC12" s="108" t="s">
        <v>273</v>
      </c>
      <c r="AD12" s="108"/>
      <c r="AE12" s="108"/>
      <c r="AF12" s="108" t="s">
        <v>274</v>
      </c>
      <c r="AG12" s="108" t="s">
        <v>275</v>
      </c>
      <c r="AH12" s="108" t="s">
        <v>276</v>
      </c>
      <c r="AI12" s="108"/>
      <c r="AJ12" s="108"/>
      <c r="AK12" s="108" t="s">
        <v>277</v>
      </c>
      <c r="AL12" s="108"/>
      <c r="AM12" s="106"/>
      <c r="AN12" s="105"/>
      <c r="AO12" s="95"/>
      <c r="AP12" s="95"/>
      <c r="AQ12" s="95"/>
      <c r="AR12" s="95"/>
      <c r="AS12" s="95"/>
      <c r="AT12" s="95"/>
      <c r="AU12" s="95"/>
      <c r="AV12" s="96" t="str">
        <f aca="false">IF(AND(AP12&gt;0,J12&gt;0),J12*1000/(AP12*0.2),"")</f>
        <v/>
      </c>
      <c r="AW12" s="96" t="str">
        <f aca="false">IF(AND(AS12&gt;0,M12&gt;0),M12*1000/(AS12*0.3),"")</f>
        <v/>
      </c>
      <c r="AX12" s="96" t="str">
        <f aca="false">IF(AND(AO12&gt;0,O12&gt;0),O12*1000/(AO12*0.1),"")</f>
        <v/>
      </c>
      <c r="AY12" s="96" t="str">
        <f aca="false">IF(AND(AR12&gt;0,N12&gt;0),N12*1000/(AR12*0.25),"")</f>
        <v/>
      </c>
      <c r="AZ12" s="96" t="str">
        <f aca="false">IF(AND(AQ12&gt;0,Q12&gt;0),Q12*1000/(AQ12*1),"")</f>
        <v/>
      </c>
      <c r="BA12" s="97" t="n">
        <f aca="false">IFERROR(VLOOKUP($I12,'07_Settings'!$A$10:$F$14,6,FALSE()),0.25)</f>
        <v>0.35</v>
      </c>
      <c r="BB12" s="98" t="n">
        <v>1</v>
      </c>
      <c r="BC12" s="98" t="n">
        <v>1</v>
      </c>
      <c r="BD12" s="98" t="n">
        <v>1</v>
      </c>
      <c r="BE12" s="99" t="n">
        <f aca="false">IFERROR(ROUND($S12*BA12*BC12*BD12*BB12,0),0)</f>
        <v>5737</v>
      </c>
      <c r="BF12" s="55" t="str">
        <f aca="false">IF(COUNT(AO12:AU12)&gt;0,"estimated","pending")</f>
        <v>pending</v>
      </c>
    </row>
    <row r="13" customFormat="false" ht="16.5" hidden="false" customHeight="true" outlineLevel="0" collapsed="false">
      <c r="A13" s="102"/>
      <c r="B13" s="112" t="n">
        <f aca="false">IF($C13="","",COUNTA($C$5:C13))</f>
        <v>9</v>
      </c>
      <c r="C13" s="113" t="s">
        <v>278</v>
      </c>
      <c r="D13" s="114" t="s">
        <v>279</v>
      </c>
      <c r="E13" s="113" t="s">
        <v>280</v>
      </c>
      <c r="F13" s="113" t="s">
        <v>281</v>
      </c>
      <c r="G13" s="114" t="s">
        <v>282</v>
      </c>
      <c r="H13" s="114" t="n">
        <v>3</v>
      </c>
      <c r="I13" s="114" t="s">
        <v>110</v>
      </c>
      <c r="J13" s="115" t="n">
        <v>11250</v>
      </c>
      <c r="K13" s="115" t="n">
        <v>4500</v>
      </c>
      <c r="L13" s="115" t="n">
        <f aca="false">IF($C13="","",ROUND($J13*0.17,0))</f>
        <v>1913</v>
      </c>
      <c r="M13" s="115" t="n">
        <v>8000</v>
      </c>
      <c r="N13" s="115" t="n">
        <v>3500</v>
      </c>
      <c r="O13" s="115" t="n">
        <v>2000</v>
      </c>
      <c r="P13" s="115" t="n">
        <v>2000</v>
      </c>
      <c r="Q13" s="115" t="n">
        <v>13500</v>
      </c>
      <c r="R13" s="115" t="n">
        <v>6075</v>
      </c>
      <c r="S13" s="115" t="n">
        <f aca="false">IF($C13="","",ROUND($J13*2.2,0))</f>
        <v>24750</v>
      </c>
      <c r="T13" s="115" t="n">
        <v>4638</v>
      </c>
      <c r="U13" s="115" t="n">
        <v>4063</v>
      </c>
      <c r="V13" s="115" t="n">
        <v>2438</v>
      </c>
      <c r="W13" s="115" t="n">
        <v>2400</v>
      </c>
      <c r="X13" s="116" t="s">
        <v>236</v>
      </c>
      <c r="Y13" s="117" t="n">
        <v>0.3</v>
      </c>
      <c r="Z13" s="117" t="n">
        <v>1</v>
      </c>
      <c r="AA13" s="113" t="s">
        <v>283</v>
      </c>
      <c r="AB13" s="113" t="s">
        <v>284</v>
      </c>
      <c r="AC13" s="116" t="s">
        <v>285</v>
      </c>
      <c r="AD13" s="116" t="s">
        <v>286</v>
      </c>
      <c r="AE13" s="116"/>
      <c r="AF13" s="116"/>
      <c r="AG13" s="116"/>
      <c r="AH13" s="118"/>
      <c r="AI13" s="118"/>
      <c r="AJ13" s="118"/>
      <c r="AK13" s="118" t="s">
        <v>287</v>
      </c>
      <c r="AL13" s="118" t="s">
        <v>288</v>
      </c>
      <c r="AM13" s="103"/>
      <c r="AN13" s="102"/>
      <c r="AO13" s="104" t="n">
        <v>130000</v>
      </c>
      <c r="AP13" s="104" t="n">
        <v>38000</v>
      </c>
      <c r="AQ13" s="104" t="n">
        <v>105230</v>
      </c>
      <c r="AR13" s="95"/>
      <c r="AS13" s="95"/>
      <c r="AT13" s="95"/>
      <c r="AU13" s="95"/>
      <c r="AV13" s="96" t="n">
        <f aca="false">IF(AND(AP13&gt;0,J13&gt;0),J13*1000/(AP13*0.2),"")</f>
        <v>1480.26315789474</v>
      </c>
      <c r="AW13" s="96" t="str">
        <f aca="false">IF(AND(AS13&gt;0,M13&gt;0),M13*1000/(AS13*0.3),"")</f>
        <v/>
      </c>
      <c r="AX13" s="96" t="n">
        <f aca="false">IF(AND(AO13&gt;0,O13&gt;0),O13*1000/(AO13*0.1),"")</f>
        <v>153.846153846154</v>
      </c>
      <c r="AY13" s="96" t="str">
        <f aca="false">IF(AND(AR13&gt;0,N13&gt;0),N13*1000/(AR13*0.25),"")</f>
        <v/>
      </c>
      <c r="AZ13" s="96" t="n">
        <f aca="false">IF(AND(AQ13&gt;0,Q13&gt;0),Q13*1000/(AQ13*1),"")</f>
        <v>128.290411479616</v>
      </c>
      <c r="BA13" s="97" t="n">
        <f aca="false">IFERROR(VLOOKUP($I13,'07_Settings'!$A$10:$F$14,6,FALSE()),0.25)</f>
        <v>0.55</v>
      </c>
      <c r="BB13" s="98" t="n">
        <v>1</v>
      </c>
      <c r="BC13" s="98" t="n">
        <v>1</v>
      </c>
      <c r="BD13" s="98" t="n">
        <v>1</v>
      </c>
      <c r="BE13" s="99" t="n">
        <f aca="false">IFERROR(ROUND($S13*BA13*BC13*BD13*BB13,0),0)</f>
        <v>13613</v>
      </c>
      <c r="BF13" s="55" t="str">
        <f aca="false">IF(COUNT(AO13:AU13)&gt;0,"estimated","pending")</f>
        <v>estimated</v>
      </c>
    </row>
    <row r="14" customFormat="false" ht="16.5" hidden="false" customHeight="true" outlineLevel="0" collapsed="false">
      <c r="A14" s="102"/>
      <c r="B14" s="112" t="n">
        <f aca="false">IF($C14="","",COUNTA($C$5:C14))</f>
        <v>10</v>
      </c>
      <c r="C14" s="113" t="s">
        <v>289</v>
      </c>
      <c r="D14" s="114" t="s">
        <v>279</v>
      </c>
      <c r="E14" s="113" t="s">
        <v>280</v>
      </c>
      <c r="F14" s="113" t="s">
        <v>281</v>
      </c>
      <c r="G14" s="114" t="s">
        <v>210</v>
      </c>
      <c r="H14" s="114" t="n">
        <v>2</v>
      </c>
      <c r="I14" s="114" t="s">
        <v>114</v>
      </c>
      <c r="J14" s="115" t="n">
        <v>11000</v>
      </c>
      <c r="K14" s="115" t="n">
        <v>4600</v>
      </c>
      <c r="L14" s="115" t="n">
        <f aca="false">IF($C14="","",ROUND($J14*0.17,0))</f>
        <v>1870</v>
      </c>
      <c r="M14" s="115" t="n">
        <v>8600</v>
      </c>
      <c r="N14" s="115" t="n">
        <v>3500</v>
      </c>
      <c r="O14" s="115" t="n">
        <v>2200</v>
      </c>
      <c r="P14" s="115" t="n">
        <v>2200</v>
      </c>
      <c r="Q14" s="115" t="n">
        <v>15950</v>
      </c>
      <c r="R14" s="115" t="n">
        <v>7150</v>
      </c>
      <c r="S14" s="115" t="n">
        <f aca="false">IF($C14="","",ROUND($J14*2.2,0))</f>
        <v>24200</v>
      </c>
      <c r="T14" s="115" t="n">
        <v>3850</v>
      </c>
      <c r="U14" s="115" t="n">
        <v>3300</v>
      </c>
      <c r="V14" s="115" t="n">
        <v>2000</v>
      </c>
      <c r="W14" s="115" t="n">
        <v>2400</v>
      </c>
      <c r="X14" s="116" t="s">
        <v>290</v>
      </c>
      <c r="Y14" s="117" t="n">
        <v>0.3</v>
      </c>
      <c r="Z14" s="117" t="n">
        <v>1</v>
      </c>
      <c r="AA14" s="113" t="s">
        <v>291</v>
      </c>
      <c r="AB14" s="113" t="s">
        <v>292</v>
      </c>
      <c r="AC14" s="116"/>
      <c r="AD14" s="116" t="s">
        <v>293</v>
      </c>
      <c r="AE14" s="116"/>
      <c r="AF14" s="116"/>
      <c r="AG14" s="116"/>
      <c r="AH14" s="118"/>
      <c r="AI14" s="118"/>
      <c r="AJ14" s="118"/>
      <c r="AK14" s="118" t="s">
        <v>294</v>
      </c>
      <c r="AL14" s="118" t="s">
        <v>295</v>
      </c>
      <c r="AM14" s="103"/>
      <c r="AN14" s="102"/>
      <c r="AO14" s="104" t="n">
        <v>36000</v>
      </c>
      <c r="AP14" s="95"/>
      <c r="AQ14" s="104" t="n">
        <v>63000</v>
      </c>
      <c r="AR14" s="95"/>
      <c r="AS14" s="95"/>
      <c r="AT14" s="95"/>
      <c r="AU14" s="95"/>
      <c r="AV14" s="96" t="str">
        <f aca="false">IF(AND(AP14&gt;0,J14&gt;0),J14*1000/(AP14*0.2),"")</f>
        <v/>
      </c>
      <c r="AW14" s="96" t="str">
        <f aca="false">IF(AND(AS14&gt;0,M14&gt;0),M14*1000/(AS14*0.3),"")</f>
        <v/>
      </c>
      <c r="AX14" s="96" t="n">
        <f aca="false">IF(AND(AO14&gt;0,O14&gt;0),O14*1000/(AO14*0.1),"")</f>
        <v>611.111111111111</v>
      </c>
      <c r="AY14" s="96" t="str">
        <f aca="false">IF(AND(AR14&gt;0,N14&gt;0),N14*1000/(AR14*0.25),"")</f>
        <v/>
      </c>
      <c r="AZ14" s="96" t="n">
        <f aca="false">IF(AND(AQ14&gt;0,Q14&gt;0),Q14*1000/(AQ14*1),"")</f>
        <v>253.174603174603</v>
      </c>
      <c r="BA14" s="97" t="n">
        <f aca="false">IFERROR(VLOOKUP($I14,'07_Settings'!$A$10:$F$14,6,FALSE()),0.25)</f>
        <v>0.45</v>
      </c>
      <c r="BB14" s="98" t="n">
        <v>1</v>
      </c>
      <c r="BC14" s="98" t="n">
        <v>1</v>
      </c>
      <c r="BD14" s="98" t="n">
        <v>1</v>
      </c>
      <c r="BE14" s="99" t="n">
        <f aca="false">IFERROR(ROUND($S14*BA14*BC14*BD14*BB14,0),0)</f>
        <v>10890</v>
      </c>
      <c r="BF14" s="55" t="str">
        <f aca="false">IF(COUNT(AO14:AU14)&gt;0,"estimated","pending")</f>
        <v>estimated</v>
      </c>
    </row>
    <row r="15" customFormat="false" ht="16.5" hidden="false" customHeight="true" outlineLevel="0" collapsed="false">
      <c r="A15" s="102"/>
      <c r="B15" s="112" t="n">
        <f aca="false">IF($C15="","",COUNTA($C$5:C15))</f>
        <v>11</v>
      </c>
      <c r="C15" s="113" t="s">
        <v>296</v>
      </c>
      <c r="D15" s="114" t="s">
        <v>279</v>
      </c>
      <c r="E15" s="113" t="s">
        <v>280</v>
      </c>
      <c r="F15" s="113" t="s">
        <v>281</v>
      </c>
      <c r="G15" s="114" t="s">
        <v>282</v>
      </c>
      <c r="H15" s="114" t="n">
        <v>3</v>
      </c>
      <c r="I15" s="114" t="s">
        <v>118</v>
      </c>
      <c r="J15" s="115" t="n">
        <v>12100</v>
      </c>
      <c r="K15" s="115" t="n">
        <v>5100</v>
      </c>
      <c r="L15" s="115" t="n">
        <f aca="false">IF($C15="","",ROUND($J15*0.17,0))</f>
        <v>2057</v>
      </c>
      <c r="M15" s="115" t="n">
        <v>9450</v>
      </c>
      <c r="N15" s="115" t="n">
        <v>3850</v>
      </c>
      <c r="O15" s="115" t="n">
        <v>2400</v>
      </c>
      <c r="P15" s="115" t="n">
        <v>2400</v>
      </c>
      <c r="Q15" s="115" t="n">
        <v>17550</v>
      </c>
      <c r="R15" s="115" t="n">
        <v>7850</v>
      </c>
      <c r="S15" s="115" t="n">
        <f aca="false">IF($C15="","",ROUND($J15*2.2,0))</f>
        <v>26620</v>
      </c>
      <c r="T15" s="115" t="n">
        <v>4250</v>
      </c>
      <c r="U15" s="115" t="n">
        <v>3650</v>
      </c>
      <c r="V15" s="115" t="n">
        <v>2200</v>
      </c>
      <c r="W15" s="115" t="n">
        <v>2400</v>
      </c>
      <c r="X15" s="116" t="s">
        <v>236</v>
      </c>
      <c r="Y15" s="117" t="n">
        <v>0.3</v>
      </c>
      <c r="Z15" s="117" t="n">
        <v>1</v>
      </c>
      <c r="AA15" s="113" t="s">
        <v>297</v>
      </c>
      <c r="AB15" s="113" t="s">
        <v>298</v>
      </c>
      <c r="AC15" s="116" t="s">
        <v>299</v>
      </c>
      <c r="AD15" s="116" t="s">
        <v>300</v>
      </c>
      <c r="AE15" s="116"/>
      <c r="AF15" s="116"/>
      <c r="AG15" s="116"/>
      <c r="AH15" s="118"/>
      <c r="AI15" s="118"/>
      <c r="AJ15" s="118"/>
      <c r="AK15" s="119" t="n">
        <v>36475</v>
      </c>
      <c r="AL15" s="118" t="s">
        <v>301</v>
      </c>
      <c r="AM15" s="103"/>
      <c r="AN15" s="102"/>
      <c r="AO15" s="104" t="n">
        <v>48000</v>
      </c>
      <c r="AP15" s="104" t="n">
        <v>3677</v>
      </c>
      <c r="AQ15" s="104" t="n">
        <v>39000</v>
      </c>
      <c r="AR15" s="95"/>
      <c r="AS15" s="95"/>
      <c r="AT15" s="95"/>
      <c r="AU15" s="95"/>
      <c r="AV15" s="96" t="n">
        <f aca="false">IF(AND(AP15&gt;0,J15&gt;0),J15*1000/(AP15*0.2),"")</f>
        <v>16453.6306771825</v>
      </c>
      <c r="AW15" s="96" t="str">
        <f aca="false">IF(AND(AS15&gt;0,M15&gt;0),M15*1000/(AS15*0.3),"")</f>
        <v/>
      </c>
      <c r="AX15" s="96" t="n">
        <f aca="false">IF(AND(AO15&gt;0,O15&gt;0),O15*1000/(AO15*0.1),"")</f>
        <v>500</v>
      </c>
      <c r="AY15" s="96" t="str">
        <f aca="false">IF(AND(AR15&gt;0,N15&gt;0),N15*1000/(AR15*0.25),"")</f>
        <v/>
      </c>
      <c r="AZ15" s="96" t="n">
        <f aca="false">IF(AND(AQ15&gt;0,Q15&gt;0),Q15*1000/(AQ15*1),"")</f>
        <v>450</v>
      </c>
      <c r="BA15" s="97" t="n">
        <f aca="false">IFERROR(VLOOKUP($I15,'07_Settings'!$A$10:$F$14,6,FALSE()),0.25)</f>
        <v>0.35</v>
      </c>
      <c r="BB15" s="98" t="n">
        <v>1</v>
      </c>
      <c r="BC15" s="98" t="n">
        <v>1</v>
      </c>
      <c r="BD15" s="98" t="n">
        <v>1</v>
      </c>
      <c r="BE15" s="99" t="n">
        <f aca="false">IFERROR(ROUND($S15*BA15*BC15*BD15*BB15,0),0)</f>
        <v>9317</v>
      </c>
      <c r="BF15" s="55" t="str">
        <f aca="false">IF(COUNT(AO15:AU15)&gt;0,"estimated","pending")</f>
        <v>estimated</v>
      </c>
    </row>
    <row r="16" customFormat="false" ht="16.5" hidden="false" customHeight="true" outlineLevel="0" collapsed="false">
      <c r="A16" s="102"/>
      <c r="B16" s="112" t="n">
        <f aca="false">IF($C16="","",COUNTA($C$5:C16))</f>
        <v>12</v>
      </c>
      <c r="C16" s="113" t="s">
        <v>302</v>
      </c>
      <c r="D16" s="114" t="s">
        <v>279</v>
      </c>
      <c r="E16" s="113" t="s">
        <v>280</v>
      </c>
      <c r="F16" s="113" t="s">
        <v>281</v>
      </c>
      <c r="G16" s="114" t="s">
        <v>282</v>
      </c>
      <c r="H16" s="114" t="n">
        <v>3</v>
      </c>
      <c r="I16" s="114" t="s">
        <v>110</v>
      </c>
      <c r="J16" s="115" t="n">
        <v>11000</v>
      </c>
      <c r="K16" s="115" t="n">
        <v>4600</v>
      </c>
      <c r="L16" s="115" t="n">
        <f aca="false">IF($C16="","",ROUND($J16*0.17,0))</f>
        <v>1870</v>
      </c>
      <c r="M16" s="115" t="n">
        <v>8600</v>
      </c>
      <c r="N16" s="115" t="n">
        <v>3500</v>
      </c>
      <c r="O16" s="115" t="n">
        <v>2200</v>
      </c>
      <c r="P16" s="115" t="n">
        <v>2200</v>
      </c>
      <c r="Q16" s="115" t="n">
        <v>15950</v>
      </c>
      <c r="R16" s="115" t="n">
        <v>7150</v>
      </c>
      <c r="S16" s="115" t="n">
        <f aca="false">IF($C16="","",ROUND($J16*2.2,0))</f>
        <v>24200</v>
      </c>
      <c r="T16" s="115" t="n">
        <v>3850</v>
      </c>
      <c r="U16" s="115" t="n">
        <v>3300</v>
      </c>
      <c r="V16" s="115" t="n">
        <v>2000</v>
      </c>
      <c r="W16" s="115" t="n">
        <v>2400</v>
      </c>
      <c r="X16" s="116" t="s">
        <v>236</v>
      </c>
      <c r="Y16" s="117" t="n">
        <v>0.3</v>
      </c>
      <c r="Z16" s="117" t="n">
        <v>1</v>
      </c>
      <c r="AA16" s="113" t="s">
        <v>303</v>
      </c>
      <c r="AB16" s="113" t="s">
        <v>304</v>
      </c>
      <c r="AC16" s="116" t="s">
        <v>305</v>
      </c>
      <c r="AD16" s="116" t="s">
        <v>306</v>
      </c>
      <c r="AE16" s="116"/>
      <c r="AF16" s="116"/>
      <c r="AG16" s="116"/>
      <c r="AH16" s="118"/>
      <c r="AI16" s="118"/>
      <c r="AJ16" s="118"/>
      <c r="AK16" s="118" t="s">
        <v>307</v>
      </c>
      <c r="AL16" s="118" t="s">
        <v>295</v>
      </c>
      <c r="AM16" s="103"/>
      <c r="AN16" s="102"/>
      <c r="AO16" s="104" t="n">
        <v>138000</v>
      </c>
      <c r="AP16" s="104" t="n">
        <v>37000</v>
      </c>
      <c r="AQ16" s="104" t="n">
        <v>174000</v>
      </c>
      <c r="AR16" s="95"/>
      <c r="AS16" s="95"/>
      <c r="AT16" s="95"/>
      <c r="AU16" s="95"/>
      <c r="AV16" s="96" t="n">
        <f aca="false">IF(AND(AP16&gt;0,J16&gt;0),J16*1000/(AP16*0.2),"")</f>
        <v>1486.48648648649</v>
      </c>
      <c r="AW16" s="96" t="str">
        <f aca="false">IF(AND(AS16&gt;0,M16&gt;0),M16*1000/(AS16*0.3),"")</f>
        <v/>
      </c>
      <c r="AX16" s="96" t="n">
        <f aca="false">IF(AND(AO16&gt;0,O16&gt;0),O16*1000/(AO16*0.1),"")</f>
        <v>159.420289855072</v>
      </c>
      <c r="AY16" s="96" t="str">
        <f aca="false">IF(AND(AR16&gt;0,N16&gt;0),N16*1000/(AR16*0.25),"")</f>
        <v/>
      </c>
      <c r="AZ16" s="96" t="n">
        <f aca="false">IF(AND(AQ16&gt;0,Q16&gt;0),Q16*1000/(AQ16*1),"")</f>
        <v>91.6666666666667</v>
      </c>
      <c r="BA16" s="97" t="n">
        <f aca="false">IFERROR(VLOOKUP($I16,'07_Settings'!$A$10:$F$14,6,FALSE()),0.25)</f>
        <v>0.55</v>
      </c>
      <c r="BB16" s="98" t="n">
        <v>1</v>
      </c>
      <c r="BC16" s="98" t="n">
        <v>1</v>
      </c>
      <c r="BD16" s="98" t="n">
        <v>1</v>
      </c>
      <c r="BE16" s="99" t="n">
        <f aca="false">IFERROR(ROUND($S16*BA16*BC16*BD16*BB16,0),0)</f>
        <v>13310</v>
      </c>
      <c r="BF16" s="55" t="str">
        <f aca="false">IF(COUNT(AO16:AU16)&gt;0,"estimated","pending")</f>
        <v>estimated</v>
      </c>
    </row>
    <row r="17" customFormat="false" ht="16.5" hidden="false" customHeight="true" outlineLevel="0" collapsed="false">
      <c r="A17" s="102"/>
      <c r="B17" s="112" t="n">
        <f aca="false">IF($C17="","",COUNTA($C$5:C17))</f>
        <v>13</v>
      </c>
      <c r="C17" s="113" t="s">
        <v>308</v>
      </c>
      <c r="D17" s="114" t="s">
        <v>279</v>
      </c>
      <c r="E17" s="113" t="s">
        <v>280</v>
      </c>
      <c r="F17" s="113" t="s">
        <v>309</v>
      </c>
      <c r="G17" s="114" t="s">
        <v>210</v>
      </c>
      <c r="H17" s="114" t="n">
        <v>1</v>
      </c>
      <c r="I17" s="114" t="s">
        <v>118</v>
      </c>
      <c r="J17" s="115" t="n">
        <v>11000</v>
      </c>
      <c r="K17" s="115" t="n">
        <v>4600</v>
      </c>
      <c r="L17" s="115" t="n">
        <f aca="false">IF($C17="","",ROUND($J17*0.17,0))</f>
        <v>1870</v>
      </c>
      <c r="M17" s="115" t="n">
        <v>8600</v>
      </c>
      <c r="N17" s="115" t="n">
        <v>3500</v>
      </c>
      <c r="O17" s="115" t="n">
        <v>2200</v>
      </c>
      <c r="P17" s="115" t="n">
        <v>2200</v>
      </c>
      <c r="Q17" s="115" t="n">
        <v>15950</v>
      </c>
      <c r="R17" s="115" t="n">
        <v>7150</v>
      </c>
      <c r="S17" s="115" t="n">
        <f aca="false">IF($C17="","",ROUND($J17*2.2,0))</f>
        <v>24200</v>
      </c>
      <c r="T17" s="115" t="n">
        <v>3850</v>
      </c>
      <c r="U17" s="115" t="n">
        <v>3300</v>
      </c>
      <c r="V17" s="115" t="n">
        <v>2000</v>
      </c>
      <c r="W17" s="115" t="n">
        <v>2400</v>
      </c>
      <c r="X17" s="116" t="s">
        <v>310</v>
      </c>
      <c r="Y17" s="117" t="n">
        <v>0.3</v>
      </c>
      <c r="Z17" s="117" t="n">
        <v>1</v>
      </c>
      <c r="AA17" s="113" t="s">
        <v>311</v>
      </c>
      <c r="AB17" s="113" t="s">
        <v>312</v>
      </c>
      <c r="AC17" s="116"/>
      <c r="AD17" s="116"/>
      <c r="AE17" s="116"/>
      <c r="AF17" s="116"/>
      <c r="AG17" s="116"/>
      <c r="AH17" s="118"/>
      <c r="AI17" s="118"/>
      <c r="AJ17" s="118"/>
      <c r="AK17" s="120" t="n">
        <v>36679</v>
      </c>
      <c r="AL17" s="118" t="s">
        <v>295</v>
      </c>
      <c r="AM17" s="103"/>
      <c r="AN17" s="102"/>
      <c r="AO17" s="104" t="n">
        <v>6000</v>
      </c>
      <c r="AP17" s="95"/>
      <c r="AQ17" s="95"/>
      <c r="AR17" s="95"/>
      <c r="AS17" s="95"/>
      <c r="AT17" s="95"/>
      <c r="AU17" s="95"/>
      <c r="AV17" s="96" t="str">
        <f aca="false">IF(AND(AP17&gt;0,J17&gt;0),J17*1000/(AP17*0.2),"")</f>
        <v/>
      </c>
      <c r="AW17" s="96" t="str">
        <f aca="false">IF(AND(AS17&gt;0,M17&gt;0),M17*1000/(AS17*0.3),"")</f>
        <v/>
      </c>
      <c r="AX17" s="96" t="n">
        <f aca="false">IF(AND(AO17&gt;0,O17&gt;0),O17*1000/(AO17*0.1),"")</f>
        <v>3666.66666666667</v>
      </c>
      <c r="AY17" s="96" t="str">
        <f aca="false">IF(AND(AR17&gt;0,N17&gt;0),N17*1000/(AR17*0.25),"")</f>
        <v/>
      </c>
      <c r="AZ17" s="96" t="str">
        <f aca="false">IF(AND(AQ17&gt;0,Q17&gt;0),Q17*1000/(AQ17*1),"")</f>
        <v/>
      </c>
      <c r="BA17" s="97" t="n">
        <f aca="false">IFERROR(VLOOKUP($I17,'07_Settings'!$A$10:$F$14,6,FALSE()),0.25)</f>
        <v>0.35</v>
      </c>
      <c r="BB17" s="98" t="n">
        <v>1</v>
      </c>
      <c r="BC17" s="98" t="n">
        <v>1</v>
      </c>
      <c r="BD17" s="98" t="n">
        <v>1</v>
      </c>
      <c r="BE17" s="99" t="n">
        <f aca="false">IFERROR(ROUND($S17*BA17*BC17*BD17*BB17,0),0)</f>
        <v>8470</v>
      </c>
      <c r="BF17" s="55" t="str">
        <f aca="false">IF(COUNT(AO17:AU17)&gt;0,"estimated","pending")</f>
        <v>estimated</v>
      </c>
    </row>
    <row r="18" customFormat="false" ht="16.5" hidden="false" customHeight="true" outlineLevel="0" collapsed="false">
      <c r="A18" s="102"/>
      <c r="B18" s="112" t="n">
        <f aca="false">IF($C18="","",COUNTA($C$5:C18))</f>
        <v>14</v>
      </c>
      <c r="C18" s="113" t="s">
        <v>313</v>
      </c>
      <c r="D18" s="114" t="s">
        <v>279</v>
      </c>
      <c r="E18" s="113" t="s">
        <v>280</v>
      </c>
      <c r="F18" s="113" t="s">
        <v>314</v>
      </c>
      <c r="G18" s="114" t="s">
        <v>282</v>
      </c>
      <c r="H18" s="114" t="n">
        <v>3</v>
      </c>
      <c r="I18" s="114" t="s">
        <v>110</v>
      </c>
      <c r="J18" s="115" t="n">
        <v>12100</v>
      </c>
      <c r="K18" s="115" t="n">
        <v>5100</v>
      </c>
      <c r="L18" s="115" t="n">
        <f aca="false">IF($C18="","",ROUND($J18*0.17,0))</f>
        <v>2057</v>
      </c>
      <c r="M18" s="115" t="n">
        <v>9450</v>
      </c>
      <c r="N18" s="115" t="n">
        <v>3850</v>
      </c>
      <c r="O18" s="115" t="n">
        <v>2400</v>
      </c>
      <c r="P18" s="115" t="n">
        <v>2400</v>
      </c>
      <c r="Q18" s="115" t="n">
        <v>17550</v>
      </c>
      <c r="R18" s="115" t="n">
        <v>7850</v>
      </c>
      <c r="S18" s="115" t="n">
        <f aca="false">IF($C18="","",ROUND($J18*2.2,0))</f>
        <v>26620</v>
      </c>
      <c r="T18" s="115" t="n">
        <v>4250</v>
      </c>
      <c r="U18" s="115" t="n">
        <v>3650</v>
      </c>
      <c r="V18" s="115" t="n">
        <v>2200</v>
      </c>
      <c r="W18" s="115" t="n">
        <v>2400</v>
      </c>
      <c r="X18" s="116" t="s">
        <v>236</v>
      </c>
      <c r="Y18" s="117" t="n">
        <v>0.3</v>
      </c>
      <c r="Z18" s="117" t="n">
        <v>1</v>
      </c>
      <c r="AA18" s="113" t="s">
        <v>315</v>
      </c>
      <c r="AB18" s="113" t="s">
        <v>316</v>
      </c>
      <c r="AC18" s="116" t="s">
        <v>317</v>
      </c>
      <c r="AD18" s="116" t="s">
        <v>318</v>
      </c>
      <c r="AE18" s="116"/>
      <c r="AF18" s="116"/>
      <c r="AG18" s="116"/>
      <c r="AH18" s="118"/>
      <c r="AI18" s="118"/>
      <c r="AJ18" s="118"/>
      <c r="AK18" s="120" t="n">
        <v>36045</v>
      </c>
      <c r="AL18" s="118" t="s">
        <v>288</v>
      </c>
      <c r="AM18" s="103"/>
      <c r="AN18" s="102"/>
      <c r="AO18" s="104" t="n">
        <v>192000</v>
      </c>
      <c r="AP18" s="104" t="n">
        <v>25000</v>
      </c>
      <c r="AQ18" s="104" t="n">
        <v>140000</v>
      </c>
      <c r="AR18" s="95"/>
      <c r="AS18" s="95"/>
      <c r="AT18" s="95"/>
      <c r="AU18" s="95"/>
      <c r="AV18" s="96" t="n">
        <f aca="false">IF(AND(AP18&gt;0,J18&gt;0),J18*1000/(AP18*0.2),"")</f>
        <v>2420</v>
      </c>
      <c r="AW18" s="96" t="str">
        <f aca="false">IF(AND(AS18&gt;0,M18&gt;0),M18*1000/(AS18*0.3),"")</f>
        <v/>
      </c>
      <c r="AX18" s="96" t="n">
        <f aca="false">IF(AND(AO18&gt;0,O18&gt;0),O18*1000/(AO18*0.1),"")</f>
        <v>125</v>
      </c>
      <c r="AY18" s="96" t="str">
        <f aca="false">IF(AND(AR18&gt;0,N18&gt;0),N18*1000/(AR18*0.25),"")</f>
        <v/>
      </c>
      <c r="AZ18" s="96" t="n">
        <f aca="false">IF(AND(AQ18&gt;0,Q18&gt;0),Q18*1000/(AQ18*1),"")</f>
        <v>125.357142857143</v>
      </c>
      <c r="BA18" s="97" t="n">
        <f aca="false">IFERROR(VLOOKUP($I18,'07_Settings'!$A$10:$F$14,6,FALSE()),0.25)</f>
        <v>0.55</v>
      </c>
      <c r="BB18" s="98" t="n">
        <v>1</v>
      </c>
      <c r="BC18" s="98" t="n">
        <v>1</v>
      </c>
      <c r="BD18" s="98" t="n">
        <v>1</v>
      </c>
      <c r="BE18" s="99" t="n">
        <f aca="false">IFERROR(ROUND($S18*BA18*BC18*BD18*BB18,0),0)</f>
        <v>14641</v>
      </c>
      <c r="BF18" s="55" t="str">
        <f aca="false">IF(COUNT(AO18:AU18)&gt;0,"estimated","pending")</f>
        <v>estimated</v>
      </c>
    </row>
    <row r="19" customFormat="false" ht="16.5" hidden="false" customHeight="true" outlineLevel="0" collapsed="false">
      <c r="A19" s="102"/>
      <c r="B19" s="112" t="n">
        <f aca="false">IF($C19="","",COUNTA($C$5:C19))</f>
        <v>15</v>
      </c>
      <c r="C19" s="113" t="s">
        <v>319</v>
      </c>
      <c r="D19" s="114" t="s">
        <v>279</v>
      </c>
      <c r="E19" s="113" t="s">
        <v>280</v>
      </c>
      <c r="F19" s="113" t="s">
        <v>314</v>
      </c>
      <c r="G19" s="114" t="s">
        <v>282</v>
      </c>
      <c r="H19" s="114" t="n">
        <v>2</v>
      </c>
      <c r="I19" s="114" t="s">
        <v>118</v>
      </c>
      <c r="J19" s="115" t="n">
        <v>11000</v>
      </c>
      <c r="K19" s="115" t="n">
        <v>4600</v>
      </c>
      <c r="L19" s="115" t="n">
        <f aca="false">IF($C19="","",ROUND($J19*0.17,0))</f>
        <v>1870</v>
      </c>
      <c r="M19" s="115" t="n">
        <v>8600</v>
      </c>
      <c r="N19" s="115" t="n">
        <v>3500</v>
      </c>
      <c r="O19" s="115" t="n">
        <v>2200</v>
      </c>
      <c r="P19" s="115" t="n">
        <v>2200</v>
      </c>
      <c r="Q19" s="115" t="n">
        <v>15950</v>
      </c>
      <c r="R19" s="115" t="n">
        <v>7150</v>
      </c>
      <c r="S19" s="115" t="n">
        <f aca="false">IF($C19="","",ROUND($J19*2.2,0))</f>
        <v>24200</v>
      </c>
      <c r="T19" s="115" t="n">
        <v>3850</v>
      </c>
      <c r="U19" s="115" t="n">
        <v>3300</v>
      </c>
      <c r="V19" s="115" t="n">
        <v>2000</v>
      </c>
      <c r="W19" s="115" t="n">
        <v>2400</v>
      </c>
      <c r="X19" s="116" t="s">
        <v>290</v>
      </c>
      <c r="Y19" s="117" t="n">
        <v>0.3</v>
      </c>
      <c r="Z19" s="117" t="n">
        <v>1</v>
      </c>
      <c r="AA19" s="113" t="s">
        <v>320</v>
      </c>
      <c r="AB19" s="113" t="s">
        <v>321</v>
      </c>
      <c r="AC19" s="116"/>
      <c r="AD19" s="116" t="s">
        <v>322</v>
      </c>
      <c r="AE19" s="116"/>
      <c r="AF19" s="116"/>
      <c r="AG19" s="116"/>
      <c r="AH19" s="118"/>
      <c r="AI19" s="118"/>
      <c r="AJ19" s="118"/>
      <c r="AK19" s="118" t="s">
        <v>323</v>
      </c>
      <c r="AL19" s="118" t="s">
        <v>301</v>
      </c>
      <c r="AM19" s="103"/>
      <c r="AN19" s="102"/>
      <c r="AO19" s="104" t="n">
        <v>19000</v>
      </c>
      <c r="AP19" s="95"/>
      <c r="AQ19" s="95"/>
      <c r="AR19" s="95"/>
      <c r="AS19" s="95"/>
      <c r="AT19" s="95"/>
      <c r="AU19" s="95"/>
      <c r="AV19" s="96" t="str">
        <f aca="false">IF(AND(AP19&gt;0,J19&gt;0),J19*1000/(AP19*0.2),"")</f>
        <v/>
      </c>
      <c r="AW19" s="96" t="str">
        <f aca="false">IF(AND(AS19&gt;0,M19&gt;0),M19*1000/(AS19*0.3),"")</f>
        <v/>
      </c>
      <c r="AX19" s="96" t="n">
        <f aca="false">IF(AND(AO19&gt;0,O19&gt;0),O19*1000/(AO19*0.1),"")</f>
        <v>1157.89473684211</v>
      </c>
      <c r="AY19" s="96" t="str">
        <f aca="false">IF(AND(AR19&gt;0,N19&gt;0),N19*1000/(AR19*0.25),"")</f>
        <v/>
      </c>
      <c r="AZ19" s="96" t="str">
        <f aca="false">IF(AND(AQ19&gt;0,Q19&gt;0),Q19*1000/(AQ19*1),"")</f>
        <v/>
      </c>
      <c r="BA19" s="97" t="n">
        <f aca="false">IFERROR(VLOOKUP($I19,'07_Settings'!$A$10:$F$14,6,FALSE()),0.25)</f>
        <v>0.35</v>
      </c>
      <c r="BB19" s="98" t="n">
        <v>1</v>
      </c>
      <c r="BC19" s="98" t="n">
        <v>1</v>
      </c>
      <c r="BD19" s="98" t="n">
        <v>1</v>
      </c>
      <c r="BE19" s="99" t="n">
        <f aca="false">IFERROR(ROUND($S19*BA19*BC19*BD19*BB19,0),0)</f>
        <v>8470</v>
      </c>
      <c r="BF19" s="55" t="str">
        <f aca="false">IF(COUNT(AO19:AU19)&gt;0,"estimated","pending")</f>
        <v>estimated</v>
      </c>
    </row>
    <row r="20" customFormat="false" ht="16.5" hidden="false" customHeight="true" outlineLevel="0" collapsed="false">
      <c r="A20" s="102"/>
      <c r="B20" s="112" t="n">
        <f aca="false">IF($C20="","",COUNTA($C$5:C20))</f>
        <v>16</v>
      </c>
      <c r="C20" s="113" t="s">
        <v>324</v>
      </c>
      <c r="D20" s="114" t="s">
        <v>279</v>
      </c>
      <c r="E20" s="113" t="s">
        <v>325</v>
      </c>
      <c r="F20" s="113" t="s">
        <v>326</v>
      </c>
      <c r="G20" s="114" t="s">
        <v>210</v>
      </c>
      <c r="H20" s="114" t="n">
        <v>2</v>
      </c>
      <c r="I20" s="114" t="s">
        <v>118</v>
      </c>
      <c r="J20" s="115" t="n">
        <v>11000</v>
      </c>
      <c r="K20" s="115" t="n">
        <v>4600</v>
      </c>
      <c r="L20" s="115" t="n">
        <f aca="false">IF($C20="","",ROUND($J20*0.17,0))</f>
        <v>1870</v>
      </c>
      <c r="M20" s="115" t="n">
        <v>8600</v>
      </c>
      <c r="N20" s="115" t="n">
        <v>3500</v>
      </c>
      <c r="O20" s="115" t="n">
        <v>2200</v>
      </c>
      <c r="P20" s="115" t="n">
        <v>2200</v>
      </c>
      <c r="Q20" s="115" t="n">
        <v>15950</v>
      </c>
      <c r="R20" s="115" t="n">
        <v>7150</v>
      </c>
      <c r="S20" s="115" t="n">
        <f aca="false">IF($C20="","",ROUND($J20*2.2,0))</f>
        <v>24200</v>
      </c>
      <c r="T20" s="115" t="n">
        <v>3850</v>
      </c>
      <c r="U20" s="115" t="n">
        <v>3300</v>
      </c>
      <c r="V20" s="115" t="n">
        <v>2000</v>
      </c>
      <c r="W20" s="115" t="n">
        <v>2400</v>
      </c>
      <c r="X20" s="116" t="s">
        <v>290</v>
      </c>
      <c r="Y20" s="117" t="n">
        <v>0.3</v>
      </c>
      <c r="Z20" s="117" t="n">
        <v>1</v>
      </c>
      <c r="AA20" s="113" t="s">
        <v>327</v>
      </c>
      <c r="AB20" s="113" t="s">
        <v>328</v>
      </c>
      <c r="AC20" s="116"/>
      <c r="AD20" s="116" t="s">
        <v>329</v>
      </c>
      <c r="AE20" s="116"/>
      <c r="AF20" s="116"/>
      <c r="AG20" s="116"/>
      <c r="AH20" s="118"/>
      <c r="AI20" s="118"/>
      <c r="AJ20" s="118"/>
      <c r="AK20" s="118"/>
      <c r="AL20" s="118"/>
      <c r="AM20" s="103"/>
      <c r="AN20" s="102"/>
      <c r="AO20" s="95"/>
      <c r="AP20" s="95"/>
      <c r="AQ20" s="104" t="n">
        <v>22000</v>
      </c>
      <c r="AR20" s="95"/>
      <c r="AS20" s="95"/>
      <c r="AT20" s="95"/>
      <c r="AU20" s="95"/>
      <c r="AV20" s="96" t="str">
        <f aca="false">IF(AND(AP20&gt;0,J20&gt;0),J20*1000/(AP20*0.2),"")</f>
        <v/>
      </c>
      <c r="AW20" s="96" t="str">
        <f aca="false">IF(AND(AS20&gt;0,M20&gt;0),M20*1000/(AS20*0.3),"")</f>
        <v/>
      </c>
      <c r="AX20" s="96" t="str">
        <f aca="false">IF(AND(AO20&gt;0,O20&gt;0),O20*1000/(AO20*0.1),"")</f>
        <v/>
      </c>
      <c r="AY20" s="96" t="str">
        <f aca="false">IF(AND(AR20&gt;0,N20&gt;0),N20*1000/(AR20*0.25),"")</f>
        <v/>
      </c>
      <c r="AZ20" s="96" t="n">
        <f aca="false">IF(AND(AQ20&gt;0,Q20&gt;0),Q20*1000/(AQ20*1),"")</f>
        <v>725</v>
      </c>
      <c r="BA20" s="97" t="n">
        <f aca="false">IFERROR(VLOOKUP($I20,'07_Settings'!$A$10:$F$14,6,FALSE()),0.25)</f>
        <v>0.35</v>
      </c>
      <c r="BB20" s="98" t="n">
        <v>1</v>
      </c>
      <c r="BC20" s="98" t="n">
        <v>1</v>
      </c>
      <c r="BD20" s="98" t="n">
        <v>1</v>
      </c>
      <c r="BE20" s="99" t="n">
        <f aca="false">IFERROR(ROUND($S20*BA20*BC20*BD20*BB20,0),0)</f>
        <v>8470</v>
      </c>
      <c r="BF20" s="55" t="str">
        <f aca="false">IF(COUNT(AO20:AU20)&gt;0,"estimated","pending")</f>
        <v>estimated</v>
      </c>
    </row>
    <row r="21" customFormat="false" ht="16.5" hidden="false" customHeight="true" outlineLevel="0" collapsed="false">
      <c r="A21" s="102"/>
      <c r="B21" s="112" t="n">
        <f aca="false">IF($C21="","",COUNTA($C$5:C21))</f>
        <v>17</v>
      </c>
      <c r="C21" s="113" t="s">
        <v>330</v>
      </c>
      <c r="D21" s="114" t="s">
        <v>279</v>
      </c>
      <c r="E21" s="113" t="s">
        <v>325</v>
      </c>
      <c r="F21" s="113" t="s">
        <v>326</v>
      </c>
      <c r="G21" s="114" t="s">
        <v>210</v>
      </c>
      <c r="H21" s="114" t="n">
        <v>4</v>
      </c>
      <c r="I21" s="114" t="s">
        <v>118</v>
      </c>
      <c r="J21" s="115" t="n">
        <v>12100</v>
      </c>
      <c r="K21" s="115" t="n">
        <v>5100</v>
      </c>
      <c r="L21" s="115" t="n">
        <f aca="false">IF($C21="","",ROUND($J21*0.17,0))</f>
        <v>2057</v>
      </c>
      <c r="M21" s="115" t="n">
        <v>9450</v>
      </c>
      <c r="N21" s="115" t="n">
        <v>3850</v>
      </c>
      <c r="O21" s="115" t="n">
        <v>2400</v>
      </c>
      <c r="P21" s="115" t="n">
        <v>2400</v>
      </c>
      <c r="Q21" s="115" t="n">
        <v>17550</v>
      </c>
      <c r="R21" s="115" t="n">
        <v>7850</v>
      </c>
      <c r="S21" s="115" t="n">
        <f aca="false">IF($C21="","",ROUND($J21*2.2,0))</f>
        <v>26620</v>
      </c>
      <c r="T21" s="115" t="n">
        <v>4250</v>
      </c>
      <c r="U21" s="115" t="n">
        <v>3650</v>
      </c>
      <c r="V21" s="115" t="n">
        <v>2200</v>
      </c>
      <c r="W21" s="115" t="n">
        <v>2400</v>
      </c>
      <c r="X21" s="116" t="s">
        <v>222</v>
      </c>
      <c r="Y21" s="117" t="n">
        <v>0.3</v>
      </c>
      <c r="Z21" s="117" t="n">
        <v>1</v>
      </c>
      <c r="AA21" s="113" t="s">
        <v>331</v>
      </c>
      <c r="AB21" s="113" t="s">
        <v>332</v>
      </c>
      <c r="AC21" s="113" t="s">
        <v>333</v>
      </c>
      <c r="AD21" s="113" t="s">
        <v>334</v>
      </c>
      <c r="AE21" s="113" t="s">
        <v>335</v>
      </c>
      <c r="AF21" s="113"/>
      <c r="AG21" s="113"/>
      <c r="AH21" s="118"/>
      <c r="AI21" s="118"/>
      <c r="AJ21" s="118"/>
      <c r="AK21" s="118"/>
      <c r="AL21" s="118"/>
      <c r="AM21" s="103"/>
      <c r="AN21" s="102"/>
      <c r="AO21" s="95"/>
      <c r="AP21" s="95"/>
      <c r="AQ21" s="104" t="n">
        <v>5000</v>
      </c>
      <c r="AR21" s="95"/>
      <c r="AS21" s="95"/>
      <c r="AT21" s="95"/>
      <c r="AU21" s="95"/>
      <c r="AV21" s="96" t="str">
        <f aca="false">IF(AND(AP21&gt;0,J21&gt;0),J21*1000/(AP21*0.2),"")</f>
        <v/>
      </c>
      <c r="AW21" s="96" t="str">
        <f aca="false">IF(AND(AS21&gt;0,M21&gt;0),M21*1000/(AS21*0.3),"")</f>
        <v/>
      </c>
      <c r="AX21" s="96" t="str">
        <f aca="false">IF(AND(AO21&gt;0,O21&gt;0),O21*1000/(AO21*0.1),"")</f>
        <v/>
      </c>
      <c r="AY21" s="96" t="str">
        <f aca="false">IF(AND(AR21&gt;0,N21&gt;0),N21*1000/(AR21*0.25),"")</f>
        <v/>
      </c>
      <c r="AZ21" s="96" t="n">
        <f aca="false">IF(AND(AQ21&gt;0,Q21&gt;0),Q21*1000/(AQ21*1),"")</f>
        <v>3510</v>
      </c>
      <c r="BA21" s="97" t="n">
        <f aca="false">IFERROR(VLOOKUP($I21,'07_Settings'!$A$10:$F$14,6,FALSE()),0.25)</f>
        <v>0.35</v>
      </c>
      <c r="BB21" s="98" t="n">
        <v>1</v>
      </c>
      <c r="BC21" s="98" t="n">
        <v>1</v>
      </c>
      <c r="BD21" s="98" t="n">
        <v>1</v>
      </c>
      <c r="BE21" s="99" t="n">
        <f aca="false">IFERROR(ROUND($S21*BA21*BC21*BD21*BB21,0),0)</f>
        <v>9317</v>
      </c>
      <c r="BF21" s="55" t="str">
        <f aca="false">IF(COUNT(AO21:AU21)&gt;0,"estimated","pending")</f>
        <v>estimated</v>
      </c>
    </row>
    <row r="22" customFormat="false" ht="16.5" hidden="false" customHeight="true" outlineLevel="0" collapsed="false">
      <c r="A22" s="86"/>
      <c r="B22" s="121" t="n">
        <f aca="false">IF($C22="","",COUNTA($C$5:C22))</f>
        <v>18</v>
      </c>
      <c r="C22" s="122" t="s">
        <v>336</v>
      </c>
      <c r="D22" s="123" t="s">
        <v>29</v>
      </c>
      <c r="E22" s="122" t="s">
        <v>325</v>
      </c>
      <c r="F22" s="122" t="s">
        <v>337</v>
      </c>
      <c r="G22" s="123" t="s">
        <v>282</v>
      </c>
      <c r="H22" s="123" t="n">
        <v>1</v>
      </c>
      <c r="I22" s="123" t="s">
        <v>122</v>
      </c>
      <c r="J22" s="124" t="n">
        <v>22750</v>
      </c>
      <c r="K22" s="124" t="n">
        <v>9550</v>
      </c>
      <c r="L22" s="125" t="n">
        <f aca="false">IF($C22="","",ROUND($J22*0.17,0))</f>
        <v>3868</v>
      </c>
      <c r="M22" s="124" t="n">
        <v>17750</v>
      </c>
      <c r="N22" s="124" t="n">
        <v>7300</v>
      </c>
      <c r="O22" s="124" t="n">
        <v>4550</v>
      </c>
      <c r="P22" s="124" t="n">
        <v>0</v>
      </c>
      <c r="Q22" s="124" t="n">
        <v>33000</v>
      </c>
      <c r="R22" s="124" t="n">
        <v>14800</v>
      </c>
      <c r="S22" s="125" t="n">
        <f aca="false">IF($C22="","",ROUND($J22*2.2,0))</f>
        <v>50050</v>
      </c>
      <c r="T22" s="124" t="n">
        <v>7950</v>
      </c>
      <c r="U22" s="124" t="n">
        <v>6850</v>
      </c>
      <c r="V22" s="124" t="n">
        <v>4100</v>
      </c>
      <c r="W22" s="124" t="n">
        <v>0</v>
      </c>
      <c r="X22" s="124" t="s">
        <v>310</v>
      </c>
      <c r="Y22" s="126" t="n">
        <v>0.3</v>
      </c>
      <c r="Z22" s="126" t="n">
        <v>1</v>
      </c>
      <c r="AA22" s="122" t="s">
        <v>338</v>
      </c>
      <c r="AB22" s="122" t="s">
        <v>339</v>
      </c>
      <c r="AC22" s="124"/>
      <c r="AD22" s="124"/>
      <c r="AE22" s="124"/>
      <c r="AF22" s="124"/>
      <c r="AG22" s="124"/>
      <c r="AH22" s="127"/>
      <c r="AI22" s="127"/>
      <c r="AJ22" s="127"/>
      <c r="AK22" s="127" t="s">
        <v>340</v>
      </c>
      <c r="AL22" s="127"/>
      <c r="AM22" s="128"/>
      <c r="AN22" s="86"/>
      <c r="AO22" s="104" t="n">
        <v>1170</v>
      </c>
      <c r="AP22" s="95"/>
      <c r="AQ22" s="95"/>
      <c r="AR22" s="95"/>
      <c r="AS22" s="95"/>
      <c r="AT22" s="95"/>
      <c r="AU22" s="95"/>
      <c r="AV22" s="96" t="str">
        <f aca="false">IF(AND(AP22&gt;0,J22&gt;0),J22*1000/(AP22*0.2),"")</f>
        <v/>
      </c>
      <c r="AW22" s="96" t="str">
        <f aca="false">IF(AND(AS22&gt;0,M22&gt;0),M22*1000/(AS22*0.3),"")</f>
        <v/>
      </c>
      <c r="AX22" s="96" t="n">
        <f aca="false">IF(AND(AO22&gt;0,O22&gt;0),O22*1000/(AO22*0.1),"")</f>
        <v>38888.8888888889</v>
      </c>
      <c r="AY22" s="96" t="str">
        <f aca="false">IF(AND(AR22&gt;0,N22&gt;0),N22*1000/(AR22*0.25),"")</f>
        <v/>
      </c>
      <c r="AZ22" s="96" t="str">
        <f aca="false">IF(AND(AQ22&gt;0,Q22&gt;0),Q22*1000/(AQ22*1),"")</f>
        <v/>
      </c>
      <c r="BA22" s="97" t="n">
        <f aca="false">IFERROR(VLOOKUP($I22,'07_Settings'!$A$10:$F$14,6,FALSE()),0.25)</f>
        <v>0.25</v>
      </c>
      <c r="BB22" s="98" t="n">
        <v>1</v>
      </c>
      <c r="BC22" s="98" t="n">
        <v>1</v>
      </c>
      <c r="BD22" s="98" t="n">
        <v>1</v>
      </c>
      <c r="BE22" s="99" t="n">
        <f aca="false">IFERROR(ROUND($S22*BA22*BC22*BD22*BB22,0),0)</f>
        <v>12513</v>
      </c>
      <c r="BF22" s="55" t="str">
        <f aca="false">IF(COUNT(AO22:AU22)&gt;0,"estimated","pending")</f>
        <v>estimated</v>
      </c>
    </row>
    <row r="23" customFormat="false" ht="16.5" hidden="false" customHeight="true" outlineLevel="0" collapsed="false">
      <c r="A23" s="102"/>
      <c r="B23" s="112" t="n">
        <f aca="false">IF($C23="","",COUNTA($C$5:C23))</f>
        <v>19</v>
      </c>
      <c r="C23" s="113" t="s">
        <v>341</v>
      </c>
      <c r="D23" s="114" t="s">
        <v>279</v>
      </c>
      <c r="E23" s="113" t="s">
        <v>325</v>
      </c>
      <c r="F23" s="113" t="s">
        <v>337</v>
      </c>
      <c r="G23" s="114" t="s">
        <v>282</v>
      </c>
      <c r="H23" s="114" t="n">
        <v>2</v>
      </c>
      <c r="I23" s="114" t="s">
        <v>114</v>
      </c>
      <c r="J23" s="115" t="n">
        <v>20700</v>
      </c>
      <c r="K23" s="115" t="n">
        <v>8700</v>
      </c>
      <c r="L23" s="115" t="n">
        <f aca="false">IF($C23="","",ROUND($J23*0.17,0))</f>
        <v>3519</v>
      </c>
      <c r="M23" s="115" t="n">
        <v>16150</v>
      </c>
      <c r="N23" s="115" t="n">
        <v>6600</v>
      </c>
      <c r="O23" s="115" t="n">
        <v>4150</v>
      </c>
      <c r="P23" s="115" t="n">
        <v>4150</v>
      </c>
      <c r="Q23" s="115" t="n">
        <v>30000</v>
      </c>
      <c r="R23" s="115" t="n">
        <v>13450</v>
      </c>
      <c r="S23" s="115" t="n">
        <f aca="false">IF($C23="","",ROUND($J23*2.2,0))</f>
        <v>45540</v>
      </c>
      <c r="T23" s="115" t="n">
        <v>7250</v>
      </c>
      <c r="U23" s="115" t="n">
        <v>6200</v>
      </c>
      <c r="V23" s="115" t="n">
        <v>3750</v>
      </c>
      <c r="W23" s="115" t="n">
        <v>2400</v>
      </c>
      <c r="X23" s="116" t="s">
        <v>290</v>
      </c>
      <c r="Y23" s="117" t="n">
        <v>0.2</v>
      </c>
      <c r="Z23" s="117" t="n">
        <v>1</v>
      </c>
      <c r="AA23" s="113" t="s">
        <v>342</v>
      </c>
      <c r="AB23" s="113" t="s">
        <v>343</v>
      </c>
      <c r="AC23" s="116"/>
      <c r="AD23" s="116" t="s">
        <v>344</v>
      </c>
      <c r="AE23" s="116"/>
      <c r="AF23" s="116"/>
      <c r="AG23" s="116"/>
      <c r="AH23" s="118"/>
      <c r="AI23" s="118"/>
      <c r="AJ23" s="118"/>
      <c r="AK23" s="120" t="n">
        <v>36527</v>
      </c>
      <c r="AL23" s="118"/>
      <c r="AM23" s="103"/>
      <c r="AN23" s="102"/>
      <c r="AO23" s="104" t="n">
        <v>36000</v>
      </c>
      <c r="AP23" s="95"/>
      <c r="AQ23" s="104" t="n">
        <v>108000</v>
      </c>
      <c r="AR23" s="95"/>
      <c r="AS23" s="95"/>
      <c r="AT23" s="95"/>
      <c r="AU23" s="95"/>
      <c r="AV23" s="96" t="str">
        <f aca="false">IF(AND(AP23&gt;0,J23&gt;0),J23*1000/(AP23*0.2),"")</f>
        <v/>
      </c>
      <c r="AW23" s="96" t="str">
        <f aca="false">IF(AND(AS23&gt;0,M23&gt;0),M23*1000/(AS23*0.3),"")</f>
        <v/>
      </c>
      <c r="AX23" s="96" t="n">
        <f aca="false">IF(AND(AO23&gt;0,O23&gt;0),O23*1000/(AO23*0.1),"")</f>
        <v>1152.77777777778</v>
      </c>
      <c r="AY23" s="96" t="str">
        <f aca="false">IF(AND(AR23&gt;0,N23&gt;0),N23*1000/(AR23*0.25),"")</f>
        <v/>
      </c>
      <c r="AZ23" s="96" t="n">
        <f aca="false">IF(AND(AQ23&gt;0,Q23&gt;0),Q23*1000/(AQ23*1),"")</f>
        <v>277.777777777778</v>
      </c>
      <c r="BA23" s="97" t="n">
        <f aca="false">IFERROR(VLOOKUP($I23,'07_Settings'!$A$10:$F$14,6,FALSE()),0.25)</f>
        <v>0.45</v>
      </c>
      <c r="BB23" s="98" t="n">
        <v>1</v>
      </c>
      <c r="BC23" s="98" t="n">
        <v>1</v>
      </c>
      <c r="BD23" s="98" t="n">
        <v>1</v>
      </c>
      <c r="BE23" s="99" t="n">
        <f aca="false">IFERROR(ROUND($S23*BA23*BC23*BD23*BB23,0),0)</f>
        <v>20493</v>
      </c>
      <c r="BF23" s="55" t="str">
        <f aca="false">IF(COUNT(AO23:AU23)&gt;0,"estimated","pending")</f>
        <v>estimated</v>
      </c>
    </row>
    <row r="24" customFormat="false" ht="16.5" hidden="false" customHeight="true" outlineLevel="0" collapsed="false">
      <c r="A24" s="102"/>
      <c r="B24" s="112" t="n">
        <f aca="false">IF($C24="","",COUNTA($C$5:C24))</f>
        <v>20</v>
      </c>
      <c r="C24" s="113" t="s">
        <v>345</v>
      </c>
      <c r="D24" s="114" t="s">
        <v>279</v>
      </c>
      <c r="E24" s="113" t="s">
        <v>325</v>
      </c>
      <c r="F24" s="113" t="s">
        <v>337</v>
      </c>
      <c r="G24" s="114" t="s">
        <v>282</v>
      </c>
      <c r="H24" s="114" t="n">
        <v>2</v>
      </c>
      <c r="I24" s="114" t="s">
        <v>114</v>
      </c>
      <c r="J24" s="115" t="n">
        <v>6500</v>
      </c>
      <c r="K24" s="115" t="n">
        <v>2750</v>
      </c>
      <c r="L24" s="115" t="n">
        <f aca="false">IF($C24="","",ROUND($J24*0.17,0))</f>
        <v>1105</v>
      </c>
      <c r="M24" s="115" t="n">
        <v>5050</v>
      </c>
      <c r="N24" s="115" t="n">
        <v>2100</v>
      </c>
      <c r="O24" s="115" t="n">
        <v>1300</v>
      </c>
      <c r="P24" s="115" t="n">
        <v>1300</v>
      </c>
      <c r="Q24" s="115" t="n">
        <v>9400</v>
      </c>
      <c r="R24" s="115" t="n">
        <v>4200</v>
      </c>
      <c r="S24" s="115" t="n">
        <f aca="false">IF($C24="","",ROUND($J24*2.2,0))</f>
        <v>14300</v>
      </c>
      <c r="T24" s="115" t="n">
        <v>2300</v>
      </c>
      <c r="U24" s="115" t="n">
        <v>1950</v>
      </c>
      <c r="V24" s="115" t="n">
        <v>1150</v>
      </c>
      <c r="W24" s="115" t="n">
        <v>2400</v>
      </c>
      <c r="X24" s="116" t="s">
        <v>290</v>
      </c>
      <c r="Y24" s="117" t="n">
        <v>0.2</v>
      </c>
      <c r="Z24" s="117" t="n">
        <v>1</v>
      </c>
      <c r="AA24" s="113" t="s">
        <v>346</v>
      </c>
      <c r="AB24" s="113" t="s">
        <v>347</v>
      </c>
      <c r="AC24" s="116"/>
      <c r="AD24" s="116" t="s">
        <v>348</v>
      </c>
      <c r="AE24" s="116"/>
      <c r="AF24" s="116"/>
      <c r="AG24" s="116"/>
      <c r="AH24" s="118"/>
      <c r="AI24" s="118"/>
      <c r="AJ24" s="118"/>
      <c r="AK24" s="118" t="s">
        <v>349</v>
      </c>
      <c r="AL24" s="118"/>
      <c r="AM24" s="103"/>
      <c r="AN24" s="102"/>
      <c r="AO24" s="104" t="n">
        <v>9000</v>
      </c>
      <c r="AP24" s="95"/>
      <c r="AQ24" s="104" t="n">
        <v>60000</v>
      </c>
      <c r="AR24" s="95"/>
      <c r="AS24" s="95"/>
      <c r="AT24" s="95"/>
      <c r="AU24" s="95"/>
      <c r="AV24" s="96" t="str">
        <f aca="false">IF(AND(AP24&gt;0,J24&gt;0),J24*1000/(AP24*0.2),"")</f>
        <v/>
      </c>
      <c r="AW24" s="96" t="str">
        <f aca="false">IF(AND(AS24&gt;0,M24&gt;0),M24*1000/(AS24*0.3),"")</f>
        <v/>
      </c>
      <c r="AX24" s="96" t="n">
        <f aca="false">IF(AND(AO24&gt;0,O24&gt;0),O24*1000/(AO24*0.1),"")</f>
        <v>1444.44444444444</v>
      </c>
      <c r="AY24" s="96" t="str">
        <f aca="false">IF(AND(AR24&gt;0,N24&gt;0),N24*1000/(AR24*0.25),"")</f>
        <v/>
      </c>
      <c r="AZ24" s="96" t="n">
        <f aca="false">IF(AND(AQ24&gt;0,Q24&gt;0),Q24*1000/(AQ24*1),"")</f>
        <v>156.666666666667</v>
      </c>
      <c r="BA24" s="97" t="n">
        <f aca="false">IFERROR(VLOOKUP($I24,'07_Settings'!$A$10:$F$14,6,FALSE()),0.25)</f>
        <v>0.45</v>
      </c>
      <c r="BB24" s="98" t="n">
        <v>1</v>
      </c>
      <c r="BC24" s="98" t="n">
        <v>1</v>
      </c>
      <c r="BD24" s="98" t="n">
        <v>1</v>
      </c>
      <c r="BE24" s="99" t="n">
        <f aca="false">IFERROR(ROUND($S24*BA24*BC24*BD24*BB24,0),0)</f>
        <v>6435</v>
      </c>
      <c r="BF24" s="55" t="str">
        <f aca="false">IF(COUNT(AO24:AU24)&gt;0,"estimated","pending")</f>
        <v>estimated</v>
      </c>
    </row>
    <row r="25" customFormat="false" ht="16.5" hidden="false" customHeight="true" outlineLevel="0" collapsed="false">
      <c r="A25" s="102"/>
      <c r="B25" s="112" t="n">
        <f aca="false">IF($C25="","",COUNTA($C$5:C25))</f>
        <v>21</v>
      </c>
      <c r="C25" s="113" t="s">
        <v>350</v>
      </c>
      <c r="D25" s="114" t="s">
        <v>279</v>
      </c>
      <c r="E25" s="113" t="s">
        <v>325</v>
      </c>
      <c r="F25" s="113" t="s">
        <v>337</v>
      </c>
      <c r="G25" s="114" t="s">
        <v>351</v>
      </c>
      <c r="H25" s="114" t="n">
        <v>5</v>
      </c>
      <c r="I25" s="114" t="s">
        <v>114</v>
      </c>
      <c r="J25" s="115" t="n">
        <v>6500</v>
      </c>
      <c r="K25" s="115" t="n">
        <v>2750</v>
      </c>
      <c r="L25" s="115" t="n">
        <f aca="false">IF($C25="","",ROUND($J25*0.17,0))</f>
        <v>1105</v>
      </c>
      <c r="M25" s="115" t="n">
        <v>5050</v>
      </c>
      <c r="N25" s="115" t="n">
        <v>2100</v>
      </c>
      <c r="O25" s="115" t="n">
        <v>1300</v>
      </c>
      <c r="P25" s="115" t="n">
        <v>1300</v>
      </c>
      <c r="Q25" s="115" t="n">
        <v>9400</v>
      </c>
      <c r="R25" s="115" t="n">
        <v>4200</v>
      </c>
      <c r="S25" s="115" t="n">
        <f aca="false">IF($C25="","",ROUND($J25*2.2,0))</f>
        <v>14300</v>
      </c>
      <c r="T25" s="115" t="n">
        <v>2300</v>
      </c>
      <c r="U25" s="115" t="n">
        <v>1950</v>
      </c>
      <c r="V25" s="115" t="n">
        <v>1150</v>
      </c>
      <c r="W25" s="115" t="n">
        <v>2400</v>
      </c>
      <c r="X25" s="116" t="s">
        <v>246</v>
      </c>
      <c r="Y25" s="117" t="n">
        <v>0.2</v>
      </c>
      <c r="Z25" s="117" t="n">
        <v>1</v>
      </c>
      <c r="AA25" s="113" t="s">
        <v>352</v>
      </c>
      <c r="AB25" s="113" t="s">
        <v>353</v>
      </c>
      <c r="AC25" s="113" t="s">
        <v>354</v>
      </c>
      <c r="AD25" s="113" t="s">
        <v>355</v>
      </c>
      <c r="AE25" s="113" t="s">
        <v>356</v>
      </c>
      <c r="AF25" s="113" t="s">
        <v>357</v>
      </c>
      <c r="AG25" s="113"/>
      <c r="AH25" s="118"/>
      <c r="AI25" s="118"/>
      <c r="AJ25" s="118"/>
      <c r="AK25" s="118" t="s">
        <v>358</v>
      </c>
      <c r="AL25" s="118"/>
      <c r="AM25" s="103"/>
      <c r="AN25" s="102"/>
      <c r="AO25" s="104" t="n">
        <v>39000</v>
      </c>
      <c r="AP25" s="104" t="n">
        <v>32000</v>
      </c>
      <c r="AQ25" s="104" t="n">
        <v>191000</v>
      </c>
      <c r="AR25" s="95"/>
      <c r="AS25" s="95"/>
      <c r="AT25" s="95"/>
      <c r="AU25" s="95"/>
      <c r="AV25" s="96" t="n">
        <f aca="false">IF(AND(AP25&gt;0,J25&gt;0),J25*1000/(AP25*0.2),"")</f>
        <v>1015.625</v>
      </c>
      <c r="AW25" s="96" t="str">
        <f aca="false">IF(AND(AS25&gt;0,M25&gt;0),M25*1000/(AS25*0.3),"")</f>
        <v/>
      </c>
      <c r="AX25" s="96" t="n">
        <f aca="false">IF(AND(AO25&gt;0,O25&gt;0),O25*1000/(AO25*0.1),"")</f>
        <v>333.333333333333</v>
      </c>
      <c r="AY25" s="96" t="str">
        <f aca="false">IF(AND(AR25&gt;0,N25&gt;0),N25*1000/(AR25*0.25),"")</f>
        <v/>
      </c>
      <c r="AZ25" s="96" t="n">
        <f aca="false">IF(AND(AQ25&gt;0,Q25&gt;0),Q25*1000/(AQ25*1),"")</f>
        <v>49.2146596858639</v>
      </c>
      <c r="BA25" s="97" t="n">
        <f aca="false">IFERROR(VLOOKUP($I25,'07_Settings'!$A$10:$F$14,6,FALSE()),0.25)</f>
        <v>0.45</v>
      </c>
      <c r="BB25" s="98" t="n">
        <v>1</v>
      </c>
      <c r="BC25" s="98" t="n">
        <v>1</v>
      </c>
      <c r="BD25" s="98" t="n">
        <v>1</v>
      </c>
      <c r="BE25" s="99" t="n">
        <f aca="false">IFERROR(ROUND($S25*BA25*BC25*BD25*BB25,0),0)</f>
        <v>6435</v>
      </c>
      <c r="BF25" s="55" t="str">
        <f aca="false">IF(COUNT(AO25:AU25)&gt;0,"estimated","pending")</f>
        <v>estimated</v>
      </c>
    </row>
    <row r="26" customFormat="false" ht="16.5" hidden="false" customHeight="true" outlineLevel="0" collapsed="false">
      <c r="A26" s="102"/>
      <c r="B26" s="112" t="n">
        <f aca="false">IF($C26="","",COUNTA($C$5:C26))</f>
        <v>22</v>
      </c>
      <c r="C26" s="113" t="s">
        <v>359</v>
      </c>
      <c r="D26" s="114" t="s">
        <v>279</v>
      </c>
      <c r="E26" s="113" t="s">
        <v>360</v>
      </c>
      <c r="F26" s="113" t="s">
        <v>360</v>
      </c>
      <c r="G26" s="114" t="s">
        <v>361</v>
      </c>
      <c r="H26" s="114" t="n">
        <v>5</v>
      </c>
      <c r="I26" s="114" t="s">
        <v>114</v>
      </c>
      <c r="J26" s="115" t="n">
        <v>20700</v>
      </c>
      <c r="K26" s="115" t="n">
        <v>8700</v>
      </c>
      <c r="L26" s="115" t="n">
        <f aca="false">IF($C26="","",ROUND($J26*0.17,0))</f>
        <v>3519</v>
      </c>
      <c r="M26" s="115" t="n">
        <v>16150</v>
      </c>
      <c r="N26" s="115" t="n">
        <v>6600</v>
      </c>
      <c r="O26" s="115" t="n">
        <v>4150</v>
      </c>
      <c r="P26" s="115" t="n">
        <v>4150</v>
      </c>
      <c r="Q26" s="115" t="n">
        <v>30000</v>
      </c>
      <c r="R26" s="115" t="n">
        <v>13450</v>
      </c>
      <c r="S26" s="115" t="n">
        <f aca="false">IF($C26="","",ROUND($J26*2.2,0))</f>
        <v>45540</v>
      </c>
      <c r="T26" s="115" t="n">
        <v>7250</v>
      </c>
      <c r="U26" s="115" t="n">
        <v>6200</v>
      </c>
      <c r="V26" s="115" t="n">
        <v>3750</v>
      </c>
      <c r="W26" s="115" t="n">
        <v>2400</v>
      </c>
      <c r="X26" s="116" t="s">
        <v>246</v>
      </c>
      <c r="Y26" s="117" t="n">
        <v>0.5</v>
      </c>
      <c r="Z26" s="117" t="n">
        <v>1</v>
      </c>
      <c r="AA26" s="113" t="s">
        <v>359</v>
      </c>
      <c r="AB26" s="113" t="s">
        <v>362</v>
      </c>
      <c r="AC26" s="113" t="s">
        <v>363</v>
      </c>
      <c r="AD26" s="113" t="s">
        <v>364</v>
      </c>
      <c r="AE26" s="113" t="s">
        <v>365</v>
      </c>
      <c r="AF26" s="113"/>
      <c r="AG26" s="113"/>
      <c r="AH26" s="118" t="s">
        <v>366</v>
      </c>
      <c r="AI26" s="118"/>
      <c r="AJ26" s="118"/>
      <c r="AK26" s="118" t="s">
        <v>367</v>
      </c>
      <c r="AL26" s="118"/>
      <c r="AM26" s="103"/>
      <c r="AN26" s="102"/>
      <c r="AO26" s="104" t="n">
        <v>90000</v>
      </c>
      <c r="AP26" s="104" t="n">
        <v>149000</v>
      </c>
      <c r="AQ26" s="104" t="n">
        <v>97000</v>
      </c>
      <c r="AR26" s="104" t="n">
        <v>34500</v>
      </c>
      <c r="AS26" s="95"/>
      <c r="AT26" s="95"/>
      <c r="AU26" s="104" t="n">
        <v>1300</v>
      </c>
      <c r="AV26" s="96" t="n">
        <f aca="false">IF(AND(AP26&gt;0,J26&gt;0),J26*1000/(AP26*0.2),"")</f>
        <v>694.630872483221</v>
      </c>
      <c r="AW26" s="96" t="str">
        <f aca="false">IF(AND(AS26&gt;0,M26&gt;0),M26*1000/(AS26*0.3),"")</f>
        <v/>
      </c>
      <c r="AX26" s="96" t="n">
        <f aca="false">IF(AND(AO26&gt;0,O26&gt;0),O26*1000/(AO26*0.1),"")</f>
        <v>461.111111111111</v>
      </c>
      <c r="AY26" s="96" t="n">
        <f aca="false">IF(AND(AR26&gt;0,N26&gt;0),N26*1000/(AR26*0.25),"")</f>
        <v>765.217391304348</v>
      </c>
      <c r="AZ26" s="96" t="n">
        <f aca="false">IF(AND(AQ26&gt;0,Q26&gt;0),Q26*1000/(AQ26*1),"")</f>
        <v>309.278350515464</v>
      </c>
      <c r="BA26" s="97" t="n">
        <f aca="false">IFERROR(VLOOKUP($I26,'07_Settings'!$A$10:$F$14,6,FALSE()),0.25)</f>
        <v>0.45</v>
      </c>
      <c r="BB26" s="98" t="n">
        <v>1</v>
      </c>
      <c r="BC26" s="98" t="n">
        <v>1</v>
      </c>
      <c r="BD26" s="98" t="n">
        <v>1</v>
      </c>
      <c r="BE26" s="99" t="n">
        <f aca="false">IFERROR(ROUND($S26*BA26*BC26*BD26*BB26,0),0)</f>
        <v>20493</v>
      </c>
      <c r="BF26" s="55" t="str">
        <f aca="false">IF(COUNT(AO26:AU26)&gt;0,"estimated","pending")</f>
        <v>estimated</v>
      </c>
    </row>
    <row r="27" customFormat="false" ht="16.5" hidden="false" customHeight="true" outlineLevel="0" collapsed="false">
      <c r="A27" s="102"/>
      <c r="B27" s="112" t="n">
        <f aca="false">IF($C27="","",COUNTA($C$5:C27))</f>
        <v>23</v>
      </c>
      <c r="C27" s="113" t="s">
        <v>368</v>
      </c>
      <c r="D27" s="114" t="s">
        <v>279</v>
      </c>
      <c r="E27" s="113" t="s">
        <v>360</v>
      </c>
      <c r="F27" s="113" t="s">
        <v>360</v>
      </c>
      <c r="G27" s="114" t="s">
        <v>282</v>
      </c>
      <c r="H27" s="114" t="n">
        <v>6</v>
      </c>
      <c r="I27" s="114" t="s">
        <v>106</v>
      </c>
      <c r="J27" s="115" t="n">
        <v>22500</v>
      </c>
      <c r="K27" s="115" t="n">
        <v>9450</v>
      </c>
      <c r="L27" s="115" t="n">
        <f aca="false">IF($C27="","",ROUND($J27*0.17,0))</f>
        <v>3825</v>
      </c>
      <c r="M27" s="115" t="n">
        <v>17550</v>
      </c>
      <c r="N27" s="115" t="n">
        <v>7200</v>
      </c>
      <c r="O27" s="115" t="n">
        <v>4500</v>
      </c>
      <c r="P27" s="115" t="n">
        <v>4500</v>
      </c>
      <c r="Q27" s="115" t="n">
        <v>32600</v>
      </c>
      <c r="R27" s="115" t="n">
        <v>14600</v>
      </c>
      <c r="S27" s="115" t="n">
        <f aca="false">IF($C27="","",ROUND($J27*2.2,0))</f>
        <v>49500</v>
      </c>
      <c r="T27" s="115" t="n">
        <v>7850</v>
      </c>
      <c r="U27" s="115" t="n">
        <v>6750</v>
      </c>
      <c r="V27" s="115" t="n">
        <v>4050</v>
      </c>
      <c r="W27" s="115" t="n">
        <v>2400</v>
      </c>
      <c r="X27" s="116" t="s">
        <v>211</v>
      </c>
      <c r="Y27" s="117" t="n">
        <v>0.5</v>
      </c>
      <c r="Z27" s="117" t="n">
        <v>1</v>
      </c>
      <c r="AA27" s="113" t="s">
        <v>368</v>
      </c>
      <c r="AB27" s="113" t="s">
        <v>369</v>
      </c>
      <c r="AC27" s="113" t="s">
        <v>370</v>
      </c>
      <c r="AD27" s="113" t="s">
        <v>371</v>
      </c>
      <c r="AE27" s="113" t="s">
        <v>372</v>
      </c>
      <c r="AF27" s="113"/>
      <c r="AG27" s="113" t="s">
        <v>373</v>
      </c>
      <c r="AH27" s="118" t="s">
        <v>374</v>
      </c>
      <c r="AI27" s="118"/>
      <c r="AJ27" s="118"/>
      <c r="AK27" s="120" t="n">
        <v>32120</v>
      </c>
      <c r="AL27" s="118"/>
      <c r="AM27" s="103"/>
      <c r="AN27" s="102"/>
      <c r="AO27" s="104" t="n">
        <v>629600</v>
      </c>
      <c r="AP27" s="104" t="n">
        <v>1000000</v>
      </c>
      <c r="AQ27" s="104" t="n">
        <v>2010000</v>
      </c>
      <c r="AR27" s="104" t="n">
        <v>3120000</v>
      </c>
      <c r="AS27" s="104" t="n">
        <v>730700</v>
      </c>
      <c r="AT27" s="104" t="n">
        <v>199200</v>
      </c>
      <c r="AU27" s="104" t="n">
        <v>323000</v>
      </c>
      <c r="AV27" s="96" t="n">
        <f aca="false">IF(AND(AP27&gt;0,J27&gt;0),J27*1000/(AP27*0.2),"")</f>
        <v>112.5</v>
      </c>
      <c r="AW27" s="96" t="n">
        <f aca="false">IF(AND(AS27&gt;0,M27&gt;0),M27*1000/(AS27*0.3),"")</f>
        <v>80.0602162310114</v>
      </c>
      <c r="AX27" s="96" t="n">
        <f aca="false">IF(AND(AO27&gt;0,O27&gt;0),O27*1000/(AO27*0.1),"")</f>
        <v>71.4739517153748</v>
      </c>
      <c r="AY27" s="96" t="n">
        <f aca="false">IF(AND(AR27&gt;0,N27&gt;0),N27*1000/(AR27*0.25),"")</f>
        <v>9.23076923076923</v>
      </c>
      <c r="AZ27" s="96" t="n">
        <f aca="false">IF(AND(AQ27&gt;0,Q27&gt;0),Q27*1000/(AQ27*1),"")</f>
        <v>16.2189054726368</v>
      </c>
      <c r="BA27" s="97" t="n">
        <f aca="false">IFERROR(VLOOKUP($I27,'07_Settings'!$A$10:$F$14,6,FALSE()),0.25)</f>
        <v>0.65</v>
      </c>
      <c r="BB27" s="98" t="n">
        <v>1</v>
      </c>
      <c r="BC27" s="98" t="n">
        <v>1</v>
      </c>
      <c r="BD27" s="98" t="n">
        <v>1</v>
      </c>
      <c r="BE27" s="99" t="n">
        <f aca="false">IFERROR(ROUND($S27*BA27*BC27*BD27*BB27,0),0)</f>
        <v>32175</v>
      </c>
      <c r="BF27" s="55" t="str">
        <f aca="false">IF(COUNT(AO27:AU27)&gt;0,"estimated","pending")</f>
        <v>estimated</v>
      </c>
    </row>
    <row r="28" customFormat="false" ht="16.5" hidden="false" customHeight="true" outlineLevel="0" collapsed="false">
      <c r="A28" s="86"/>
      <c r="B28" s="121" t="n">
        <f aca="false">IF($C28="","",COUNTA($C$5:C28))</f>
        <v>24</v>
      </c>
      <c r="C28" s="122" t="s">
        <v>375</v>
      </c>
      <c r="D28" s="123" t="s">
        <v>29</v>
      </c>
      <c r="E28" s="122" t="s">
        <v>360</v>
      </c>
      <c r="F28" s="122" t="s">
        <v>360</v>
      </c>
      <c r="G28" s="123"/>
      <c r="H28" s="123" t="n">
        <v>0</v>
      </c>
      <c r="I28" s="123" t="s">
        <v>122</v>
      </c>
      <c r="J28" s="124" t="n">
        <v>22500</v>
      </c>
      <c r="K28" s="124" t="n">
        <v>9450</v>
      </c>
      <c r="L28" s="125" t="n">
        <f aca="false">IF($C28="","",ROUND($J28*0.17,0))</f>
        <v>3825</v>
      </c>
      <c r="M28" s="124" t="n">
        <v>17550</v>
      </c>
      <c r="N28" s="124" t="n">
        <v>7200</v>
      </c>
      <c r="O28" s="124" t="n">
        <v>4500</v>
      </c>
      <c r="P28" s="124" t="n">
        <v>0</v>
      </c>
      <c r="Q28" s="124" t="n">
        <v>32600</v>
      </c>
      <c r="R28" s="124" t="n">
        <v>14600</v>
      </c>
      <c r="S28" s="125" t="n">
        <f aca="false">IF($C28="","",ROUND($J28*2.2,0))</f>
        <v>49500</v>
      </c>
      <c r="T28" s="124" t="n">
        <v>7850</v>
      </c>
      <c r="U28" s="124" t="n">
        <v>6750</v>
      </c>
      <c r="V28" s="124" t="n">
        <v>4050</v>
      </c>
      <c r="W28" s="124" t="n">
        <v>0</v>
      </c>
      <c r="X28" s="124" t="s">
        <v>376</v>
      </c>
      <c r="Y28" s="126" t="n">
        <v>0.3</v>
      </c>
      <c r="Z28" s="126" t="n">
        <v>1</v>
      </c>
      <c r="AA28" s="122" t="s">
        <v>377</v>
      </c>
      <c r="AB28" s="122"/>
      <c r="AC28" s="124"/>
      <c r="AD28" s="124"/>
      <c r="AE28" s="124"/>
      <c r="AF28" s="124"/>
      <c r="AG28" s="124"/>
      <c r="AH28" s="127"/>
      <c r="AI28" s="127"/>
      <c r="AJ28" s="127"/>
      <c r="AK28" s="127"/>
      <c r="AL28" s="127"/>
      <c r="AM28" s="128"/>
      <c r="AN28" s="86"/>
      <c r="AO28" s="95"/>
      <c r="AP28" s="95"/>
      <c r="AQ28" s="95"/>
      <c r="AR28" s="95"/>
      <c r="AS28" s="95"/>
      <c r="AT28" s="95"/>
      <c r="AU28" s="95"/>
      <c r="AV28" s="96" t="str">
        <f aca="false">IF(AND(AP28&gt;0,J28&gt;0),J28*1000/(AP28*0.2),"")</f>
        <v/>
      </c>
      <c r="AW28" s="96" t="str">
        <f aca="false">IF(AND(AS28&gt;0,M28&gt;0),M28*1000/(AS28*0.3),"")</f>
        <v/>
      </c>
      <c r="AX28" s="96" t="str">
        <f aca="false">IF(AND(AO28&gt;0,O28&gt;0),O28*1000/(AO28*0.1),"")</f>
        <v/>
      </c>
      <c r="AY28" s="96" t="str">
        <f aca="false">IF(AND(AR28&gt;0,N28&gt;0),N28*1000/(AR28*0.25),"")</f>
        <v/>
      </c>
      <c r="AZ28" s="96" t="str">
        <f aca="false">IF(AND(AQ28&gt;0,Q28&gt;0),Q28*1000/(AQ28*1),"")</f>
        <v/>
      </c>
      <c r="BA28" s="97" t="n">
        <f aca="false">IFERROR(VLOOKUP($I28,'07_Settings'!$A$10:$F$14,6,FALSE()),0.25)</f>
        <v>0.25</v>
      </c>
      <c r="BB28" s="98" t="n">
        <v>1</v>
      </c>
      <c r="BC28" s="98" t="n">
        <v>1</v>
      </c>
      <c r="BD28" s="98" t="n">
        <v>1</v>
      </c>
      <c r="BE28" s="99" t="n">
        <f aca="false">IFERROR(ROUND($S28*BA28*BC28*BD28*BB28,0),0)</f>
        <v>12375</v>
      </c>
      <c r="BF28" s="55" t="str">
        <f aca="false">IF(COUNT(AO28:AU28)&gt;0,"estimated","pending")</f>
        <v>pending</v>
      </c>
    </row>
    <row r="29" customFormat="false" ht="16.5" hidden="false" customHeight="true" outlineLevel="0" collapsed="false">
      <c r="A29" s="102"/>
      <c r="B29" s="112" t="n">
        <f aca="false">IF($C29="","",COUNTA($C$5:C29))</f>
        <v>25</v>
      </c>
      <c r="C29" s="113" t="s">
        <v>378</v>
      </c>
      <c r="D29" s="114" t="s">
        <v>279</v>
      </c>
      <c r="E29" s="113" t="s">
        <v>379</v>
      </c>
      <c r="F29" s="113" t="s">
        <v>337</v>
      </c>
      <c r="G29" s="114" t="s">
        <v>380</v>
      </c>
      <c r="H29" s="114" t="n">
        <v>3</v>
      </c>
      <c r="I29" s="114" t="s">
        <v>110</v>
      </c>
      <c r="J29" s="115" t="n">
        <v>15000</v>
      </c>
      <c r="K29" s="115" t="n">
        <v>6750</v>
      </c>
      <c r="L29" s="115" t="n">
        <f aca="false">IF($C29="","",ROUND($J29*0.17,0))</f>
        <v>2550</v>
      </c>
      <c r="M29" s="115" t="n">
        <v>11000</v>
      </c>
      <c r="N29" s="115" t="n">
        <v>5000</v>
      </c>
      <c r="O29" s="115" t="n">
        <v>3200</v>
      </c>
      <c r="P29" s="115" t="n">
        <v>3200</v>
      </c>
      <c r="Q29" s="115" t="n">
        <v>19500</v>
      </c>
      <c r="R29" s="115" t="n">
        <v>8775</v>
      </c>
      <c r="S29" s="115" t="n">
        <f aca="false">IF($C29="","",ROUND($J29*2.2,0))</f>
        <v>33000</v>
      </c>
      <c r="T29" s="115" t="n">
        <v>6800</v>
      </c>
      <c r="U29" s="115" t="n">
        <v>5950</v>
      </c>
      <c r="V29" s="115" t="n">
        <v>3570</v>
      </c>
      <c r="W29" s="115" t="n">
        <v>2400</v>
      </c>
      <c r="X29" s="116" t="s">
        <v>236</v>
      </c>
      <c r="Y29" s="117" t="n">
        <v>0.75</v>
      </c>
      <c r="Z29" s="117" t="n">
        <v>1</v>
      </c>
      <c r="AA29" s="113" t="s">
        <v>381</v>
      </c>
      <c r="AB29" s="113" t="s">
        <v>382</v>
      </c>
      <c r="AC29" s="113" t="s">
        <v>383</v>
      </c>
      <c r="AD29" s="113" t="s">
        <v>384</v>
      </c>
      <c r="AE29" s="113"/>
      <c r="AF29" s="113"/>
      <c r="AG29" s="113"/>
      <c r="AH29" s="118"/>
      <c r="AI29" s="118"/>
      <c r="AJ29" s="118"/>
      <c r="AK29" s="118" t="s">
        <v>385</v>
      </c>
      <c r="AL29" s="118" t="s">
        <v>386</v>
      </c>
      <c r="AM29" s="103"/>
      <c r="AN29" s="102"/>
      <c r="AO29" s="104" t="n">
        <v>39000</v>
      </c>
      <c r="AP29" s="104" t="n">
        <v>76000</v>
      </c>
      <c r="AQ29" s="104" t="n">
        <v>266000</v>
      </c>
      <c r="AR29" s="95"/>
      <c r="AS29" s="95"/>
      <c r="AT29" s="95"/>
      <c r="AU29" s="95"/>
      <c r="AV29" s="96" t="n">
        <f aca="false">IF(AND(AP29&gt;0,J29&gt;0),J29*1000/(AP29*0.2),"")</f>
        <v>986.842105263158</v>
      </c>
      <c r="AW29" s="96" t="str">
        <f aca="false">IF(AND(AS29&gt;0,M29&gt;0),M29*1000/(AS29*0.3),"")</f>
        <v/>
      </c>
      <c r="AX29" s="96" t="n">
        <f aca="false">IF(AND(AO29&gt;0,O29&gt;0),O29*1000/(AO29*0.1),"")</f>
        <v>820.512820512821</v>
      </c>
      <c r="AY29" s="96" t="str">
        <f aca="false">IF(AND(AR29&gt;0,N29&gt;0),N29*1000/(AR29*0.25),"")</f>
        <v/>
      </c>
      <c r="AZ29" s="96" t="n">
        <f aca="false">IF(AND(AQ29&gt;0,Q29&gt;0),Q29*1000/(AQ29*1),"")</f>
        <v>73.3082706766917</v>
      </c>
      <c r="BA29" s="97" t="n">
        <f aca="false">IFERROR(VLOOKUP($I29,'07_Settings'!$A$10:$F$14,6,FALSE()),0.25)</f>
        <v>0.55</v>
      </c>
      <c r="BB29" s="98" t="n">
        <v>1</v>
      </c>
      <c r="BC29" s="98" t="n">
        <v>1</v>
      </c>
      <c r="BD29" s="98" t="n">
        <v>1</v>
      </c>
      <c r="BE29" s="99" t="n">
        <f aca="false">IFERROR(ROUND($S29*BA29*BC29*BD29*BB29,0),0)</f>
        <v>18150</v>
      </c>
      <c r="BF29" s="55" t="str">
        <f aca="false">IF(COUNT(AO29:AU29)&gt;0,"estimated","pending")</f>
        <v>estimated</v>
      </c>
    </row>
    <row r="30" customFormat="false" ht="16.5" hidden="false" customHeight="true" outlineLevel="0" collapsed="false">
      <c r="A30" s="102"/>
      <c r="B30" s="112" t="n">
        <f aca="false">IF($C30="","",COUNTA($C$5:C30))</f>
        <v>26</v>
      </c>
      <c r="C30" s="113" t="s">
        <v>387</v>
      </c>
      <c r="D30" s="114" t="s">
        <v>279</v>
      </c>
      <c r="E30" s="113" t="s">
        <v>379</v>
      </c>
      <c r="F30" s="113" t="s">
        <v>337</v>
      </c>
      <c r="G30" s="114" t="s">
        <v>388</v>
      </c>
      <c r="H30" s="114" t="n">
        <v>2</v>
      </c>
      <c r="I30" s="114" t="s">
        <v>118</v>
      </c>
      <c r="J30" s="115" t="n">
        <v>22500</v>
      </c>
      <c r="K30" s="115" t="n">
        <v>9450</v>
      </c>
      <c r="L30" s="115" t="n">
        <f aca="false">IF($C30="","",ROUND($J30*0.17,0))</f>
        <v>3825</v>
      </c>
      <c r="M30" s="115" t="n">
        <v>17550</v>
      </c>
      <c r="N30" s="115" t="n">
        <v>7200</v>
      </c>
      <c r="O30" s="115" t="n">
        <v>4500</v>
      </c>
      <c r="P30" s="115" t="n">
        <v>4500</v>
      </c>
      <c r="Q30" s="115" t="n">
        <v>32600</v>
      </c>
      <c r="R30" s="115" t="n">
        <v>14600</v>
      </c>
      <c r="S30" s="115" t="n">
        <f aca="false">IF($C30="","",ROUND($J30*2.2,0))</f>
        <v>49500</v>
      </c>
      <c r="T30" s="115" t="n">
        <v>7850</v>
      </c>
      <c r="U30" s="115" t="n">
        <v>6750</v>
      </c>
      <c r="V30" s="115" t="n">
        <v>4050</v>
      </c>
      <c r="W30" s="115" t="n">
        <v>2400</v>
      </c>
      <c r="X30" s="116" t="s">
        <v>290</v>
      </c>
      <c r="Y30" s="117" t="n">
        <v>0.75</v>
      </c>
      <c r="Z30" s="117" t="n">
        <v>1</v>
      </c>
      <c r="AA30" s="113" t="s">
        <v>389</v>
      </c>
      <c r="AB30" s="113" t="s">
        <v>390</v>
      </c>
      <c r="AC30" s="113" t="s">
        <v>391</v>
      </c>
      <c r="AD30" s="113"/>
      <c r="AE30" s="113"/>
      <c r="AF30" s="113"/>
      <c r="AG30" s="113"/>
      <c r="AH30" s="118"/>
      <c r="AI30" s="118"/>
      <c r="AJ30" s="118"/>
      <c r="AK30" s="118" t="s">
        <v>392</v>
      </c>
      <c r="AL30" s="118" t="s">
        <v>393</v>
      </c>
      <c r="AM30" s="103"/>
      <c r="AN30" s="102"/>
      <c r="AO30" s="104" t="n">
        <v>16000</v>
      </c>
      <c r="AP30" s="104" t="n">
        <v>11000</v>
      </c>
      <c r="AQ30" s="95"/>
      <c r="AR30" s="95"/>
      <c r="AS30" s="95"/>
      <c r="AT30" s="95"/>
      <c r="AU30" s="95"/>
      <c r="AV30" s="96" t="n">
        <f aca="false">IF(AND(AP30&gt;0,J30&gt;0),J30*1000/(AP30*0.2),"")</f>
        <v>10227.2727272727</v>
      </c>
      <c r="AW30" s="96" t="str">
        <f aca="false">IF(AND(AS30&gt;0,M30&gt;0),M30*1000/(AS30*0.3),"")</f>
        <v/>
      </c>
      <c r="AX30" s="96" t="n">
        <f aca="false">IF(AND(AO30&gt;0,O30&gt;0),O30*1000/(AO30*0.1),"")</f>
        <v>2812.5</v>
      </c>
      <c r="AY30" s="96" t="str">
        <f aca="false">IF(AND(AR30&gt;0,N30&gt;0),N30*1000/(AR30*0.25),"")</f>
        <v/>
      </c>
      <c r="AZ30" s="96" t="str">
        <f aca="false">IF(AND(AQ30&gt;0,Q30&gt;0),Q30*1000/(AQ30*1),"")</f>
        <v/>
      </c>
      <c r="BA30" s="97" t="n">
        <f aca="false">IFERROR(VLOOKUP($I30,'07_Settings'!$A$10:$F$14,6,FALSE()),0.25)</f>
        <v>0.35</v>
      </c>
      <c r="BB30" s="98" t="n">
        <v>1</v>
      </c>
      <c r="BC30" s="98" t="n">
        <v>1</v>
      </c>
      <c r="BD30" s="98" t="n">
        <v>1</v>
      </c>
      <c r="BE30" s="99" t="n">
        <f aca="false">IFERROR(ROUND($S30*BA30*BC30*BD30*BB30,0),0)</f>
        <v>17325</v>
      </c>
      <c r="BF30" s="55" t="str">
        <f aca="false">IF(COUNT(AO30:AU30)&gt;0,"estimated","pending")</f>
        <v>estimated</v>
      </c>
    </row>
    <row r="31" customFormat="false" ht="16.5" hidden="false" customHeight="true" outlineLevel="0" collapsed="false">
      <c r="A31" s="102"/>
      <c r="B31" s="112" t="n">
        <f aca="false">IF($C31="","",COUNTA($C$5:C31))</f>
        <v>27</v>
      </c>
      <c r="C31" s="113" t="s">
        <v>394</v>
      </c>
      <c r="D31" s="114" t="s">
        <v>279</v>
      </c>
      <c r="E31" s="113" t="s">
        <v>379</v>
      </c>
      <c r="F31" s="113" t="s">
        <v>337</v>
      </c>
      <c r="G31" s="114" t="s">
        <v>380</v>
      </c>
      <c r="H31" s="114" t="n">
        <v>4</v>
      </c>
      <c r="I31" s="114" t="s">
        <v>106</v>
      </c>
      <c r="J31" s="115" t="n">
        <v>22500</v>
      </c>
      <c r="K31" s="115" t="n">
        <v>9450</v>
      </c>
      <c r="L31" s="115" t="n">
        <f aca="false">IF($C31="","",ROUND($J31*0.17,0))</f>
        <v>3825</v>
      </c>
      <c r="M31" s="115" t="n">
        <v>17550</v>
      </c>
      <c r="N31" s="115" t="n">
        <v>7200</v>
      </c>
      <c r="O31" s="115" t="n">
        <v>4500</v>
      </c>
      <c r="P31" s="115" t="n">
        <v>4500</v>
      </c>
      <c r="Q31" s="115" t="n">
        <v>32600</v>
      </c>
      <c r="R31" s="115" t="n">
        <v>14600</v>
      </c>
      <c r="S31" s="115" t="n">
        <f aca="false">IF($C31="","",ROUND($J31*2.2,0))</f>
        <v>49500</v>
      </c>
      <c r="T31" s="115" t="n">
        <v>7850</v>
      </c>
      <c r="U31" s="115" t="n">
        <v>6750</v>
      </c>
      <c r="V31" s="115" t="n">
        <v>4050</v>
      </c>
      <c r="W31" s="115" t="n">
        <v>2400</v>
      </c>
      <c r="X31" s="116" t="s">
        <v>222</v>
      </c>
      <c r="Y31" s="117" t="n">
        <v>0.2</v>
      </c>
      <c r="Z31" s="117" t="n">
        <v>1</v>
      </c>
      <c r="AA31" s="113" t="s">
        <v>395</v>
      </c>
      <c r="AB31" s="113" t="s">
        <v>396</v>
      </c>
      <c r="AC31" s="113" t="s">
        <v>397</v>
      </c>
      <c r="AD31" s="113" t="s">
        <v>398</v>
      </c>
      <c r="AE31" s="113" t="s">
        <v>399</v>
      </c>
      <c r="AF31" s="113"/>
      <c r="AG31" s="113"/>
      <c r="AH31" s="118"/>
      <c r="AI31" s="118"/>
      <c r="AJ31" s="118"/>
      <c r="AK31" s="120" t="n">
        <v>38357</v>
      </c>
      <c r="AL31" s="118" t="s">
        <v>400</v>
      </c>
      <c r="AM31" s="103"/>
      <c r="AN31" s="102"/>
      <c r="AO31" s="104" t="n">
        <v>323100</v>
      </c>
      <c r="AP31" s="104" t="n">
        <v>524000</v>
      </c>
      <c r="AQ31" s="104" t="n">
        <v>1179231</v>
      </c>
      <c r="AR31" s="104" t="n">
        <v>261000</v>
      </c>
      <c r="AS31" s="95"/>
      <c r="AT31" s="95"/>
      <c r="AU31" s="95"/>
      <c r="AV31" s="96" t="n">
        <f aca="false">IF(AND(AP31&gt;0,J31&gt;0),J31*1000/(AP31*0.2),"")</f>
        <v>214.69465648855</v>
      </c>
      <c r="AW31" s="96" t="str">
        <f aca="false">IF(AND(AS31&gt;0,M31&gt;0),M31*1000/(AS31*0.3),"")</f>
        <v/>
      </c>
      <c r="AX31" s="96" t="n">
        <f aca="false">IF(AND(AO31&gt;0,O31&gt;0),O31*1000/(AO31*0.1),"")</f>
        <v>139.275766016713</v>
      </c>
      <c r="AY31" s="96" t="n">
        <f aca="false">IF(AND(AR31&gt;0,N31&gt;0),N31*1000/(AR31*0.25),"")</f>
        <v>110.344827586207</v>
      </c>
      <c r="AZ31" s="96" t="n">
        <f aca="false">IF(AND(AQ31&gt;0,Q31&gt;0),Q31*1000/(AQ31*1),"")</f>
        <v>27.6451348378732</v>
      </c>
      <c r="BA31" s="97" t="n">
        <f aca="false">IFERROR(VLOOKUP($I31,'07_Settings'!$A$10:$F$14,6,FALSE()),0.25)</f>
        <v>0.65</v>
      </c>
      <c r="BB31" s="98" t="n">
        <v>1</v>
      </c>
      <c r="BC31" s="98" t="n">
        <v>1</v>
      </c>
      <c r="BD31" s="98" t="n">
        <v>1</v>
      </c>
      <c r="BE31" s="99" t="n">
        <f aca="false">IFERROR(ROUND($S31*BA31*BC31*BD31*BB31,0),0)</f>
        <v>32175</v>
      </c>
      <c r="BF31" s="55" t="str">
        <f aca="false">IF(COUNT(AO31:AU31)&gt;0,"estimated","pending")</f>
        <v>estimated</v>
      </c>
    </row>
    <row r="32" customFormat="false" ht="16.5" hidden="false" customHeight="true" outlineLevel="0" collapsed="false">
      <c r="A32" s="102"/>
      <c r="B32" s="112" t="n">
        <f aca="false">IF($C32="","",COUNTA($C$5:C32))</f>
        <v>28</v>
      </c>
      <c r="C32" s="113" t="s">
        <v>401</v>
      </c>
      <c r="D32" s="114" t="s">
        <v>279</v>
      </c>
      <c r="E32" s="113" t="s">
        <v>379</v>
      </c>
      <c r="F32" s="113" t="s">
        <v>337</v>
      </c>
      <c r="G32" s="114" t="s">
        <v>402</v>
      </c>
      <c r="H32" s="114" t="n">
        <v>5</v>
      </c>
      <c r="I32" s="114" t="s">
        <v>110</v>
      </c>
      <c r="J32" s="115" t="n">
        <v>22500</v>
      </c>
      <c r="K32" s="115" t="n">
        <v>9450</v>
      </c>
      <c r="L32" s="115" t="n">
        <f aca="false">IF($C32="","",ROUND($J32*0.17,0))</f>
        <v>3825</v>
      </c>
      <c r="M32" s="115" t="n">
        <v>17550</v>
      </c>
      <c r="N32" s="115" t="n">
        <v>7200</v>
      </c>
      <c r="O32" s="115" t="n">
        <v>4500</v>
      </c>
      <c r="P32" s="115" t="n">
        <v>4500</v>
      </c>
      <c r="Q32" s="115" t="n">
        <v>32600</v>
      </c>
      <c r="R32" s="115" t="n">
        <v>14600</v>
      </c>
      <c r="S32" s="115" t="n">
        <f aca="false">IF($C32="","",ROUND($J32*2.2,0))</f>
        <v>49500</v>
      </c>
      <c r="T32" s="115" t="n">
        <v>7850</v>
      </c>
      <c r="U32" s="115" t="n">
        <v>6750</v>
      </c>
      <c r="V32" s="115" t="n">
        <v>4050</v>
      </c>
      <c r="W32" s="115" t="n">
        <v>2400</v>
      </c>
      <c r="X32" s="116" t="s">
        <v>246</v>
      </c>
      <c r="Y32" s="117" t="n">
        <v>0.3</v>
      </c>
      <c r="Z32" s="117" t="n">
        <v>1</v>
      </c>
      <c r="AA32" s="113" t="s">
        <v>403</v>
      </c>
      <c r="AB32" s="113" t="s">
        <v>404</v>
      </c>
      <c r="AC32" s="113" t="s">
        <v>405</v>
      </c>
      <c r="AD32" s="113" t="s">
        <v>406</v>
      </c>
      <c r="AE32" s="113" t="s">
        <v>407</v>
      </c>
      <c r="AF32" s="113"/>
      <c r="AG32" s="113"/>
      <c r="AH32" s="118" t="s">
        <v>408</v>
      </c>
      <c r="AI32" s="118"/>
      <c r="AJ32" s="118"/>
      <c r="AK32" s="118" t="s">
        <v>409</v>
      </c>
      <c r="AL32" s="118" t="s">
        <v>386</v>
      </c>
      <c r="AM32" s="103"/>
      <c r="AN32" s="102"/>
      <c r="AO32" s="104" t="n">
        <v>878100</v>
      </c>
      <c r="AP32" s="104" t="n">
        <v>639000</v>
      </c>
      <c r="AQ32" s="104" t="n">
        <v>727186</v>
      </c>
      <c r="AR32" s="95"/>
      <c r="AS32" s="95"/>
      <c r="AT32" s="95"/>
      <c r="AU32" s="95"/>
      <c r="AV32" s="96" t="n">
        <f aca="false">IF(AND(AP32&gt;0,J32&gt;0),J32*1000/(AP32*0.2),"")</f>
        <v>176.056338028169</v>
      </c>
      <c r="AW32" s="96" t="str">
        <f aca="false">IF(AND(AS32&gt;0,M32&gt;0),M32*1000/(AS32*0.3),"")</f>
        <v/>
      </c>
      <c r="AX32" s="96" t="n">
        <f aca="false">IF(AND(AO32&gt;0,O32&gt;0),O32*1000/(AO32*0.1),"")</f>
        <v>51.2470105910489</v>
      </c>
      <c r="AY32" s="96" t="str">
        <f aca="false">IF(AND(AR32&gt;0,N32&gt;0),N32*1000/(AR32*0.25),"")</f>
        <v/>
      </c>
      <c r="AZ32" s="96" t="n">
        <f aca="false">IF(AND(AQ32&gt;0,Q32&gt;0),Q32*1000/(AQ32*1),"")</f>
        <v>44.8303460187627</v>
      </c>
      <c r="BA32" s="97" t="n">
        <f aca="false">IFERROR(VLOOKUP($I32,'07_Settings'!$A$10:$F$14,6,FALSE()),0.25)</f>
        <v>0.55</v>
      </c>
      <c r="BB32" s="98" t="n">
        <v>1</v>
      </c>
      <c r="BC32" s="98" t="n">
        <v>1</v>
      </c>
      <c r="BD32" s="98" t="n">
        <v>1</v>
      </c>
      <c r="BE32" s="99" t="n">
        <f aca="false">IFERROR(ROUND($S32*BA32*BC32*BD32*BB32,0),0)</f>
        <v>27225</v>
      </c>
      <c r="BF32" s="55" t="str">
        <f aca="false">IF(COUNT(AO32:AU32)&gt;0,"estimated","pending")</f>
        <v>estimated</v>
      </c>
    </row>
    <row r="33" customFormat="false" ht="16.5" hidden="false" customHeight="true" outlineLevel="0" collapsed="false">
      <c r="A33" s="86"/>
      <c r="B33" s="121" t="n">
        <f aca="false">IF($C33="","",COUNTA($C$5:C33))</f>
        <v>29</v>
      </c>
      <c r="C33" s="122" t="s">
        <v>410</v>
      </c>
      <c r="D33" s="123" t="s">
        <v>29</v>
      </c>
      <c r="E33" s="122" t="s">
        <v>379</v>
      </c>
      <c r="F33" s="122" t="s">
        <v>337</v>
      </c>
      <c r="G33" s="123" t="s">
        <v>411</v>
      </c>
      <c r="H33" s="123" t="n">
        <v>1</v>
      </c>
      <c r="I33" s="123" t="s">
        <v>122</v>
      </c>
      <c r="J33" s="124" t="n">
        <v>22500</v>
      </c>
      <c r="K33" s="124" t="n">
        <v>9450</v>
      </c>
      <c r="L33" s="125" t="n">
        <f aca="false">IF($C33="","",ROUND($J33*0.17,0))</f>
        <v>3825</v>
      </c>
      <c r="M33" s="124" t="n">
        <v>17550</v>
      </c>
      <c r="N33" s="124" t="n">
        <v>7200</v>
      </c>
      <c r="O33" s="124" t="n">
        <v>4500</v>
      </c>
      <c r="P33" s="124" t="n">
        <v>0</v>
      </c>
      <c r="Q33" s="124" t="n">
        <v>32600</v>
      </c>
      <c r="R33" s="124" t="n">
        <v>14600</v>
      </c>
      <c r="S33" s="125" t="n">
        <f aca="false">IF($C33="","",ROUND($J33*2.2,0))</f>
        <v>49500</v>
      </c>
      <c r="T33" s="124" t="n">
        <v>7850</v>
      </c>
      <c r="U33" s="124" t="n">
        <v>6750</v>
      </c>
      <c r="V33" s="124" t="n">
        <v>4050</v>
      </c>
      <c r="W33" s="124" t="n">
        <v>0</v>
      </c>
      <c r="X33" s="124" t="s">
        <v>310</v>
      </c>
      <c r="Y33" s="126" t="n">
        <v>0.3</v>
      </c>
      <c r="Z33" s="126" t="n">
        <v>1</v>
      </c>
      <c r="AA33" s="122" t="s">
        <v>412</v>
      </c>
      <c r="AB33" s="122" t="s">
        <v>413</v>
      </c>
      <c r="AC33" s="124"/>
      <c r="AD33" s="124"/>
      <c r="AE33" s="124"/>
      <c r="AF33" s="124"/>
      <c r="AG33" s="124"/>
      <c r="AH33" s="127"/>
      <c r="AI33" s="127"/>
      <c r="AJ33" s="127"/>
      <c r="AK33" s="127" t="s">
        <v>414</v>
      </c>
      <c r="AL33" s="127"/>
      <c r="AM33" s="128"/>
      <c r="AN33" s="86"/>
      <c r="AO33" s="104" t="n">
        <v>2565</v>
      </c>
      <c r="AP33" s="95"/>
      <c r="AQ33" s="95"/>
      <c r="AR33" s="95"/>
      <c r="AS33" s="95"/>
      <c r="AT33" s="95"/>
      <c r="AU33" s="95"/>
      <c r="AV33" s="96" t="str">
        <f aca="false">IF(AND(AP33&gt;0,J33&gt;0),J33*1000/(AP33*0.2),"")</f>
        <v/>
      </c>
      <c r="AW33" s="96" t="str">
        <f aca="false">IF(AND(AS33&gt;0,M33&gt;0),M33*1000/(AS33*0.3),"")</f>
        <v/>
      </c>
      <c r="AX33" s="96" t="n">
        <f aca="false">IF(AND(AO33&gt;0,O33&gt;0),O33*1000/(AO33*0.1),"")</f>
        <v>17543.8596491228</v>
      </c>
      <c r="AY33" s="96" t="str">
        <f aca="false">IF(AND(AR33&gt;0,N33&gt;0),N33*1000/(AR33*0.25),"")</f>
        <v/>
      </c>
      <c r="AZ33" s="96" t="str">
        <f aca="false">IF(AND(AQ33&gt;0,Q33&gt;0),Q33*1000/(AQ33*1),"")</f>
        <v/>
      </c>
      <c r="BA33" s="97" t="n">
        <f aca="false">IFERROR(VLOOKUP($I33,'07_Settings'!$A$10:$F$14,6,FALSE()),0.25)</f>
        <v>0.25</v>
      </c>
      <c r="BB33" s="98" t="n">
        <v>1</v>
      </c>
      <c r="BC33" s="98" t="n">
        <v>1</v>
      </c>
      <c r="BD33" s="98" t="n">
        <v>1</v>
      </c>
      <c r="BE33" s="99" t="n">
        <f aca="false">IFERROR(ROUND($S33*BA33*BC33*BD33*BB33,0),0)</f>
        <v>12375</v>
      </c>
      <c r="BF33" s="55" t="str">
        <f aca="false">IF(COUNT(AO33:AU33)&gt;0,"estimated","pending")</f>
        <v>estimated</v>
      </c>
    </row>
    <row r="34" customFormat="false" ht="16.5" hidden="false" customHeight="true" outlineLevel="0" collapsed="false">
      <c r="A34" s="102"/>
      <c r="B34" s="112" t="n">
        <f aca="false">IF($C34="","",COUNTA($C$5:C34))</f>
        <v>30</v>
      </c>
      <c r="C34" s="113" t="s">
        <v>415</v>
      </c>
      <c r="D34" s="114" t="s">
        <v>279</v>
      </c>
      <c r="E34" s="113" t="s">
        <v>379</v>
      </c>
      <c r="F34" s="113" t="s">
        <v>337</v>
      </c>
      <c r="G34" s="114" t="s">
        <v>416</v>
      </c>
      <c r="H34" s="114" t="n">
        <v>2</v>
      </c>
      <c r="I34" s="114" t="s">
        <v>118</v>
      </c>
      <c r="J34" s="115" t="n">
        <v>11250</v>
      </c>
      <c r="K34" s="115" t="n">
        <v>4500</v>
      </c>
      <c r="L34" s="115" t="n">
        <f aca="false">IF($C34="","",ROUND($J34*0.17,0))</f>
        <v>1913</v>
      </c>
      <c r="M34" s="115" t="n">
        <v>8000</v>
      </c>
      <c r="N34" s="115" t="n">
        <v>3500</v>
      </c>
      <c r="O34" s="115" t="n">
        <v>2000</v>
      </c>
      <c r="P34" s="115" t="n">
        <v>2000</v>
      </c>
      <c r="Q34" s="115" t="n">
        <v>13500</v>
      </c>
      <c r="R34" s="115" t="n">
        <v>6075</v>
      </c>
      <c r="S34" s="115" t="n">
        <f aca="false">IF($C34="","",ROUND($J34*2.2,0))</f>
        <v>24750</v>
      </c>
      <c r="T34" s="115" t="n">
        <v>4638</v>
      </c>
      <c r="U34" s="115" t="n">
        <v>4063</v>
      </c>
      <c r="V34" s="115" t="n">
        <v>2438</v>
      </c>
      <c r="W34" s="115" t="n">
        <v>2400</v>
      </c>
      <c r="X34" s="116" t="s">
        <v>290</v>
      </c>
      <c r="Y34" s="117" t="n">
        <v>0.75</v>
      </c>
      <c r="Z34" s="117" t="n">
        <v>1</v>
      </c>
      <c r="AA34" s="113" t="s">
        <v>417</v>
      </c>
      <c r="AB34" s="113" t="s">
        <v>418</v>
      </c>
      <c r="AC34" s="116" t="s">
        <v>419</v>
      </c>
      <c r="AD34" s="116" t="s">
        <v>420</v>
      </c>
      <c r="AE34" s="116"/>
      <c r="AF34" s="116"/>
      <c r="AG34" s="116"/>
      <c r="AH34" s="118"/>
      <c r="AI34" s="118"/>
      <c r="AJ34" s="118"/>
      <c r="AK34" s="119" t="n">
        <v>36872</v>
      </c>
      <c r="AL34" s="118" t="s">
        <v>386</v>
      </c>
      <c r="AM34" s="103"/>
      <c r="AN34" s="102"/>
      <c r="AO34" s="104" t="n">
        <v>45700</v>
      </c>
      <c r="AP34" s="95"/>
      <c r="AQ34" s="95"/>
      <c r="AR34" s="95"/>
      <c r="AS34" s="95"/>
      <c r="AT34" s="95"/>
      <c r="AU34" s="95"/>
      <c r="AV34" s="96" t="str">
        <f aca="false">IF(AND(AP34&gt;0,J34&gt;0),J34*1000/(AP34*0.2),"")</f>
        <v/>
      </c>
      <c r="AW34" s="96" t="str">
        <f aca="false">IF(AND(AS34&gt;0,M34&gt;0),M34*1000/(AS34*0.3),"")</f>
        <v/>
      </c>
      <c r="AX34" s="96" t="n">
        <f aca="false">IF(AND(AO34&gt;0,O34&gt;0),O34*1000/(AO34*0.1),"")</f>
        <v>437.636761487965</v>
      </c>
      <c r="AY34" s="96" t="str">
        <f aca="false">IF(AND(AR34&gt;0,N34&gt;0),N34*1000/(AR34*0.25),"")</f>
        <v/>
      </c>
      <c r="AZ34" s="96" t="str">
        <f aca="false">IF(AND(AQ34&gt;0,Q34&gt;0),Q34*1000/(AQ34*1),"")</f>
        <v/>
      </c>
      <c r="BA34" s="97" t="n">
        <f aca="false">IFERROR(VLOOKUP($I34,'07_Settings'!$A$10:$F$14,6,FALSE()),0.25)</f>
        <v>0.35</v>
      </c>
      <c r="BB34" s="98" t="n">
        <v>1</v>
      </c>
      <c r="BC34" s="98" t="n">
        <v>1</v>
      </c>
      <c r="BD34" s="98" t="n">
        <v>1</v>
      </c>
      <c r="BE34" s="99" t="n">
        <f aca="false">IFERROR(ROUND($S34*BA34*BC34*BD34*BB34,0),0)</f>
        <v>8663</v>
      </c>
      <c r="BF34" s="55" t="str">
        <f aca="false">IF(COUNT(AO34:AU34)&gt;0,"estimated","pending")</f>
        <v>estimated</v>
      </c>
    </row>
    <row r="35" customFormat="false" ht="16.5" hidden="false" customHeight="true" outlineLevel="0" collapsed="false">
      <c r="A35" s="100"/>
      <c r="B35" s="129" t="n">
        <f aca="false">IF($C35="","",COUNTA($C$5:C35))</f>
        <v>31</v>
      </c>
      <c r="C35" s="130" t="s">
        <v>421</v>
      </c>
      <c r="D35" s="131" t="s">
        <v>422</v>
      </c>
      <c r="E35" s="130" t="s">
        <v>379</v>
      </c>
      <c r="F35" s="130" t="s">
        <v>337</v>
      </c>
      <c r="G35" s="131" t="s">
        <v>411</v>
      </c>
      <c r="H35" s="131" t="n">
        <v>2</v>
      </c>
      <c r="I35" s="131" t="s">
        <v>122</v>
      </c>
      <c r="J35" s="132" t="n">
        <v>11000</v>
      </c>
      <c r="K35" s="132" t="n">
        <v>4600</v>
      </c>
      <c r="L35" s="133" t="n">
        <f aca="false">IF($C35="","",ROUND($J35*0.17,0))</f>
        <v>1870</v>
      </c>
      <c r="M35" s="132" t="n">
        <v>8600</v>
      </c>
      <c r="N35" s="132" t="n">
        <v>3500</v>
      </c>
      <c r="O35" s="132" t="n">
        <v>2200</v>
      </c>
      <c r="P35" s="132" t="n">
        <v>0</v>
      </c>
      <c r="Q35" s="132" t="n">
        <v>15950</v>
      </c>
      <c r="R35" s="132" t="n">
        <v>7150</v>
      </c>
      <c r="S35" s="133" t="n">
        <f aca="false">IF($C35="","",ROUND($J35*2.2,0))</f>
        <v>24200</v>
      </c>
      <c r="T35" s="132" t="n">
        <v>3850</v>
      </c>
      <c r="U35" s="132" t="n">
        <v>3300</v>
      </c>
      <c r="V35" s="132" t="n">
        <v>2000</v>
      </c>
      <c r="W35" s="132" t="n">
        <v>0</v>
      </c>
      <c r="X35" s="132" t="s">
        <v>290</v>
      </c>
      <c r="Y35" s="134" t="n">
        <v>0.5</v>
      </c>
      <c r="Z35" s="134" t="n">
        <v>1</v>
      </c>
      <c r="AA35" s="130" t="s">
        <v>423</v>
      </c>
      <c r="AB35" s="130" t="s">
        <v>424</v>
      </c>
      <c r="AC35" s="132" t="s">
        <v>425</v>
      </c>
      <c r="AD35" s="132"/>
      <c r="AE35" s="132"/>
      <c r="AF35" s="132"/>
      <c r="AG35" s="132"/>
      <c r="AH35" s="135"/>
      <c r="AI35" s="135"/>
      <c r="AJ35" s="135"/>
      <c r="AK35" s="135" t="s">
        <v>426</v>
      </c>
      <c r="AL35" s="135"/>
      <c r="AM35" s="101"/>
      <c r="AN35" s="100"/>
      <c r="AO35" s="104" t="n">
        <v>4833</v>
      </c>
      <c r="AP35" s="104" t="n">
        <v>4318</v>
      </c>
      <c r="AQ35" s="95"/>
      <c r="AR35" s="95"/>
      <c r="AS35" s="95"/>
      <c r="AT35" s="95"/>
      <c r="AU35" s="95"/>
      <c r="AV35" s="96" t="n">
        <f aca="false">IF(AND(AP35&gt;0,J35&gt;0),J35*1000/(AP35*0.2),"")</f>
        <v>12737.3784159333</v>
      </c>
      <c r="AW35" s="96" t="str">
        <f aca="false">IF(AND(AS35&gt;0,M35&gt;0),M35*1000/(AS35*0.3),"")</f>
        <v/>
      </c>
      <c r="AX35" s="96" t="n">
        <f aca="false">IF(AND(AO35&gt;0,O35&gt;0),O35*1000/(AO35*0.1),"")</f>
        <v>4552.03807159114</v>
      </c>
      <c r="AY35" s="96" t="str">
        <f aca="false">IF(AND(AR35&gt;0,N35&gt;0),N35*1000/(AR35*0.25),"")</f>
        <v/>
      </c>
      <c r="AZ35" s="96" t="str">
        <f aca="false">IF(AND(AQ35&gt;0,Q35&gt;0),Q35*1000/(AQ35*1),"")</f>
        <v/>
      </c>
      <c r="BA35" s="97" t="n">
        <f aca="false">IFERROR(VLOOKUP($I35,'07_Settings'!$A$10:$F$14,6,FALSE()),0.25)</f>
        <v>0.25</v>
      </c>
      <c r="BB35" s="98" t="n">
        <v>1</v>
      </c>
      <c r="BC35" s="98" t="n">
        <v>1</v>
      </c>
      <c r="BD35" s="98" t="n">
        <v>1</v>
      </c>
      <c r="BE35" s="99" t="n">
        <f aca="false">IFERROR(ROUND($S35*BA35*BC35*BD35*BB35,0),0)</f>
        <v>6050</v>
      </c>
      <c r="BF35" s="55" t="str">
        <f aca="false">IF(COUNT(AO35:AU35)&gt;0,"estimated","pending")</f>
        <v>estimated</v>
      </c>
    </row>
    <row r="36" customFormat="false" ht="16.5" hidden="false" customHeight="true" outlineLevel="0" collapsed="false">
      <c r="A36" s="100"/>
      <c r="B36" s="129" t="n">
        <f aca="false">IF($C36="","",COUNTA($C$5:C36))</f>
        <v>32</v>
      </c>
      <c r="C36" s="130" t="s">
        <v>427</v>
      </c>
      <c r="D36" s="131" t="s">
        <v>428</v>
      </c>
      <c r="E36" s="130" t="s">
        <v>379</v>
      </c>
      <c r="F36" s="130" t="s">
        <v>337</v>
      </c>
      <c r="G36" s="131" t="s">
        <v>416</v>
      </c>
      <c r="H36" s="131" t="n">
        <v>2</v>
      </c>
      <c r="I36" s="131" t="s">
        <v>114</v>
      </c>
      <c r="J36" s="132" t="n">
        <v>0</v>
      </c>
      <c r="K36" s="132" t="n">
        <v>0</v>
      </c>
      <c r="L36" s="133" t="n">
        <f aca="false">IF($C36="","",ROUND($J36*0.17,0))</f>
        <v>0</v>
      </c>
      <c r="M36" s="132" t="n">
        <v>0</v>
      </c>
      <c r="N36" s="132" t="n">
        <v>0</v>
      </c>
      <c r="O36" s="132" t="n">
        <v>0</v>
      </c>
      <c r="P36" s="132" t="n">
        <v>0</v>
      </c>
      <c r="Q36" s="132" t="n">
        <v>0</v>
      </c>
      <c r="R36" s="132" t="n">
        <v>0</v>
      </c>
      <c r="S36" s="133" t="n">
        <f aca="false">IF($C36="","",ROUND($J36*2.2,0))</f>
        <v>0</v>
      </c>
      <c r="T36" s="132" t="n">
        <v>0</v>
      </c>
      <c r="U36" s="132" t="n">
        <v>0</v>
      </c>
      <c r="V36" s="132" t="n">
        <v>2000</v>
      </c>
      <c r="W36" s="132" t="n">
        <v>0</v>
      </c>
      <c r="X36" s="132" t="s">
        <v>290</v>
      </c>
      <c r="Y36" s="134" t="n">
        <v>0.5</v>
      </c>
      <c r="Z36" s="134" t="n">
        <v>1</v>
      </c>
      <c r="AA36" s="130" t="s">
        <v>429</v>
      </c>
      <c r="AB36" s="130" t="s">
        <v>430</v>
      </c>
      <c r="AC36" s="130" t="s">
        <v>431</v>
      </c>
      <c r="AD36" s="130" t="s">
        <v>432</v>
      </c>
      <c r="AE36" s="130"/>
      <c r="AF36" s="130"/>
      <c r="AG36" s="130"/>
      <c r="AH36" s="135" t="s">
        <v>433</v>
      </c>
      <c r="AI36" s="135"/>
      <c r="AJ36" s="135"/>
      <c r="AK36" s="135" t="s">
        <v>434</v>
      </c>
      <c r="AL36" s="135"/>
      <c r="AM36" s="101"/>
      <c r="AN36" s="100"/>
      <c r="AO36" s="104" t="n">
        <v>121400</v>
      </c>
      <c r="AP36" s="104" t="n">
        <v>80000</v>
      </c>
      <c r="AQ36" s="95"/>
      <c r="AR36" s="95"/>
      <c r="AS36" s="95"/>
      <c r="AT36" s="95"/>
      <c r="AU36" s="95"/>
      <c r="AV36" s="96" t="str">
        <f aca="false">IF(AND(AP36&gt;0,J36&gt;0),J36*1000/(AP36*0.2),"")</f>
        <v/>
      </c>
      <c r="AW36" s="96" t="str">
        <f aca="false">IF(AND(AS36&gt;0,M36&gt;0),M36*1000/(AS36*0.3),"")</f>
        <v/>
      </c>
      <c r="AX36" s="96" t="str">
        <f aca="false">IF(AND(AO36&gt;0,O36&gt;0),O36*1000/(AO36*0.1),"")</f>
        <v/>
      </c>
      <c r="AY36" s="96" t="str">
        <f aca="false">IF(AND(AR36&gt;0,N36&gt;0),N36*1000/(AR36*0.25),"")</f>
        <v/>
      </c>
      <c r="AZ36" s="96" t="str">
        <f aca="false">IF(AND(AQ36&gt;0,Q36&gt;0),Q36*1000/(AQ36*1),"")</f>
        <v/>
      </c>
      <c r="BA36" s="97" t="n">
        <f aca="false">IFERROR(VLOOKUP($I36,'07_Settings'!$A$10:$F$14,6,FALSE()),0.25)</f>
        <v>0.45</v>
      </c>
      <c r="BB36" s="98" t="n">
        <v>1</v>
      </c>
      <c r="BC36" s="98" t="n">
        <v>1</v>
      </c>
      <c r="BD36" s="98" t="n">
        <v>1</v>
      </c>
      <c r="BE36" s="99" t="n">
        <f aca="false">IFERROR(ROUND($S36*BA36*BC36*BD36*BB36,0),0)</f>
        <v>0</v>
      </c>
      <c r="BF36" s="55" t="str">
        <f aca="false">IF(COUNT(AO36:AU36)&gt;0,"estimated","pending")</f>
        <v>estimated</v>
      </c>
    </row>
    <row r="37" customFormat="false" ht="16.5" hidden="false" customHeight="true" outlineLevel="0" collapsed="false">
      <c r="A37" s="102"/>
      <c r="B37" s="112" t="n">
        <f aca="false">IF($C37="","",COUNTA($C$5:C37))</f>
        <v>33</v>
      </c>
      <c r="C37" s="113" t="s">
        <v>435</v>
      </c>
      <c r="D37" s="114" t="s">
        <v>279</v>
      </c>
      <c r="E37" s="113" t="s">
        <v>379</v>
      </c>
      <c r="F37" s="113" t="s">
        <v>436</v>
      </c>
      <c r="G37" s="114" t="s">
        <v>416</v>
      </c>
      <c r="H37" s="114" t="n">
        <v>1</v>
      </c>
      <c r="I37" s="114" t="s">
        <v>118</v>
      </c>
      <c r="J37" s="115" t="n">
        <v>11000</v>
      </c>
      <c r="K37" s="115" t="n">
        <v>4600</v>
      </c>
      <c r="L37" s="115" t="n">
        <f aca="false">IF($C37="","",ROUND($J37*0.17,0))</f>
        <v>1870</v>
      </c>
      <c r="M37" s="115" t="n">
        <v>8600</v>
      </c>
      <c r="N37" s="115" t="n">
        <v>3500</v>
      </c>
      <c r="O37" s="115" t="n">
        <v>2200</v>
      </c>
      <c r="P37" s="115" t="n">
        <v>2200</v>
      </c>
      <c r="Q37" s="115" t="n">
        <v>15950</v>
      </c>
      <c r="R37" s="115" t="n">
        <v>7150</v>
      </c>
      <c r="S37" s="115" t="n">
        <f aca="false">IF($C37="","",ROUND($J37*2.2,0))</f>
        <v>24200</v>
      </c>
      <c r="T37" s="115" t="n">
        <v>3850</v>
      </c>
      <c r="U37" s="115" t="n">
        <v>3300</v>
      </c>
      <c r="V37" s="115" t="n">
        <v>2000</v>
      </c>
      <c r="W37" s="115" t="n">
        <v>2400</v>
      </c>
      <c r="X37" s="116" t="s">
        <v>310</v>
      </c>
      <c r="Y37" s="117" t="n">
        <v>0.75</v>
      </c>
      <c r="Z37" s="117" t="n">
        <v>1</v>
      </c>
      <c r="AA37" s="113" t="s">
        <v>437</v>
      </c>
      <c r="AB37" s="113" t="s">
        <v>438</v>
      </c>
      <c r="AC37" s="116"/>
      <c r="AD37" s="116"/>
      <c r="AE37" s="116"/>
      <c r="AF37" s="116"/>
      <c r="AG37" s="116"/>
      <c r="AH37" s="118"/>
      <c r="AI37" s="118"/>
      <c r="AJ37" s="118"/>
      <c r="AK37" s="118" t="s">
        <v>439</v>
      </c>
      <c r="AL37" s="118" t="s">
        <v>386</v>
      </c>
      <c r="AM37" s="103"/>
      <c r="AN37" s="102"/>
      <c r="AO37" s="104" t="n">
        <v>361</v>
      </c>
      <c r="AP37" s="95"/>
      <c r="AQ37" s="95"/>
      <c r="AR37" s="95"/>
      <c r="AS37" s="95"/>
      <c r="AT37" s="95"/>
      <c r="AU37" s="95"/>
      <c r="AV37" s="96" t="str">
        <f aca="false">IF(AND(AP37&gt;0,J37&gt;0),J37*1000/(AP37*0.2),"")</f>
        <v/>
      </c>
      <c r="AW37" s="96" t="str">
        <f aca="false">IF(AND(AS37&gt;0,M37&gt;0),M37*1000/(AS37*0.3),"")</f>
        <v/>
      </c>
      <c r="AX37" s="96" t="n">
        <f aca="false">IF(AND(AO37&gt;0,O37&gt;0),O37*1000/(AO37*0.1),"")</f>
        <v>60941.8282548476</v>
      </c>
      <c r="AY37" s="96" t="str">
        <f aca="false">IF(AND(AR37&gt;0,N37&gt;0),N37*1000/(AR37*0.25),"")</f>
        <v/>
      </c>
      <c r="AZ37" s="96" t="str">
        <f aca="false">IF(AND(AQ37&gt;0,Q37&gt;0),Q37*1000/(AQ37*1),"")</f>
        <v/>
      </c>
      <c r="BA37" s="97" t="n">
        <f aca="false">IFERROR(VLOOKUP($I37,'07_Settings'!$A$10:$F$14,6,FALSE()),0.25)</f>
        <v>0.35</v>
      </c>
      <c r="BB37" s="98" t="n">
        <v>1</v>
      </c>
      <c r="BC37" s="98" t="n">
        <v>1</v>
      </c>
      <c r="BD37" s="98" t="n">
        <v>1</v>
      </c>
      <c r="BE37" s="99" t="n">
        <f aca="false">IFERROR(ROUND($S37*BA37*BC37*BD37*BB37,0),0)</f>
        <v>8470</v>
      </c>
      <c r="BF37" s="55" t="str">
        <f aca="false">IF(COUNT(AO37:AU37)&gt;0,"estimated","pending")</f>
        <v>estimated</v>
      </c>
    </row>
    <row r="38" customFormat="false" ht="16.5" hidden="false" customHeight="true" outlineLevel="0" collapsed="false">
      <c r="A38" s="102"/>
      <c r="B38" s="112" t="n">
        <f aca="false">IF($C38="","",COUNTA($C$5:C38))</f>
        <v>34</v>
      </c>
      <c r="C38" s="113" t="s">
        <v>440</v>
      </c>
      <c r="D38" s="114" t="s">
        <v>279</v>
      </c>
      <c r="E38" s="113" t="s">
        <v>379</v>
      </c>
      <c r="F38" s="113" t="s">
        <v>436</v>
      </c>
      <c r="G38" s="114" t="s">
        <v>441</v>
      </c>
      <c r="H38" s="114" t="n">
        <v>2</v>
      </c>
      <c r="I38" s="114" t="s">
        <v>114</v>
      </c>
      <c r="J38" s="115" t="n">
        <v>5200</v>
      </c>
      <c r="K38" s="115" t="n">
        <v>2200</v>
      </c>
      <c r="L38" s="115" t="n">
        <f aca="false">IF($C38="","",ROUND($J38*0.17,0))</f>
        <v>884</v>
      </c>
      <c r="M38" s="115" t="n">
        <v>4050</v>
      </c>
      <c r="N38" s="115" t="n">
        <v>1650</v>
      </c>
      <c r="O38" s="115" t="n">
        <v>1050</v>
      </c>
      <c r="P38" s="115" t="n">
        <v>1050</v>
      </c>
      <c r="Q38" s="115" t="n">
        <v>7550</v>
      </c>
      <c r="R38" s="115" t="n">
        <v>3400</v>
      </c>
      <c r="S38" s="115" t="n">
        <f aca="false">IF($C38="","",ROUND($J38*2.2,0))</f>
        <v>11440</v>
      </c>
      <c r="T38" s="115" t="n">
        <v>1800</v>
      </c>
      <c r="U38" s="115" t="n">
        <v>1550</v>
      </c>
      <c r="V38" s="115" t="n">
        <v>950</v>
      </c>
      <c r="W38" s="115" t="n">
        <v>2400</v>
      </c>
      <c r="X38" s="116" t="s">
        <v>290</v>
      </c>
      <c r="Y38" s="117" t="n">
        <v>0.75</v>
      </c>
      <c r="Z38" s="117" t="n">
        <v>1</v>
      </c>
      <c r="AA38" s="113" t="s">
        <v>442</v>
      </c>
      <c r="AB38" s="113" t="s">
        <v>443</v>
      </c>
      <c r="AC38" s="116"/>
      <c r="AD38" s="116" t="s">
        <v>444</v>
      </c>
      <c r="AE38" s="116"/>
      <c r="AF38" s="116"/>
      <c r="AG38" s="116"/>
      <c r="AH38" s="118"/>
      <c r="AI38" s="118"/>
      <c r="AJ38" s="118"/>
      <c r="AK38" s="118" t="s">
        <v>445</v>
      </c>
      <c r="AL38" s="118" t="s">
        <v>446</v>
      </c>
      <c r="AM38" s="103"/>
      <c r="AN38" s="102"/>
      <c r="AO38" s="95"/>
      <c r="AP38" s="95"/>
      <c r="AQ38" s="95"/>
      <c r="AR38" s="95"/>
      <c r="AS38" s="95"/>
      <c r="AT38" s="95"/>
      <c r="AU38" s="95"/>
      <c r="AV38" s="96" t="str">
        <f aca="false">IF(AND(AP38&gt;0,J38&gt;0),J38*1000/(AP38*0.2),"")</f>
        <v/>
      </c>
      <c r="AW38" s="96" t="str">
        <f aca="false">IF(AND(AS38&gt;0,M38&gt;0),M38*1000/(AS38*0.3),"")</f>
        <v/>
      </c>
      <c r="AX38" s="96" t="str">
        <f aca="false">IF(AND(AO38&gt;0,O38&gt;0),O38*1000/(AO38*0.1),"")</f>
        <v/>
      </c>
      <c r="AY38" s="96" t="str">
        <f aca="false">IF(AND(AR38&gt;0,N38&gt;0),N38*1000/(AR38*0.25),"")</f>
        <v/>
      </c>
      <c r="AZ38" s="96" t="str">
        <f aca="false">IF(AND(AQ38&gt;0,Q38&gt;0),Q38*1000/(AQ38*1),"")</f>
        <v/>
      </c>
      <c r="BA38" s="97" t="n">
        <f aca="false">IFERROR(VLOOKUP($I38,'07_Settings'!$A$10:$F$14,6,FALSE()),0.25)</f>
        <v>0.45</v>
      </c>
      <c r="BB38" s="98" t="n">
        <v>1</v>
      </c>
      <c r="BC38" s="98" t="n">
        <v>1</v>
      </c>
      <c r="BD38" s="98" t="n">
        <v>1</v>
      </c>
      <c r="BE38" s="99" t="n">
        <f aca="false">IFERROR(ROUND($S38*BA38*BC38*BD38*BB38,0),0)</f>
        <v>5148</v>
      </c>
      <c r="BF38" s="55" t="str">
        <f aca="false">IF(COUNT(AO38:AU38)&gt;0,"estimated","pending")</f>
        <v>pending</v>
      </c>
    </row>
    <row r="39" customFormat="false" ht="16.5" hidden="false" customHeight="true" outlineLevel="0" collapsed="false">
      <c r="A39" s="102"/>
      <c r="B39" s="112" t="n">
        <f aca="false">IF($C39="","",COUNTA($C$5:C39))</f>
        <v>35</v>
      </c>
      <c r="C39" s="113" t="s">
        <v>447</v>
      </c>
      <c r="D39" s="114" t="s">
        <v>279</v>
      </c>
      <c r="E39" s="113" t="s">
        <v>379</v>
      </c>
      <c r="F39" s="113" t="s">
        <v>436</v>
      </c>
      <c r="G39" s="114" t="s">
        <v>448</v>
      </c>
      <c r="H39" s="114" t="n">
        <v>3</v>
      </c>
      <c r="I39" s="114" t="s">
        <v>114</v>
      </c>
      <c r="J39" s="115" t="n">
        <v>12100</v>
      </c>
      <c r="K39" s="115" t="n">
        <v>5100</v>
      </c>
      <c r="L39" s="115" t="n">
        <f aca="false">IF($C39="","",ROUND($J39*0.17,0))</f>
        <v>2057</v>
      </c>
      <c r="M39" s="115" t="n">
        <v>9450</v>
      </c>
      <c r="N39" s="115" t="n">
        <v>3850</v>
      </c>
      <c r="O39" s="115" t="n">
        <v>2400</v>
      </c>
      <c r="P39" s="115" t="n">
        <v>2400</v>
      </c>
      <c r="Q39" s="115" t="n">
        <v>17550</v>
      </c>
      <c r="R39" s="115" t="n">
        <v>7850</v>
      </c>
      <c r="S39" s="115" t="n">
        <f aca="false">IF($C39="","",ROUND($J39*2.2,0))</f>
        <v>26620</v>
      </c>
      <c r="T39" s="115" t="n">
        <v>4250</v>
      </c>
      <c r="U39" s="115" t="n">
        <v>3650</v>
      </c>
      <c r="V39" s="115" t="n">
        <v>2200</v>
      </c>
      <c r="W39" s="115" t="n">
        <v>2400</v>
      </c>
      <c r="X39" s="116" t="s">
        <v>236</v>
      </c>
      <c r="Y39" s="117" t="n">
        <v>0.75</v>
      </c>
      <c r="Z39" s="117" t="n">
        <v>1</v>
      </c>
      <c r="AA39" s="113" t="s">
        <v>449</v>
      </c>
      <c r="AB39" s="113" t="s">
        <v>450</v>
      </c>
      <c r="AC39" s="116"/>
      <c r="AD39" s="116" t="s">
        <v>451</v>
      </c>
      <c r="AE39" s="116" t="s">
        <v>452</v>
      </c>
      <c r="AF39" s="116"/>
      <c r="AG39" s="116"/>
      <c r="AH39" s="118"/>
      <c r="AI39" s="118"/>
      <c r="AJ39" s="118"/>
      <c r="AK39" s="118" t="s">
        <v>453</v>
      </c>
      <c r="AL39" s="118" t="s">
        <v>386</v>
      </c>
      <c r="AM39" s="103"/>
      <c r="AN39" s="102"/>
      <c r="AO39" s="104" t="n">
        <v>489</v>
      </c>
      <c r="AP39" s="95"/>
      <c r="AQ39" s="95"/>
      <c r="AR39" s="95"/>
      <c r="AS39" s="95"/>
      <c r="AT39" s="95"/>
      <c r="AU39" s="95"/>
      <c r="AV39" s="96" t="str">
        <f aca="false">IF(AND(AP39&gt;0,J39&gt;0),J39*1000/(AP39*0.2),"")</f>
        <v/>
      </c>
      <c r="AW39" s="96" t="str">
        <f aca="false">IF(AND(AS39&gt;0,M39&gt;0),M39*1000/(AS39*0.3),"")</f>
        <v/>
      </c>
      <c r="AX39" s="96" t="n">
        <f aca="false">IF(AND(AO39&gt;0,O39&gt;0),O39*1000/(AO39*0.1),"")</f>
        <v>49079.754601227</v>
      </c>
      <c r="AY39" s="96" t="str">
        <f aca="false">IF(AND(AR39&gt;0,N39&gt;0),N39*1000/(AR39*0.25),"")</f>
        <v/>
      </c>
      <c r="AZ39" s="96" t="str">
        <f aca="false">IF(AND(AQ39&gt;0,Q39&gt;0),Q39*1000/(AQ39*1),"")</f>
        <v/>
      </c>
      <c r="BA39" s="97" t="n">
        <f aca="false">IFERROR(VLOOKUP($I39,'07_Settings'!$A$10:$F$14,6,FALSE()),0.25)</f>
        <v>0.45</v>
      </c>
      <c r="BB39" s="98" t="n">
        <v>1</v>
      </c>
      <c r="BC39" s="98" t="n">
        <v>1</v>
      </c>
      <c r="BD39" s="98" t="n">
        <v>1</v>
      </c>
      <c r="BE39" s="99" t="n">
        <f aca="false">IFERROR(ROUND($S39*BA39*BC39*BD39*BB39,0),0)</f>
        <v>11979</v>
      </c>
      <c r="BF39" s="55" t="str">
        <f aca="false">IF(COUNT(AO39:AU39)&gt;0,"estimated","pending")</f>
        <v>estimated</v>
      </c>
    </row>
    <row r="40" customFormat="false" ht="16.5" hidden="false" customHeight="true" outlineLevel="0" collapsed="false">
      <c r="A40" s="100"/>
      <c r="B40" s="129" t="n">
        <f aca="false">IF($C40="","",COUNTA($C$5:C40))</f>
        <v>36</v>
      </c>
      <c r="C40" s="130" t="s">
        <v>454</v>
      </c>
      <c r="D40" s="131" t="s">
        <v>428</v>
      </c>
      <c r="E40" s="130" t="s">
        <v>379</v>
      </c>
      <c r="F40" s="130" t="s">
        <v>436</v>
      </c>
      <c r="G40" s="131" t="s">
        <v>416</v>
      </c>
      <c r="H40" s="131" t="n">
        <v>5</v>
      </c>
      <c r="I40" s="131" t="s">
        <v>114</v>
      </c>
      <c r="J40" s="132" t="n">
        <v>11000</v>
      </c>
      <c r="K40" s="132" t="n">
        <v>4600</v>
      </c>
      <c r="L40" s="133" t="n">
        <f aca="false">IF($C40="","",ROUND($J40*0.17,0))</f>
        <v>1870</v>
      </c>
      <c r="M40" s="132" t="n">
        <v>8600</v>
      </c>
      <c r="N40" s="132" t="n">
        <v>3500</v>
      </c>
      <c r="O40" s="132" t="n">
        <v>2200</v>
      </c>
      <c r="P40" s="132" t="n">
        <v>0</v>
      </c>
      <c r="Q40" s="132" t="n">
        <v>15950</v>
      </c>
      <c r="R40" s="132" t="n">
        <v>7150</v>
      </c>
      <c r="S40" s="133" t="n">
        <f aca="false">IF($C40="","",ROUND($J40*2.2,0))</f>
        <v>24200</v>
      </c>
      <c r="T40" s="132" t="n">
        <v>3850</v>
      </c>
      <c r="U40" s="132" t="n">
        <v>3300</v>
      </c>
      <c r="V40" s="132" t="n">
        <v>2000</v>
      </c>
      <c r="W40" s="132" t="n">
        <v>0</v>
      </c>
      <c r="X40" s="132" t="s">
        <v>246</v>
      </c>
      <c r="Y40" s="134" t="n">
        <v>0.2</v>
      </c>
      <c r="Z40" s="134" t="n">
        <v>1</v>
      </c>
      <c r="AA40" s="130" t="s">
        <v>455</v>
      </c>
      <c r="AB40" s="130" t="s">
        <v>456</v>
      </c>
      <c r="AC40" s="132" t="s">
        <v>457</v>
      </c>
      <c r="AD40" s="132" t="s">
        <v>458</v>
      </c>
      <c r="AE40" s="132" t="s">
        <v>459</v>
      </c>
      <c r="AF40" s="132"/>
      <c r="AG40" s="132"/>
      <c r="AH40" s="135"/>
      <c r="AI40" s="135"/>
      <c r="AJ40" s="135"/>
      <c r="AK40" s="135" t="s">
        <v>460</v>
      </c>
      <c r="AL40" s="135"/>
      <c r="AM40" s="101"/>
      <c r="AN40" s="100"/>
      <c r="AO40" s="104" t="n">
        <v>30500</v>
      </c>
      <c r="AP40" s="95"/>
      <c r="AQ40" s="104" t="n">
        <v>108539</v>
      </c>
      <c r="AR40" s="104" t="n">
        <v>138000</v>
      </c>
      <c r="AS40" s="95"/>
      <c r="AT40" s="95"/>
      <c r="AU40" s="95"/>
      <c r="AV40" s="96" t="str">
        <f aca="false">IF(AND(AP40&gt;0,J40&gt;0),J40*1000/(AP40*0.2),"")</f>
        <v/>
      </c>
      <c r="AW40" s="96" t="str">
        <f aca="false">IF(AND(AS40&gt;0,M40&gt;0),M40*1000/(AS40*0.3),"")</f>
        <v/>
      </c>
      <c r="AX40" s="96" t="n">
        <f aca="false">IF(AND(AO40&gt;0,O40&gt;0),O40*1000/(AO40*0.1),"")</f>
        <v>721.311475409836</v>
      </c>
      <c r="AY40" s="96" t="n">
        <f aca="false">IF(AND(AR40&gt;0,N40&gt;0),N40*1000/(AR40*0.25),"")</f>
        <v>101.449275362319</v>
      </c>
      <c r="AZ40" s="96" t="n">
        <f aca="false">IF(AND(AQ40&gt;0,Q40&gt;0),Q40*1000/(AQ40*1),"")</f>
        <v>146.951786915302</v>
      </c>
      <c r="BA40" s="97" t="n">
        <f aca="false">IFERROR(VLOOKUP($I40,'07_Settings'!$A$10:$F$14,6,FALSE()),0.25)</f>
        <v>0.45</v>
      </c>
      <c r="BB40" s="98" t="n">
        <v>1</v>
      </c>
      <c r="BC40" s="98" t="n">
        <v>1</v>
      </c>
      <c r="BD40" s="98" t="n">
        <v>1</v>
      </c>
      <c r="BE40" s="99" t="n">
        <f aca="false">IFERROR(ROUND($S40*BA40*BC40*BD40*BB40,0),0)</f>
        <v>10890</v>
      </c>
      <c r="BF40" s="55" t="str">
        <f aca="false">IF(COUNT(AO40:AU40)&gt;0,"estimated","pending")</f>
        <v>estimated</v>
      </c>
    </row>
    <row r="41" customFormat="false" ht="16.5" hidden="false" customHeight="true" outlineLevel="0" collapsed="false">
      <c r="A41" s="86"/>
      <c r="B41" s="121" t="n">
        <f aca="false">IF($C41="","",COUNTA($C$5:C41))</f>
        <v>37</v>
      </c>
      <c r="C41" s="122" t="s">
        <v>461</v>
      </c>
      <c r="D41" s="123" t="s">
        <v>29</v>
      </c>
      <c r="E41" s="122" t="s">
        <v>379</v>
      </c>
      <c r="F41" s="122" t="s">
        <v>436</v>
      </c>
      <c r="G41" s="123" t="s">
        <v>411</v>
      </c>
      <c r="H41" s="123" t="n">
        <v>2</v>
      </c>
      <c r="I41" s="123" t="s">
        <v>122</v>
      </c>
      <c r="J41" s="124" t="n">
        <v>0</v>
      </c>
      <c r="K41" s="124" t="n">
        <v>0</v>
      </c>
      <c r="L41" s="125" t="n">
        <f aca="false">IF($C41="","",ROUND($J41*0.17,0))</f>
        <v>0</v>
      </c>
      <c r="M41" s="124" t="n">
        <v>0</v>
      </c>
      <c r="N41" s="124" t="n">
        <v>0</v>
      </c>
      <c r="O41" s="124" t="n">
        <v>0</v>
      </c>
      <c r="P41" s="124" t="n">
        <v>0</v>
      </c>
      <c r="Q41" s="124" t="n">
        <v>0</v>
      </c>
      <c r="R41" s="124" t="n">
        <v>0</v>
      </c>
      <c r="S41" s="125" t="n">
        <f aca="false">IF($C41="","",ROUND($J41*2.2,0))</f>
        <v>0</v>
      </c>
      <c r="T41" s="124" t="n">
        <v>0</v>
      </c>
      <c r="U41" s="124" t="n">
        <v>0</v>
      </c>
      <c r="V41" s="124" t="n">
        <v>1200</v>
      </c>
      <c r="W41" s="124" t="n">
        <v>0</v>
      </c>
      <c r="X41" s="124" t="s">
        <v>290</v>
      </c>
      <c r="Y41" s="126" t="n">
        <v>0.2</v>
      </c>
      <c r="Z41" s="126" t="n">
        <v>1</v>
      </c>
      <c r="AA41" s="122" t="s">
        <v>462</v>
      </c>
      <c r="AB41" s="122" t="s">
        <v>463</v>
      </c>
      <c r="AC41" s="124" t="s">
        <v>464</v>
      </c>
      <c r="AD41" s="124"/>
      <c r="AE41" s="124"/>
      <c r="AF41" s="124"/>
      <c r="AG41" s="124"/>
      <c r="AH41" s="127"/>
      <c r="AI41" s="127"/>
      <c r="AJ41" s="127"/>
      <c r="AK41" s="127" t="s">
        <v>465</v>
      </c>
      <c r="AL41" s="127"/>
      <c r="AM41" s="128"/>
      <c r="AN41" s="86"/>
      <c r="AO41" s="95"/>
      <c r="AP41" s="95"/>
      <c r="AQ41" s="95"/>
      <c r="AR41" s="95"/>
      <c r="AS41" s="95"/>
      <c r="AT41" s="95"/>
      <c r="AU41" s="95"/>
      <c r="AV41" s="96" t="str">
        <f aca="false">IF(AND(AP41&gt;0,J41&gt;0),J41*1000/(AP41*0.2),"")</f>
        <v/>
      </c>
      <c r="AW41" s="96" t="str">
        <f aca="false">IF(AND(AS41&gt;0,M41&gt;0),M41*1000/(AS41*0.3),"")</f>
        <v/>
      </c>
      <c r="AX41" s="96" t="str">
        <f aca="false">IF(AND(AO41&gt;0,O41&gt;0),O41*1000/(AO41*0.1),"")</f>
        <v/>
      </c>
      <c r="AY41" s="96" t="str">
        <f aca="false">IF(AND(AR41&gt;0,N41&gt;0),N41*1000/(AR41*0.25),"")</f>
        <v/>
      </c>
      <c r="AZ41" s="96" t="str">
        <f aca="false">IF(AND(AQ41&gt;0,Q41&gt;0),Q41*1000/(AQ41*1),"")</f>
        <v/>
      </c>
      <c r="BA41" s="97" t="n">
        <f aca="false">IFERROR(VLOOKUP($I41,'07_Settings'!$A$10:$F$14,6,FALSE()),0.25)</f>
        <v>0.25</v>
      </c>
      <c r="BB41" s="98" t="n">
        <v>1</v>
      </c>
      <c r="BC41" s="98" t="n">
        <v>1</v>
      </c>
      <c r="BD41" s="98" t="n">
        <v>1</v>
      </c>
      <c r="BE41" s="99" t="n">
        <f aca="false">IFERROR(ROUND($S41*BA41*BC41*BD41*BB41,0),0)</f>
        <v>0</v>
      </c>
      <c r="BF41" s="55" t="str">
        <f aca="false">IF(COUNT(AO41:AU41)&gt;0,"estimated","pending")</f>
        <v>pending</v>
      </c>
    </row>
    <row r="42" customFormat="false" ht="16.5" hidden="false" customHeight="true" outlineLevel="0" collapsed="false">
      <c r="A42" s="102"/>
      <c r="B42" s="112" t="n">
        <f aca="false">IF($C42="","",COUNTA($C$5:C42))</f>
        <v>38</v>
      </c>
      <c r="C42" s="113" t="s">
        <v>466</v>
      </c>
      <c r="D42" s="114" t="s">
        <v>279</v>
      </c>
      <c r="E42" s="113" t="s">
        <v>379</v>
      </c>
      <c r="F42" s="113" t="s">
        <v>436</v>
      </c>
      <c r="G42" s="114" t="s">
        <v>467</v>
      </c>
      <c r="H42" s="114" t="n">
        <v>1</v>
      </c>
      <c r="I42" s="114" t="s">
        <v>118</v>
      </c>
      <c r="J42" s="115" t="n">
        <v>8750</v>
      </c>
      <c r="K42" s="115" t="n">
        <v>3000</v>
      </c>
      <c r="L42" s="115" t="n">
        <f aca="false">IF($C42="","",ROUND($J42*0.17,0))</f>
        <v>1488</v>
      </c>
      <c r="M42" s="115" t="n">
        <v>6000</v>
      </c>
      <c r="N42" s="115" t="n">
        <v>2500</v>
      </c>
      <c r="O42" s="115" t="n">
        <v>1200</v>
      </c>
      <c r="P42" s="115" t="n">
        <v>1200</v>
      </c>
      <c r="Q42" s="115" t="n">
        <v>9000</v>
      </c>
      <c r="R42" s="115" t="n">
        <v>4050</v>
      </c>
      <c r="S42" s="115" t="n">
        <f aca="false">IF($C42="","",ROUND($J42*2.2,0))</f>
        <v>19250</v>
      </c>
      <c r="T42" s="115" t="n">
        <v>2200</v>
      </c>
      <c r="U42" s="115" t="n">
        <v>1925</v>
      </c>
      <c r="V42" s="115" t="n">
        <v>1155</v>
      </c>
      <c r="W42" s="115" t="n">
        <v>2400</v>
      </c>
      <c r="X42" s="116" t="s">
        <v>310</v>
      </c>
      <c r="Y42" s="117" t="n">
        <v>0.75</v>
      </c>
      <c r="Z42" s="117" t="n">
        <v>1</v>
      </c>
      <c r="AA42" s="113" t="s">
        <v>468</v>
      </c>
      <c r="AB42" s="113" t="s">
        <v>469</v>
      </c>
      <c r="AC42" s="116"/>
      <c r="AD42" s="116"/>
      <c r="AE42" s="116"/>
      <c r="AF42" s="116"/>
      <c r="AG42" s="116"/>
      <c r="AH42" s="118"/>
      <c r="AI42" s="118"/>
      <c r="AJ42" s="118"/>
      <c r="AK42" s="120" t="n">
        <v>39722</v>
      </c>
      <c r="AL42" s="118" t="s">
        <v>386</v>
      </c>
      <c r="AM42" s="103"/>
      <c r="AN42" s="102"/>
      <c r="AO42" s="104" t="n">
        <v>1342</v>
      </c>
      <c r="AP42" s="95"/>
      <c r="AQ42" s="95"/>
      <c r="AR42" s="95"/>
      <c r="AS42" s="95"/>
      <c r="AT42" s="95"/>
      <c r="AU42" s="95"/>
      <c r="AV42" s="96" t="str">
        <f aca="false">IF(AND(AP42&gt;0,J42&gt;0),J42*1000/(AP42*0.2),"")</f>
        <v/>
      </c>
      <c r="AW42" s="96" t="str">
        <f aca="false">IF(AND(AS42&gt;0,M42&gt;0),M42*1000/(AS42*0.3),"")</f>
        <v/>
      </c>
      <c r="AX42" s="96" t="n">
        <f aca="false">IF(AND(AO42&gt;0,O42&gt;0),O42*1000/(AO42*0.1),"")</f>
        <v>8941.87779433681</v>
      </c>
      <c r="AY42" s="96" t="str">
        <f aca="false">IF(AND(AR42&gt;0,N42&gt;0),N42*1000/(AR42*0.25),"")</f>
        <v/>
      </c>
      <c r="AZ42" s="96" t="str">
        <f aca="false">IF(AND(AQ42&gt;0,Q42&gt;0),Q42*1000/(AQ42*1),"")</f>
        <v/>
      </c>
      <c r="BA42" s="97" t="n">
        <f aca="false">IFERROR(VLOOKUP($I42,'07_Settings'!$A$10:$F$14,6,FALSE()),0.25)</f>
        <v>0.35</v>
      </c>
      <c r="BB42" s="98" t="n">
        <v>1</v>
      </c>
      <c r="BC42" s="98" t="n">
        <v>1</v>
      </c>
      <c r="BD42" s="98" t="n">
        <v>1</v>
      </c>
      <c r="BE42" s="99" t="n">
        <f aca="false">IFERROR(ROUND($S42*BA42*BC42*BD42*BB42,0),0)</f>
        <v>6738</v>
      </c>
      <c r="BF42" s="55" t="str">
        <f aca="false">IF(COUNT(AO42:AU42)&gt;0,"estimated","pending")</f>
        <v>estimated</v>
      </c>
    </row>
    <row r="43" customFormat="false" ht="16.5" hidden="false" customHeight="true" outlineLevel="0" collapsed="false">
      <c r="A43" s="102"/>
      <c r="B43" s="112" t="n">
        <f aca="false">IF($C43="","",COUNTA($C$5:C43))</f>
        <v>39</v>
      </c>
      <c r="C43" s="113" t="s">
        <v>470</v>
      </c>
      <c r="D43" s="114" t="s">
        <v>279</v>
      </c>
      <c r="E43" s="113" t="s">
        <v>471</v>
      </c>
      <c r="F43" s="113" t="s">
        <v>471</v>
      </c>
      <c r="G43" s="114" t="s">
        <v>472</v>
      </c>
      <c r="H43" s="114" t="n">
        <v>2</v>
      </c>
      <c r="I43" s="114" t="s">
        <v>118</v>
      </c>
      <c r="J43" s="115" t="n">
        <v>5200</v>
      </c>
      <c r="K43" s="115" t="n">
        <v>2200</v>
      </c>
      <c r="L43" s="115" t="n">
        <f aca="false">IF($C43="","",ROUND($J43*0.17,0))</f>
        <v>884</v>
      </c>
      <c r="M43" s="115" t="n">
        <v>4050</v>
      </c>
      <c r="N43" s="115" t="n">
        <v>1650</v>
      </c>
      <c r="O43" s="115" t="n">
        <v>1050</v>
      </c>
      <c r="P43" s="115" t="n">
        <v>1050</v>
      </c>
      <c r="Q43" s="115" t="n">
        <v>7550</v>
      </c>
      <c r="R43" s="115" t="n">
        <v>3400</v>
      </c>
      <c r="S43" s="115" t="n">
        <f aca="false">IF($C43="","",ROUND($J43*2.2,0))</f>
        <v>11440</v>
      </c>
      <c r="T43" s="115" t="n">
        <v>1800</v>
      </c>
      <c r="U43" s="115" t="n">
        <v>1550</v>
      </c>
      <c r="V43" s="115" t="n">
        <v>950</v>
      </c>
      <c r="W43" s="115" t="n">
        <v>2400</v>
      </c>
      <c r="X43" s="116" t="s">
        <v>290</v>
      </c>
      <c r="Y43" s="117" t="n">
        <v>0.75</v>
      </c>
      <c r="Z43" s="117" t="n">
        <v>1</v>
      </c>
      <c r="AA43" s="113" t="s">
        <v>473</v>
      </c>
      <c r="AB43" s="113" t="s">
        <v>474</v>
      </c>
      <c r="AC43" s="116" t="s">
        <v>475</v>
      </c>
      <c r="AD43" s="116"/>
      <c r="AE43" s="116"/>
      <c r="AF43" s="116"/>
      <c r="AG43" s="116"/>
      <c r="AH43" s="118" t="s">
        <v>476</v>
      </c>
      <c r="AI43" s="118"/>
      <c r="AJ43" s="118"/>
      <c r="AK43" s="120" t="n">
        <v>36138</v>
      </c>
      <c r="AL43" s="118"/>
      <c r="AM43" s="103"/>
      <c r="AN43" s="102"/>
      <c r="AO43" s="104" t="n">
        <v>18300</v>
      </c>
      <c r="AP43" s="104" t="n">
        <v>9703</v>
      </c>
      <c r="AQ43" s="95"/>
      <c r="AR43" s="95"/>
      <c r="AS43" s="95"/>
      <c r="AT43" s="95"/>
      <c r="AU43" s="95"/>
      <c r="AV43" s="96" t="n">
        <f aca="false">IF(AND(AP43&gt;0,J43&gt;0),J43*1000/(AP43*0.2),"")</f>
        <v>2679.58363392765</v>
      </c>
      <c r="AW43" s="96" t="str">
        <f aca="false">IF(AND(AS43&gt;0,M43&gt;0),M43*1000/(AS43*0.3),"")</f>
        <v/>
      </c>
      <c r="AX43" s="96" t="n">
        <f aca="false">IF(AND(AO43&gt;0,O43&gt;0),O43*1000/(AO43*0.1),"")</f>
        <v>573.770491803279</v>
      </c>
      <c r="AY43" s="96" t="str">
        <f aca="false">IF(AND(AR43&gt;0,N43&gt;0),N43*1000/(AR43*0.25),"")</f>
        <v/>
      </c>
      <c r="AZ43" s="96" t="str">
        <f aca="false">IF(AND(AQ43&gt;0,Q43&gt;0),Q43*1000/(AQ43*1),"")</f>
        <v/>
      </c>
      <c r="BA43" s="97" t="n">
        <f aca="false">IFERROR(VLOOKUP($I43,'07_Settings'!$A$10:$F$14,6,FALSE()),0.25)</f>
        <v>0.35</v>
      </c>
      <c r="BB43" s="98" t="n">
        <v>1</v>
      </c>
      <c r="BC43" s="98" t="n">
        <v>1</v>
      </c>
      <c r="BD43" s="98" t="n">
        <v>1</v>
      </c>
      <c r="BE43" s="99" t="n">
        <f aca="false">IFERROR(ROUND($S43*BA43*BC43*BD43*BB43,0),0)</f>
        <v>4004</v>
      </c>
      <c r="BF43" s="55" t="str">
        <f aca="false">IF(COUNT(AO43:AU43)&gt;0,"estimated","pending")</f>
        <v>estimated</v>
      </c>
    </row>
    <row r="44" customFormat="false" ht="16.5" hidden="false" customHeight="true" outlineLevel="0" collapsed="false">
      <c r="A44" s="102"/>
      <c r="B44" s="112" t="n">
        <f aca="false">IF($C44="","",COUNTA($C$5:C44))</f>
        <v>40</v>
      </c>
      <c r="C44" s="113" t="s">
        <v>477</v>
      </c>
      <c r="D44" s="114" t="s">
        <v>279</v>
      </c>
      <c r="E44" s="113" t="s">
        <v>471</v>
      </c>
      <c r="F44" s="113" t="s">
        <v>471</v>
      </c>
      <c r="G44" s="114" t="s">
        <v>380</v>
      </c>
      <c r="H44" s="114" t="n">
        <v>2</v>
      </c>
      <c r="I44" s="114" t="s">
        <v>114</v>
      </c>
      <c r="J44" s="115" t="n">
        <v>11000</v>
      </c>
      <c r="K44" s="115" t="n">
        <v>4600</v>
      </c>
      <c r="L44" s="115" t="n">
        <f aca="false">IF($C44="","",ROUND($J44*0.17,0))</f>
        <v>1870</v>
      </c>
      <c r="M44" s="115" t="n">
        <v>8600</v>
      </c>
      <c r="N44" s="115" t="n">
        <v>3500</v>
      </c>
      <c r="O44" s="115" t="n">
        <v>2200</v>
      </c>
      <c r="P44" s="115" t="n">
        <v>2200</v>
      </c>
      <c r="Q44" s="115" t="n">
        <v>15950</v>
      </c>
      <c r="R44" s="115" t="n">
        <v>7150</v>
      </c>
      <c r="S44" s="115" t="n">
        <f aca="false">IF($C44="","",ROUND($J44*2.2,0))</f>
        <v>24200</v>
      </c>
      <c r="T44" s="115" t="n">
        <v>3850</v>
      </c>
      <c r="U44" s="115" t="n">
        <v>3300</v>
      </c>
      <c r="V44" s="115" t="n">
        <v>2000</v>
      </c>
      <c r="W44" s="115" t="n">
        <v>2400</v>
      </c>
      <c r="X44" s="116" t="s">
        <v>290</v>
      </c>
      <c r="Y44" s="117" t="n">
        <v>0.75</v>
      </c>
      <c r="Z44" s="117" t="n">
        <v>1</v>
      </c>
      <c r="AA44" s="113" t="s">
        <v>478</v>
      </c>
      <c r="AB44" s="113" t="s">
        <v>479</v>
      </c>
      <c r="AC44" s="116" t="s">
        <v>480</v>
      </c>
      <c r="AD44" s="116" t="s">
        <v>481</v>
      </c>
      <c r="AE44" s="116"/>
      <c r="AF44" s="116"/>
      <c r="AG44" s="116"/>
      <c r="AH44" s="118"/>
      <c r="AI44" s="118"/>
      <c r="AJ44" s="118"/>
      <c r="AK44" s="118" t="s">
        <v>482</v>
      </c>
      <c r="AL44" s="118"/>
      <c r="AM44" s="103"/>
      <c r="AN44" s="102"/>
      <c r="AO44" s="95"/>
      <c r="AP44" s="95"/>
      <c r="AQ44" s="95"/>
      <c r="AR44" s="95"/>
      <c r="AS44" s="95"/>
      <c r="AT44" s="95"/>
      <c r="AU44" s="95"/>
      <c r="AV44" s="96" t="str">
        <f aca="false">IF(AND(AP44&gt;0,J44&gt;0),J44*1000/(AP44*0.2),"")</f>
        <v/>
      </c>
      <c r="AW44" s="96" t="str">
        <f aca="false">IF(AND(AS44&gt;0,M44&gt;0),M44*1000/(AS44*0.3),"")</f>
        <v/>
      </c>
      <c r="AX44" s="96" t="str">
        <f aca="false">IF(AND(AO44&gt;0,O44&gt;0),O44*1000/(AO44*0.1),"")</f>
        <v/>
      </c>
      <c r="AY44" s="96" t="str">
        <f aca="false">IF(AND(AR44&gt;0,N44&gt;0),N44*1000/(AR44*0.25),"")</f>
        <v/>
      </c>
      <c r="AZ44" s="96" t="str">
        <f aca="false">IF(AND(AQ44&gt;0,Q44&gt;0),Q44*1000/(AQ44*1),"")</f>
        <v/>
      </c>
      <c r="BA44" s="97" t="n">
        <f aca="false">IFERROR(VLOOKUP($I44,'07_Settings'!$A$10:$F$14,6,FALSE()),0.25)</f>
        <v>0.45</v>
      </c>
      <c r="BB44" s="98" t="n">
        <v>1</v>
      </c>
      <c r="BC44" s="98" t="n">
        <v>1</v>
      </c>
      <c r="BD44" s="98" t="n">
        <v>1</v>
      </c>
      <c r="BE44" s="99" t="n">
        <f aca="false">IFERROR(ROUND($S44*BA44*BC44*BD44*BB44,0),0)</f>
        <v>10890</v>
      </c>
      <c r="BF44" s="55" t="str">
        <f aca="false">IF(COUNT(AO44:AU44)&gt;0,"estimated","pending")</f>
        <v>pending</v>
      </c>
    </row>
    <row r="45" customFormat="false" ht="16.5" hidden="false" customHeight="true" outlineLevel="0" collapsed="false">
      <c r="A45" s="102"/>
      <c r="B45" s="112" t="n">
        <f aca="false">IF($C45="","",COUNTA($C$5:C45))</f>
        <v>41</v>
      </c>
      <c r="C45" s="113" t="s">
        <v>483</v>
      </c>
      <c r="D45" s="114" t="s">
        <v>279</v>
      </c>
      <c r="E45" s="113" t="s">
        <v>471</v>
      </c>
      <c r="F45" s="113" t="s">
        <v>471</v>
      </c>
      <c r="G45" s="114" t="s">
        <v>484</v>
      </c>
      <c r="H45" s="114" t="n">
        <v>2</v>
      </c>
      <c r="I45" s="114" t="s">
        <v>114</v>
      </c>
      <c r="J45" s="115" t="n">
        <v>11000</v>
      </c>
      <c r="K45" s="115" t="n">
        <v>4600</v>
      </c>
      <c r="L45" s="115" t="n">
        <f aca="false">IF($C45="","",ROUND($J45*0.17,0))</f>
        <v>1870</v>
      </c>
      <c r="M45" s="115" t="n">
        <v>8600</v>
      </c>
      <c r="N45" s="115" t="n">
        <v>3500</v>
      </c>
      <c r="O45" s="115" t="n">
        <v>2200</v>
      </c>
      <c r="P45" s="115" t="n">
        <v>2200</v>
      </c>
      <c r="Q45" s="115" t="n">
        <v>15950</v>
      </c>
      <c r="R45" s="115" t="n">
        <v>7150</v>
      </c>
      <c r="S45" s="115" t="n">
        <f aca="false">IF($C45="","",ROUND($J45*2.2,0))</f>
        <v>24200</v>
      </c>
      <c r="T45" s="115" t="n">
        <v>3850</v>
      </c>
      <c r="U45" s="115" t="n">
        <v>3300</v>
      </c>
      <c r="V45" s="115" t="n">
        <v>2000</v>
      </c>
      <c r="W45" s="115" t="n">
        <v>2400</v>
      </c>
      <c r="X45" s="116" t="s">
        <v>290</v>
      </c>
      <c r="Y45" s="117" t="n">
        <v>0.75</v>
      </c>
      <c r="Z45" s="117" t="n">
        <v>1</v>
      </c>
      <c r="AA45" s="113" t="s">
        <v>485</v>
      </c>
      <c r="AB45" s="113" t="s">
        <v>486</v>
      </c>
      <c r="AC45" s="116" t="s">
        <v>487</v>
      </c>
      <c r="AD45" s="116" t="s">
        <v>488</v>
      </c>
      <c r="AE45" s="116"/>
      <c r="AF45" s="116"/>
      <c r="AG45" s="116"/>
      <c r="AH45" s="118"/>
      <c r="AI45" s="118"/>
      <c r="AJ45" s="118"/>
      <c r="AK45" s="120" t="n">
        <v>38416</v>
      </c>
      <c r="AL45" s="118"/>
      <c r="AM45" s="103"/>
      <c r="AN45" s="102"/>
      <c r="AO45" s="104" t="n">
        <v>19700</v>
      </c>
      <c r="AP45" s="104" t="n">
        <v>17000</v>
      </c>
      <c r="AQ45" s="95"/>
      <c r="AR45" s="95"/>
      <c r="AS45" s="95"/>
      <c r="AT45" s="95"/>
      <c r="AU45" s="95"/>
      <c r="AV45" s="96" t="n">
        <f aca="false">IF(AND(AP45&gt;0,J45&gt;0),J45*1000/(AP45*0.2),"")</f>
        <v>3235.29411764706</v>
      </c>
      <c r="AW45" s="96" t="str">
        <f aca="false">IF(AND(AS45&gt;0,M45&gt;0),M45*1000/(AS45*0.3),"")</f>
        <v/>
      </c>
      <c r="AX45" s="96" t="n">
        <f aca="false">IF(AND(AO45&gt;0,O45&gt;0),O45*1000/(AO45*0.1),"")</f>
        <v>1116.75126903553</v>
      </c>
      <c r="AY45" s="96" t="str">
        <f aca="false">IF(AND(AR45&gt;0,N45&gt;0),N45*1000/(AR45*0.25),"")</f>
        <v/>
      </c>
      <c r="AZ45" s="96" t="str">
        <f aca="false">IF(AND(AQ45&gt;0,Q45&gt;0),Q45*1000/(AQ45*1),"")</f>
        <v/>
      </c>
      <c r="BA45" s="97" t="n">
        <f aca="false">IFERROR(VLOOKUP($I45,'07_Settings'!$A$10:$F$14,6,FALSE()),0.25)</f>
        <v>0.45</v>
      </c>
      <c r="BB45" s="98" t="n">
        <v>1</v>
      </c>
      <c r="BC45" s="98" t="n">
        <v>1</v>
      </c>
      <c r="BD45" s="98" t="n">
        <v>1</v>
      </c>
      <c r="BE45" s="99" t="n">
        <f aca="false">IFERROR(ROUND($S45*BA45*BC45*BD45*BB45,0),0)</f>
        <v>10890</v>
      </c>
      <c r="BF45" s="55" t="str">
        <f aca="false">IF(COUNT(AO45:AU45)&gt;0,"estimated","pending")</f>
        <v>estimated</v>
      </c>
    </row>
    <row r="46" customFormat="false" ht="16.5" hidden="false" customHeight="true" outlineLevel="0" collapsed="false">
      <c r="A46" s="102"/>
      <c r="B46" s="112" t="n">
        <f aca="false">IF($C46="","",COUNTA($C$5:C46))</f>
        <v>42</v>
      </c>
      <c r="C46" s="113" t="s">
        <v>489</v>
      </c>
      <c r="D46" s="114" t="s">
        <v>279</v>
      </c>
      <c r="E46" s="113" t="s">
        <v>471</v>
      </c>
      <c r="F46" s="113" t="s">
        <v>471</v>
      </c>
      <c r="G46" s="114" t="s">
        <v>416</v>
      </c>
      <c r="H46" s="114" t="n">
        <v>3</v>
      </c>
      <c r="I46" s="114" t="s">
        <v>114</v>
      </c>
      <c r="J46" s="115" t="n">
        <v>12100</v>
      </c>
      <c r="K46" s="115" t="n">
        <v>5100</v>
      </c>
      <c r="L46" s="115" t="n">
        <f aca="false">IF($C46="","",ROUND($J46*0.17,0))</f>
        <v>2057</v>
      </c>
      <c r="M46" s="115" t="n">
        <v>9450</v>
      </c>
      <c r="N46" s="115" t="n">
        <v>3850</v>
      </c>
      <c r="O46" s="115" t="n">
        <v>2400</v>
      </c>
      <c r="P46" s="115" t="n">
        <v>2400</v>
      </c>
      <c r="Q46" s="115" t="n">
        <v>17550</v>
      </c>
      <c r="R46" s="115" t="n">
        <v>7850</v>
      </c>
      <c r="S46" s="115" t="n">
        <f aca="false">IF($C46="","",ROUND($J46*2.2,0))</f>
        <v>26620</v>
      </c>
      <c r="T46" s="115" t="n">
        <v>4250</v>
      </c>
      <c r="U46" s="115" t="n">
        <v>3650</v>
      </c>
      <c r="V46" s="115" t="n">
        <v>2200</v>
      </c>
      <c r="W46" s="115" t="n">
        <v>2400</v>
      </c>
      <c r="X46" s="116" t="s">
        <v>236</v>
      </c>
      <c r="Y46" s="117" t="n">
        <v>0.75</v>
      </c>
      <c r="Z46" s="117" t="n">
        <v>1</v>
      </c>
      <c r="AA46" s="113" t="s">
        <v>490</v>
      </c>
      <c r="AB46" s="113" t="s">
        <v>491</v>
      </c>
      <c r="AC46" s="113" t="s">
        <v>492</v>
      </c>
      <c r="AD46" s="113" t="s">
        <v>493</v>
      </c>
      <c r="AE46" s="113" t="s">
        <v>494</v>
      </c>
      <c r="AF46" s="113"/>
      <c r="AG46" s="113"/>
      <c r="AH46" s="118" t="s">
        <v>495</v>
      </c>
      <c r="AI46" s="118"/>
      <c r="AJ46" s="118"/>
      <c r="AK46" s="118" t="s">
        <v>496</v>
      </c>
      <c r="AL46" s="118"/>
      <c r="AM46" s="103"/>
      <c r="AN46" s="102"/>
      <c r="AO46" s="104" t="n">
        <v>149100</v>
      </c>
      <c r="AP46" s="95"/>
      <c r="AQ46" s="95"/>
      <c r="AR46" s="95"/>
      <c r="AS46" s="95"/>
      <c r="AT46" s="95"/>
      <c r="AU46" s="95"/>
      <c r="AV46" s="96" t="str">
        <f aca="false">IF(AND(AP46&gt;0,J46&gt;0),J46*1000/(AP46*0.2),"")</f>
        <v/>
      </c>
      <c r="AW46" s="96" t="str">
        <f aca="false">IF(AND(AS46&gt;0,M46&gt;0),M46*1000/(AS46*0.3),"")</f>
        <v/>
      </c>
      <c r="AX46" s="96" t="n">
        <f aca="false">IF(AND(AO46&gt;0,O46&gt;0),O46*1000/(AO46*0.1),"")</f>
        <v>160.965794768612</v>
      </c>
      <c r="AY46" s="96" t="str">
        <f aca="false">IF(AND(AR46&gt;0,N46&gt;0),N46*1000/(AR46*0.25),"")</f>
        <v/>
      </c>
      <c r="AZ46" s="96" t="str">
        <f aca="false">IF(AND(AQ46&gt;0,Q46&gt;0),Q46*1000/(AQ46*1),"")</f>
        <v/>
      </c>
      <c r="BA46" s="97" t="n">
        <f aca="false">IFERROR(VLOOKUP($I46,'07_Settings'!$A$10:$F$14,6,FALSE()),0.25)</f>
        <v>0.45</v>
      </c>
      <c r="BB46" s="98" t="n">
        <v>1</v>
      </c>
      <c r="BC46" s="98" t="n">
        <v>1</v>
      </c>
      <c r="BD46" s="98" t="n">
        <v>1</v>
      </c>
      <c r="BE46" s="99" t="n">
        <f aca="false">IFERROR(ROUND($S46*BA46*BC46*BD46*BB46,0),0)</f>
        <v>11979</v>
      </c>
      <c r="BF46" s="55" t="str">
        <f aca="false">IF(COUNT(AO46:AU46)&gt;0,"estimated","pending")</f>
        <v>estimated</v>
      </c>
    </row>
    <row r="47" customFormat="false" ht="16.5" hidden="false" customHeight="true" outlineLevel="0" collapsed="false">
      <c r="A47" s="102"/>
      <c r="B47" s="112" t="n">
        <f aca="false">IF($C47="","",COUNTA($C$5:C47))</f>
        <v>43</v>
      </c>
      <c r="C47" s="113" t="s">
        <v>497</v>
      </c>
      <c r="D47" s="114" t="s">
        <v>279</v>
      </c>
      <c r="E47" s="113" t="s">
        <v>471</v>
      </c>
      <c r="F47" s="113" t="s">
        <v>471</v>
      </c>
      <c r="G47" s="114" t="s">
        <v>498</v>
      </c>
      <c r="H47" s="114" t="n">
        <v>2</v>
      </c>
      <c r="I47" s="114" t="s">
        <v>118</v>
      </c>
      <c r="J47" s="115" t="n">
        <v>20700</v>
      </c>
      <c r="K47" s="115" t="n">
        <v>8700</v>
      </c>
      <c r="L47" s="115" t="n">
        <f aca="false">IF($C47="","",ROUND($J47*0.17,0))</f>
        <v>3519</v>
      </c>
      <c r="M47" s="115" t="n">
        <v>16150</v>
      </c>
      <c r="N47" s="115" t="n">
        <v>6600</v>
      </c>
      <c r="O47" s="115" t="n">
        <v>4150</v>
      </c>
      <c r="P47" s="115" t="n">
        <v>4150</v>
      </c>
      <c r="Q47" s="115" t="n">
        <v>30000</v>
      </c>
      <c r="R47" s="115" t="n">
        <v>13450</v>
      </c>
      <c r="S47" s="115" t="n">
        <f aca="false">IF($C47="","",ROUND($J47*2.2,0))</f>
        <v>45540</v>
      </c>
      <c r="T47" s="115" t="n">
        <v>7250</v>
      </c>
      <c r="U47" s="115" t="n">
        <v>6200</v>
      </c>
      <c r="V47" s="115" t="n">
        <v>3750</v>
      </c>
      <c r="W47" s="115" t="n">
        <v>2400</v>
      </c>
      <c r="X47" s="116" t="s">
        <v>290</v>
      </c>
      <c r="Y47" s="117" t="n">
        <v>0.75</v>
      </c>
      <c r="Z47" s="117" t="n">
        <v>1</v>
      </c>
      <c r="AA47" s="113" t="s">
        <v>499</v>
      </c>
      <c r="AB47" s="113" t="s">
        <v>500</v>
      </c>
      <c r="AC47" s="116"/>
      <c r="AD47" s="116" t="s">
        <v>501</v>
      </c>
      <c r="AE47" s="116"/>
      <c r="AF47" s="116"/>
      <c r="AG47" s="116"/>
      <c r="AH47" s="118"/>
      <c r="AI47" s="118"/>
      <c r="AJ47" s="118"/>
      <c r="AK47" s="120" t="n">
        <v>34763</v>
      </c>
      <c r="AL47" s="118"/>
      <c r="AM47" s="103"/>
      <c r="AN47" s="102"/>
      <c r="AO47" s="104" t="n">
        <v>18900</v>
      </c>
      <c r="AP47" s="95"/>
      <c r="AQ47" s="95"/>
      <c r="AR47" s="95"/>
      <c r="AS47" s="95"/>
      <c r="AT47" s="95"/>
      <c r="AU47" s="95"/>
      <c r="AV47" s="96" t="str">
        <f aca="false">IF(AND(AP47&gt;0,J47&gt;0),J47*1000/(AP47*0.2),"")</f>
        <v/>
      </c>
      <c r="AW47" s="96" t="str">
        <f aca="false">IF(AND(AS47&gt;0,M47&gt;0),M47*1000/(AS47*0.3),"")</f>
        <v/>
      </c>
      <c r="AX47" s="96" t="n">
        <f aca="false">IF(AND(AO47&gt;0,O47&gt;0),O47*1000/(AO47*0.1),"")</f>
        <v>2195.7671957672</v>
      </c>
      <c r="AY47" s="96" t="str">
        <f aca="false">IF(AND(AR47&gt;0,N47&gt;0),N47*1000/(AR47*0.25),"")</f>
        <v/>
      </c>
      <c r="AZ47" s="96" t="str">
        <f aca="false">IF(AND(AQ47&gt;0,Q47&gt;0),Q47*1000/(AQ47*1),"")</f>
        <v/>
      </c>
      <c r="BA47" s="97" t="n">
        <f aca="false">IFERROR(VLOOKUP($I47,'07_Settings'!$A$10:$F$14,6,FALSE()),0.25)</f>
        <v>0.35</v>
      </c>
      <c r="BB47" s="98" t="n">
        <v>1</v>
      </c>
      <c r="BC47" s="98" t="n">
        <v>1</v>
      </c>
      <c r="BD47" s="98" t="n">
        <v>1</v>
      </c>
      <c r="BE47" s="99" t="n">
        <f aca="false">IFERROR(ROUND($S47*BA47*BC47*BD47*BB47,0),0)</f>
        <v>15939</v>
      </c>
      <c r="BF47" s="55" t="str">
        <f aca="false">IF(COUNT(AO47:AU47)&gt;0,"estimated","pending")</f>
        <v>estimated</v>
      </c>
    </row>
    <row r="48" customFormat="false" ht="16.5" hidden="false" customHeight="true" outlineLevel="0" collapsed="false">
      <c r="A48" s="100"/>
      <c r="B48" s="129" t="n">
        <f aca="false">IF($C48="","",COUNTA($C$5:C48))</f>
        <v>44</v>
      </c>
      <c r="C48" s="130" t="s">
        <v>502</v>
      </c>
      <c r="D48" s="131" t="s">
        <v>428</v>
      </c>
      <c r="E48" s="130" t="s">
        <v>471</v>
      </c>
      <c r="F48" s="130" t="s">
        <v>471</v>
      </c>
      <c r="G48" s="131" t="s">
        <v>503</v>
      </c>
      <c r="H48" s="131" t="n">
        <v>2</v>
      </c>
      <c r="I48" s="131" t="s">
        <v>114</v>
      </c>
      <c r="J48" s="132" t="n">
        <v>11000</v>
      </c>
      <c r="K48" s="132" t="n">
        <v>4600</v>
      </c>
      <c r="L48" s="133" t="n">
        <f aca="false">IF($C48="","",ROUND($J48*0.17,0))</f>
        <v>1870</v>
      </c>
      <c r="M48" s="132" t="n">
        <v>8600</v>
      </c>
      <c r="N48" s="132" t="n">
        <v>3500</v>
      </c>
      <c r="O48" s="132" t="n">
        <v>2200</v>
      </c>
      <c r="P48" s="132" t="n">
        <v>0</v>
      </c>
      <c r="Q48" s="132" t="n">
        <v>15950</v>
      </c>
      <c r="R48" s="132" t="n">
        <v>7150</v>
      </c>
      <c r="S48" s="133" t="n">
        <f aca="false">IF($C48="","",ROUND($J48*2.2,0))</f>
        <v>24200</v>
      </c>
      <c r="T48" s="132" t="n">
        <v>3850</v>
      </c>
      <c r="U48" s="132" t="n">
        <v>3300</v>
      </c>
      <c r="V48" s="132" t="n">
        <v>2000</v>
      </c>
      <c r="W48" s="132" t="n">
        <v>0</v>
      </c>
      <c r="X48" s="132" t="s">
        <v>290</v>
      </c>
      <c r="Y48" s="134" t="n">
        <v>0.75</v>
      </c>
      <c r="Z48" s="134" t="n">
        <v>1</v>
      </c>
      <c r="AA48" s="130" t="s">
        <v>504</v>
      </c>
      <c r="AB48" s="130" t="s">
        <v>505</v>
      </c>
      <c r="AC48" s="132"/>
      <c r="AD48" s="132" t="s">
        <v>506</v>
      </c>
      <c r="AE48" s="132" t="s">
        <v>507</v>
      </c>
      <c r="AF48" s="132"/>
      <c r="AG48" s="132"/>
      <c r="AH48" s="135"/>
      <c r="AI48" s="135"/>
      <c r="AJ48" s="135"/>
      <c r="AK48" s="136" t="n">
        <v>33644</v>
      </c>
      <c r="AL48" s="135"/>
      <c r="AM48" s="101"/>
      <c r="AN48" s="100"/>
      <c r="AO48" s="104" t="n">
        <v>133283</v>
      </c>
      <c r="AP48" s="95"/>
      <c r="AQ48" s="95"/>
      <c r="AR48" s="95"/>
      <c r="AS48" s="95"/>
      <c r="AT48" s="95"/>
      <c r="AU48" s="95"/>
      <c r="AV48" s="96" t="str">
        <f aca="false">IF(AND(AP48&gt;0,J48&gt;0),J48*1000/(AP48*0.2),"")</f>
        <v/>
      </c>
      <c r="AW48" s="96" t="str">
        <f aca="false">IF(AND(AS48&gt;0,M48&gt;0),M48*1000/(AS48*0.3),"")</f>
        <v/>
      </c>
      <c r="AX48" s="96" t="n">
        <f aca="false">IF(AND(AO48&gt;0,O48&gt;0),O48*1000/(AO48*0.1),"")</f>
        <v>165.062311022411</v>
      </c>
      <c r="AY48" s="96" t="str">
        <f aca="false">IF(AND(AR48&gt;0,N48&gt;0),N48*1000/(AR48*0.25),"")</f>
        <v/>
      </c>
      <c r="AZ48" s="96" t="str">
        <f aca="false">IF(AND(AQ48&gt;0,Q48&gt;0),Q48*1000/(AQ48*1),"")</f>
        <v/>
      </c>
      <c r="BA48" s="97" t="n">
        <f aca="false">IFERROR(VLOOKUP($I48,'07_Settings'!$A$10:$F$14,6,FALSE()),0.25)</f>
        <v>0.45</v>
      </c>
      <c r="BB48" s="98" t="n">
        <v>1</v>
      </c>
      <c r="BC48" s="98" t="n">
        <v>1</v>
      </c>
      <c r="BD48" s="98" t="n">
        <v>1</v>
      </c>
      <c r="BE48" s="99" t="n">
        <f aca="false">IFERROR(ROUND($S48*BA48*BC48*BD48*BB48,0),0)</f>
        <v>10890</v>
      </c>
      <c r="BF48" s="55" t="str">
        <f aca="false">IF(COUNT(AO48:AU48)&gt;0,"estimated","pending")</f>
        <v>estimated</v>
      </c>
    </row>
    <row r="49" customFormat="false" ht="16.5" hidden="false" customHeight="true" outlineLevel="0" collapsed="false">
      <c r="A49" s="86"/>
      <c r="B49" s="121" t="n">
        <f aca="false">IF($C49="","",COUNTA($C$5:C49))</f>
        <v>45</v>
      </c>
      <c r="C49" s="122" t="s">
        <v>508</v>
      </c>
      <c r="D49" s="123" t="s">
        <v>29</v>
      </c>
      <c r="E49" s="122" t="s">
        <v>471</v>
      </c>
      <c r="F49" s="122" t="s">
        <v>471</v>
      </c>
      <c r="G49" s="123" t="s">
        <v>484</v>
      </c>
      <c r="H49" s="123" t="n">
        <v>3</v>
      </c>
      <c r="I49" s="123" t="s">
        <v>122</v>
      </c>
      <c r="J49" s="124" t="n">
        <v>0</v>
      </c>
      <c r="K49" s="124" t="n">
        <v>0</v>
      </c>
      <c r="L49" s="125" t="n">
        <f aca="false">IF($C49="","",ROUND($J49*0.17,0))</f>
        <v>0</v>
      </c>
      <c r="M49" s="124" t="n">
        <v>0</v>
      </c>
      <c r="N49" s="124" t="n">
        <v>0</v>
      </c>
      <c r="O49" s="124" t="n">
        <v>0</v>
      </c>
      <c r="P49" s="124" t="n">
        <v>0</v>
      </c>
      <c r="Q49" s="124" t="n">
        <v>0</v>
      </c>
      <c r="R49" s="124" t="n">
        <v>0</v>
      </c>
      <c r="S49" s="125" t="n">
        <f aca="false">IF($C49="","",ROUND($J49*2.2,0))</f>
        <v>0</v>
      </c>
      <c r="T49" s="124" t="n">
        <v>0</v>
      </c>
      <c r="U49" s="124" t="n">
        <v>0</v>
      </c>
      <c r="V49" s="124" t="n">
        <v>1200</v>
      </c>
      <c r="W49" s="124" t="n">
        <v>0</v>
      </c>
      <c r="X49" s="124" t="s">
        <v>236</v>
      </c>
      <c r="Y49" s="126" t="n">
        <v>0.5</v>
      </c>
      <c r="Z49" s="126" t="n">
        <v>1</v>
      </c>
      <c r="AA49" s="122" t="s">
        <v>509</v>
      </c>
      <c r="AB49" s="122" t="s">
        <v>510</v>
      </c>
      <c r="AC49" s="124"/>
      <c r="AD49" s="124" t="s">
        <v>511</v>
      </c>
      <c r="AE49" s="124"/>
      <c r="AF49" s="124"/>
      <c r="AG49" s="124"/>
      <c r="AH49" s="127" t="s">
        <v>512</v>
      </c>
      <c r="AI49" s="127"/>
      <c r="AJ49" s="127"/>
      <c r="AK49" s="137" t="n">
        <v>35228</v>
      </c>
      <c r="AL49" s="127"/>
      <c r="AM49" s="128"/>
      <c r="AN49" s="86"/>
      <c r="AO49" s="104" t="n">
        <v>861</v>
      </c>
      <c r="AP49" s="95"/>
      <c r="AQ49" s="95"/>
      <c r="AR49" s="95"/>
      <c r="AS49" s="95"/>
      <c r="AT49" s="95"/>
      <c r="AU49" s="95"/>
      <c r="AV49" s="96" t="str">
        <f aca="false">IF(AND(AP49&gt;0,J49&gt;0),J49*1000/(AP49*0.2),"")</f>
        <v/>
      </c>
      <c r="AW49" s="96" t="str">
        <f aca="false">IF(AND(AS49&gt;0,M49&gt;0),M49*1000/(AS49*0.3),"")</f>
        <v/>
      </c>
      <c r="AX49" s="96" t="str">
        <f aca="false">IF(AND(AO49&gt;0,O49&gt;0),O49*1000/(AO49*0.1),"")</f>
        <v/>
      </c>
      <c r="AY49" s="96" t="str">
        <f aca="false">IF(AND(AR49&gt;0,N49&gt;0),N49*1000/(AR49*0.25),"")</f>
        <v/>
      </c>
      <c r="AZ49" s="96" t="str">
        <f aca="false">IF(AND(AQ49&gt;0,Q49&gt;0),Q49*1000/(AQ49*1),"")</f>
        <v/>
      </c>
      <c r="BA49" s="97" t="n">
        <f aca="false">IFERROR(VLOOKUP($I49,'07_Settings'!$A$10:$F$14,6,FALSE()),0.25)</f>
        <v>0.25</v>
      </c>
      <c r="BB49" s="98" t="n">
        <v>1</v>
      </c>
      <c r="BC49" s="98" t="n">
        <v>1</v>
      </c>
      <c r="BD49" s="98" t="n">
        <v>1</v>
      </c>
      <c r="BE49" s="99" t="n">
        <f aca="false">IFERROR(ROUND($S49*BA49*BC49*BD49*BB49,0),0)</f>
        <v>0</v>
      </c>
      <c r="BF49" s="55" t="str">
        <f aca="false">IF(COUNT(AO49:AU49)&gt;0,"estimated","pending")</f>
        <v>estimated</v>
      </c>
    </row>
    <row r="50" customFormat="false" ht="16.5" hidden="false" customHeight="true" outlineLevel="0" collapsed="false">
      <c r="A50" s="105"/>
      <c r="B50" s="138" t="n">
        <f aca="false">IF($C50="","",COUNTA($C$5:C50))</f>
        <v>46</v>
      </c>
      <c r="C50" s="139" t="s">
        <v>513</v>
      </c>
      <c r="D50" s="140" t="s">
        <v>31</v>
      </c>
      <c r="E50" s="139" t="s">
        <v>471</v>
      </c>
      <c r="F50" s="139" t="s">
        <v>471</v>
      </c>
      <c r="G50" s="140" t="s">
        <v>514</v>
      </c>
      <c r="H50" s="140" t="n">
        <v>1</v>
      </c>
      <c r="I50" s="140" t="s">
        <v>122</v>
      </c>
      <c r="J50" s="141" t="n">
        <v>0</v>
      </c>
      <c r="K50" s="141" t="n">
        <v>0</v>
      </c>
      <c r="L50" s="141" t="n">
        <f aca="false">IF($C50="","",ROUND($J50*0.17,0))</f>
        <v>0</v>
      </c>
      <c r="M50" s="141" t="n">
        <v>0</v>
      </c>
      <c r="N50" s="141" t="n">
        <v>0</v>
      </c>
      <c r="O50" s="141" t="n">
        <v>0</v>
      </c>
      <c r="P50" s="141" t="n">
        <v>0</v>
      </c>
      <c r="Q50" s="141" t="n">
        <v>0</v>
      </c>
      <c r="R50" s="141" t="n">
        <v>0</v>
      </c>
      <c r="S50" s="142" t="n">
        <f aca="false">IF($C50="","",ROUND($J50*2.2,0))</f>
        <v>0</v>
      </c>
      <c r="T50" s="141" t="n">
        <v>0</v>
      </c>
      <c r="U50" s="141" t="n">
        <v>0</v>
      </c>
      <c r="V50" s="141" t="n">
        <v>600</v>
      </c>
      <c r="W50" s="141" t="n">
        <v>0</v>
      </c>
      <c r="X50" s="141" t="s">
        <v>310</v>
      </c>
      <c r="Y50" s="143" t="n">
        <v>0.5</v>
      </c>
      <c r="Z50" s="143" t="n">
        <v>1</v>
      </c>
      <c r="AA50" s="139" t="s">
        <v>515</v>
      </c>
      <c r="AB50" s="139" t="s">
        <v>516</v>
      </c>
      <c r="AC50" s="141"/>
      <c r="AD50" s="141"/>
      <c r="AE50" s="141"/>
      <c r="AF50" s="141"/>
      <c r="AG50" s="141"/>
      <c r="AH50" s="144"/>
      <c r="AI50" s="144"/>
      <c r="AJ50" s="144"/>
      <c r="AK50" s="144" t="s">
        <v>517</v>
      </c>
      <c r="AL50" s="144"/>
      <c r="AM50" s="106"/>
      <c r="AN50" s="105"/>
      <c r="AO50" s="104" t="n">
        <v>1596</v>
      </c>
      <c r="AP50" s="95"/>
      <c r="AQ50" s="95"/>
      <c r="AR50" s="95"/>
      <c r="AS50" s="95"/>
      <c r="AT50" s="95"/>
      <c r="AU50" s="95"/>
      <c r="AV50" s="96" t="str">
        <f aca="false">IF(AND(AP50&gt;0,J50&gt;0),J50*1000/(AP50*0.2),"")</f>
        <v/>
      </c>
      <c r="AW50" s="96" t="str">
        <f aca="false">IF(AND(AS50&gt;0,M50&gt;0),M50*1000/(AS50*0.3),"")</f>
        <v/>
      </c>
      <c r="AX50" s="96" t="str">
        <f aca="false">IF(AND(AO50&gt;0,O50&gt;0),O50*1000/(AO50*0.1),"")</f>
        <v/>
      </c>
      <c r="AY50" s="96" t="str">
        <f aca="false">IF(AND(AR50&gt;0,N50&gt;0),N50*1000/(AR50*0.25),"")</f>
        <v/>
      </c>
      <c r="AZ50" s="96" t="str">
        <f aca="false">IF(AND(AQ50&gt;0,Q50&gt;0),Q50*1000/(AQ50*1),"")</f>
        <v/>
      </c>
      <c r="BA50" s="97" t="n">
        <f aca="false">IFERROR(VLOOKUP($I50,'07_Settings'!$A$10:$F$14,6,FALSE()),0.25)</f>
        <v>0.25</v>
      </c>
      <c r="BB50" s="98" t="n">
        <v>1</v>
      </c>
      <c r="BC50" s="98" t="n">
        <v>1</v>
      </c>
      <c r="BD50" s="98" t="n">
        <v>1</v>
      </c>
      <c r="BE50" s="99" t="n">
        <f aca="false">IFERROR(ROUND($S50*BA50*BC50*BD50*BB50,0),0)</f>
        <v>0</v>
      </c>
      <c r="BF50" s="55" t="str">
        <f aca="false">IF(COUNT(AO50:AU50)&gt;0,"estimated","pending")</f>
        <v>estimated</v>
      </c>
    </row>
    <row r="51" customFormat="false" ht="16.5" hidden="false" customHeight="true" outlineLevel="0" collapsed="false">
      <c r="A51" s="102"/>
      <c r="B51" s="112" t="n">
        <f aca="false">IF($C51="","",COUNTA($C$5:C51))</f>
        <v>47</v>
      </c>
      <c r="C51" s="113" t="s">
        <v>518</v>
      </c>
      <c r="D51" s="114" t="s">
        <v>279</v>
      </c>
      <c r="E51" s="113" t="s">
        <v>519</v>
      </c>
      <c r="F51" s="113" t="s">
        <v>520</v>
      </c>
      <c r="G51" s="114" t="s">
        <v>210</v>
      </c>
      <c r="H51" s="114" t="n">
        <v>2</v>
      </c>
      <c r="I51" s="114" t="s">
        <v>114</v>
      </c>
      <c r="J51" s="115" t="n">
        <v>11250</v>
      </c>
      <c r="K51" s="115" t="n">
        <v>4500</v>
      </c>
      <c r="L51" s="115" t="n">
        <f aca="false">IF($C51="","",ROUND($J51*0.17,0))</f>
        <v>1913</v>
      </c>
      <c r="M51" s="115" t="n">
        <v>8000</v>
      </c>
      <c r="N51" s="115" t="n">
        <v>3500</v>
      </c>
      <c r="O51" s="115" t="n">
        <v>2000</v>
      </c>
      <c r="P51" s="115" t="n">
        <v>2000</v>
      </c>
      <c r="Q51" s="115" t="n">
        <v>13500</v>
      </c>
      <c r="R51" s="115" t="n">
        <v>6075</v>
      </c>
      <c r="S51" s="115" t="n">
        <f aca="false">IF($C51="","",ROUND($J51*2.2,0))</f>
        <v>24750</v>
      </c>
      <c r="T51" s="115" t="n">
        <v>4638</v>
      </c>
      <c r="U51" s="115" t="n">
        <v>4063</v>
      </c>
      <c r="V51" s="115" t="n">
        <v>2438</v>
      </c>
      <c r="W51" s="115" t="n">
        <v>2400</v>
      </c>
      <c r="X51" s="116" t="s">
        <v>290</v>
      </c>
      <c r="Y51" s="117" t="n">
        <v>0.3</v>
      </c>
      <c r="Z51" s="117" t="n">
        <v>1</v>
      </c>
      <c r="AA51" s="113" t="s">
        <v>521</v>
      </c>
      <c r="AB51" s="113" t="s">
        <v>522</v>
      </c>
      <c r="AC51" s="116"/>
      <c r="AD51" s="116" t="s">
        <v>523</v>
      </c>
      <c r="AE51" s="116"/>
      <c r="AF51" s="116"/>
      <c r="AG51" s="116"/>
      <c r="AH51" s="118"/>
      <c r="AI51" s="118"/>
      <c r="AJ51" s="118"/>
      <c r="AK51" s="118" t="s">
        <v>524</v>
      </c>
      <c r="AL51" s="118"/>
      <c r="AM51" s="103"/>
      <c r="AN51" s="102"/>
      <c r="AO51" s="95"/>
      <c r="AP51" s="95"/>
      <c r="AQ51" s="95"/>
      <c r="AR51" s="95"/>
      <c r="AS51" s="95"/>
      <c r="AT51" s="95"/>
      <c r="AU51" s="95"/>
      <c r="AV51" s="96" t="str">
        <f aca="false">IF(AND(AP51&gt;0,J51&gt;0),J51*1000/(AP51*0.2),"")</f>
        <v/>
      </c>
      <c r="AW51" s="96" t="str">
        <f aca="false">IF(AND(AS51&gt;0,M51&gt;0),M51*1000/(AS51*0.3),"")</f>
        <v/>
      </c>
      <c r="AX51" s="96" t="str">
        <f aca="false">IF(AND(AO51&gt;0,O51&gt;0),O51*1000/(AO51*0.1),"")</f>
        <v/>
      </c>
      <c r="AY51" s="96" t="str">
        <f aca="false">IF(AND(AR51&gt;0,N51&gt;0),N51*1000/(AR51*0.25),"")</f>
        <v/>
      </c>
      <c r="AZ51" s="96" t="str">
        <f aca="false">IF(AND(AQ51&gt;0,Q51&gt;0),Q51*1000/(AQ51*1),"")</f>
        <v/>
      </c>
      <c r="BA51" s="97" t="n">
        <f aca="false">IFERROR(VLOOKUP($I51,'07_Settings'!$A$10:$F$14,6,FALSE()),0.25)</f>
        <v>0.45</v>
      </c>
      <c r="BB51" s="98" t="n">
        <v>1</v>
      </c>
      <c r="BC51" s="98" t="n">
        <v>1</v>
      </c>
      <c r="BD51" s="98" t="n">
        <v>1</v>
      </c>
      <c r="BE51" s="99" t="n">
        <f aca="false">IFERROR(ROUND($S51*BA51*BC51*BD51*BB51,0),0)</f>
        <v>11138</v>
      </c>
      <c r="BF51" s="55" t="str">
        <f aca="false">IF(COUNT(AO51:AU51)&gt;0,"estimated","pending")</f>
        <v>pending</v>
      </c>
    </row>
    <row r="52" customFormat="false" ht="16.5" hidden="false" customHeight="true" outlineLevel="0" collapsed="false">
      <c r="A52" s="100"/>
      <c r="B52" s="129" t="n">
        <f aca="false">IF($C52="","",COUNTA($C$5:C52))</f>
        <v>48</v>
      </c>
      <c r="C52" s="130" t="s">
        <v>525</v>
      </c>
      <c r="D52" s="131" t="s">
        <v>526</v>
      </c>
      <c r="E52" s="130" t="s">
        <v>519</v>
      </c>
      <c r="F52" s="130" t="s">
        <v>520</v>
      </c>
      <c r="G52" s="131" t="s">
        <v>210</v>
      </c>
      <c r="H52" s="131" t="n">
        <v>1</v>
      </c>
      <c r="I52" s="131" t="s">
        <v>122</v>
      </c>
      <c r="J52" s="132" t="n">
        <v>12100</v>
      </c>
      <c r="K52" s="132" t="n">
        <v>5100</v>
      </c>
      <c r="L52" s="133" t="n">
        <f aca="false">IF($C52="","",ROUND($J52*0.17,0))</f>
        <v>2057</v>
      </c>
      <c r="M52" s="132" t="n">
        <v>9450</v>
      </c>
      <c r="N52" s="132" t="n">
        <v>3850</v>
      </c>
      <c r="O52" s="132" t="n">
        <v>2400</v>
      </c>
      <c r="P52" s="132" t="n">
        <v>0</v>
      </c>
      <c r="Q52" s="132" t="n">
        <v>17550</v>
      </c>
      <c r="R52" s="132" t="n">
        <v>7850</v>
      </c>
      <c r="S52" s="133" t="n">
        <f aca="false">IF($C52="","",ROUND($J52*2.2,0))</f>
        <v>26620</v>
      </c>
      <c r="T52" s="132" t="n">
        <v>4250</v>
      </c>
      <c r="U52" s="132" t="n">
        <v>3650</v>
      </c>
      <c r="V52" s="132" t="n">
        <v>2200</v>
      </c>
      <c r="W52" s="132" t="n">
        <v>0</v>
      </c>
      <c r="X52" s="132" t="s">
        <v>310</v>
      </c>
      <c r="Y52" s="134" t="n">
        <v>0.3</v>
      </c>
      <c r="Z52" s="134" t="n">
        <v>1</v>
      </c>
      <c r="AA52" s="130" t="s">
        <v>527</v>
      </c>
      <c r="AB52" s="130" t="s">
        <v>528</v>
      </c>
      <c r="AC52" s="132"/>
      <c r="AD52" s="132"/>
      <c r="AE52" s="132"/>
      <c r="AF52" s="132"/>
      <c r="AG52" s="132"/>
      <c r="AH52" s="135"/>
      <c r="AI52" s="135"/>
      <c r="AJ52" s="135"/>
      <c r="AK52" s="135" t="s">
        <v>529</v>
      </c>
      <c r="AL52" s="135"/>
      <c r="AM52" s="101"/>
      <c r="AN52" s="100"/>
      <c r="AO52" s="95"/>
      <c r="AP52" s="95"/>
      <c r="AQ52" s="95"/>
      <c r="AR52" s="95"/>
      <c r="AS52" s="95"/>
      <c r="AT52" s="95"/>
      <c r="AU52" s="95"/>
      <c r="AV52" s="96" t="str">
        <f aca="false">IF(AND(AP52&gt;0,J52&gt;0),J52*1000/(AP52*0.2),"")</f>
        <v/>
      </c>
      <c r="AW52" s="96" t="str">
        <f aca="false">IF(AND(AS52&gt;0,M52&gt;0),M52*1000/(AS52*0.3),"")</f>
        <v/>
      </c>
      <c r="AX52" s="96" t="str">
        <f aca="false">IF(AND(AO52&gt;0,O52&gt;0),O52*1000/(AO52*0.1),"")</f>
        <v/>
      </c>
      <c r="AY52" s="96" t="str">
        <f aca="false">IF(AND(AR52&gt;0,N52&gt;0),N52*1000/(AR52*0.25),"")</f>
        <v/>
      </c>
      <c r="AZ52" s="96" t="str">
        <f aca="false">IF(AND(AQ52&gt;0,Q52&gt;0),Q52*1000/(AQ52*1),"")</f>
        <v/>
      </c>
      <c r="BA52" s="97" t="n">
        <f aca="false">IFERROR(VLOOKUP($I52,'07_Settings'!$A$10:$F$14,6,FALSE()),0.25)</f>
        <v>0.25</v>
      </c>
      <c r="BB52" s="98" t="n">
        <v>1</v>
      </c>
      <c r="BC52" s="98" t="n">
        <v>1</v>
      </c>
      <c r="BD52" s="98" t="n">
        <v>1</v>
      </c>
      <c r="BE52" s="99" t="n">
        <f aca="false">IFERROR(ROUND($S52*BA52*BC52*BD52*BB52,0),0)</f>
        <v>6655</v>
      </c>
      <c r="BF52" s="55" t="str">
        <f aca="false">IF(COUNT(AO52:AU52)&gt;0,"estimated","pending")</f>
        <v>pending</v>
      </c>
    </row>
    <row r="53" customFormat="false" ht="16.5" hidden="false" customHeight="true" outlineLevel="0" collapsed="false">
      <c r="A53" s="100"/>
      <c r="B53" s="129" t="n">
        <f aca="false">IF($C53="","",COUNTA($C$5:C53))</f>
        <v>49</v>
      </c>
      <c r="C53" s="130" t="s">
        <v>530</v>
      </c>
      <c r="D53" s="131" t="s">
        <v>526</v>
      </c>
      <c r="E53" s="130" t="s">
        <v>519</v>
      </c>
      <c r="F53" s="130" t="s">
        <v>520</v>
      </c>
      <c r="G53" s="131" t="s">
        <v>531</v>
      </c>
      <c r="H53" s="131" t="n">
        <v>4</v>
      </c>
      <c r="I53" s="131" t="s">
        <v>122</v>
      </c>
      <c r="J53" s="132" t="n">
        <v>0</v>
      </c>
      <c r="K53" s="132" t="n">
        <v>0</v>
      </c>
      <c r="L53" s="133" t="n">
        <f aca="false">IF($C53="","",ROUND($J53*0.17,0))</f>
        <v>0</v>
      </c>
      <c r="M53" s="132" t="n">
        <v>0</v>
      </c>
      <c r="N53" s="132" t="n">
        <v>0</v>
      </c>
      <c r="O53" s="132" t="n">
        <v>0</v>
      </c>
      <c r="P53" s="132" t="n">
        <v>0</v>
      </c>
      <c r="Q53" s="132" t="n">
        <v>0</v>
      </c>
      <c r="R53" s="132" t="n">
        <v>0</v>
      </c>
      <c r="S53" s="133" t="n">
        <f aca="false">IF($C53="","",ROUND($J53*2.2,0))</f>
        <v>0</v>
      </c>
      <c r="T53" s="132" t="n">
        <v>0</v>
      </c>
      <c r="U53" s="132" t="n">
        <v>0</v>
      </c>
      <c r="V53" s="132" t="n">
        <v>2000</v>
      </c>
      <c r="W53" s="132" t="n">
        <v>0</v>
      </c>
      <c r="X53" s="132" t="s">
        <v>222</v>
      </c>
      <c r="Y53" s="134" t="n">
        <v>0.3</v>
      </c>
      <c r="Z53" s="134" t="n">
        <v>1</v>
      </c>
      <c r="AA53" s="130" t="s">
        <v>532</v>
      </c>
      <c r="AB53" s="130" t="s">
        <v>533</v>
      </c>
      <c r="AC53" s="130" t="s">
        <v>534</v>
      </c>
      <c r="AD53" s="130" t="s">
        <v>535</v>
      </c>
      <c r="AE53" s="130" t="s">
        <v>536</v>
      </c>
      <c r="AF53" s="130" t="s">
        <v>537</v>
      </c>
      <c r="AG53" s="130"/>
      <c r="AH53" s="135"/>
      <c r="AI53" s="135"/>
      <c r="AJ53" s="135"/>
      <c r="AK53" s="135" t="s">
        <v>538</v>
      </c>
      <c r="AL53" s="135"/>
      <c r="AM53" s="101"/>
      <c r="AN53" s="100"/>
      <c r="AO53" s="95"/>
      <c r="AP53" s="95"/>
      <c r="AQ53" s="95"/>
      <c r="AR53" s="95"/>
      <c r="AS53" s="95"/>
      <c r="AT53" s="95"/>
      <c r="AU53" s="95"/>
      <c r="AV53" s="96" t="str">
        <f aca="false">IF(AND(AP53&gt;0,J53&gt;0),J53*1000/(AP53*0.2),"")</f>
        <v/>
      </c>
      <c r="AW53" s="96" t="str">
        <f aca="false">IF(AND(AS53&gt;0,M53&gt;0),M53*1000/(AS53*0.3),"")</f>
        <v/>
      </c>
      <c r="AX53" s="96" t="str">
        <f aca="false">IF(AND(AO53&gt;0,O53&gt;0),O53*1000/(AO53*0.1),"")</f>
        <v/>
      </c>
      <c r="AY53" s="96" t="str">
        <f aca="false">IF(AND(AR53&gt;0,N53&gt;0),N53*1000/(AR53*0.25),"")</f>
        <v/>
      </c>
      <c r="AZ53" s="96" t="str">
        <f aca="false">IF(AND(AQ53&gt;0,Q53&gt;0),Q53*1000/(AQ53*1),"")</f>
        <v/>
      </c>
      <c r="BA53" s="97" t="n">
        <f aca="false">IFERROR(VLOOKUP($I53,'07_Settings'!$A$10:$F$14,6,FALSE()),0.25)</f>
        <v>0.25</v>
      </c>
      <c r="BB53" s="98" t="n">
        <v>1</v>
      </c>
      <c r="BC53" s="98" t="n">
        <v>1</v>
      </c>
      <c r="BD53" s="98" t="n">
        <v>1</v>
      </c>
      <c r="BE53" s="99" t="n">
        <f aca="false">IFERROR(ROUND($S53*BA53*BC53*BD53*BB53,0),0)</f>
        <v>0</v>
      </c>
      <c r="BF53" s="55" t="str">
        <f aca="false">IF(COUNT(AO53:AU53)&gt;0,"estimated","pending")</f>
        <v>pending</v>
      </c>
    </row>
    <row r="54" customFormat="false" ht="16.5" hidden="false" customHeight="true" outlineLevel="0" collapsed="false">
      <c r="A54" s="102"/>
      <c r="B54" s="112" t="n">
        <f aca="false">IF($C54="","",COUNTA($C$5:C54))</f>
        <v>50</v>
      </c>
      <c r="C54" s="113" t="s">
        <v>539</v>
      </c>
      <c r="D54" s="114" t="s">
        <v>279</v>
      </c>
      <c r="E54" s="113" t="s">
        <v>519</v>
      </c>
      <c r="F54" s="113" t="s">
        <v>520</v>
      </c>
      <c r="G54" s="114" t="s">
        <v>210</v>
      </c>
      <c r="H54" s="114" t="n">
        <v>1</v>
      </c>
      <c r="I54" s="114" t="s">
        <v>110</v>
      </c>
      <c r="J54" s="115" t="n">
        <v>11250</v>
      </c>
      <c r="K54" s="115" t="n">
        <v>4500</v>
      </c>
      <c r="L54" s="115" t="n">
        <f aca="false">IF($C54="","",ROUND($J54*0.17,0))</f>
        <v>1913</v>
      </c>
      <c r="M54" s="115" t="n">
        <v>8000</v>
      </c>
      <c r="N54" s="115" t="n">
        <v>3500</v>
      </c>
      <c r="O54" s="115" t="n">
        <v>2000</v>
      </c>
      <c r="P54" s="115" t="n">
        <v>2000</v>
      </c>
      <c r="Q54" s="115" t="n">
        <v>13500</v>
      </c>
      <c r="R54" s="115" t="n">
        <v>6075</v>
      </c>
      <c r="S54" s="115" t="n">
        <f aca="false">IF($C54="","",ROUND($J54*2.2,0))</f>
        <v>24750</v>
      </c>
      <c r="T54" s="115" t="n">
        <v>4638</v>
      </c>
      <c r="U54" s="115" t="n">
        <v>4063</v>
      </c>
      <c r="V54" s="115" t="n">
        <v>2438</v>
      </c>
      <c r="W54" s="115" t="n">
        <v>2400</v>
      </c>
      <c r="X54" s="116" t="s">
        <v>310</v>
      </c>
      <c r="Y54" s="117" t="n">
        <v>0.3</v>
      </c>
      <c r="Z54" s="117" t="n">
        <v>1</v>
      </c>
      <c r="AA54" s="113" t="s">
        <v>540</v>
      </c>
      <c r="AB54" s="113" t="s">
        <v>541</v>
      </c>
      <c r="AC54" s="116" t="s">
        <v>542</v>
      </c>
      <c r="AD54" s="116"/>
      <c r="AE54" s="116" t="s">
        <v>543</v>
      </c>
      <c r="AF54" s="116"/>
      <c r="AG54" s="116"/>
      <c r="AH54" s="118"/>
      <c r="AI54" s="118"/>
      <c r="AJ54" s="118"/>
      <c r="AK54" s="118" t="s">
        <v>544</v>
      </c>
      <c r="AL54" s="118"/>
      <c r="AM54" s="103"/>
      <c r="AN54" s="102"/>
      <c r="AO54" s="95"/>
      <c r="AP54" s="104" t="n">
        <v>483000</v>
      </c>
      <c r="AQ54" s="104" t="n">
        <v>224000</v>
      </c>
      <c r="AR54" s="104" t="n">
        <v>558000</v>
      </c>
      <c r="AS54" s="95"/>
      <c r="AT54" s="95"/>
      <c r="AU54" s="95"/>
      <c r="AV54" s="96" t="n">
        <f aca="false">IF(AND(AP54&gt;0,J54&gt;0),J54*1000/(AP54*0.2),"")</f>
        <v>116.459627329193</v>
      </c>
      <c r="AW54" s="96" t="str">
        <f aca="false">IF(AND(AS54&gt;0,M54&gt;0),M54*1000/(AS54*0.3),"")</f>
        <v/>
      </c>
      <c r="AX54" s="96" t="str">
        <f aca="false">IF(AND(AO54&gt;0,O54&gt;0),O54*1000/(AO54*0.1),"")</f>
        <v/>
      </c>
      <c r="AY54" s="96" t="n">
        <f aca="false">IF(AND(AR54&gt;0,N54&gt;0),N54*1000/(AR54*0.25),"")</f>
        <v>25.089605734767</v>
      </c>
      <c r="AZ54" s="96" t="n">
        <f aca="false">IF(AND(AQ54&gt;0,Q54&gt;0),Q54*1000/(AQ54*1),"")</f>
        <v>60.2678571428571</v>
      </c>
      <c r="BA54" s="97" t="n">
        <f aca="false">IFERROR(VLOOKUP($I54,'07_Settings'!$A$10:$F$14,6,FALSE()),0.25)</f>
        <v>0.55</v>
      </c>
      <c r="BB54" s="98" t="n">
        <v>1</v>
      </c>
      <c r="BC54" s="98" t="n">
        <v>1</v>
      </c>
      <c r="BD54" s="98" t="n">
        <v>1</v>
      </c>
      <c r="BE54" s="99" t="n">
        <f aca="false">IFERROR(ROUND($S54*BA54*BC54*BD54*BB54,0),0)</f>
        <v>13613</v>
      </c>
      <c r="BF54" s="55" t="str">
        <f aca="false">IF(COUNT(AO54:AU54)&gt;0,"estimated","pending")</f>
        <v>estimated</v>
      </c>
    </row>
    <row r="55" customFormat="false" ht="16.5" hidden="false" customHeight="true" outlineLevel="0" collapsed="false">
      <c r="A55" s="102"/>
      <c r="B55" s="112" t="n">
        <f aca="false">IF($C55="","",COUNTA($C$5:C55))</f>
        <v>51</v>
      </c>
      <c r="C55" s="113" t="s">
        <v>545</v>
      </c>
      <c r="D55" s="114" t="s">
        <v>279</v>
      </c>
      <c r="E55" s="113" t="s">
        <v>519</v>
      </c>
      <c r="F55" s="113" t="s">
        <v>520</v>
      </c>
      <c r="G55" s="114" t="s">
        <v>416</v>
      </c>
      <c r="H55" s="114" t="n">
        <v>4</v>
      </c>
      <c r="I55" s="114" t="s">
        <v>110</v>
      </c>
      <c r="J55" s="115" t="n">
        <v>12100</v>
      </c>
      <c r="K55" s="115" t="n">
        <v>5100</v>
      </c>
      <c r="L55" s="115" t="n">
        <f aca="false">IF($C55="","",ROUND($J55*0.17,0))</f>
        <v>2057</v>
      </c>
      <c r="M55" s="115" t="n">
        <v>9450</v>
      </c>
      <c r="N55" s="115" t="n">
        <v>3850</v>
      </c>
      <c r="O55" s="115" t="n">
        <v>2400</v>
      </c>
      <c r="P55" s="115" t="n">
        <v>2400</v>
      </c>
      <c r="Q55" s="115" t="n">
        <v>17550</v>
      </c>
      <c r="R55" s="115" t="n">
        <v>7850</v>
      </c>
      <c r="S55" s="115" t="n">
        <f aca="false">IF($C55="","",ROUND($J55*2.2,0))</f>
        <v>26620</v>
      </c>
      <c r="T55" s="115" t="n">
        <v>4250</v>
      </c>
      <c r="U55" s="115" t="n">
        <v>3650</v>
      </c>
      <c r="V55" s="115" t="n">
        <v>2200</v>
      </c>
      <c r="W55" s="115" t="n">
        <v>2400</v>
      </c>
      <c r="X55" s="116" t="s">
        <v>222</v>
      </c>
      <c r="Y55" s="117" t="n">
        <v>0.3</v>
      </c>
      <c r="Z55" s="117" t="n">
        <v>1</v>
      </c>
      <c r="AA55" s="113" t="s">
        <v>546</v>
      </c>
      <c r="AB55" s="113" t="s">
        <v>547</v>
      </c>
      <c r="AC55" s="113" t="s">
        <v>548</v>
      </c>
      <c r="AD55" s="113" t="s">
        <v>549</v>
      </c>
      <c r="AE55" s="113" t="s">
        <v>550</v>
      </c>
      <c r="AF55" s="113"/>
      <c r="AG55" s="113"/>
      <c r="AH55" s="118"/>
      <c r="AI55" s="118"/>
      <c r="AJ55" s="118"/>
      <c r="AK55" s="118" t="s">
        <v>551</v>
      </c>
      <c r="AL55" s="118"/>
      <c r="AM55" s="103"/>
      <c r="AN55" s="102"/>
      <c r="AO55" s="104" t="n">
        <v>81400</v>
      </c>
      <c r="AP55" s="104" t="n">
        <v>232000</v>
      </c>
      <c r="AQ55" s="95"/>
      <c r="AR55" s="95"/>
      <c r="AS55" s="95"/>
      <c r="AT55" s="95"/>
      <c r="AU55" s="95"/>
      <c r="AV55" s="96" t="n">
        <f aca="false">IF(AND(AP55&gt;0,J55&gt;0),J55*1000/(AP55*0.2),"")</f>
        <v>260.775862068966</v>
      </c>
      <c r="AW55" s="96" t="str">
        <f aca="false">IF(AND(AS55&gt;0,M55&gt;0),M55*1000/(AS55*0.3),"")</f>
        <v/>
      </c>
      <c r="AX55" s="96" t="n">
        <f aca="false">IF(AND(AO55&gt;0,O55&gt;0),O55*1000/(AO55*0.1),"")</f>
        <v>294.840294840295</v>
      </c>
      <c r="AY55" s="96" t="str">
        <f aca="false">IF(AND(AR55&gt;0,N55&gt;0),N55*1000/(AR55*0.25),"")</f>
        <v/>
      </c>
      <c r="AZ55" s="96" t="str">
        <f aca="false">IF(AND(AQ55&gt;0,Q55&gt;0),Q55*1000/(AQ55*1),"")</f>
        <v/>
      </c>
      <c r="BA55" s="97" t="n">
        <f aca="false">IFERROR(VLOOKUP($I55,'07_Settings'!$A$10:$F$14,6,FALSE()),0.25)</f>
        <v>0.55</v>
      </c>
      <c r="BB55" s="98" t="n">
        <v>1</v>
      </c>
      <c r="BC55" s="98" t="n">
        <v>1</v>
      </c>
      <c r="BD55" s="98" t="n">
        <v>1</v>
      </c>
      <c r="BE55" s="99" t="n">
        <f aca="false">IFERROR(ROUND($S55*BA55*BC55*BD55*BB55,0),0)</f>
        <v>14641</v>
      </c>
      <c r="BF55" s="55" t="str">
        <f aca="false">IF(COUNT(AO55:AU55)&gt;0,"estimated","pending")</f>
        <v>estimated</v>
      </c>
    </row>
    <row r="56" customFormat="false" ht="16.5" hidden="false" customHeight="true" outlineLevel="0" collapsed="false">
      <c r="A56" s="86"/>
      <c r="B56" s="121" t="n">
        <f aca="false">IF($C56="","",COUNTA($C$5:C56))</f>
        <v>52</v>
      </c>
      <c r="C56" s="122" t="s">
        <v>552</v>
      </c>
      <c r="D56" s="123" t="s">
        <v>29</v>
      </c>
      <c r="E56" s="122" t="s">
        <v>519</v>
      </c>
      <c r="F56" s="122" t="s">
        <v>520</v>
      </c>
      <c r="G56" s="123" t="s">
        <v>210</v>
      </c>
      <c r="H56" s="123" t="n">
        <v>0</v>
      </c>
      <c r="I56" s="123" t="s">
        <v>122</v>
      </c>
      <c r="J56" s="124" t="n">
        <v>20700</v>
      </c>
      <c r="K56" s="124" t="n">
        <v>8700</v>
      </c>
      <c r="L56" s="125" t="n">
        <f aca="false">IF($C56="","",ROUND($J56*0.17,0))</f>
        <v>3519</v>
      </c>
      <c r="M56" s="124" t="n">
        <v>16150</v>
      </c>
      <c r="N56" s="124" t="n">
        <v>6600</v>
      </c>
      <c r="O56" s="124" t="n">
        <v>4150</v>
      </c>
      <c r="P56" s="124" t="n">
        <v>0</v>
      </c>
      <c r="Q56" s="124" t="n">
        <v>30000</v>
      </c>
      <c r="R56" s="124" t="n">
        <v>13450</v>
      </c>
      <c r="S56" s="125" t="n">
        <f aca="false">IF($C56="","",ROUND($J56*2.2,0))</f>
        <v>45540</v>
      </c>
      <c r="T56" s="124" t="n">
        <v>7250</v>
      </c>
      <c r="U56" s="124" t="n">
        <v>6200</v>
      </c>
      <c r="V56" s="124" t="n">
        <v>3750</v>
      </c>
      <c r="W56" s="124" t="n">
        <v>0</v>
      </c>
      <c r="X56" s="124" t="s">
        <v>376</v>
      </c>
      <c r="Y56" s="126" t="n">
        <v>0.3</v>
      </c>
      <c r="Z56" s="126" t="n">
        <v>1</v>
      </c>
      <c r="AA56" s="122" t="s">
        <v>553</v>
      </c>
      <c r="AB56" s="122"/>
      <c r="AC56" s="124"/>
      <c r="AD56" s="124"/>
      <c r="AE56" s="124"/>
      <c r="AF56" s="124"/>
      <c r="AG56" s="124"/>
      <c r="AH56" s="127"/>
      <c r="AI56" s="127"/>
      <c r="AJ56" s="127"/>
      <c r="AK56" s="137" t="n">
        <v>35343</v>
      </c>
      <c r="AL56" s="127"/>
      <c r="AM56" s="128"/>
      <c r="AN56" s="86"/>
      <c r="AO56" s="95"/>
      <c r="AP56" s="95"/>
      <c r="AQ56" s="95"/>
      <c r="AR56" s="95"/>
      <c r="AS56" s="95"/>
      <c r="AT56" s="95"/>
      <c r="AU56" s="95"/>
      <c r="AV56" s="96" t="str">
        <f aca="false">IF(AND(AP56&gt;0,J56&gt;0),J56*1000/(AP56*0.2),"")</f>
        <v/>
      </c>
      <c r="AW56" s="96" t="str">
        <f aca="false">IF(AND(AS56&gt;0,M56&gt;0),M56*1000/(AS56*0.3),"")</f>
        <v/>
      </c>
      <c r="AX56" s="96" t="str">
        <f aca="false">IF(AND(AO56&gt;0,O56&gt;0),O56*1000/(AO56*0.1),"")</f>
        <v/>
      </c>
      <c r="AY56" s="96" t="str">
        <f aca="false">IF(AND(AR56&gt;0,N56&gt;0),N56*1000/(AR56*0.25),"")</f>
        <v/>
      </c>
      <c r="AZ56" s="96" t="str">
        <f aca="false">IF(AND(AQ56&gt;0,Q56&gt;0),Q56*1000/(AQ56*1),"")</f>
        <v/>
      </c>
      <c r="BA56" s="97" t="n">
        <f aca="false">IFERROR(VLOOKUP($I56,'07_Settings'!$A$10:$F$14,6,FALSE()),0.25)</f>
        <v>0.25</v>
      </c>
      <c r="BB56" s="98" t="n">
        <v>1</v>
      </c>
      <c r="BC56" s="98" t="n">
        <v>1</v>
      </c>
      <c r="BD56" s="98" t="n">
        <v>1</v>
      </c>
      <c r="BE56" s="99" t="n">
        <f aca="false">IFERROR(ROUND($S56*BA56*BC56*BD56*BB56,0),0)</f>
        <v>11385</v>
      </c>
      <c r="BF56" s="55" t="str">
        <f aca="false">IF(COUNT(AO56:AU56)&gt;0,"estimated","pending")</f>
        <v>pending</v>
      </c>
    </row>
    <row r="57" customFormat="false" ht="16.5" hidden="false" customHeight="true" outlineLevel="0" collapsed="false">
      <c r="A57" s="102"/>
      <c r="B57" s="112" t="n">
        <f aca="false">IF($C57="","",COUNTA($C$5:C57))</f>
        <v>53</v>
      </c>
      <c r="C57" s="113" t="s">
        <v>554</v>
      </c>
      <c r="D57" s="114" t="s">
        <v>279</v>
      </c>
      <c r="E57" s="113" t="s">
        <v>519</v>
      </c>
      <c r="F57" s="113" t="s">
        <v>520</v>
      </c>
      <c r="G57" s="114" t="s">
        <v>210</v>
      </c>
      <c r="H57" s="114" t="n">
        <v>2</v>
      </c>
      <c r="I57" s="114" t="s">
        <v>114</v>
      </c>
      <c r="J57" s="115" t="n">
        <v>11250</v>
      </c>
      <c r="K57" s="115" t="n">
        <v>4500</v>
      </c>
      <c r="L57" s="115" t="n">
        <f aca="false">IF($C57="","",ROUND($J57*0.17,0))</f>
        <v>1913</v>
      </c>
      <c r="M57" s="115" t="n">
        <v>8000</v>
      </c>
      <c r="N57" s="115" t="n">
        <v>3500</v>
      </c>
      <c r="O57" s="115" t="n">
        <v>2000</v>
      </c>
      <c r="P57" s="115" t="n">
        <v>2000</v>
      </c>
      <c r="Q57" s="115" t="n">
        <v>13500</v>
      </c>
      <c r="R57" s="115" t="n">
        <v>6075</v>
      </c>
      <c r="S57" s="115" t="n">
        <f aca="false">IF($C57="","",ROUND($J57*2.2,0))</f>
        <v>24750</v>
      </c>
      <c r="T57" s="115" t="n">
        <v>4638</v>
      </c>
      <c r="U57" s="115" t="n">
        <v>4063</v>
      </c>
      <c r="V57" s="115" t="n">
        <v>2438</v>
      </c>
      <c r="W57" s="115" t="n">
        <v>2400</v>
      </c>
      <c r="X57" s="116" t="s">
        <v>290</v>
      </c>
      <c r="Y57" s="117" t="n">
        <v>0.3</v>
      </c>
      <c r="Z57" s="117" t="n">
        <v>1</v>
      </c>
      <c r="AA57" s="113" t="s">
        <v>555</v>
      </c>
      <c r="AB57" s="113" t="s">
        <v>556</v>
      </c>
      <c r="AC57" s="116" t="s">
        <v>557</v>
      </c>
      <c r="AD57" s="116"/>
      <c r="AE57" s="116"/>
      <c r="AF57" s="116"/>
      <c r="AG57" s="116"/>
      <c r="AH57" s="118"/>
      <c r="AI57" s="118"/>
      <c r="AJ57" s="118"/>
      <c r="AK57" s="120" t="n">
        <v>39757</v>
      </c>
      <c r="AL57" s="118"/>
      <c r="AM57" s="103"/>
      <c r="AN57" s="102"/>
      <c r="AO57" s="95"/>
      <c r="AP57" s="95"/>
      <c r="AQ57" s="95"/>
      <c r="AR57" s="95"/>
      <c r="AS57" s="95"/>
      <c r="AT57" s="95"/>
      <c r="AU57" s="95"/>
      <c r="AV57" s="96" t="str">
        <f aca="false">IF(AND(AP57&gt;0,J57&gt;0),J57*1000/(AP57*0.2),"")</f>
        <v/>
      </c>
      <c r="AW57" s="96" t="str">
        <f aca="false">IF(AND(AS57&gt;0,M57&gt;0),M57*1000/(AS57*0.3),"")</f>
        <v/>
      </c>
      <c r="AX57" s="96" t="str">
        <f aca="false">IF(AND(AO57&gt;0,O57&gt;0),O57*1000/(AO57*0.1),"")</f>
        <v/>
      </c>
      <c r="AY57" s="96" t="str">
        <f aca="false">IF(AND(AR57&gt;0,N57&gt;0),N57*1000/(AR57*0.25),"")</f>
        <v/>
      </c>
      <c r="AZ57" s="96" t="str">
        <f aca="false">IF(AND(AQ57&gt;0,Q57&gt;0),Q57*1000/(AQ57*1),"")</f>
        <v/>
      </c>
      <c r="BA57" s="97" t="n">
        <f aca="false">IFERROR(VLOOKUP($I57,'07_Settings'!$A$10:$F$14,6,FALSE()),0.25)</f>
        <v>0.45</v>
      </c>
      <c r="BB57" s="98" t="n">
        <v>1</v>
      </c>
      <c r="BC57" s="98" t="n">
        <v>1</v>
      </c>
      <c r="BD57" s="98" t="n">
        <v>1</v>
      </c>
      <c r="BE57" s="99" t="n">
        <f aca="false">IFERROR(ROUND($S57*BA57*BC57*BD57*BB57,0),0)</f>
        <v>11138</v>
      </c>
      <c r="BF57" s="55" t="str">
        <f aca="false">IF(COUNT(AO57:AU57)&gt;0,"estimated","pending")</f>
        <v>pending</v>
      </c>
    </row>
    <row r="58" customFormat="false" ht="16.5" hidden="false" customHeight="true" outlineLevel="0" collapsed="false">
      <c r="A58" s="86"/>
      <c r="B58" s="121" t="n">
        <f aca="false">IF($C58="","",COUNTA($C$5:C58))</f>
        <v>54</v>
      </c>
      <c r="C58" s="122" t="s">
        <v>558</v>
      </c>
      <c r="D58" s="123" t="s">
        <v>29</v>
      </c>
      <c r="E58" s="122" t="s">
        <v>559</v>
      </c>
      <c r="F58" s="122" t="s">
        <v>559</v>
      </c>
      <c r="G58" s="123" t="s">
        <v>560</v>
      </c>
      <c r="H58" s="123" t="n">
        <v>0</v>
      </c>
      <c r="I58" s="123" t="s">
        <v>122</v>
      </c>
      <c r="J58" s="124" t="n">
        <v>12100</v>
      </c>
      <c r="K58" s="124" t="n">
        <v>5100</v>
      </c>
      <c r="L58" s="125" t="n">
        <f aca="false">IF($C58="","",ROUND($J58*0.17,0))</f>
        <v>2057</v>
      </c>
      <c r="M58" s="124" t="n">
        <v>9450</v>
      </c>
      <c r="N58" s="124" t="n">
        <v>3850</v>
      </c>
      <c r="O58" s="124" t="n">
        <v>2400</v>
      </c>
      <c r="P58" s="124" t="n">
        <v>0</v>
      </c>
      <c r="Q58" s="124" t="n">
        <v>17550</v>
      </c>
      <c r="R58" s="124" t="n">
        <v>7850</v>
      </c>
      <c r="S58" s="125" t="n">
        <f aca="false">IF($C58="","",ROUND($J58*2.2,0))</f>
        <v>26620</v>
      </c>
      <c r="T58" s="124" t="n">
        <v>4250</v>
      </c>
      <c r="U58" s="124" t="n">
        <v>3650</v>
      </c>
      <c r="V58" s="124" t="n">
        <v>2200</v>
      </c>
      <c r="W58" s="124" t="n">
        <v>0</v>
      </c>
      <c r="X58" s="124" t="s">
        <v>376</v>
      </c>
      <c r="Y58" s="126" t="n">
        <v>0.3</v>
      </c>
      <c r="Z58" s="126" t="n">
        <v>1</v>
      </c>
      <c r="AA58" s="122" t="s">
        <v>561</v>
      </c>
      <c r="AB58" s="122"/>
      <c r="AC58" s="124"/>
      <c r="AD58" s="124"/>
      <c r="AE58" s="124"/>
      <c r="AF58" s="124"/>
      <c r="AG58" s="124"/>
      <c r="AH58" s="127"/>
      <c r="AI58" s="127"/>
      <c r="AJ58" s="127"/>
      <c r="AK58" s="127"/>
      <c r="AL58" s="127"/>
      <c r="AM58" s="128"/>
      <c r="AN58" s="86"/>
      <c r="AO58" s="95"/>
      <c r="AP58" s="95"/>
      <c r="AQ58" s="95"/>
      <c r="AR58" s="95"/>
      <c r="AS58" s="95"/>
      <c r="AT58" s="95"/>
      <c r="AU58" s="95"/>
      <c r="AV58" s="96" t="str">
        <f aca="false">IF(AND(AP58&gt;0,J58&gt;0),J58*1000/(AP58*0.2),"")</f>
        <v/>
      </c>
      <c r="AW58" s="96" t="str">
        <f aca="false">IF(AND(AS58&gt;0,M58&gt;0),M58*1000/(AS58*0.3),"")</f>
        <v/>
      </c>
      <c r="AX58" s="96" t="str">
        <f aca="false">IF(AND(AO58&gt;0,O58&gt;0),O58*1000/(AO58*0.1),"")</f>
        <v/>
      </c>
      <c r="AY58" s="96" t="str">
        <f aca="false">IF(AND(AR58&gt;0,N58&gt;0),N58*1000/(AR58*0.25),"")</f>
        <v/>
      </c>
      <c r="AZ58" s="96" t="str">
        <f aca="false">IF(AND(AQ58&gt;0,Q58&gt;0),Q58*1000/(AQ58*1),"")</f>
        <v/>
      </c>
      <c r="BA58" s="97" t="n">
        <f aca="false">IFERROR(VLOOKUP($I58,'07_Settings'!$A$10:$F$14,6,FALSE()),0.25)</f>
        <v>0.25</v>
      </c>
      <c r="BB58" s="98" t="n">
        <v>1</v>
      </c>
      <c r="BC58" s="98" t="n">
        <v>1</v>
      </c>
      <c r="BD58" s="98" t="n">
        <v>1</v>
      </c>
      <c r="BE58" s="99" t="n">
        <f aca="false">IFERROR(ROUND($S58*BA58*BC58*BD58*BB58,0),0)</f>
        <v>6655</v>
      </c>
      <c r="BF58" s="55" t="str">
        <f aca="false">IF(COUNT(AO58:AU58)&gt;0,"estimated","pending")</f>
        <v>pending</v>
      </c>
    </row>
    <row r="59" customFormat="false" ht="16.5" hidden="false" customHeight="true" outlineLevel="0" collapsed="false">
      <c r="A59" s="102"/>
      <c r="B59" s="112" t="n">
        <f aca="false">IF($C59="","",COUNTA($C$5:C59))</f>
        <v>55</v>
      </c>
      <c r="C59" s="113" t="s">
        <v>562</v>
      </c>
      <c r="D59" s="114" t="s">
        <v>279</v>
      </c>
      <c r="E59" s="113" t="s">
        <v>563</v>
      </c>
      <c r="F59" s="113" t="s">
        <v>563</v>
      </c>
      <c r="G59" s="114" t="s">
        <v>560</v>
      </c>
      <c r="H59" s="114" t="n">
        <v>1</v>
      </c>
      <c r="I59" s="114" t="s">
        <v>118</v>
      </c>
      <c r="J59" s="115" t="n">
        <v>8750</v>
      </c>
      <c r="K59" s="115" t="n">
        <v>3000</v>
      </c>
      <c r="L59" s="115" t="n">
        <f aca="false">IF($C59="","",ROUND($J59*0.17,0))</f>
        <v>1488</v>
      </c>
      <c r="M59" s="115" t="n">
        <v>6000</v>
      </c>
      <c r="N59" s="115" t="n">
        <v>2500</v>
      </c>
      <c r="O59" s="115" t="n">
        <v>1200</v>
      </c>
      <c r="P59" s="115" t="n">
        <v>1200</v>
      </c>
      <c r="Q59" s="115" t="n">
        <v>9000</v>
      </c>
      <c r="R59" s="115" t="n">
        <v>4050</v>
      </c>
      <c r="S59" s="115" t="n">
        <f aca="false">IF($C59="","",ROUND($J59*2.2,0))</f>
        <v>19250</v>
      </c>
      <c r="T59" s="115" t="n">
        <v>2200</v>
      </c>
      <c r="U59" s="115" t="n">
        <v>1925</v>
      </c>
      <c r="V59" s="115" t="n">
        <v>1155</v>
      </c>
      <c r="W59" s="115" t="n">
        <v>2400</v>
      </c>
      <c r="X59" s="116" t="s">
        <v>310</v>
      </c>
      <c r="Y59" s="117" t="n">
        <v>0.3</v>
      </c>
      <c r="Z59" s="117" t="n">
        <v>1</v>
      </c>
      <c r="AA59" s="113" t="s">
        <v>564</v>
      </c>
      <c r="AB59" s="113" t="s">
        <v>565</v>
      </c>
      <c r="AC59" s="116"/>
      <c r="AD59" s="116"/>
      <c r="AE59" s="116"/>
      <c r="AF59" s="116"/>
      <c r="AG59" s="116"/>
      <c r="AH59" s="118"/>
      <c r="AI59" s="118"/>
      <c r="AJ59" s="118"/>
      <c r="AK59" s="118" t="s">
        <v>566</v>
      </c>
      <c r="AL59" s="118"/>
      <c r="AM59" s="103"/>
      <c r="AN59" s="102"/>
      <c r="AO59" s="95"/>
      <c r="AP59" s="95"/>
      <c r="AQ59" s="95"/>
      <c r="AR59" s="95"/>
      <c r="AS59" s="95"/>
      <c r="AT59" s="95"/>
      <c r="AU59" s="95"/>
      <c r="AV59" s="96" t="str">
        <f aca="false">IF(AND(AP59&gt;0,J59&gt;0),J59*1000/(AP59*0.2),"")</f>
        <v/>
      </c>
      <c r="AW59" s="96" t="str">
        <f aca="false">IF(AND(AS59&gt;0,M59&gt;0),M59*1000/(AS59*0.3),"")</f>
        <v/>
      </c>
      <c r="AX59" s="96" t="str">
        <f aca="false">IF(AND(AO59&gt;0,O59&gt;0),O59*1000/(AO59*0.1),"")</f>
        <v/>
      </c>
      <c r="AY59" s="96" t="str">
        <f aca="false">IF(AND(AR59&gt;0,N59&gt;0),N59*1000/(AR59*0.25),"")</f>
        <v/>
      </c>
      <c r="AZ59" s="96" t="str">
        <f aca="false">IF(AND(AQ59&gt;0,Q59&gt;0),Q59*1000/(AQ59*1),"")</f>
        <v/>
      </c>
      <c r="BA59" s="97" t="n">
        <f aca="false">IFERROR(VLOOKUP($I59,'07_Settings'!$A$10:$F$14,6,FALSE()),0.25)</f>
        <v>0.35</v>
      </c>
      <c r="BB59" s="98" t="n">
        <v>1</v>
      </c>
      <c r="BC59" s="98" t="n">
        <v>1</v>
      </c>
      <c r="BD59" s="98" t="n">
        <v>1</v>
      </c>
      <c r="BE59" s="99" t="n">
        <f aca="false">IFERROR(ROUND($S59*BA59*BC59*BD59*BB59,0),0)</f>
        <v>6738</v>
      </c>
      <c r="BF59" s="55" t="str">
        <f aca="false">IF(COUNT(AO59:AU59)&gt;0,"estimated","pending")</f>
        <v>pending</v>
      </c>
    </row>
    <row r="60" customFormat="false" ht="16.5" hidden="false" customHeight="true" outlineLevel="0" collapsed="false">
      <c r="A60" s="102"/>
      <c r="B60" s="112" t="n">
        <f aca="false">IF($C60="","",COUNTA($C$5:C60))</f>
        <v>56</v>
      </c>
      <c r="C60" s="113" t="s">
        <v>567</v>
      </c>
      <c r="D60" s="114" t="s">
        <v>279</v>
      </c>
      <c r="E60" s="113" t="s">
        <v>563</v>
      </c>
      <c r="F60" s="113" t="s">
        <v>563</v>
      </c>
      <c r="G60" s="114" t="s">
        <v>568</v>
      </c>
      <c r="H60" s="114" t="n">
        <v>3</v>
      </c>
      <c r="I60" s="114" t="s">
        <v>118</v>
      </c>
      <c r="J60" s="115" t="n">
        <v>5700</v>
      </c>
      <c r="K60" s="115" t="n">
        <v>2400</v>
      </c>
      <c r="L60" s="115" t="n">
        <f aca="false">IF($C60="","",ROUND($J60*0.17,0))</f>
        <v>969</v>
      </c>
      <c r="M60" s="115" t="n">
        <v>4450</v>
      </c>
      <c r="N60" s="115" t="n">
        <v>1850</v>
      </c>
      <c r="O60" s="115" t="n">
        <v>1150</v>
      </c>
      <c r="P60" s="115" t="n">
        <v>1150</v>
      </c>
      <c r="Q60" s="115" t="n">
        <v>8300</v>
      </c>
      <c r="R60" s="115" t="n">
        <v>3700</v>
      </c>
      <c r="S60" s="115" t="n">
        <f aca="false">IF($C60="","",ROUND($J60*2.2,0))</f>
        <v>12540</v>
      </c>
      <c r="T60" s="115" t="n">
        <v>2000</v>
      </c>
      <c r="U60" s="115" t="n">
        <v>1700</v>
      </c>
      <c r="V60" s="115" t="n">
        <v>1050</v>
      </c>
      <c r="W60" s="115" t="n">
        <v>2400</v>
      </c>
      <c r="X60" s="116" t="s">
        <v>236</v>
      </c>
      <c r="Y60" s="117" t="n">
        <v>0.1</v>
      </c>
      <c r="Z60" s="117" t="n">
        <v>1</v>
      </c>
      <c r="AA60" s="113" t="s">
        <v>569</v>
      </c>
      <c r="AB60" s="113" t="s">
        <v>570</v>
      </c>
      <c r="AC60" s="116" t="s">
        <v>571</v>
      </c>
      <c r="AD60" s="116"/>
      <c r="AE60" s="116"/>
      <c r="AF60" s="116"/>
      <c r="AG60" s="116"/>
      <c r="AH60" s="118" t="s">
        <v>572</v>
      </c>
      <c r="AI60" s="118"/>
      <c r="AJ60" s="118"/>
      <c r="AK60" s="118" t="s">
        <v>573</v>
      </c>
      <c r="AL60" s="118"/>
      <c r="AM60" s="103"/>
      <c r="AN60" s="102"/>
      <c r="AO60" s="95"/>
      <c r="AP60" s="95"/>
      <c r="AQ60" s="95"/>
      <c r="AR60" s="95"/>
      <c r="AS60" s="95"/>
      <c r="AT60" s="95"/>
      <c r="AU60" s="95"/>
      <c r="AV60" s="96" t="str">
        <f aca="false">IF(AND(AP60&gt;0,J60&gt;0),J60*1000/(AP60*0.2),"")</f>
        <v/>
      </c>
      <c r="AW60" s="96" t="str">
        <f aca="false">IF(AND(AS60&gt;0,M60&gt;0),M60*1000/(AS60*0.3),"")</f>
        <v/>
      </c>
      <c r="AX60" s="96" t="str">
        <f aca="false">IF(AND(AO60&gt;0,O60&gt;0),O60*1000/(AO60*0.1),"")</f>
        <v/>
      </c>
      <c r="AY60" s="96" t="str">
        <f aca="false">IF(AND(AR60&gt;0,N60&gt;0),N60*1000/(AR60*0.25),"")</f>
        <v/>
      </c>
      <c r="AZ60" s="96" t="str">
        <f aca="false">IF(AND(AQ60&gt;0,Q60&gt;0),Q60*1000/(AQ60*1),"")</f>
        <v/>
      </c>
      <c r="BA60" s="97" t="n">
        <f aca="false">IFERROR(VLOOKUP($I60,'07_Settings'!$A$10:$F$14,6,FALSE()),0.25)</f>
        <v>0.35</v>
      </c>
      <c r="BB60" s="98" t="n">
        <v>1</v>
      </c>
      <c r="BC60" s="98" t="n">
        <v>1</v>
      </c>
      <c r="BD60" s="98" t="n">
        <v>1</v>
      </c>
      <c r="BE60" s="99" t="n">
        <f aca="false">IFERROR(ROUND($S60*BA60*BC60*BD60*BB60,0),0)</f>
        <v>4389</v>
      </c>
      <c r="BF60" s="55" t="str">
        <f aca="false">IF(COUNT(AO60:AU60)&gt;0,"estimated","pending")</f>
        <v>pending</v>
      </c>
    </row>
    <row r="61" customFormat="false" ht="16.5" hidden="false" customHeight="true" outlineLevel="0" collapsed="false">
      <c r="A61" s="86"/>
      <c r="B61" s="121" t="n">
        <f aca="false">IF($C61="","",COUNTA($C$5:C61))</f>
        <v>57</v>
      </c>
      <c r="C61" s="122" t="s">
        <v>574</v>
      </c>
      <c r="D61" s="123" t="s">
        <v>29</v>
      </c>
      <c r="E61" s="122" t="s">
        <v>575</v>
      </c>
      <c r="F61" s="122" t="s">
        <v>575</v>
      </c>
      <c r="G61" s="123" t="s">
        <v>576</v>
      </c>
      <c r="H61" s="123" t="n">
        <v>1</v>
      </c>
      <c r="I61" s="123" t="s">
        <v>118</v>
      </c>
      <c r="J61" s="124" t="n">
        <v>11000</v>
      </c>
      <c r="K61" s="124" t="n">
        <v>4600</v>
      </c>
      <c r="L61" s="125" t="n">
        <f aca="false">IF($C61="","",ROUND($J61*0.17,0))</f>
        <v>1870</v>
      </c>
      <c r="M61" s="124" t="n">
        <v>8600</v>
      </c>
      <c r="N61" s="124" t="n">
        <v>3500</v>
      </c>
      <c r="O61" s="124" t="n">
        <v>2200</v>
      </c>
      <c r="P61" s="124" t="n">
        <v>0</v>
      </c>
      <c r="Q61" s="124" t="n">
        <v>15950</v>
      </c>
      <c r="R61" s="124" t="n">
        <v>7150</v>
      </c>
      <c r="S61" s="125" t="n">
        <f aca="false">IF($C61="","",ROUND($J61*2.2,0))</f>
        <v>24200</v>
      </c>
      <c r="T61" s="124" t="n">
        <v>3850</v>
      </c>
      <c r="U61" s="124" t="n">
        <v>3300</v>
      </c>
      <c r="V61" s="124" t="n">
        <v>2000</v>
      </c>
      <c r="W61" s="124" t="n">
        <v>0</v>
      </c>
      <c r="X61" s="124" t="s">
        <v>310</v>
      </c>
      <c r="Y61" s="126" t="n">
        <v>0.5</v>
      </c>
      <c r="Z61" s="126" t="n">
        <v>1</v>
      </c>
      <c r="AA61" s="122" t="s">
        <v>577</v>
      </c>
      <c r="AB61" s="122" t="s">
        <v>578</v>
      </c>
      <c r="AC61" s="124"/>
      <c r="AD61" s="124"/>
      <c r="AE61" s="124"/>
      <c r="AF61" s="124"/>
      <c r="AG61" s="124"/>
      <c r="AH61" s="127"/>
      <c r="AI61" s="127"/>
      <c r="AJ61" s="127"/>
      <c r="AK61" s="127" t="s">
        <v>579</v>
      </c>
      <c r="AL61" s="127"/>
      <c r="AM61" s="128"/>
      <c r="AN61" s="86"/>
      <c r="AO61" s="104" t="n">
        <v>6213</v>
      </c>
      <c r="AP61" s="95"/>
      <c r="AQ61" s="95"/>
      <c r="AR61" s="95"/>
      <c r="AS61" s="95"/>
      <c r="AT61" s="95"/>
      <c r="AU61" s="95"/>
      <c r="AV61" s="96" t="str">
        <f aca="false">IF(AND(AP61&gt;0,J61&gt;0),J61*1000/(AP61*0.2),"")</f>
        <v/>
      </c>
      <c r="AW61" s="96" t="str">
        <f aca="false">IF(AND(AS61&gt;0,M61&gt;0),M61*1000/(AS61*0.3),"")</f>
        <v/>
      </c>
      <c r="AX61" s="96" t="n">
        <f aca="false">IF(AND(AO61&gt;0,O61&gt;0),O61*1000/(AO61*0.1),"")</f>
        <v>3540.96249798809</v>
      </c>
      <c r="AY61" s="96" t="str">
        <f aca="false">IF(AND(AR61&gt;0,N61&gt;0),N61*1000/(AR61*0.25),"")</f>
        <v/>
      </c>
      <c r="AZ61" s="96" t="str">
        <f aca="false">IF(AND(AQ61&gt;0,Q61&gt;0),Q61*1000/(AQ61*1),"")</f>
        <v/>
      </c>
      <c r="BA61" s="97" t="n">
        <f aca="false">IFERROR(VLOOKUP($I61,'07_Settings'!$A$10:$F$14,6,FALSE()),0.25)</f>
        <v>0.35</v>
      </c>
      <c r="BB61" s="98" t="n">
        <v>1</v>
      </c>
      <c r="BC61" s="98" t="n">
        <v>1</v>
      </c>
      <c r="BD61" s="98" t="n">
        <v>1</v>
      </c>
      <c r="BE61" s="99" t="n">
        <f aca="false">IFERROR(ROUND($S61*BA61*BC61*BD61*BB61,0),0)</f>
        <v>8470</v>
      </c>
      <c r="BF61" s="55" t="str">
        <f aca="false">IF(COUNT(AO61:AU61)&gt;0,"estimated","pending")</f>
        <v>estimated</v>
      </c>
    </row>
    <row r="62" customFormat="false" ht="16.5" hidden="false" customHeight="true" outlineLevel="0" collapsed="false">
      <c r="A62" s="102"/>
      <c r="B62" s="112" t="n">
        <f aca="false">IF($C62="","",COUNTA($C$5:C62))</f>
        <v>58</v>
      </c>
      <c r="C62" s="113" t="s">
        <v>580</v>
      </c>
      <c r="D62" s="114" t="s">
        <v>279</v>
      </c>
      <c r="E62" s="113" t="s">
        <v>563</v>
      </c>
      <c r="F62" s="113" t="s">
        <v>563</v>
      </c>
      <c r="G62" s="114" t="s">
        <v>581</v>
      </c>
      <c r="H62" s="114" t="n">
        <v>3</v>
      </c>
      <c r="I62" s="114" t="s">
        <v>118</v>
      </c>
      <c r="J62" s="115" t="n">
        <v>11250</v>
      </c>
      <c r="K62" s="115" t="n">
        <v>4500</v>
      </c>
      <c r="L62" s="115" t="n">
        <f aca="false">IF($C62="","",ROUND($J62*0.17,0))</f>
        <v>1913</v>
      </c>
      <c r="M62" s="115" t="n">
        <v>8000</v>
      </c>
      <c r="N62" s="115" t="n">
        <v>3500</v>
      </c>
      <c r="O62" s="115" t="n">
        <v>2000</v>
      </c>
      <c r="P62" s="115" t="n">
        <v>2000</v>
      </c>
      <c r="Q62" s="115" t="n">
        <v>13500</v>
      </c>
      <c r="R62" s="115" t="n">
        <v>6075</v>
      </c>
      <c r="S62" s="115" t="n">
        <f aca="false">IF($C62="","",ROUND($J62*2.2,0))</f>
        <v>24750</v>
      </c>
      <c r="T62" s="115" t="n">
        <v>4638</v>
      </c>
      <c r="U62" s="115" t="n">
        <v>4063</v>
      </c>
      <c r="V62" s="115" t="n">
        <v>2438</v>
      </c>
      <c r="W62" s="115" t="n">
        <v>2400</v>
      </c>
      <c r="X62" s="116" t="s">
        <v>236</v>
      </c>
      <c r="Y62" s="117" t="n">
        <v>0.75</v>
      </c>
      <c r="Z62" s="117" t="n">
        <v>1</v>
      </c>
      <c r="AA62" s="113" t="s">
        <v>582</v>
      </c>
      <c r="AB62" s="113" t="s">
        <v>583</v>
      </c>
      <c r="AC62" s="116"/>
      <c r="AD62" s="116" t="s">
        <v>584</v>
      </c>
      <c r="AE62" s="116" t="s">
        <v>585</v>
      </c>
      <c r="AF62" s="116"/>
      <c r="AG62" s="116"/>
      <c r="AH62" s="118"/>
      <c r="AI62" s="118"/>
      <c r="AJ62" s="118"/>
      <c r="AK62" s="118" t="s">
        <v>586</v>
      </c>
      <c r="AL62" s="118"/>
      <c r="AM62" s="103"/>
      <c r="AN62" s="102"/>
      <c r="AO62" s="104" t="n">
        <v>18000</v>
      </c>
      <c r="AP62" s="95"/>
      <c r="AQ62" s="95"/>
      <c r="AR62" s="95"/>
      <c r="AS62" s="95"/>
      <c r="AT62" s="95"/>
      <c r="AU62" s="95"/>
      <c r="AV62" s="96" t="str">
        <f aca="false">IF(AND(AP62&gt;0,J62&gt;0),J62*1000/(AP62*0.2),"")</f>
        <v/>
      </c>
      <c r="AW62" s="96" t="str">
        <f aca="false">IF(AND(AS62&gt;0,M62&gt;0),M62*1000/(AS62*0.3),"")</f>
        <v/>
      </c>
      <c r="AX62" s="96" t="n">
        <f aca="false">IF(AND(AO62&gt;0,O62&gt;0),O62*1000/(AO62*0.1),"")</f>
        <v>1111.11111111111</v>
      </c>
      <c r="AY62" s="96" t="str">
        <f aca="false">IF(AND(AR62&gt;0,N62&gt;0),N62*1000/(AR62*0.25),"")</f>
        <v/>
      </c>
      <c r="AZ62" s="96" t="str">
        <f aca="false">IF(AND(AQ62&gt;0,Q62&gt;0),Q62*1000/(AQ62*1),"")</f>
        <v/>
      </c>
      <c r="BA62" s="97" t="n">
        <f aca="false">IFERROR(VLOOKUP($I62,'07_Settings'!$A$10:$F$14,6,FALSE()),0.25)</f>
        <v>0.35</v>
      </c>
      <c r="BB62" s="98" t="n">
        <v>1</v>
      </c>
      <c r="BC62" s="98" t="n">
        <v>1</v>
      </c>
      <c r="BD62" s="98" t="n">
        <v>1</v>
      </c>
      <c r="BE62" s="99" t="n">
        <f aca="false">IFERROR(ROUND($S62*BA62*BC62*BD62*BB62,0),0)</f>
        <v>8663</v>
      </c>
      <c r="BF62" s="55" t="str">
        <f aca="false">IF(COUNT(AO62:AU62)&gt;0,"estimated","pending")</f>
        <v>estimated</v>
      </c>
    </row>
    <row r="63" customFormat="false" ht="16.5" hidden="false" customHeight="true" outlineLevel="0" collapsed="false">
      <c r="A63" s="102"/>
      <c r="B63" s="112" t="n">
        <f aca="false">IF($C63="","",COUNTA($C$5:C63))</f>
        <v>59</v>
      </c>
      <c r="C63" s="113" t="s">
        <v>587</v>
      </c>
      <c r="D63" s="114" t="s">
        <v>279</v>
      </c>
      <c r="E63" s="113" t="s">
        <v>563</v>
      </c>
      <c r="F63" s="113" t="s">
        <v>563</v>
      </c>
      <c r="G63" s="114" t="s">
        <v>588</v>
      </c>
      <c r="H63" s="114" t="n">
        <v>2</v>
      </c>
      <c r="I63" s="114" t="s">
        <v>114</v>
      </c>
      <c r="J63" s="115" t="n">
        <v>11000</v>
      </c>
      <c r="K63" s="115" t="n">
        <v>4600</v>
      </c>
      <c r="L63" s="115" t="n">
        <f aca="false">IF($C63="","",ROUND($J63*0.17,0))</f>
        <v>1870</v>
      </c>
      <c r="M63" s="115" t="n">
        <v>8600</v>
      </c>
      <c r="N63" s="115" t="n">
        <v>3500</v>
      </c>
      <c r="O63" s="115" t="n">
        <v>2200</v>
      </c>
      <c r="P63" s="115" t="n">
        <v>2200</v>
      </c>
      <c r="Q63" s="115" t="n">
        <v>15950</v>
      </c>
      <c r="R63" s="115" t="n">
        <v>7150</v>
      </c>
      <c r="S63" s="115" t="n">
        <f aca="false">IF($C63="","",ROUND($J63*2.2,0))</f>
        <v>24200</v>
      </c>
      <c r="T63" s="115" t="n">
        <v>3850</v>
      </c>
      <c r="U63" s="115" t="n">
        <v>3300</v>
      </c>
      <c r="V63" s="115" t="n">
        <v>2000</v>
      </c>
      <c r="W63" s="115" t="n">
        <v>2400</v>
      </c>
      <c r="X63" s="116" t="s">
        <v>290</v>
      </c>
      <c r="Y63" s="117" t="n">
        <v>0.75</v>
      </c>
      <c r="Z63" s="117" t="n">
        <v>1</v>
      </c>
      <c r="AA63" s="113" t="s">
        <v>589</v>
      </c>
      <c r="AB63" s="113" t="s">
        <v>590</v>
      </c>
      <c r="AC63" s="116"/>
      <c r="AD63" s="116"/>
      <c r="AE63" s="116" t="s">
        <v>591</v>
      </c>
      <c r="AF63" s="116"/>
      <c r="AG63" s="116"/>
      <c r="AH63" s="118"/>
      <c r="AI63" s="118"/>
      <c r="AJ63" s="118"/>
      <c r="AK63" s="118" t="s">
        <v>592</v>
      </c>
      <c r="AL63" s="118"/>
      <c r="AM63" s="103"/>
      <c r="AN63" s="102"/>
      <c r="AO63" s="104" t="n">
        <v>3274</v>
      </c>
      <c r="AP63" s="95"/>
      <c r="AQ63" s="95"/>
      <c r="AR63" s="95"/>
      <c r="AS63" s="95"/>
      <c r="AT63" s="95"/>
      <c r="AU63" s="95"/>
      <c r="AV63" s="96" t="str">
        <f aca="false">IF(AND(AP63&gt;0,J63&gt;0),J63*1000/(AP63*0.2),"")</f>
        <v/>
      </c>
      <c r="AW63" s="96" t="str">
        <f aca="false">IF(AND(AS63&gt;0,M63&gt;0),M63*1000/(AS63*0.3),"")</f>
        <v/>
      </c>
      <c r="AX63" s="96" t="n">
        <f aca="false">IF(AND(AO63&gt;0,O63&gt;0),O63*1000/(AO63*0.1),"")</f>
        <v>6719.60904092853</v>
      </c>
      <c r="AY63" s="96" t="str">
        <f aca="false">IF(AND(AR63&gt;0,N63&gt;0),N63*1000/(AR63*0.25),"")</f>
        <v/>
      </c>
      <c r="AZ63" s="96" t="str">
        <f aca="false">IF(AND(AQ63&gt;0,Q63&gt;0),Q63*1000/(AQ63*1),"")</f>
        <v/>
      </c>
      <c r="BA63" s="97" t="n">
        <f aca="false">IFERROR(VLOOKUP($I63,'07_Settings'!$A$10:$F$14,6,FALSE()),0.25)</f>
        <v>0.45</v>
      </c>
      <c r="BB63" s="98" t="n">
        <v>1</v>
      </c>
      <c r="BC63" s="98" t="n">
        <v>1</v>
      </c>
      <c r="BD63" s="98" t="n">
        <v>1</v>
      </c>
      <c r="BE63" s="99" t="n">
        <f aca="false">IFERROR(ROUND($S63*BA63*BC63*BD63*BB63,0),0)</f>
        <v>10890</v>
      </c>
      <c r="BF63" s="55" t="str">
        <f aca="false">IF(COUNT(AO63:AU63)&gt;0,"estimated","pending")</f>
        <v>estimated</v>
      </c>
    </row>
    <row r="64" customFormat="false" ht="16.5" hidden="false" customHeight="true" outlineLevel="0" collapsed="false">
      <c r="A64" s="102"/>
      <c r="B64" s="112" t="n">
        <f aca="false">IF($C64="","",COUNTA($C$5:C64))</f>
        <v>60</v>
      </c>
      <c r="C64" s="113" t="s">
        <v>593</v>
      </c>
      <c r="D64" s="114" t="s">
        <v>279</v>
      </c>
      <c r="E64" s="113" t="s">
        <v>563</v>
      </c>
      <c r="F64" s="113" t="s">
        <v>563</v>
      </c>
      <c r="G64" s="114" t="s">
        <v>560</v>
      </c>
      <c r="H64" s="114" t="n">
        <v>1</v>
      </c>
      <c r="I64" s="114" t="s">
        <v>118</v>
      </c>
      <c r="J64" s="115" t="n">
        <v>11000</v>
      </c>
      <c r="K64" s="115" t="n">
        <v>4600</v>
      </c>
      <c r="L64" s="115" t="n">
        <f aca="false">IF($C64="","",ROUND($J64*0.17,0))</f>
        <v>1870</v>
      </c>
      <c r="M64" s="115" t="n">
        <v>8600</v>
      </c>
      <c r="N64" s="115" t="n">
        <v>3500</v>
      </c>
      <c r="O64" s="115" t="n">
        <v>2200</v>
      </c>
      <c r="P64" s="115" t="n">
        <v>2200</v>
      </c>
      <c r="Q64" s="115" t="n">
        <v>15950</v>
      </c>
      <c r="R64" s="115" t="n">
        <v>7150</v>
      </c>
      <c r="S64" s="115" t="n">
        <f aca="false">IF($C64="","",ROUND($J64*2.2,0))</f>
        <v>24200</v>
      </c>
      <c r="T64" s="115" t="n">
        <v>3850</v>
      </c>
      <c r="U64" s="115" t="n">
        <v>3300</v>
      </c>
      <c r="V64" s="115" t="n">
        <v>2000</v>
      </c>
      <c r="W64" s="115" t="n">
        <v>2400</v>
      </c>
      <c r="X64" s="116" t="s">
        <v>310</v>
      </c>
      <c r="Y64" s="117" t="n">
        <v>0.3</v>
      </c>
      <c r="Z64" s="117" t="n">
        <v>1</v>
      </c>
      <c r="AA64" s="113" t="s">
        <v>594</v>
      </c>
      <c r="AB64" s="113" t="s">
        <v>595</v>
      </c>
      <c r="AC64" s="116"/>
      <c r="AD64" s="116"/>
      <c r="AE64" s="116"/>
      <c r="AF64" s="116"/>
      <c r="AG64" s="116"/>
      <c r="AH64" s="118"/>
      <c r="AI64" s="118"/>
      <c r="AJ64" s="118"/>
      <c r="AK64" s="118" t="s">
        <v>596</v>
      </c>
      <c r="AL64" s="118"/>
      <c r="AM64" s="103"/>
      <c r="AN64" s="102"/>
      <c r="AO64" s="95"/>
      <c r="AP64" s="95"/>
      <c r="AQ64" s="95"/>
      <c r="AR64" s="95"/>
      <c r="AS64" s="95"/>
      <c r="AT64" s="95"/>
      <c r="AU64" s="95"/>
      <c r="AV64" s="96" t="str">
        <f aca="false">IF(AND(AP64&gt;0,J64&gt;0),J64*1000/(AP64*0.2),"")</f>
        <v/>
      </c>
      <c r="AW64" s="96" t="str">
        <f aca="false">IF(AND(AS64&gt;0,M64&gt;0),M64*1000/(AS64*0.3),"")</f>
        <v/>
      </c>
      <c r="AX64" s="96" t="str">
        <f aca="false">IF(AND(AO64&gt;0,O64&gt;0),O64*1000/(AO64*0.1),"")</f>
        <v/>
      </c>
      <c r="AY64" s="96" t="str">
        <f aca="false">IF(AND(AR64&gt;0,N64&gt;0),N64*1000/(AR64*0.25),"")</f>
        <v/>
      </c>
      <c r="AZ64" s="96" t="str">
        <f aca="false">IF(AND(AQ64&gt;0,Q64&gt;0),Q64*1000/(AQ64*1),"")</f>
        <v/>
      </c>
      <c r="BA64" s="97" t="n">
        <f aca="false">IFERROR(VLOOKUP($I64,'07_Settings'!$A$10:$F$14,6,FALSE()),0.25)</f>
        <v>0.35</v>
      </c>
      <c r="BB64" s="98" t="n">
        <v>1</v>
      </c>
      <c r="BC64" s="98" t="n">
        <v>1</v>
      </c>
      <c r="BD64" s="98" t="n">
        <v>1</v>
      </c>
      <c r="BE64" s="99" t="n">
        <f aca="false">IFERROR(ROUND($S64*BA64*BC64*BD64*BB64,0),0)</f>
        <v>8470</v>
      </c>
      <c r="BF64" s="55" t="str">
        <f aca="false">IF(COUNT(AO64:AU64)&gt;0,"estimated","pending")</f>
        <v>pending</v>
      </c>
    </row>
    <row r="65" customFormat="false" ht="16.5" hidden="false" customHeight="true" outlineLevel="0" collapsed="false">
      <c r="A65" s="102"/>
      <c r="B65" s="112" t="n">
        <f aca="false">IF($C65="","",COUNTA($C$5:C65))</f>
        <v>61</v>
      </c>
      <c r="C65" s="113" t="s">
        <v>597</v>
      </c>
      <c r="D65" s="114" t="s">
        <v>279</v>
      </c>
      <c r="E65" s="113" t="s">
        <v>563</v>
      </c>
      <c r="F65" s="113" t="s">
        <v>563</v>
      </c>
      <c r="G65" s="114" t="s">
        <v>598</v>
      </c>
      <c r="H65" s="114" t="n">
        <v>2</v>
      </c>
      <c r="I65" s="114" t="s">
        <v>114</v>
      </c>
      <c r="J65" s="115" t="n">
        <v>5700</v>
      </c>
      <c r="K65" s="115" t="n">
        <v>2400</v>
      </c>
      <c r="L65" s="115" t="n">
        <f aca="false">IF($C65="","",ROUND($J65*0.17,0))</f>
        <v>969</v>
      </c>
      <c r="M65" s="115" t="n">
        <v>4450</v>
      </c>
      <c r="N65" s="115" t="n">
        <v>1850</v>
      </c>
      <c r="O65" s="115" t="n">
        <v>1150</v>
      </c>
      <c r="P65" s="115" t="n">
        <v>1150</v>
      </c>
      <c r="Q65" s="115" t="n">
        <v>8300</v>
      </c>
      <c r="R65" s="115" t="n">
        <v>3700</v>
      </c>
      <c r="S65" s="115" t="n">
        <f aca="false">IF($C65="","",ROUND($J65*2.2,0))</f>
        <v>12540</v>
      </c>
      <c r="T65" s="115" t="n">
        <v>2000</v>
      </c>
      <c r="U65" s="115" t="n">
        <v>1700</v>
      </c>
      <c r="V65" s="115" t="n">
        <v>1050</v>
      </c>
      <c r="W65" s="115" t="n">
        <v>2400</v>
      </c>
      <c r="X65" s="116" t="s">
        <v>290</v>
      </c>
      <c r="Y65" s="117" t="n">
        <v>0.75</v>
      </c>
      <c r="Z65" s="117" t="n">
        <v>1</v>
      </c>
      <c r="AA65" s="113" t="s">
        <v>599</v>
      </c>
      <c r="AB65" s="113" t="s">
        <v>600</v>
      </c>
      <c r="AC65" s="116"/>
      <c r="AD65" s="116" t="s">
        <v>601</v>
      </c>
      <c r="AE65" s="116"/>
      <c r="AF65" s="116"/>
      <c r="AG65" s="116"/>
      <c r="AH65" s="118"/>
      <c r="AI65" s="118"/>
      <c r="AJ65" s="118"/>
      <c r="AK65" s="118" t="s">
        <v>602</v>
      </c>
      <c r="AL65" s="118"/>
      <c r="AM65" s="103"/>
      <c r="AN65" s="102"/>
      <c r="AO65" s="95"/>
      <c r="AP65" s="95"/>
      <c r="AQ65" s="95"/>
      <c r="AR65" s="95"/>
      <c r="AS65" s="95"/>
      <c r="AT65" s="95"/>
      <c r="AU65" s="95"/>
      <c r="AV65" s="96" t="str">
        <f aca="false">IF(AND(AP65&gt;0,J65&gt;0),J65*1000/(AP65*0.2),"")</f>
        <v/>
      </c>
      <c r="AW65" s="96" t="str">
        <f aca="false">IF(AND(AS65&gt;0,M65&gt;0),M65*1000/(AS65*0.3),"")</f>
        <v/>
      </c>
      <c r="AX65" s="96" t="str">
        <f aca="false">IF(AND(AO65&gt;0,O65&gt;0),O65*1000/(AO65*0.1),"")</f>
        <v/>
      </c>
      <c r="AY65" s="96" t="str">
        <f aca="false">IF(AND(AR65&gt;0,N65&gt;0),N65*1000/(AR65*0.25),"")</f>
        <v/>
      </c>
      <c r="AZ65" s="96" t="str">
        <f aca="false">IF(AND(AQ65&gt;0,Q65&gt;0),Q65*1000/(AQ65*1),"")</f>
        <v/>
      </c>
      <c r="BA65" s="97" t="n">
        <f aca="false">IFERROR(VLOOKUP($I65,'07_Settings'!$A$10:$F$14,6,FALSE()),0.25)</f>
        <v>0.45</v>
      </c>
      <c r="BB65" s="98" t="n">
        <v>1</v>
      </c>
      <c r="BC65" s="98" t="n">
        <v>1</v>
      </c>
      <c r="BD65" s="98" t="n">
        <v>1</v>
      </c>
      <c r="BE65" s="99" t="n">
        <f aca="false">IFERROR(ROUND($S65*BA65*BC65*BD65*BB65,0),0)</f>
        <v>5643</v>
      </c>
      <c r="BF65" s="55" t="str">
        <f aca="false">IF(COUNT(AO65:AU65)&gt;0,"estimated","pending")</f>
        <v>pending</v>
      </c>
    </row>
    <row r="66" customFormat="false" ht="16.5" hidden="false" customHeight="true" outlineLevel="0" collapsed="false">
      <c r="A66" s="102"/>
      <c r="B66" s="112" t="n">
        <f aca="false">IF($C66="","",COUNTA($C$5:C66))</f>
        <v>62</v>
      </c>
      <c r="C66" s="113" t="s">
        <v>603</v>
      </c>
      <c r="D66" s="114" t="s">
        <v>279</v>
      </c>
      <c r="E66" s="113" t="s">
        <v>563</v>
      </c>
      <c r="F66" s="113" t="s">
        <v>563</v>
      </c>
      <c r="G66" s="114" t="s">
        <v>598</v>
      </c>
      <c r="H66" s="114" t="n">
        <v>1</v>
      </c>
      <c r="I66" s="114" t="s">
        <v>118</v>
      </c>
      <c r="J66" s="115" t="n">
        <v>11000</v>
      </c>
      <c r="K66" s="115" t="n">
        <v>4600</v>
      </c>
      <c r="L66" s="115" t="n">
        <f aca="false">IF($C66="","",ROUND($J66*0.17,0))</f>
        <v>1870</v>
      </c>
      <c r="M66" s="115" t="n">
        <v>8600</v>
      </c>
      <c r="N66" s="115" t="n">
        <v>3500</v>
      </c>
      <c r="O66" s="115" t="n">
        <v>2200</v>
      </c>
      <c r="P66" s="115" t="n">
        <v>2200</v>
      </c>
      <c r="Q66" s="115" t="n">
        <v>15950</v>
      </c>
      <c r="R66" s="115" t="n">
        <v>7150</v>
      </c>
      <c r="S66" s="115" t="n">
        <f aca="false">IF($C66="","",ROUND($J66*2.2,0))</f>
        <v>24200</v>
      </c>
      <c r="T66" s="115" t="n">
        <v>3850</v>
      </c>
      <c r="U66" s="115" t="n">
        <v>3300</v>
      </c>
      <c r="V66" s="115" t="n">
        <v>2000</v>
      </c>
      <c r="W66" s="115" t="n">
        <v>2400</v>
      </c>
      <c r="X66" s="116" t="s">
        <v>310</v>
      </c>
      <c r="Y66" s="117" t="n">
        <v>0.75</v>
      </c>
      <c r="Z66" s="117" t="n">
        <v>1</v>
      </c>
      <c r="AA66" s="113" t="s">
        <v>604</v>
      </c>
      <c r="AB66" s="113" t="s">
        <v>605</v>
      </c>
      <c r="AC66" s="116"/>
      <c r="AD66" s="116"/>
      <c r="AE66" s="116"/>
      <c r="AF66" s="116"/>
      <c r="AG66" s="116"/>
      <c r="AH66" s="118"/>
      <c r="AI66" s="118"/>
      <c r="AJ66" s="118"/>
      <c r="AK66" s="120" t="n">
        <v>31480</v>
      </c>
      <c r="AL66" s="118"/>
      <c r="AM66" s="103"/>
      <c r="AN66" s="102"/>
      <c r="AO66" s="104" t="n">
        <v>652</v>
      </c>
      <c r="AP66" s="95"/>
      <c r="AQ66" s="95"/>
      <c r="AR66" s="95"/>
      <c r="AS66" s="95"/>
      <c r="AT66" s="95"/>
      <c r="AU66" s="95"/>
      <c r="AV66" s="96" t="str">
        <f aca="false">IF(AND(AP66&gt;0,J66&gt;0),J66*1000/(AP66*0.2),"")</f>
        <v/>
      </c>
      <c r="AW66" s="96" t="str">
        <f aca="false">IF(AND(AS66&gt;0,M66&gt;0),M66*1000/(AS66*0.3),"")</f>
        <v/>
      </c>
      <c r="AX66" s="96" t="n">
        <f aca="false">IF(AND(AO66&gt;0,O66&gt;0),O66*1000/(AO66*0.1),"")</f>
        <v>33742.3312883436</v>
      </c>
      <c r="AY66" s="96" t="str">
        <f aca="false">IF(AND(AR66&gt;0,N66&gt;0),N66*1000/(AR66*0.25),"")</f>
        <v/>
      </c>
      <c r="AZ66" s="96" t="str">
        <f aca="false">IF(AND(AQ66&gt;0,Q66&gt;0),Q66*1000/(AQ66*1),"")</f>
        <v/>
      </c>
      <c r="BA66" s="97" t="n">
        <f aca="false">IFERROR(VLOOKUP($I66,'07_Settings'!$A$10:$F$14,6,FALSE()),0.25)</f>
        <v>0.35</v>
      </c>
      <c r="BB66" s="98" t="n">
        <v>1</v>
      </c>
      <c r="BC66" s="98" t="n">
        <v>1</v>
      </c>
      <c r="BD66" s="98" t="n">
        <v>1</v>
      </c>
      <c r="BE66" s="99" t="n">
        <f aca="false">IFERROR(ROUND($S66*BA66*BC66*BD66*BB66,0),0)</f>
        <v>8470</v>
      </c>
      <c r="BF66" s="55" t="str">
        <f aca="false">IF(COUNT(AO66:AU66)&gt;0,"estimated","pending")</f>
        <v>estimated</v>
      </c>
    </row>
    <row r="67" customFormat="false" ht="16.5" hidden="false" customHeight="true" outlineLevel="0" collapsed="false">
      <c r="A67" s="102"/>
      <c r="B67" s="112" t="n">
        <f aca="false">IF($C67="","",COUNTA($C$5:C67))</f>
        <v>63</v>
      </c>
      <c r="C67" s="113" t="s">
        <v>606</v>
      </c>
      <c r="D67" s="114" t="s">
        <v>279</v>
      </c>
      <c r="E67" s="113" t="s">
        <v>563</v>
      </c>
      <c r="F67" s="113" t="s">
        <v>563</v>
      </c>
      <c r="G67" s="114" t="s">
        <v>607</v>
      </c>
      <c r="H67" s="114" t="n">
        <v>2</v>
      </c>
      <c r="I67" s="114" t="s">
        <v>114</v>
      </c>
      <c r="J67" s="115" t="n">
        <v>5200</v>
      </c>
      <c r="K67" s="115" t="n">
        <v>2200</v>
      </c>
      <c r="L67" s="115" t="n">
        <f aca="false">IF($C67="","",ROUND($J67*0.17,0))</f>
        <v>884</v>
      </c>
      <c r="M67" s="115" t="n">
        <v>4050</v>
      </c>
      <c r="N67" s="115" t="n">
        <v>1650</v>
      </c>
      <c r="O67" s="115" t="n">
        <v>1050</v>
      </c>
      <c r="P67" s="115" t="n">
        <v>1050</v>
      </c>
      <c r="Q67" s="115" t="n">
        <v>7550</v>
      </c>
      <c r="R67" s="115" t="n">
        <v>3400</v>
      </c>
      <c r="S67" s="115" t="n">
        <f aca="false">IF($C67="","",ROUND($J67*2.2,0))</f>
        <v>11440</v>
      </c>
      <c r="T67" s="115" t="n">
        <v>1800</v>
      </c>
      <c r="U67" s="115" t="n">
        <v>1550</v>
      </c>
      <c r="V67" s="115" t="n">
        <v>950</v>
      </c>
      <c r="W67" s="115" t="n">
        <v>2400</v>
      </c>
      <c r="X67" s="116" t="s">
        <v>290</v>
      </c>
      <c r="Y67" s="117" t="n">
        <v>0.75</v>
      </c>
      <c r="Z67" s="117" t="n">
        <v>1</v>
      </c>
      <c r="AA67" s="113" t="s">
        <v>608</v>
      </c>
      <c r="AB67" s="113" t="s">
        <v>609</v>
      </c>
      <c r="AC67" s="116"/>
      <c r="AD67" s="116" t="s">
        <v>610</v>
      </c>
      <c r="AE67" s="116"/>
      <c r="AF67" s="116"/>
      <c r="AG67" s="116"/>
      <c r="AH67" s="118"/>
      <c r="AI67" s="118"/>
      <c r="AJ67" s="118"/>
      <c r="AK67" s="120" t="n">
        <v>32517</v>
      </c>
      <c r="AL67" s="118"/>
      <c r="AM67" s="103"/>
      <c r="AN67" s="102"/>
      <c r="AO67" s="104" t="n">
        <v>1217</v>
      </c>
      <c r="AP67" s="95"/>
      <c r="AQ67" s="95"/>
      <c r="AR67" s="95"/>
      <c r="AS67" s="95"/>
      <c r="AT67" s="95"/>
      <c r="AU67" s="95"/>
      <c r="AV67" s="96" t="str">
        <f aca="false">IF(AND(AP67&gt;0,J67&gt;0),J67*1000/(AP67*0.2),"")</f>
        <v/>
      </c>
      <c r="AW67" s="96" t="str">
        <f aca="false">IF(AND(AS67&gt;0,M67&gt;0),M67*1000/(AS67*0.3),"")</f>
        <v/>
      </c>
      <c r="AX67" s="96" t="n">
        <f aca="false">IF(AND(AO67&gt;0,O67&gt;0),O67*1000/(AO67*0.1),"")</f>
        <v>8627.77321281841</v>
      </c>
      <c r="AY67" s="96" t="str">
        <f aca="false">IF(AND(AR67&gt;0,N67&gt;0),N67*1000/(AR67*0.25),"")</f>
        <v/>
      </c>
      <c r="AZ67" s="96" t="str">
        <f aca="false">IF(AND(AQ67&gt;0,Q67&gt;0),Q67*1000/(AQ67*1),"")</f>
        <v/>
      </c>
      <c r="BA67" s="97" t="n">
        <f aca="false">IFERROR(VLOOKUP($I67,'07_Settings'!$A$10:$F$14,6,FALSE()),0.25)</f>
        <v>0.45</v>
      </c>
      <c r="BB67" s="98" t="n">
        <v>1</v>
      </c>
      <c r="BC67" s="98" t="n">
        <v>1</v>
      </c>
      <c r="BD67" s="98" t="n">
        <v>1</v>
      </c>
      <c r="BE67" s="99" t="n">
        <f aca="false">IFERROR(ROUND($S67*BA67*BC67*BD67*BB67,0),0)</f>
        <v>5148</v>
      </c>
      <c r="BF67" s="55" t="str">
        <f aca="false">IF(COUNT(AO67:AU67)&gt;0,"estimated","pending")</f>
        <v>estimated</v>
      </c>
    </row>
    <row r="68" customFormat="false" ht="16.5" hidden="false" customHeight="true" outlineLevel="0" collapsed="false">
      <c r="A68" s="102"/>
      <c r="B68" s="112" t="n">
        <f aca="false">IF($C68="","",COUNTA($C$5:C68))</f>
        <v>64</v>
      </c>
      <c r="C68" s="113" t="s">
        <v>611</v>
      </c>
      <c r="D68" s="114" t="s">
        <v>279</v>
      </c>
      <c r="E68" s="113" t="s">
        <v>612</v>
      </c>
      <c r="F68" s="113" t="s">
        <v>612</v>
      </c>
      <c r="G68" s="114" t="s">
        <v>613</v>
      </c>
      <c r="H68" s="114" t="n">
        <v>1</v>
      </c>
      <c r="I68" s="114" t="s">
        <v>118</v>
      </c>
      <c r="J68" s="115" t="n">
        <v>11000</v>
      </c>
      <c r="K68" s="115" t="n">
        <v>4600</v>
      </c>
      <c r="L68" s="115" t="n">
        <f aca="false">IF($C68="","",ROUND($J68*0.17,0))</f>
        <v>1870</v>
      </c>
      <c r="M68" s="115" t="n">
        <v>8600</v>
      </c>
      <c r="N68" s="115" t="n">
        <v>3500</v>
      </c>
      <c r="O68" s="115" t="n">
        <v>2200</v>
      </c>
      <c r="P68" s="115" t="n">
        <v>2200</v>
      </c>
      <c r="Q68" s="115" t="n">
        <v>15950</v>
      </c>
      <c r="R68" s="115" t="n">
        <v>7150</v>
      </c>
      <c r="S68" s="115" t="n">
        <f aca="false">IF($C68="","",ROUND($J68*2.2,0))</f>
        <v>24200</v>
      </c>
      <c r="T68" s="115" t="n">
        <v>3850</v>
      </c>
      <c r="U68" s="115" t="n">
        <v>3300</v>
      </c>
      <c r="V68" s="115" t="n">
        <v>2000</v>
      </c>
      <c r="W68" s="115" t="n">
        <v>2400</v>
      </c>
      <c r="X68" s="116" t="s">
        <v>310</v>
      </c>
      <c r="Y68" s="117" t="n">
        <v>0.1</v>
      </c>
      <c r="Z68" s="117" t="n">
        <v>1</v>
      </c>
      <c r="AA68" s="113" t="s">
        <v>614</v>
      </c>
      <c r="AB68" s="113" t="s">
        <v>615</v>
      </c>
      <c r="AC68" s="116"/>
      <c r="AD68" s="116"/>
      <c r="AE68" s="116"/>
      <c r="AF68" s="116"/>
      <c r="AG68" s="116"/>
      <c r="AH68" s="118"/>
      <c r="AI68" s="118"/>
      <c r="AJ68" s="118"/>
      <c r="AK68" s="118" t="s">
        <v>616</v>
      </c>
      <c r="AL68" s="118"/>
      <c r="AM68" s="103"/>
      <c r="AN68" s="102"/>
      <c r="AO68" s="104" t="n">
        <v>30800</v>
      </c>
      <c r="AP68" s="104" t="n">
        <v>268</v>
      </c>
      <c r="AQ68" s="95"/>
      <c r="AR68" s="95"/>
      <c r="AS68" s="95"/>
      <c r="AT68" s="95"/>
      <c r="AU68" s="95"/>
      <c r="AV68" s="96" t="n">
        <f aca="false">IF(AND(AP68&gt;0,J68&gt;0),J68*1000/(AP68*0.2),"")</f>
        <v>205223.880597015</v>
      </c>
      <c r="AW68" s="96" t="str">
        <f aca="false">IF(AND(AS68&gt;0,M68&gt;0),M68*1000/(AS68*0.3),"")</f>
        <v/>
      </c>
      <c r="AX68" s="96" t="n">
        <f aca="false">IF(AND(AO68&gt;0,O68&gt;0),O68*1000/(AO68*0.1),"")</f>
        <v>714.285714285714</v>
      </c>
      <c r="AY68" s="96" t="str">
        <f aca="false">IF(AND(AR68&gt;0,N68&gt;0),N68*1000/(AR68*0.25),"")</f>
        <v/>
      </c>
      <c r="AZ68" s="96" t="str">
        <f aca="false">IF(AND(AQ68&gt;0,Q68&gt;0),Q68*1000/(AQ68*1),"")</f>
        <v/>
      </c>
      <c r="BA68" s="97" t="n">
        <f aca="false">IFERROR(VLOOKUP($I68,'07_Settings'!$A$10:$F$14,6,FALSE()),0.25)</f>
        <v>0.35</v>
      </c>
      <c r="BB68" s="98" t="n">
        <v>1</v>
      </c>
      <c r="BC68" s="98" t="n">
        <v>1</v>
      </c>
      <c r="BD68" s="98" t="n">
        <v>1</v>
      </c>
      <c r="BE68" s="99" t="n">
        <f aca="false">IFERROR(ROUND($S68*BA68*BC68*BD68*BB68,0),0)</f>
        <v>8470</v>
      </c>
      <c r="BF68" s="55" t="str">
        <f aca="false">IF(COUNT(AO68:AU68)&gt;0,"estimated","pending")</f>
        <v>estimated</v>
      </c>
    </row>
    <row r="69" customFormat="false" ht="16.5" hidden="false" customHeight="true" outlineLevel="0" collapsed="false">
      <c r="A69" s="102"/>
      <c r="B69" s="112" t="n">
        <f aca="false">IF($C69="","",COUNTA($C$5:C69))</f>
        <v>65</v>
      </c>
      <c r="C69" s="113" t="s">
        <v>617</v>
      </c>
      <c r="D69" s="114" t="s">
        <v>279</v>
      </c>
      <c r="E69" s="113" t="s">
        <v>559</v>
      </c>
      <c r="F69" s="113" t="s">
        <v>559</v>
      </c>
      <c r="G69" s="114" t="s">
        <v>618</v>
      </c>
      <c r="H69" s="114" t="n">
        <v>3</v>
      </c>
      <c r="I69" s="114" t="s">
        <v>106</v>
      </c>
      <c r="J69" s="115" t="n">
        <v>11000</v>
      </c>
      <c r="K69" s="115" t="n">
        <v>4600</v>
      </c>
      <c r="L69" s="115" t="n">
        <f aca="false">IF($C69="","",ROUND($J69*0.17,0))</f>
        <v>1870</v>
      </c>
      <c r="M69" s="115" t="n">
        <v>8600</v>
      </c>
      <c r="N69" s="115" t="n">
        <v>3500</v>
      </c>
      <c r="O69" s="115" t="n">
        <v>2200</v>
      </c>
      <c r="P69" s="115" t="n">
        <v>2200</v>
      </c>
      <c r="Q69" s="115" t="n">
        <v>15950</v>
      </c>
      <c r="R69" s="115" t="n">
        <v>7150</v>
      </c>
      <c r="S69" s="115" t="n">
        <f aca="false">IF($C69="","",ROUND($J69*2.2,0))</f>
        <v>24200</v>
      </c>
      <c r="T69" s="115" t="n">
        <v>3850</v>
      </c>
      <c r="U69" s="115" t="n">
        <v>3300</v>
      </c>
      <c r="V69" s="115" t="n">
        <v>2000</v>
      </c>
      <c r="W69" s="115" t="n">
        <v>2400</v>
      </c>
      <c r="X69" s="116" t="s">
        <v>236</v>
      </c>
      <c r="Y69" s="117" t="n">
        <v>0.5</v>
      </c>
      <c r="Z69" s="117" t="n">
        <v>1</v>
      </c>
      <c r="AA69" s="113" t="s">
        <v>619</v>
      </c>
      <c r="AB69" s="113" t="s">
        <v>620</v>
      </c>
      <c r="AC69" s="116"/>
      <c r="AD69" s="116" t="s">
        <v>621</v>
      </c>
      <c r="AE69" s="116" t="s">
        <v>622</v>
      </c>
      <c r="AF69" s="116"/>
      <c r="AG69" s="116"/>
      <c r="AH69" s="118"/>
      <c r="AI69" s="118"/>
      <c r="AJ69" s="118"/>
      <c r="AK69" s="118" t="s">
        <v>623</v>
      </c>
      <c r="AL69" s="118"/>
      <c r="AM69" s="103"/>
      <c r="AN69" s="102"/>
      <c r="AO69" s="104" t="n">
        <v>458600</v>
      </c>
      <c r="AP69" s="104" t="n">
        <v>213000</v>
      </c>
      <c r="AQ69" s="104" t="n">
        <v>1150157</v>
      </c>
      <c r="AR69" s="104" t="n">
        <v>325000</v>
      </c>
      <c r="AS69" s="104" t="n">
        <v>701100</v>
      </c>
      <c r="AT69" s="95"/>
      <c r="AU69" s="95"/>
      <c r="AV69" s="96" t="n">
        <f aca="false">IF(AND(AP69&gt;0,J69&gt;0),J69*1000/(AP69*0.2),"")</f>
        <v>258.215962441315</v>
      </c>
      <c r="AW69" s="96" t="n">
        <f aca="false">IF(AND(AS69&gt;0,M69&gt;0),M69*1000/(AS69*0.3),"")</f>
        <v>40.8881281795274</v>
      </c>
      <c r="AX69" s="96" t="n">
        <f aca="false">IF(AND(AO69&gt;0,O69&gt;0),O69*1000/(AO69*0.1),"")</f>
        <v>47.9720889664195</v>
      </c>
      <c r="AY69" s="96" t="n">
        <f aca="false">IF(AND(AR69&gt;0,N69&gt;0),N69*1000/(AR69*0.25),"")</f>
        <v>43.0769230769231</v>
      </c>
      <c r="AZ69" s="96" t="n">
        <f aca="false">IF(AND(AQ69&gt;0,Q69&gt;0),Q69*1000/(AQ69*1),"")</f>
        <v>13.8676719786951</v>
      </c>
      <c r="BA69" s="97" t="n">
        <f aca="false">IFERROR(VLOOKUP($I69,'07_Settings'!$A$10:$F$14,6,FALSE()),0.25)</f>
        <v>0.65</v>
      </c>
      <c r="BB69" s="98" t="n">
        <v>1</v>
      </c>
      <c r="BC69" s="98" t="n">
        <v>1</v>
      </c>
      <c r="BD69" s="98" t="n">
        <v>1</v>
      </c>
      <c r="BE69" s="99" t="n">
        <f aca="false">IFERROR(ROUND($S69*BA69*BC69*BD69*BB69,0),0)</f>
        <v>15730</v>
      </c>
      <c r="BF69" s="55" t="str">
        <f aca="false">IF(COUNT(AO69:AU69)&gt;0,"estimated","pending")</f>
        <v>estimated</v>
      </c>
    </row>
    <row r="70" customFormat="false" ht="16.5" hidden="false" customHeight="true" outlineLevel="0" collapsed="false">
      <c r="A70" s="102"/>
      <c r="B70" s="112" t="n">
        <f aca="false">IF($C70="","",COUNTA($C$5:C70))</f>
        <v>66</v>
      </c>
      <c r="C70" s="113" t="s">
        <v>624</v>
      </c>
      <c r="D70" s="114" t="s">
        <v>279</v>
      </c>
      <c r="E70" s="113" t="s">
        <v>559</v>
      </c>
      <c r="F70" s="113" t="s">
        <v>559</v>
      </c>
      <c r="G70" s="114" t="s">
        <v>560</v>
      </c>
      <c r="H70" s="114" t="n">
        <v>3</v>
      </c>
      <c r="I70" s="114" t="s">
        <v>118</v>
      </c>
      <c r="J70" s="115" t="n">
        <v>11000</v>
      </c>
      <c r="K70" s="115" t="n">
        <v>4600</v>
      </c>
      <c r="L70" s="115" t="n">
        <f aca="false">IF($C70="","",ROUND($J70*0.17,0))</f>
        <v>1870</v>
      </c>
      <c r="M70" s="115" t="n">
        <v>8600</v>
      </c>
      <c r="N70" s="115" t="n">
        <v>3500</v>
      </c>
      <c r="O70" s="115" t="n">
        <v>2200</v>
      </c>
      <c r="P70" s="115" t="n">
        <v>2200</v>
      </c>
      <c r="Q70" s="115" t="n">
        <v>15950</v>
      </c>
      <c r="R70" s="115" t="n">
        <v>7150</v>
      </c>
      <c r="S70" s="115" t="n">
        <f aca="false">IF($C70="","",ROUND($J70*2.2,0))</f>
        <v>24200</v>
      </c>
      <c r="T70" s="115" t="n">
        <v>3850</v>
      </c>
      <c r="U70" s="115" t="n">
        <v>3300</v>
      </c>
      <c r="V70" s="115" t="n">
        <v>2000</v>
      </c>
      <c r="W70" s="115" t="n">
        <v>2400</v>
      </c>
      <c r="X70" s="116" t="s">
        <v>236</v>
      </c>
      <c r="Y70" s="117" t="n">
        <v>0.3</v>
      </c>
      <c r="Z70" s="117" t="n">
        <v>1</v>
      </c>
      <c r="AA70" s="113" t="s">
        <v>625</v>
      </c>
      <c r="AB70" s="113" t="s">
        <v>626</v>
      </c>
      <c r="AC70" s="116" t="s">
        <v>627</v>
      </c>
      <c r="AD70" s="116" t="s">
        <v>628</v>
      </c>
      <c r="AE70" s="116"/>
      <c r="AF70" s="116"/>
      <c r="AG70" s="116"/>
      <c r="AH70" s="118"/>
      <c r="AI70" s="118"/>
      <c r="AJ70" s="118"/>
      <c r="AK70" s="118" t="s">
        <v>629</v>
      </c>
      <c r="AL70" s="118"/>
      <c r="AM70" s="103"/>
      <c r="AN70" s="102"/>
      <c r="AO70" s="104" t="n">
        <v>28900</v>
      </c>
      <c r="AP70" s="95"/>
      <c r="AQ70" s="95"/>
      <c r="AR70" s="95"/>
      <c r="AS70" s="95"/>
      <c r="AT70" s="95"/>
      <c r="AU70" s="95"/>
      <c r="AV70" s="96" t="str">
        <f aca="false">IF(AND(AP70&gt;0,J70&gt;0),J70*1000/(AP70*0.2),"")</f>
        <v/>
      </c>
      <c r="AW70" s="96" t="str">
        <f aca="false">IF(AND(AS70&gt;0,M70&gt;0),M70*1000/(AS70*0.3),"")</f>
        <v/>
      </c>
      <c r="AX70" s="96" t="n">
        <f aca="false">IF(AND(AO70&gt;0,O70&gt;0),O70*1000/(AO70*0.1),"")</f>
        <v>761.245674740484</v>
      </c>
      <c r="AY70" s="96" t="str">
        <f aca="false">IF(AND(AR70&gt;0,N70&gt;0),N70*1000/(AR70*0.25),"")</f>
        <v/>
      </c>
      <c r="AZ70" s="96" t="str">
        <f aca="false">IF(AND(AQ70&gt;0,Q70&gt;0),Q70*1000/(AQ70*1),"")</f>
        <v/>
      </c>
      <c r="BA70" s="97" t="n">
        <f aca="false">IFERROR(VLOOKUP($I70,'07_Settings'!$A$10:$F$14,6,FALSE()),0.25)</f>
        <v>0.35</v>
      </c>
      <c r="BB70" s="98" t="n">
        <v>1</v>
      </c>
      <c r="BC70" s="98" t="n">
        <v>1</v>
      </c>
      <c r="BD70" s="98" t="n">
        <v>1</v>
      </c>
      <c r="BE70" s="99" t="n">
        <f aca="false">IFERROR(ROUND($S70*BA70*BC70*BD70*BB70,0),0)</f>
        <v>8470</v>
      </c>
      <c r="BF70" s="55" t="str">
        <f aca="false">IF(COUNT(AO70:AU70)&gt;0,"estimated","pending")</f>
        <v>estimated</v>
      </c>
    </row>
    <row r="71" customFormat="false" ht="16.5" hidden="false" customHeight="true" outlineLevel="0" collapsed="false">
      <c r="A71" s="102"/>
      <c r="B71" s="112" t="n">
        <f aca="false">IF($C71="","",COUNTA($C$5:C71))</f>
        <v>67</v>
      </c>
      <c r="C71" s="113" t="s">
        <v>630</v>
      </c>
      <c r="D71" s="114" t="s">
        <v>279</v>
      </c>
      <c r="E71" s="113" t="s">
        <v>280</v>
      </c>
      <c r="F71" s="113" t="s">
        <v>309</v>
      </c>
      <c r="G71" s="114" t="s">
        <v>560</v>
      </c>
      <c r="H71" s="114" t="n">
        <v>4</v>
      </c>
      <c r="I71" s="114" t="s">
        <v>114</v>
      </c>
      <c r="J71" s="115" t="n">
        <v>12100</v>
      </c>
      <c r="K71" s="115" t="n">
        <v>5100</v>
      </c>
      <c r="L71" s="115" t="n">
        <f aca="false">IF($C71="","",ROUND($J71*0.17,0))</f>
        <v>2057</v>
      </c>
      <c r="M71" s="115" t="n">
        <v>9450</v>
      </c>
      <c r="N71" s="115" t="n">
        <v>3850</v>
      </c>
      <c r="O71" s="115" t="n">
        <v>2400</v>
      </c>
      <c r="P71" s="115" t="n">
        <v>2400</v>
      </c>
      <c r="Q71" s="115" t="n">
        <v>17550</v>
      </c>
      <c r="R71" s="115" t="n">
        <v>7850</v>
      </c>
      <c r="S71" s="115" t="n">
        <f aca="false">IF($C71="","",ROUND($J71*2.2,0))</f>
        <v>26620</v>
      </c>
      <c r="T71" s="115" t="n">
        <v>4250</v>
      </c>
      <c r="U71" s="115" t="n">
        <v>3650</v>
      </c>
      <c r="V71" s="115" t="n">
        <v>2200</v>
      </c>
      <c r="W71" s="115" t="n">
        <v>2400</v>
      </c>
      <c r="X71" s="116" t="s">
        <v>222</v>
      </c>
      <c r="Y71" s="117" t="n">
        <v>0.3</v>
      </c>
      <c r="Z71" s="117" t="n">
        <v>1</v>
      </c>
      <c r="AA71" s="113" t="s">
        <v>631</v>
      </c>
      <c r="AB71" s="113" t="s">
        <v>632</v>
      </c>
      <c r="AC71" s="116" t="s">
        <v>633</v>
      </c>
      <c r="AD71" s="116" t="s">
        <v>634</v>
      </c>
      <c r="AE71" s="116" t="s">
        <v>635</v>
      </c>
      <c r="AF71" s="116"/>
      <c r="AG71" s="116"/>
      <c r="AH71" s="118"/>
      <c r="AI71" s="118"/>
      <c r="AJ71" s="118"/>
      <c r="AK71" s="118" t="s">
        <v>636</v>
      </c>
      <c r="AL71" s="118"/>
      <c r="AM71" s="103"/>
      <c r="AN71" s="102"/>
      <c r="AO71" s="104" t="n">
        <v>107300</v>
      </c>
      <c r="AP71" s="104" t="n">
        <v>95000</v>
      </c>
      <c r="AQ71" s="95"/>
      <c r="AR71" s="95"/>
      <c r="AS71" s="95"/>
      <c r="AT71" s="95"/>
      <c r="AU71" s="95"/>
      <c r="AV71" s="96" t="n">
        <f aca="false">IF(AND(AP71&gt;0,J71&gt;0),J71*1000/(AP71*0.2),"")</f>
        <v>636.842105263158</v>
      </c>
      <c r="AW71" s="96" t="str">
        <f aca="false">IF(AND(AS71&gt;0,M71&gt;0),M71*1000/(AS71*0.3),"")</f>
        <v/>
      </c>
      <c r="AX71" s="96" t="n">
        <f aca="false">IF(AND(AO71&gt;0,O71&gt;0),O71*1000/(AO71*0.1),"")</f>
        <v>223.671947809879</v>
      </c>
      <c r="AY71" s="96" t="str">
        <f aca="false">IF(AND(AR71&gt;0,N71&gt;0),N71*1000/(AR71*0.25),"")</f>
        <v/>
      </c>
      <c r="AZ71" s="96" t="str">
        <f aca="false">IF(AND(AQ71&gt;0,Q71&gt;0),Q71*1000/(AQ71*1),"")</f>
        <v/>
      </c>
      <c r="BA71" s="97" t="n">
        <f aca="false">IFERROR(VLOOKUP($I71,'07_Settings'!$A$10:$F$14,6,FALSE()),0.25)</f>
        <v>0.45</v>
      </c>
      <c r="BB71" s="98" t="n">
        <v>1</v>
      </c>
      <c r="BC71" s="98" t="n">
        <v>1</v>
      </c>
      <c r="BD71" s="98" t="n">
        <v>1</v>
      </c>
      <c r="BE71" s="99" t="n">
        <f aca="false">IFERROR(ROUND($S71*BA71*BC71*BD71*BB71,0),0)</f>
        <v>11979</v>
      </c>
      <c r="BF71" s="55" t="str">
        <f aca="false">IF(COUNT(AO71:AU71)&gt;0,"estimated","pending")</f>
        <v>estimated</v>
      </c>
    </row>
    <row r="72" customFormat="false" ht="16.5" hidden="false" customHeight="true" outlineLevel="0" collapsed="false">
      <c r="A72" s="102"/>
      <c r="B72" s="112" t="n">
        <f aca="false">IF($C72="","",COUNTA($C$5:C72))</f>
        <v>68</v>
      </c>
      <c r="C72" s="113" t="s">
        <v>637</v>
      </c>
      <c r="D72" s="114" t="s">
        <v>279</v>
      </c>
      <c r="E72" s="113" t="s">
        <v>559</v>
      </c>
      <c r="F72" s="113" t="s">
        <v>559</v>
      </c>
      <c r="G72" s="114" t="s">
        <v>560</v>
      </c>
      <c r="H72" s="114" t="n">
        <v>4</v>
      </c>
      <c r="I72" s="114" t="s">
        <v>118</v>
      </c>
      <c r="J72" s="115" t="n">
        <v>5700</v>
      </c>
      <c r="K72" s="115" t="n">
        <v>2400</v>
      </c>
      <c r="L72" s="115" t="n">
        <f aca="false">IF($C72="","",ROUND($J72*0.17,0))</f>
        <v>969</v>
      </c>
      <c r="M72" s="115" t="n">
        <v>4450</v>
      </c>
      <c r="N72" s="115" t="n">
        <v>1850</v>
      </c>
      <c r="O72" s="115" t="n">
        <v>1150</v>
      </c>
      <c r="P72" s="115" t="n">
        <v>1150</v>
      </c>
      <c r="Q72" s="115" t="n">
        <v>8300</v>
      </c>
      <c r="R72" s="115" t="n">
        <v>3700</v>
      </c>
      <c r="S72" s="115" t="n">
        <f aca="false">IF($C72="","",ROUND($J72*2.2,0))</f>
        <v>12540</v>
      </c>
      <c r="T72" s="115" t="n">
        <v>2000</v>
      </c>
      <c r="U72" s="115" t="n">
        <v>1700</v>
      </c>
      <c r="V72" s="115" t="n">
        <v>1050</v>
      </c>
      <c r="W72" s="115" t="n">
        <v>2400</v>
      </c>
      <c r="X72" s="116" t="s">
        <v>222</v>
      </c>
      <c r="Y72" s="117" t="n">
        <v>0.3</v>
      </c>
      <c r="Z72" s="117" t="n">
        <v>1</v>
      </c>
      <c r="AA72" s="113" t="s">
        <v>638</v>
      </c>
      <c r="AB72" s="113" t="s">
        <v>639</v>
      </c>
      <c r="AC72" s="116" t="s">
        <v>640</v>
      </c>
      <c r="AD72" s="116" t="s">
        <v>641</v>
      </c>
      <c r="AE72" s="116" t="s">
        <v>642</v>
      </c>
      <c r="AF72" s="116"/>
      <c r="AG72" s="116"/>
      <c r="AH72" s="118"/>
      <c r="AI72" s="118"/>
      <c r="AJ72" s="118"/>
      <c r="AK72" s="120" t="n">
        <v>37502</v>
      </c>
      <c r="AL72" s="118"/>
      <c r="AM72" s="103"/>
      <c r="AN72" s="102"/>
      <c r="AO72" s="104" t="n">
        <v>34500</v>
      </c>
      <c r="AP72" s="95"/>
      <c r="AQ72" s="95"/>
      <c r="AR72" s="95"/>
      <c r="AS72" s="95"/>
      <c r="AT72" s="95"/>
      <c r="AU72" s="95"/>
      <c r="AV72" s="96" t="str">
        <f aca="false">IF(AND(AP72&gt;0,J72&gt;0),J72*1000/(AP72*0.2),"")</f>
        <v/>
      </c>
      <c r="AW72" s="96" t="str">
        <f aca="false">IF(AND(AS72&gt;0,M72&gt;0),M72*1000/(AS72*0.3),"")</f>
        <v/>
      </c>
      <c r="AX72" s="96" t="n">
        <f aca="false">IF(AND(AO72&gt;0,O72&gt;0),O72*1000/(AO72*0.1),"")</f>
        <v>333.333333333333</v>
      </c>
      <c r="AY72" s="96" t="str">
        <f aca="false">IF(AND(AR72&gt;0,N72&gt;0),N72*1000/(AR72*0.25),"")</f>
        <v/>
      </c>
      <c r="AZ72" s="96" t="str">
        <f aca="false">IF(AND(AQ72&gt;0,Q72&gt;0),Q72*1000/(AQ72*1),"")</f>
        <v/>
      </c>
      <c r="BA72" s="97" t="n">
        <f aca="false">IFERROR(VLOOKUP($I72,'07_Settings'!$A$10:$F$14,6,FALSE()),0.25)</f>
        <v>0.35</v>
      </c>
      <c r="BB72" s="98" t="n">
        <v>1</v>
      </c>
      <c r="BC72" s="98" t="n">
        <v>1</v>
      </c>
      <c r="BD72" s="98" t="n">
        <v>1</v>
      </c>
      <c r="BE72" s="99" t="n">
        <f aca="false">IFERROR(ROUND($S72*BA72*BC72*BD72*BB72,0),0)</f>
        <v>4389</v>
      </c>
      <c r="BF72" s="55" t="str">
        <f aca="false">IF(COUNT(AO72:AU72)&gt;0,"estimated","pending")</f>
        <v>estimated</v>
      </c>
    </row>
    <row r="73" customFormat="false" ht="16.5" hidden="false" customHeight="true" outlineLevel="0" collapsed="false">
      <c r="A73" s="102"/>
      <c r="B73" s="112" t="n">
        <f aca="false">IF($C73="","",COUNTA($C$5:C73))</f>
        <v>69</v>
      </c>
      <c r="C73" s="113" t="s">
        <v>643</v>
      </c>
      <c r="D73" s="114" t="s">
        <v>279</v>
      </c>
      <c r="E73" s="113" t="s">
        <v>559</v>
      </c>
      <c r="F73" s="113" t="s">
        <v>559</v>
      </c>
      <c r="G73" s="114" t="s">
        <v>560</v>
      </c>
      <c r="H73" s="114" t="n">
        <v>4</v>
      </c>
      <c r="I73" s="114" t="s">
        <v>114</v>
      </c>
      <c r="J73" s="115" t="n">
        <v>5700</v>
      </c>
      <c r="K73" s="115" t="n">
        <v>2400</v>
      </c>
      <c r="L73" s="115" t="n">
        <f aca="false">IF($C73="","",ROUND($J73*0.17,0))</f>
        <v>969</v>
      </c>
      <c r="M73" s="115" t="n">
        <v>4450</v>
      </c>
      <c r="N73" s="115" t="n">
        <v>1850</v>
      </c>
      <c r="O73" s="115" t="n">
        <v>1150</v>
      </c>
      <c r="P73" s="115" t="n">
        <v>1150</v>
      </c>
      <c r="Q73" s="115" t="n">
        <v>8300</v>
      </c>
      <c r="R73" s="115" t="n">
        <v>3700</v>
      </c>
      <c r="S73" s="115" t="n">
        <f aca="false">IF($C73="","",ROUND($J73*2.2,0))</f>
        <v>12540</v>
      </c>
      <c r="T73" s="115" t="n">
        <v>2000</v>
      </c>
      <c r="U73" s="115" t="n">
        <v>1700</v>
      </c>
      <c r="V73" s="115" t="n">
        <v>1050</v>
      </c>
      <c r="W73" s="115" t="n">
        <v>2400</v>
      </c>
      <c r="X73" s="116" t="s">
        <v>222</v>
      </c>
      <c r="Y73" s="117" t="n">
        <v>0.3</v>
      </c>
      <c r="Z73" s="117" t="n">
        <v>1</v>
      </c>
      <c r="AA73" s="113" t="s">
        <v>644</v>
      </c>
      <c r="AB73" s="113" t="s">
        <v>645</v>
      </c>
      <c r="AC73" s="116" t="s">
        <v>646</v>
      </c>
      <c r="AD73" s="116" t="s">
        <v>647</v>
      </c>
      <c r="AE73" s="116" t="s">
        <v>648</v>
      </c>
      <c r="AF73" s="116"/>
      <c r="AG73" s="116"/>
      <c r="AH73" s="118"/>
      <c r="AI73" s="118"/>
      <c r="AJ73" s="118"/>
      <c r="AK73" s="118" t="s">
        <v>649</v>
      </c>
      <c r="AL73" s="118"/>
      <c r="AM73" s="103"/>
      <c r="AN73" s="102"/>
      <c r="AO73" s="104" t="n">
        <v>83800</v>
      </c>
      <c r="AP73" s="104" t="n">
        <v>76000</v>
      </c>
      <c r="AQ73" s="104" t="n">
        <v>182930</v>
      </c>
      <c r="AR73" s="95"/>
      <c r="AS73" s="95"/>
      <c r="AT73" s="95"/>
      <c r="AU73" s="95"/>
      <c r="AV73" s="96" t="n">
        <f aca="false">IF(AND(AP73&gt;0,J73&gt;0),J73*1000/(AP73*0.2),"")</f>
        <v>375</v>
      </c>
      <c r="AW73" s="96" t="str">
        <f aca="false">IF(AND(AS73&gt;0,M73&gt;0),M73*1000/(AS73*0.3),"")</f>
        <v/>
      </c>
      <c r="AX73" s="96" t="n">
        <f aca="false">IF(AND(AO73&gt;0,O73&gt;0),O73*1000/(AO73*0.1),"")</f>
        <v>137.231503579952</v>
      </c>
      <c r="AY73" s="96" t="str">
        <f aca="false">IF(AND(AR73&gt;0,N73&gt;0),N73*1000/(AR73*0.25),"")</f>
        <v/>
      </c>
      <c r="AZ73" s="96" t="n">
        <f aca="false">IF(AND(AQ73&gt;0,Q73&gt;0),Q73*1000/(AQ73*1),"")</f>
        <v>45.3725468758542</v>
      </c>
      <c r="BA73" s="97" t="n">
        <f aca="false">IFERROR(VLOOKUP($I73,'07_Settings'!$A$10:$F$14,6,FALSE()),0.25)</f>
        <v>0.45</v>
      </c>
      <c r="BB73" s="98" t="n">
        <v>1</v>
      </c>
      <c r="BC73" s="98" t="n">
        <v>1</v>
      </c>
      <c r="BD73" s="98" t="n">
        <v>1</v>
      </c>
      <c r="BE73" s="99" t="n">
        <f aca="false">IFERROR(ROUND($S73*BA73*BC73*BD73*BB73,0),0)</f>
        <v>5643</v>
      </c>
      <c r="BF73" s="55" t="str">
        <f aca="false">IF(COUNT(AO73:AU73)&gt;0,"estimated","pending")</f>
        <v>estimated</v>
      </c>
    </row>
    <row r="74" customFormat="false" ht="16.5" hidden="false" customHeight="true" outlineLevel="0" collapsed="false">
      <c r="A74" s="102"/>
      <c r="B74" s="112" t="n">
        <f aca="false">IF($C74="","",COUNTA($C$5:C74))</f>
        <v>70</v>
      </c>
      <c r="C74" s="113" t="s">
        <v>650</v>
      </c>
      <c r="D74" s="114" t="s">
        <v>279</v>
      </c>
      <c r="E74" s="113" t="s">
        <v>559</v>
      </c>
      <c r="F74" s="113" t="s">
        <v>559</v>
      </c>
      <c r="G74" s="114" t="s">
        <v>560</v>
      </c>
      <c r="H74" s="114" t="n">
        <v>3</v>
      </c>
      <c r="I74" s="114" t="s">
        <v>118</v>
      </c>
      <c r="J74" s="115" t="n">
        <v>5700</v>
      </c>
      <c r="K74" s="115" t="n">
        <v>2400</v>
      </c>
      <c r="L74" s="115" t="n">
        <f aca="false">IF($C74="","",ROUND($J74*0.17,0))</f>
        <v>969</v>
      </c>
      <c r="M74" s="115" t="n">
        <v>4450</v>
      </c>
      <c r="N74" s="115" t="n">
        <v>1850</v>
      </c>
      <c r="O74" s="115" t="n">
        <v>1150</v>
      </c>
      <c r="P74" s="115" t="n">
        <v>1150</v>
      </c>
      <c r="Q74" s="115" t="n">
        <v>8300</v>
      </c>
      <c r="R74" s="115" t="n">
        <v>3700</v>
      </c>
      <c r="S74" s="115" t="n">
        <f aca="false">IF($C74="","",ROUND($J74*2.2,0))</f>
        <v>12540</v>
      </c>
      <c r="T74" s="115" t="n">
        <v>2000</v>
      </c>
      <c r="U74" s="115" t="n">
        <v>1700</v>
      </c>
      <c r="V74" s="115" t="n">
        <v>1050</v>
      </c>
      <c r="W74" s="115" t="n">
        <v>2400</v>
      </c>
      <c r="X74" s="116" t="s">
        <v>236</v>
      </c>
      <c r="Y74" s="117" t="n">
        <v>0.3</v>
      </c>
      <c r="Z74" s="117" t="n">
        <v>1</v>
      </c>
      <c r="AA74" s="113" t="s">
        <v>651</v>
      </c>
      <c r="AB74" s="113" t="s">
        <v>652</v>
      </c>
      <c r="AC74" s="116"/>
      <c r="AD74" s="116" t="s">
        <v>653</v>
      </c>
      <c r="AE74" s="116" t="s">
        <v>654</v>
      </c>
      <c r="AF74" s="116"/>
      <c r="AG74" s="116"/>
      <c r="AH74" s="118"/>
      <c r="AI74" s="118"/>
      <c r="AJ74" s="118"/>
      <c r="AK74" s="120" t="n">
        <v>38295</v>
      </c>
      <c r="AL74" s="118"/>
      <c r="AM74" s="103"/>
      <c r="AN74" s="102"/>
      <c r="AO74" s="104" t="n">
        <v>11199</v>
      </c>
      <c r="AP74" s="104" t="n">
        <v>7622</v>
      </c>
      <c r="AQ74" s="95"/>
      <c r="AR74" s="95"/>
      <c r="AS74" s="95"/>
      <c r="AT74" s="95"/>
      <c r="AU74" s="95"/>
      <c r="AV74" s="96" t="n">
        <f aca="false">IF(AND(AP74&gt;0,J74&gt;0),J74*1000/(AP74*0.2),"")</f>
        <v>3739.17606927316</v>
      </c>
      <c r="AW74" s="96" t="str">
        <f aca="false">IF(AND(AS74&gt;0,M74&gt;0),M74*1000/(AS74*0.3),"")</f>
        <v/>
      </c>
      <c r="AX74" s="96" t="n">
        <f aca="false">IF(AND(AO74&gt;0,O74&gt;0),O74*1000/(AO74*0.1),"")</f>
        <v>1026.87739976784</v>
      </c>
      <c r="AY74" s="96" t="str">
        <f aca="false">IF(AND(AR74&gt;0,N74&gt;0),N74*1000/(AR74*0.25),"")</f>
        <v/>
      </c>
      <c r="AZ74" s="96" t="str">
        <f aca="false">IF(AND(AQ74&gt;0,Q74&gt;0),Q74*1000/(AQ74*1),"")</f>
        <v/>
      </c>
      <c r="BA74" s="97" t="n">
        <f aca="false">IFERROR(VLOOKUP($I74,'07_Settings'!$A$10:$F$14,6,FALSE()),0.25)</f>
        <v>0.35</v>
      </c>
      <c r="BB74" s="98" t="n">
        <v>1</v>
      </c>
      <c r="BC74" s="98" t="n">
        <v>1</v>
      </c>
      <c r="BD74" s="98" t="n">
        <v>1</v>
      </c>
      <c r="BE74" s="99" t="n">
        <f aca="false">IFERROR(ROUND($S74*BA74*BC74*BD74*BB74,0),0)</f>
        <v>4389</v>
      </c>
      <c r="BF74" s="55" t="str">
        <f aca="false">IF(COUNT(AO74:AU74)&gt;0,"estimated","pending")</f>
        <v>estimated</v>
      </c>
    </row>
    <row r="75" customFormat="false" ht="16.5" hidden="false" customHeight="true" outlineLevel="0" collapsed="false">
      <c r="A75" s="86"/>
      <c r="B75" s="121" t="n">
        <f aca="false">IF($C75="","",COUNTA($C$5:C75))</f>
        <v>71</v>
      </c>
      <c r="C75" s="122" t="s">
        <v>655</v>
      </c>
      <c r="D75" s="123" t="s">
        <v>29</v>
      </c>
      <c r="E75" s="122" t="s">
        <v>559</v>
      </c>
      <c r="F75" s="122" t="s">
        <v>559</v>
      </c>
      <c r="G75" s="123" t="s">
        <v>411</v>
      </c>
      <c r="H75" s="123" t="n">
        <v>0</v>
      </c>
      <c r="I75" s="123" t="s">
        <v>118</v>
      </c>
      <c r="J75" s="124" t="n">
        <v>0</v>
      </c>
      <c r="K75" s="124" t="n">
        <v>0</v>
      </c>
      <c r="L75" s="125" t="n">
        <f aca="false">IF($C75="","",ROUND($J75*0.17,0))</f>
        <v>0</v>
      </c>
      <c r="M75" s="124" t="n">
        <v>0</v>
      </c>
      <c r="N75" s="124" t="n">
        <v>0</v>
      </c>
      <c r="O75" s="124" t="n">
        <v>0</v>
      </c>
      <c r="P75" s="124" t="n">
        <v>0</v>
      </c>
      <c r="Q75" s="124" t="n">
        <v>0</v>
      </c>
      <c r="R75" s="124" t="n">
        <v>0</v>
      </c>
      <c r="S75" s="125" t="n">
        <f aca="false">IF($C75="","",ROUND($J75*2.2,0))</f>
        <v>0</v>
      </c>
      <c r="T75" s="124" t="n">
        <v>0</v>
      </c>
      <c r="U75" s="124" t="n">
        <v>0</v>
      </c>
      <c r="V75" s="124" t="n">
        <v>600</v>
      </c>
      <c r="W75" s="124" t="n">
        <v>0</v>
      </c>
      <c r="X75" s="124" t="s">
        <v>376</v>
      </c>
      <c r="Y75" s="126" t="n">
        <v>0.3</v>
      </c>
      <c r="Z75" s="126" t="n">
        <v>1</v>
      </c>
      <c r="AA75" s="122" t="s">
        <v>656</v>
      </c>
      <c r="AB75" s="122"/>
      <c r="AC75" s="124"/>
      <c r="AD75" s="124"/>
      <c r="AE75" s="124"/>
      <c r="AF75" s="124"/>
      <c r="AG75" s="124"/>
      <c r="AH75" s="127"/>
      <c r="AI75" s="127"/>
      <c r="AJ75" s="127"/>
      <c r="AK75" s="127"/>
      <c r="AL75" s="127"/>
      <c r="AM75" s="128"/>
      <c r="AN75" s="86"/>
      <c r="AO75" s="104" t="n">
        <v>6367</v>
      </c>
      <c r="AP75" s="95"/>
      <c r="AQ75" s="95"/>
      <c r="AR75" s="95"/>
      <c r="AS75" s="95"/>
      <c r="AT75" s="95"/>
      <c r="AU75" s="95"/>
      <c r="AV75" s="96" t="str">
        <f aca="false">IF(AND(AP75&gt;0,J75&gt;0),J75*1000/(AP75*0.2),"")</f>
        <v/>
      </c>
      <c r="AW75" s="96" t="str">
        <f aca="false">IF(AND(AS75&gt;0,M75&gt;0),M75*1000/(AS75*0.3),"")</f>
        <v/>
      </c>
      <c r="AX75" s="96" t="str">
        <f aca="false">IF(AND(AO75&gt;0,O75&gt;0),O75*1000/(AO75*0.1),"")</f>
        <v/>
      </c>
      <c r="AY75" s="96" t="str">
        <f aca="false">IF(AND(AR75&gt;0,N75&gt;0),N75*1000/(AR75*0.25),"")</f>
        <v/>
      </c>
      <c r="AZ75" s="96" t="str">
        <f aca="false">IF(AND(AQ75&gt;0,Q75&gt;0),Q75*1000/(AQ75*1),"")</f>
        <v/>
      </c>
      <c r="BA75" s="97" t="n">
        <f aca="false">IFERROR(VLOOKUP($I75,'07_Settings'!$A$10:$F$14,6,FALSE()),0.25)</f>
        <v>0.35</v>
      </c>
      <c r="BB75" s="98" t="n">
        <v>1</v>
      </c>
      <c r="BC75" s="98" t="n">
        <v>1</v>
      </c>
      <c r="BD75" s="98" t="n">
        <v>1</v>
      </c>
      <c r="BE75" s="99" t="n">
        <f aca="false">IFERROR(ROUND($S75*BA75*BC75*BD75*BB75,0),0)</f>
        <v>0</v>
      </c>
      <c r="BF75" s="55" t="str">
        <f aca="false">IF(COUNT(AO75:AU75)&gt;0,"estimated","pending")</f>
        <v>estimated</v>
      </c>
    </row>
    <row r="76" customFormat="false" ht="16.5" hidden="false" customHeight="true" outlineLevel="0" collapsed="false">
      <c r="A76" s="100"/>
      <c r="B76" s="129" t="n">
        <f aca="false">IF($C76="","",COUNTA($C$5:C76))</f>
        <v>72</v>
      </c>
      <c r="C76" s="130" t="s">
        <v>657</v>
      </c>
      <c r="D76" s="131" t="s">
        <v>428</v>
      </c>
      <c r="E76" s="130" t="s">
        <v>658</v>
      </c>
      <c r="F76" s="130" t="s">
        <v>337</v>
      </c>
      <c r="G76" s="131" t="s">
        <v>659</v>
      </c>
      <c r="H76" s="131" t="n">
        <v>2</v>
      </c>
      <c r="I76" s="131" t="s">
        <v>122</v>
      </c>
      <c r="J76" s="132" t="n">
        <v>0</v>
      </c>
      <c r="K76" s="132" t="n">
        <v>0</v>
      </c>
      <c r="L76" s="132" t="n">
        <f aca="false">IF($C76="","",ROUND($J76*0.17,0))</f>
        <v>0</v>
      </c>
      <c r="M76" s="132" t="n">
        <v>0</v>
      </c>
      <c r="N76" s="132" t="n">
        <v>0</v>
      </c>
      <c r="O76" s="132" t="n">
        <v>0</v>
      </c>
      <c r="P76" s="132" t="n">
        <v>0</v>
      </c>
      <c r="Q76" s="132" t="n">
        <v>0</v>
      </c>
      <c r="R76" s="132" t="n">
        <v>0</v>
      </c>
      <c r="S76" s="133" t="n">
        <f aca="false">IF($C76="","",ROUND($J76*2.2,0))</f>
        <v>0</v>
      </c>
      <c r="T76" s="132" t="n">
        <v>0</v>
      </c>
      <c r="U76" s="132" t="n">
        <v>0</v>
      </c>
      <c r="V76" s="132" t="n">
        <v>1200</v>
      </c>
      <c r="W76" s="132" t="n">
        <v>0</v>
      </c>
      <c r="X76" s="132" t="s">
        <v>290</v>
      </c>
      <c r="Y76" s="134" t="n">
        <v>0.3</v>
      </c>
      <c r="Z76" s="134" t="n">
        <v>1</v>
      </c>
      <c r="AA76" s="130" t="s">
        <v>660</v>
      </c>
      <c r="AB76" s="130"/>
      <c r="AC76" s="132" t="s">
        <v>661</v>
      </c>
      <c r="AD76" s="132"/>
      <c r="AE76" s="132"/>
      <c r="AF76" s="132"/>
      <c r="AG76" s="132"/>
      <c r="AH76" s="135" t="s">
        <v>662</v>
      </c>
      <c r="AI76" s="135"/>
      <c r="AJ76" s="135"/>
      <c r="AK76" s="136" t="n">
        <v>34003</v>
      </c>
      <c r="AL76" s="135"/>
      <c r="AM76" s="101"/>
      <c r="AN76" s="100"/>
      <c r="AO76" s="95"/>
      <c r="AP76" s="95"/>
      <c r="AQ76" s="95"/>
      <c r="AR76" s="95"/>
      <c r="AS76" s="95"/>
      <c r="AT76" s="95"/>
      <c r="AU76" s="95"/>
      <c r="AV76" s="96" t="str">
        <f aca="false">IF(AND(AP76&gt;0,J76&gt;0),J76*1000/(AP76*0.2),"")</f>
        <v/>
      </c>
      <c r="AW76" s="96" t="str">
        <f aca="false">IF(AND(AS76&gt;0,M76&gt;0),M76*1000/(AS76*0.3),"")</f>
        <v/>
      </c>
      <c r="AX76" s="96" t="str">
        <f aca="false">IF(AND(AO76&gt;0,O76&gt;0),O76*1000/(AO76*0.1),"")</f>
        <v/>
      </c>
      <c r="AY76" s="96" t="str">
        <f aca="false">IF(AND(AR76&gt;0,N76&gt;0),N76*1000/(AR76*0.25),"")</f>
        <v/>
      </c>
      <c r="AZ76" s="96" t="str">
        <f aca="false">IF(AND(AQ76&gt;0,Q76&gt;0),Q76*1000/(AQ76*1),"")</f>
        <v/>
      </c>
      <c r="BA76" s="97" t="n">
        <f aca="false">IFERROR(VLOOKUP($I76,'07_Settings'!$A$10:$F$14,6,FALSE()),0.25)</f>
        <v>0.25</v>
      </c>
      <c r="BB76" s="98" t="n">
        <v>1</v>
      </c>
      <c r="BC76" s="98" t="n">
        <v>1</v>
      </c>
      <c r="BD76" s="98" t="n">
        <v>1</v>
      </c>
      <c r="BE76" s="99" t="n">
        <f aca="false">IFERROR(ROUND($S76*BA76*BC76*BD76*BB76,0),0)</f>
        <v>0</v>
      </c>
      <c r="BF76" s="55" t="str">
        <f aca="false">IF(COUNT(AO76:AU76)&gt;0,"estimated","pending")</f>
        <v>pending</v>
      </c>
    </row>
    <row r="77" customFormat="false" ht="16.5" hidden="false" customHeight="true" outlineLevel="0" collapsed="false">
      <c r="A77" s="102"/>
      <c r="B77" s="112" t="n">
        <f aca="false">IF($C77="","",COUNTA($C$5:C77))</f>
        <v>73</v>
      </c>
      <c r="C77" s="113" t="s">
        <v>663</v>
      </c>
      <c r="D77" s="114" t="s">
        <v>279</v>
      </c>
      <c r="E77" s="113" t="s">
        <v>658</v>
      </c>
      <c r="F77" s="113" t="s">
        <v>337</v>
      </c>
      <c r="G77" s="114" t="s">
        <v>659</v>
      </c>
      <c r="H77" s="114" t="n">
        <v>2</v>
      </c>
      <c r="I77" s="114" t="s">
        <v>114</v>
      </c>
      <c r="J77" s="115" t="n">
        <v>11250</v>
      </c>
      <c r="K77" s="115" t="n">
        <v>4500</v>
      </c>
      <c r="L77" s="115" t="n">
        <f aca="false">IF($C77="","",ROUND($J77*0.17,0))</f>
        <v>1913</v>
      </c>
      <c r="M77" s="115" t="n">
        <v>8000</v>
      </c>
      <c r="N77" s="115" t="n">
        <v>3500</v>
      </c>
      <c r="O77" s="115" t="n">
        <v>2000</v>
      </c>
      <c r="P77" s="115" t="n">
        <v>2000</v>
      </c>
      <c r="Q77" s="115" t="n">
        <v>13500</v>
      </c>
      <c r="R77" s="115" t="n">
        <v>6075</v>
      </c>
      <c r="S77" s="115" t="n">
        <f aca="false">IF($C77="","",ROUND($J77*2.2,0))</f>
        <v>24750</v>
      </c>
      <c r="T77" s="115" t="n">
        <v>4638</v>
      </c>
      <c r="U77" s="115" t="n">
        <v>4063</v>
      </c>
      <c r="V77" s="115" t="n">
        <v>2438</v>
      </c>
      <c r="W77" s="115" t="n">
        <v>2400</v>
      </c>
      <c r="X77" s="116" t="s">
        <v>290</v>
      </c>
      <c r="Y77" s="117" t="n">
        <v>0.3</v>
      </c>
      <c r="Z77" s="117" t="n">
        <v>1</v>
      </c>
      <c r="AA77" s="113" t="s">
        <v>664</v>
      </c>
      <c r="AB77" s="113"/>
      <c r="AC77" s="116" t="s">
        <v>665</v>
      </c>
      <c r="AD77" s="116"/>
      <c r="AE77" s="116"/>
      <c r="AF77" s="116"/>
      <c r="AG77" s="116"/>
      <c r="AH77" s="118" t="s">
        <v>666</v>
      </c>
      <c r="AI77" s="118"/>
      <c r="AJ77" s="118"/>
      <c r="AK77" s="118" t="s">
        <v>667</v>
      </c>
      <c r="AL77" s="118"/>
      <c r="AM77" s="103"/>
      <c r="AN77" s="102"/>
      <c r="AO77" s="95"/>
      <c r="AP77" s="95"/>
      <c r="AQ77" s="95"/>
      <c r="AR77" s="95"/>
      <c r="AS77" s="95"/>
      <c r="AT77" s="95"/>
      <c r="AU77" s="95"/>
      <c r="AV77" s="96" t="str">
        <f aca="false">IF(AND(AP77&gt;0,J77&gt;0),J77*1000/(AP77*0.2),"")</f>
        <v/>
      </c>
      <c r="AW77" s="96" t="str">
        <f aca="false">IF(AND(AS77&gt;0,M77&gt;0),M77*1000/(AS77*0.3),"")</f>
        <v/>
      </c>
      <c r="AX77" s="96" t="str">
        <f aca="false">IF(AND(AO77&gt;0,O77&gt;0),O77*1000/(AO77*0.1),"")</f>
        <v/>
      </c>
      <c r="AY77" s="96" t="str">
        <f aca="false">IF(AND(AR77&gt;0,N77&gt;0),N77*1000/(AR77*0.25),"")</f>
        <v/>
      </c>
      <c r="AZ77" s="96" t="str">
        <f aca="false">IF(AND(AQ77&gt;0,Q77&gt;0),Q77*1000/(AQ77*1),"")</f>
        <v/>
      </c>
      <c r="BA77" s="97" t="n">
        <f aca="false">IFERROR(VLOOKUP($I77,'07_Settings'!$A$10:$F$14,6,FALSE()),0.25)</f>
        <v>0.45</v>
      </c>
      <c r="BB77" s="98" t="n">
        <v>1</v>
      </c>
      <c r="BC77" s="98" t="n">
        <v>1</v>
      </c>
      <c r="BD77" s="98" t="n">
        <v>1</v>
      </c>
      <c r="BE77" s="99" t="n">
        <f aca="false">IFERROR(ROUND($S77*BA77*BC77*BD77*BB77,0),0)</f>
        <v>11138</v>
      </c>
      <c r="BF77" s="55" t="str">
        <f aca="false">IF(COUNT(AO77:AU77)&gt;0,"estimated","pending")</f>
        <v>pending</v>
      </c>
    </row>
    <row r="78" customFormat="false" ht="16.5" hidden="false" customHeight="true" outlineLevel="0" collapsed="false">
      <c r="A78" s="102"/>
      <c r="B78" s="112" t="n">
        <f aca="false">IF($C78="","",COUNTA($C$5:C78))</f>
        <v>74</v>
      </c>
      <c r="C78" s="113" t="s">
        <v>668</v>
      </c>
      <c r="D78" s="114" t="s">
        <v>279</v>
      </c>
      <c r="E78" s="113" t="s">
        <v>658</v>
      </c>
      <c r="F78" s="113" t="s">
        <v>337</v>
      </c>
      <c r="G78" s="114" t="s">
        <v>659</v>
      </c>
      <c r="H78" s="114" t="n">
        <v>3</v>
      </c>
      <c r="I78" s="114" t="s">
        <v>114</v>
      </c>
      <c r="J78" s="115" t="n">
        <v>11000</v>
      </c>
      <c r="K78" s="115" t="n">
        <v>4600</v>
      </c>
      <c r="L78" s="115" t="n">
        <f aca="false">IF($C78="","",ROUND($J78*0.17,0))</f>
        <v>1870</v>
      </c>
      <c r="M78" s="115" t="n">
        <v>8600</v>
      </c>
      <c r="N78" s="115" t="n">
        <v>3500</v>
      </c>
      <c r="O78" s="115" t="n">
        <v>2200</v>
      </c>
      <c r="P78" s="115" t="n">
        <v>2200</v>
      </c>
      <c r="Q78" s="115" t="n">
        <v>15950</v>
      </c>
      <c r="R78" s="115" t="n">
        <v>7150</v>
      </c>
      <c r="S78" s="115" t="n">
        <f aca="false">IF($C78="","",ROUND($J78*2.2,0))</f>
        <v>24200</v>
      </c>
      <c r="T78" s="115" t="n">
        <v>3850</v>
      </c>
      <c r="U78" s="115" t="n">
        <v>3300</v>
      </c>
      <c r="V78" s="115" t="n">
        <v>2000</v>
      </c>
      <c r="W78" s="115" t="n">
        <v>2400</v>
      </c>
      <c r="X78" s="116" t="s">
        <v>236</v>
      </c>
      <c r="Y78" s="117" t="n">
        <v>0.3</v>
      </c>
      <c r="Z78" s="117" t="n">
        <v>1</v>
      </c>
      <c r="AA78" s="113" t="s">
        <v>669</v>
      </c>
      <c r="AB78" s="113"/>
      <c r="AC78" s="116" t="s">
        <v>670</v>
      </c>
      <c r="AD78" s="116"/>
      <c r="AE78" s="116"/>
      <c r="AF78" s="116" t="s">
        <v>671</v>
      </c>
      <c r="AG78" s="116"/>
      <c r="AH78" s="118" t="s">
        <v>672</v>
      </c>
      <c r="AI78" s="118"/>
      <c r="AJ78" s="118"/>
      <c r="AK78" s="118" t="s">
        <v>673</v>
      </c>
      <c r="AL78" s="118"/>
      <c r="AM78" s="103"/>
      <c r="AN78" s="102"/>
      <c r="AO78" s="95"/>
      <c r="AP78" s="104" t="n">
        <v>4771</v>
      </c>
      <c r="AQ78" s="95"/>
      <c r="AR78" s="95"/>
      <c r="AS78" s="95"/>
      <c r="AT78" s="95"/>
      <c r="AU78" s="95"/>
      <c r="AV78" s="96" t="n">
        <f aca="false">IF(AND(AP78&gt;0,J78&gt;0),J78*1000/(AP78*0.2),"")</f>
        <v>11527.9815552295</v>
      </c>
      <c r="AW78" s="96" t="str">
        <f aca="false">IF(AND(AS78&gt;0,M78&gt;0),M78*1000/(AS78*0.3),"")</f>
        <v/>
      </c>
      <c r="AX78" s="96" t="str">
        <f aca="false">IF(AND(AO78&gt;0,O78&gt;0),O78*1000/(AO78*0.1),"")</f>
        <v/>
      </c>
      <c r="AY78" s="96" t="str">
        <f aca="false">IF(AND(AR78&gt;0,N78&gt;0),N78*1000/(AR78*0.25),"")</f>
        <v/>
      </c>
      <c r="AZ78" s="96" t="str">
        <f aca="false">IF(AND(AQ78&gt;0,Q78&gt;0),Q78*1000/(AQ78*1),"")</f>
        <v/>
      </c>
      <c r="BA78" s="97" t="n">
        <f aca="false">IFERROR(VLOOKUP($I78,'07_Settings'!$A$10:$F$14,6,FALSE()),0.25)</f>
        <v>0.45</v>
      </c>
      <c r="BB78" s="98" t="n">
        <v>1</v>
      </c>
      <c r="BC78" s="98" t="n">
        <v>1</v>
      </c>
      <c r="BD78" s="98" t="n">
        <v>1</v>
      </c>
      <c r="BE78" s="99" t="n">
        <f aca="false">IFERROR(ROUND($S78*BA78*BC78*BD78*BB78,0),0)</f>
        <v>10890</v>
      </c>
      <c r="BF78" s="55" t="str">
        <f aca="false">IF(COUNT(AO78:AU78)&gt;0,"estimated","pending")</f>
        <v>estimated</v>
      </c>
    </row>
    <row r="79" customFormat="false" ht="16.5" hidden="false" customHeight="true" outlineLevel="0" collapsed="false">
      <c r="A79" s="102"/>
      <c r="B79" s="112" t="n">
        <f aca="false">IF($C79="","",COUNTA($C$5:C79))</f>
        <v>75</v>
      </c>
      <c r="C79" s="113" t="s">
        <v>674</v>
      </c>
      <c r="D79" s="114" t="s">
        <v>279</v>
      </c>
      <c r="E79" s="113" t="s">
        <v>658</v>
      </c>
      <c r="F79" s="113" t="s">
        <v>337</v>
      </c>
      <c r="G79" s="114" t="s">
        <v>659</v>
      </c>
      <c r="H79" s="114" t="n">
        <v>3</v>
      </c>
      <c r="I79" s="114" t="s">
        <v>114</v>
      </c>
      <c r="J79" s="115" t="n">
        <v>11000</v>
      </c>
      <c r="K79" s="115" t="n">
        <v>4600</v>
      </c>
      <c r="L79" s="115" t="n">
        <f aca="false">IF($C79="","",ROUND($J79*0.17,0))</f>
        <v>1870</v>
      </c>
      <c r="M79" s="115" t="n">
        <v>8600</v>
      </c>
      <c r="N79" s="115" t="n">
        <v>3500</v>
      </c>
      <c r="O79" s="115" t="n">
        <v>2200</v>
      </c>
      <c r="P79" s="115" t="n">
        <v>2200</v>
      </c>
      <c r="Q79" s="115" t="n">
        <v>15950</v>
      </c>
      <c r="R79" s="115" t="n">
        <v>7150</v>
      </c>
      <c r="S79" s="115" t="n">
        <f aca="false">IF($C79="","",ROUND($J79*2.2,0))</f>
        <v>24200</v>
      </c>
      <c r="T79" s="115" t="n">
        <v>3850</v>
      </c>
      <c r="U79" s="115" t="n">
        <v>3300</v>
      </c>
      <c r="V79" s="115" t="n">
        <v>2000</v>
      </c>
      <c r="W79" s="115" t="n">
        <v>2400</v>
      </c>
      <c r="X79" s="116" t="s">
        <v>236</v>
      </c>
      <c r="Y79" s="117" t="n">
        <v>0.3</v>
      </c>
      <c r="Z79" s="117" t="n">
        <v>1</v>
      </c>
      <c r="AA79" s="113" t="s">
        <v>675</v>
      </c>
      <c r="AB79" s="113"/>
      <c r="AC79" s="116" t="s">
        <v>676</v>
      </c>
      <c r="AD79" s="116"/>
      <c r="AE79" s="116"/>
      <c r="AF79" s="116" t="s">
        <v>677</v>
      </c>
      <c r="AG79" s="116"/>
      <c r="AH79" s="118" t="s">
        <v>678</v>
      </c>
      <c r="AI79" s="118"/>
      <c r="AJ79" s="118"/>
      <c r="AK79" s="120" t="n">
        <v>38600</v>
      </c>
      <c r="AL79" s="118"/>
      <c r="AM79" s="103"/>
      <c r="AN79" s="102"/>
      <c r="AO79" s="95"/>
      <c r="AP79" s="104" t="n">
        <v>5917</v>
      </c>
      <c r="AQ79" s="95"/>
      <c r="AR79" s="95"/>
      <c r="AS79" s="95"/>
      <c r="AT79" s="95"/>
      <c r="AU79" s="95"/>
      <c r="AV79" s="96" t="n">
        <f aca="false">IF(AND(AP79&gt;0,J79&gt;0),J79*1000/(AP79*0.2),"")</f>
        <v>9295.25097177624</v>
      </c>
      <c r="AW79" s="96" t="str">
        <f aca="false">IF(AND(AS79&gt;0,M79&gt;0),M79*1000/(AS79*0.3),"")</f>
        <v/>
      </c>
      <c r="AX79" s="96" t="str">
        <f aca="false">IF(AND(AO79&gt;0,O79&gt;0),O79*1000/(AO79*0.1),"")</f>
        <v/>
      </c>
      <c r="AY79" s="96" t="str">
        <f aca="false">IF(AND(AR79&gt;0,N79&gt;0),N79*1000/(AR79*0.25),"")</f>
        <v/>
      </c>
      <c r="AZ79" s="96" t="str">
        <f aca="false">IF(AND(AQ79&gt;0,Q79&gt;0),Q79*1000/(AQ79*1),"")</f>
        <v/>
      </c>
      <c r="BA79" s="97" t="n">
        <f aca="false">IFERROR(VLOOKUP($I79,'07_Settings'!$A$10:$F$14,6,FALSE()),0.25)</f>
        <v>0.45</v>
      </c>
      <c r="BB79" s="98" t="n">
        <v>1</v>
      </c>
      <c r="BC79" s="98" t="n">
        <v>1</v>
      </c>
      <c r="BD79" s="98" t="n">
        <v>1</v>
      </c>
      <c r="BE79" s="99" t="n">
        <f aca="false">IFERROR(ROUND($S79*BA79*BC79*BD79*BB79,0),0)</f>
        <v>10890</v>
      </c>
      <c r="BF79" s="55" t="str">
        <f aca="false">IF(COUNT(AO79:AU79)&gt;0,"estimated","pending")</f>
        <v>estimated</v>
      </c>
    </row>
    <row r="80" customFormat="false" ht="16.5" hidden="false" customHeight="true" outlineLevel="0" collapsed="false">
      <c r="A80" s="102"/>
      <c r="B80" s="112" t="n">
        <f aca="false">IF($C80="","",COUNTA($C$5:C80))</f>
        <v>76</v>
      </c>
      <c r="C80" s="113" t="s">
        <v>679</v>
      </c>
      <c r="D80" s="114" t="s">
        <v>279</v>
      </c>
      <c r="E80" s="113" t="s">
        <v>658</v>
      </c>
      <c r="F80" s="113" t="s">
        <v>337</v>
      </c>
      <c r="G80" s="114" t="s">
        <v>659</v>
      </c>
      <c r="H80" s="114" t="n">
        <v>3</v>
      </c>
      <c r="I80" s="114" t="s">
        <v>114</v>
      </c>
      <c r="J80" s="115" t="n">
        <v>11000</v>
      </c>
      <c r="K80" s="115" t="n">
        <v>4600</v>
      </c>
      <c r="L80" s="115" t="n">
        <f aca="false">IF($C80="","",ROUND($J80*0.17,0))</f>
        <v>1870</v>
      </c>
      <c r="M80" s="115" t="n">
        <v>8600</v>
      </c>
      <c r="N80" s="115" t="n">
        <v>3500</v>
      </c>
      <c r="O80" s="115" t="n">
        <v>2200</v>
      </c>
      <c r="P80" s="115" t="n">
        <v>2200</v>
      </c>
      <c r="Q80" s="115" t="n">
        <v>15950</v>
      </c>
      <c r="R80" s="115" t="n">
        <v>7150</v>
      </c>
      <c r="S80" s="115" t="n">
        <f aca="false">IF($C80="","",ROUND($J80*2.2,0))</f>
        <v>24200</v>
      </c>
      <c r="T80" s="115" t="n">
        <v>3850</v>
      </c>
      <c r="U80" s="115" t="n">
        <v>3300</v>
      </c>
      <c r="V80" s="115" t="n">
        <v>2000</v>
      </c>
      <c r="W80" s="115" t="n">
        <v>2400</v>
      </c>
      <c r="X80" s="116" t="s">
        <v>236</v>
      </c>
      <c r="Y80" s="117" t="n">
        <v>0.3</v>
      </c>
      <c r="Z80" s="117" t="n">
        <v>1</v>
      </c>
      <c r="AA80" s="113" t="s">
        <v>680</v>
      </c>
      <c r="AB80" s="113"/>
      <c r="AC80" s="116" t="s">
        <v>681</v>
      </c>
      <c r="AD80" s="116"/>
      <c r="AE80" s="116"/>
      <c r="AF80" s="116" t="s">
        <v>682</v>
      </c>
      <c r="AG80" s="116"/>
      <c r="AH80" s="118" t="s">
        <v>683</v>
      </c>
      <c r="AI80" s="118"/>
      <c r="AJ80" s="118"/>
      <c r="AK80" s="118" t="s">
        <v>684</v>
      </c>
      <c r="AL80" s="118"/>
      <c r="AM80" s="103"/>
      <c r="AN80" s="102"/>
      <c r="AO80" s="95"/>
      <c r="AP80" s="104" t="n">
        <v>23000</v>
      </c>
      <c r="AQ80" s="95"/>
      <c r="AR80" s="95"/>
      <c r="AS80" s="95"/>
      <c r="AT80" s="95"/>
      <c r="AU80" s="95"/>
      <c r="AV80" s="96" t="n">
        <f aca="false">IF(AND(AP80&gt;0,J80&gt;0),J80*1000/(AP80*0.2),"")</f>
        <v>2391.30434782609</v>
      </c>
      <c r="AW80" s="96" t="str">
        <f aca="false">IF(AND(AS80&gt;0,M80&gt;0),M80*1000/(AS80*0.3),"")</f>
        <v/>
      </c>
      <c r="AX80" s="96" t="str">
        <f aca="false">IF(AND(AO80&gt;0,O80&gt;0),O80*1000/(AO80*0.1),"")</f>
        <v/>
      </c>
      <c r="AY80" s="96" t="str">
        <f aca="false">IF(AND(AR80&gt;0,N80&gt;0),N80*1000/(AR80*0.25),"")</f>
        <v/>
      </c>
      <c r="AZ80" s="96" t="str">
        <f aca="false">IF(AND(AQ80&gt;0,Q80&gt;0),Q80*1000/(AQ80*1),"")</f>
        <v/>
      </c>
      <c r="BA80" s="97" t="n">
        <f aca="false">IFERROR(VLOOKUP($I80,'07_Settings'!$A$10:$F$14,6,FALSE()),0.25)</f>
        <v>0.45</v>
      </c>
      <c r="BB80" s="98" t="n">
        <v>1</v>
      </c>
      <c r="BC80" s="98" t="n">
        <v>1</v>
      </c>
      <c r="BD80" s="98" t="n">
        <v>1</v>
      </c>
      <c r="BE80" s="99" t="n">
        <f aca="false">IFERROR(ROUND($S80*BA80*BC80*BD80*BB80,0),0)</f>
        <v>10890</v>
      </c>
      <c r="BF80" s="55" t="str">
        <f aca="false">IF(COUNT(AO80:AU80)&gt;0,"estimated","pending")</f>
        <v>estimated</v>
      </c>
    </row>
    <row r="81" customFormat="false" ht="16.5" hidden="false" customHeight="true" outlineLevel="0" collapsed="false">
      <c r="A81" s="102"/>
      <c r="B81" s="112" t="n">
        <f aca="false">IF($C81="","",COUNTA($C$5:C81))</f>
        <v>77</v>
      </c>
      <c r="C81" s="113" t="s">
        <v>685</v>
      </c>
      <c r="D81" s="114" t="s">
        <v>279</v>
      </c>
      <c r="E81" s="113" t="s">
        <v>658</v>
      </c>
      <c r="F81" s="113" t="s">
        <v>337</v>
      </c>
      <c r="G81" s="114" t="s">
        <v>659</v>
      </c>
      <c r="H81" s="114" t="n">
        <v>2</v>
      </c>
      <c r="I81" s="114" t="s">
        <v>114</v>
      </c>
      <c r="J81" s="115" t="n">
        <v>11000</v>
      </c>
      <c r="K81" s="115" t="n">
        <v>4600</v>
      </c>
      <c r="L81" s="115" t="n">
        <f aca="false">IF($C81="","",ROUND($J81*0.17,0))</f>
        <v>1870</v>
      </c>
      <c r="M81" s="115" t="n">
        <v>8600</v>
      </c>
      <c r="N81" s="115" t="n">
        <v>3500</v>
      </c>
      <c r="O81" s="115" t="n">
        <v>2200</v>
      </c>
      <c r="P81" s="115" t="n">
        <v>2200</v>
      </c>
      <c r="Q81" s="115" t="n">
        <v>15950</v>
      </c>
      <c r="R81" s="115" t="n">
        <v>7150</v>
      </c>
      <c r="S81" s="115" t="n">
        <f aca="false">IF($C81="","",ROUND($J81*2.2,0))</f>
        <v>24200</v>
      </c>
      <c r="T81" s="115" t="n">
        <v>3850</v>
      </c>
      <c r="U81" s="115" t="n">
        <v>3300</v>
      </c>
      <c r="V81" s="115" t="n">
        <v>2000</v>
      </c>
      <c r="W81" s="115" t="n">
        <v>2400</v>
      </c>
      <c r="X81" s="116" t="s">
        <v>290</v>
      </c>
      <c r="Y81" s="117" t="n">
        <v>0.3</v>
      </c>
      <c r="Z81" s="117" t="n">
        <v>1</v>
      </c>
      <c r="AA81" s="113" t="s">
        <v>686</v>
      </c>
      <c r="AB81" s="113"/>
      <c r="AC81" s="116" t="s">
        <v>687</v>
      </c>
      <c r="AD81" s="116"/>
      <c r="AE81" s="116"/>
      <c r="AF81" s="116" t="s">
        <v>688</v>
      </c>
      <c r="AG81" s="116"/>
      <c r="AH81" s="118"/>
      <c r="AI81" s="118"/>
      <c r="AJ81" s="118"/>
      <c r="AK81" s="118" t="s">
        <v>689</v>
      </c>
      <c r="AL81" s="118"/>
      <c r="AM81" s="103"/>
      <c r="AN81" s="102"/>
      <c r="AO81" s="95"/>
      <c r="AP81" s="95"/>
      <c r="AQ81" s="95"/>
      <c r="AR81" s="95"/>
      <c r="AS81" s="95"/>
      <c r="AT81" s="95"/>
      <c r="AU81" s="95"/>
      <c r="AV81" s="96" t="str">
        <f aca="false">IF(AND(AP81&gt;0,J81&gt;0),J81*1000/(AP81*0.2),"")</f>
        <v/>
      </c>
      <c r="AW81" s="96" t="str">
        <f aca="false">IF(AND(AS81&gt;0,M81&gt;0),M81*1000/(AS81*0.3),"")</f>
        <v/>
      </c>
      <c r="AX81" s="96" t="str">
        <f aca="false">IF(AND(AO81&gt;0,O81&gt;0),O81*1000/(AO81*0.1),"")</f>
        <v/>
      </c>
      <c r="AY81" s="96" t="str">
        <f aca="false">IF(AND(AR81&gt;0,N81&gt;0),N81*1000/(AR81*0.25),"")</f>
        <v/>
      </c>
      <c r="AZ81" s="96" t="str">
        <f aca="false">IF(AND(AQ81&gt;0,Q81&gt;0),Q81*1000/(AQ81*1),"")</f>
        <v/>
      </c>
      <c r="BA81" s="97" t="n">
        <f aca="false">IFERROR(VLOOKUP($I81,'07_Settings'!$A$10:$F$14,6,FALSE()),0.25)</f>
        <v>0.45</v>
      </c>
      <c r="BB81" s="98" t="n">
        <v>1</v>
      </c>
      <c r="BC81" s="98" t="n">
        <v>1</v>
      </c>
      <c r="BD81" s="98" t="n">
        <v>1</v>
      </c>
      <c r="BE81" s="99" t="n">
        <f aca="false">IFERROR(ROUND($S81*BA81*BC81*BD81*BB81,0),0)</f>
        <v>10890</v>
      </c>
      <c r="BF81" s="55" t="str">
        <f aca="false">IF(COUNT(AO81:AU81)&gt;0,"estimated","pending")</f>
        <v>pending</v>
      </c>
    </row>
    <row r="82" customFormat="false" ht="16.5" hidden="false" customHeight="true" outlineLevel="0" collapsed="false">
      <c r="A82" s="102"/>
      <c r="B82" s="112" t="n">
        <f aca="false">IF($C82="","",COUNTA($C$5:C82))</f>
        <v>78</v>
      </c>
      <c r="C82" s="113" t="s">
        <v>690</v>
      </c>
      <c r="D82" s="114" t="s">
        <v>279</v>
      </c>
      <c r="E82" s="113" t="s">
        <v>658</v>
      </c>
      <c r="F82" s="113" t="s">
        <v>337</v>
      </c>
      <c r="G82" s="114" t="s">
        <v>659</v>
      </c>
      <c r="H82" s="114" t="n">
        <v>2</v>
      </c>
      <c r="I82" s="114" t="s">
        <v>114</v>
      </c>
      <c r="J82" s="115" t="n">
        <v>11000</v>
      </c>
      <c r="K82" s="115" t="n">
        <v>4600</v>
      </c>
      <c r="L82" s="115" t="n">
        <f aca="false">IF($C82="","",ROUND($J82*0.17,0))</f>
        <v>1870</v>
      </c>
      <c r="M82" s="115" t="n">
        <v>8600</v>
      </c>
      <c r="N82" s="115" t="n">
        <v>3500</v>
      </c>
      <c r="O82" s="115" t="n">
        <v>2200</v>
      </c>
      <c r="P82" s="115" t="n">
        <v>2200</v>
      </c>
      <c r="Q82" s="115" t="n">
        <v>15950</v>
      </c>
      <c r="R82" s="115" t="n">
        <v>7150</v>
      </c>
      <c r="S82" s="115" t="n">
        <f aca="false">IF($C82="","",ROUND($J82*2.2,0))</f>
        <v>24200</v>
      </c>
      <c r="T82" s="115" t="n">
        <v>3850</v>
      </c>
      <c r="U82" s="115" t="n">
        <v>3300</v>
      </c>
      <c r="V82" s="115" t="n">
        <v>2000</v>
      </c>
      <c r="W82" s="115" t="n">
        <v>2400</v>
      </c>
      <c r="X82" s="116" t="s">
        <v>290</v>
      </c>
      <c r="Y82" s="117" t="n">
        <v>0.3</v>
      </c>
      <c r="Z82" s="117" t="n">
        <v>1</v>
      </c>
      <c r="AA82" s="113" t="s">
        <v>691</v>
      </c>
      <c r="AB82" s="113"/>
      <c r="AC82" s="116" t="s">
        <v>692</v>
      </c>
      <c r="AD82" s="116"/>
      <c r="AE82" s="116"/>
      <c r="AF82" s="116"/>
      <c r="AG82" s="116"/>
      <c r="AH82" s="118" t="s">
        <v>693</v>
      </c>
      <c r="AI82" s="118"/>
      <c r="AJ82" s="118"/>
      <c r="AK82" s="120" t="n">
        <v>39905</v>
      </c>
      <c r="AL82" s="118"/>
      <c r="AM82" s="103"/>
      <c r="AN82" s="102"/>
      <c r="AO82" s="95"/>
      <c r="AP82" s="95"/>
      <c r="AQ82" s="95"/>
      <c r="AR82" s="95"/>
      <c r="AS82" s="95"/>
      <c r="AT82" s="95"/>
      <c r="AU82" s="95"/>
      <c r="AV82" s="96" t="str">
        <f aca="false">IF(AND(AP82&gt;0,J82&gt;0),J82*1000/(AP82*0.2),"")</f>
        <v/>
      </c>
      <c r="AW82" s="96" t="str">
        <f aca="false">IF(AND(AS82&gt;0,M82&gt;0),M82*1000/(AS82*0.3),"")</f>
        <v/>
      </c>
      <c r="AX82" s="96" t="str">
        <f aca="false">IF(AND(AO82&gt;0,O82&gt;0),O82*1000/(AO82*0.1),"")</f>
        <v/>
      </c>
      <c r="AY82" s="96" t="str">
        <f aca="false">IF(AND(AR82&gt;0,N82&gt;0),N82*1000/(AR82*0.25),"")</f>
        <v/>
      </c>
      <c r="AZ82" s="96" t="str">
        <f aca="false">IF(AND(AQ82&gt;0,Q82&gt;0),Q82*1000/(AQ82*1),"")</f>
        <v/>
      </c>
      <c r="BA82" s="97" t="n">
        <f aca="false">IFERROR(VLOOKUP($I82,'07_Settings'!$A$10:$F$14,6,FALSE()),0.25)</f>
        <v>0.45</v>
      </c>
      <c r="BB82" s="98" t="n">
        <v>1</v>
      </c>
      <c r="BC82" s="98" t="n">
        <v>1</v>
      </c>
      <c r="BD82" s="98" t="n">
        <v>1</v>
      </c>
      <c r="BE82" s="99" t="n">
        <f aca="false">IFERROR(ROUND($S82*BA82*BC82*BD82*BB82,0),0)</f>
        <v>10890</v>
      </c>
      <c r="BF82" s="55" t="str">
        <f aca="false">IF(COUNT(AO82:AU82)&gt;0,"estimated","pending")</f>
        <v>pending</v>
      </c>
    </row>
    <row r="83" customFormat="false" ht="16.5" hidden="false" customHeight="true" outlineLevel="0" collapsed="false">
      <c r="A83" s="86"/>
      <c r="B83" s="121" t="n">
        <f aca="false">IF($C83="","",COUNTA($C$5:C83))</f>
        <v>79</v>
      </c>
      <c r="C83" s="122" t="s">
        <v>694</v>
      </c>
      <c r="D83" s="123" t="s">
        <v>29</v>
      </c>
      <c r="E83" s="122" t="s">
        <v>658</v>
      </c>
      <c r="F83" s="122" t="s">
        <v>337</v>
      </c>
      <c r="G83" s="123" t="s">
        <v>659</v>
      </c>
      <c r="H83" s="123" t="n">
        <v>0</v>
      </c>
      <c r="I83" s="123" t="s">
        <v>122</v>
      </c>
      <c r="J83" s="124" t="n">
        <v>11000</v>
      </c>
      <c r="K83" s="124" t="n">
        <v>4600</v>
      </c>
      <c r="L83" s="125" t="n">
        <f aca="false">IF($C83="","",ROUND($J83*0.17,0))</f>
        <v>1870</v>
      </c>
      <c r="M83" s="124" t="n">
        <v>8600</v>
      </c>
      <c r="N83" s="124" t="n">
        <v>3500</v>
      </c>
      <c r="O83" s="124" t="n">
        <v>2200</v>
      </c>
      <c r="P83" s="124" t="n">
        <v>0</v>
      </c>
      <c r="Q83" s="124" t="n">
        <v>15950</v>
      </c>
      <c r="R83" s="124" t="n">
        <v>7150</v>
      </c>
      <c r="S83" s="125" t="n">
        <f aca="false">IF($C83="","",ROUND($J83*2.2,0))</f>
        <v>24200</v>
      </c>
      <c r="T83" s="124" t="n">
        <v>3850</v>
      </c>
      <c r="U83" s="124" t="n">
        <v>3300</v>
      </c>
      <c r="V83" s="124" t="n">
        <v>2000</v>
      </c>
      <c r="W83" s="124" t="n">
        <v>0</v>
      </c>
      <c r="X83" s="124" t="s">
        <v>376</v>
      </c>
      <c r="Y83" s="126" t="n">
        <v>0.3</v>
      </c>
      <c r="Z83" s="126" t="n">
        <v>1</v>
      </c>
      <c r="AA83" s="122" t="s">
        <v>695</v>
      </c>
      <c r="AB83" s="122"/>
      <c r="AC83" s="124"/>
      <c r="AD83" s="124"/>
      <c r="AE83" s="124"/>
      <c r="AF83" s="124"/>
      <c r="AG83" s="124"/>
      <c r="AH83" s="127"/>
      <c r="AI83" s="127"/>
      <c r="AJ83" s="127"/>
      <c r="AK83" s="127"/>
      <c r="AL83" s="127"/>
      <c r="AM83" s="128"/>
      <c r="AN83" s="86"/>
      <c r="AO83" s="95"/>
      <c r="AP83" s="95"/>
      <c r="AQ83" s="95"/>
      <c r="AR83" s="95"/>
      <c r="AS83" s="95"/>
      <c r="AT83" s="95"/>
      <c r="AU83" s="104" t="n">
        <v>28000</v>
      </c>
      <c r="AV83" s="96" t="str">
        <f aca="false">IF(AND(AP83&gt;0,J83&gt;0),J83*1000/(AP83*0.2),"")</f>
        <v/>
      </c>
      <c r="AW83" s="96" t="str">
        <f aca="false">IF(AND(AS83&gt;0,M83&gt;0),M83*1000/(AS83*0.3),"")</f>
        <v/>
      </c>
      <c r="AX83" s="96" t="str">
        <f aca="false">IF(AND(AO83&gt;0,O83&gt;0),O83*1000/(AO83*0.1),"")</f>
        <v/>
      </c>
      <c r="AY83" s="96" t="str">
        <f aca="false">IF(AND(AR83&gt;0,N83&gt;0),N83*1000/(AR83*0.25),"")</f>
        <v/>
      </c>
      <c r="AZ83" s="96" t="str">
        <f aca="false">IF(AND(AQ83&gt;0,Q83&gt;0),Q83*1000/(AQ83*1),"")</f>
        <v/>
      </c>
      <c r="BA83" s="97" t="n">
        <f aca="false">IFERROR(VLOOKUP($I83,'07_Settings'!$A$10:$F$14,6,FALSE()),0.25)</f>
        <v>0.25</v>
      </c>
      <c r="BB83" s="98" t="n">
        <v>1</v>
      </c>
      <c r="BC83" s="98" t="n">
        <v>1</v>
      </c>
      <c r="BD83" s="98" t="n">
        <v>1</v>
      </c>
      <c r="BE83" s="99" t="n">
        <f aca="false">IFERROR(ROUND($S83*BA83*BC83*BD83*BB83,0),0)</f>
        <v>6050</v>
      </c>
      <c r="BF83" s="55" t="str">
        <f aca="false">IF(COUNT(AO83:AU83)&gt;0,"estimated","pending")</f>
        <v>estimated</v>
      </c>
    </row>
    <row r="84" customFormat="false" ht="16.5" hidden="false" customHeight="true" outlineLevel="0" collapsed="false">
      <c r="A84" s="102"/>
      <c r="B84" s="112" t="n">
        <f aca="false">IF($C84="","",COUNTA($C$5:C84))</f>
        <v>80</v>
      </c>
      <c r="C84" s="113" t="s">
        <v>696</v>
      </c>
      <c r="D84" s="114" t="s">
        <v>279</v>
      </c>
      <c r="E84" s="113" t="s">
        <v>697</v>
      </c>
      <c r="F84" s="113" t="s">
        <v>697</v>
      </c>
      <c r="G84" s="114" t="s">
        <v>531</v>
      </c>
      <c r="H84" s="114" t="n">
        <v>3</v>
      </c>
      <c r="I84" s="114" t="s">
        <v>114</v>
      </c>
      <c r="J84" s="115" t="n">
        <v>11250</v>
      </c>
      <c r="K84" s="115" t="n">
        <v>4500</v>
      </c>
      <c r="L84" s="115" t="n">
        <f aca="false">IF($C84="","",ROUND($J84*0.17,0))</f>
        <v>1913</v>
      </c>
      <c r="M84" s="115" t="n">
        <v>8000</v>
      </c>
      <c r="N84" s="115" t="n">
        <v>3500</v>
      </c>
      <c r="O84" s="115" t="n">
        <v>2000</v>
      </c>
      <c r="P84" s="115" t="n">
        <v>2000</v>
      </c>
      <c r="Q84" s="115" t="n">
        <v>13500</v>
      </c>
      <c r="R84" s="115" t="n">
        <v>6075</v>
      </c>
      <c r="S84" s="115" t="n">
        <f aca="false">IF($C84="","",ROUND($J84*2.2,0))</f>
        <v>24750</v>
      </c>
      <c r="T84" s="115" t="n">
        <v>4638</v>
      </c>
      <c r="U84" s="115" t="n">
        <v>4063</v>
      </c>
      <c r="V84" s="115" t="n">
        <v>2438</v>
      </c>
      <c r="W84" s="115" t="n">
        <v>2400</v>
      </c>
      <c r="X84" s="116" t="s">
        <v>236</v>
      </c>
      <c r="Y84" s="117" t="n">
        <v>0.75</v>
      </c>
      <c r="Z84" s="117" t="n">
        <v>1</v>
      </c>
      <c r="AA84" s="113" t="s">
        <v>696</v>
      </c>
      <c r="AB84" s="113" t="s">
        <v>698</v>
      </c>
      <c r="AC84" s="116" t="s">
        <v>699</v>
      </c>
      <c r="AD84" s="116" t="s">
        <v>700</v>
      </c>
      <c r="AE84" s="116"/>
      <c r="AF84" s="116"/>
      <c r="AG84" s="116"/>
      <c r="AH84" s="118"/>
      <c r="AI84" s="118"/>
      <c r="AJ84" s="118"/>
      <c r="AK84" s="118" t="s">
        <v>701</v>
      </c>
      <c r="AL84" s="118" t="s">
        <v>702</v>
      </c>
      <c r="AM84" s="103"/>
      <c r="AN84" s="102"/>
      <c r="AO84" s="104" t="n">
        <v>6313</v>
      </c>
      <c r="AP84" s="104" t="n">
        <v>4161</v>
      </c>
      <c r="AQ84" s="95"/>
      <c r="AR84" s="95"/>
      <c r="AS84" s="95"/>
      <c r="AT84" s="95"/>
      <c r="AU84" s="95"/>
      <c r="AV84" s="96" t="n">
        <f aca="false">IF(AND(AP84&gt;0,J84&gt;0),J84*1000/(AP84*0.2),"")</f>
        <v>13518.3850036049</v>
      </c>
      <c r="AW84" s="96" t="str">
        <f aca="false">IF(AND(AS84&gt;0,M84&gt;0),M84*1000/(AS84*0.3),"")</f>
        <v/>
      </c>
      <c r="AX84" s="96" t="n">
        <f aca="false">IF(AND(AO84&gt;0,O84&gt;0),O84*1000/(AO84*0.1),"")</f>
        <v>3168.06589577063</v>
      </c>
      <c r="AY84" s="96" t="str">
        <f aca="false">IF(AND(AR84&gt;0,N84&gt;0),N84*1000/(AR84*0.25),"")</f>
        <v/>
      </c>
      <c r="AZ84" s="96" t="str">
        <f aca="false">IF(AND(AQ84&gt;0,Q84&gt;0),Q84*1000/(AQ84*1),"")</f>
        <v/>
      </c>
      <c r="BA84" s="97" t="n">
        <f aca="false">IFERROR(VLOOKUP($I84,'07_Settings'!$A$10:$F$14,6,FALSE()),0.25)</f>
        <v>0.45</v>
      </c>
      <c r="BB84" s="98" t="n">
        <v>1</v>
      </c>
      <c r="BC84" s="98" t="n">
        <v>1</v>
      </c>
      <c r="BD84" s="98" t="n">
        <v>1</v>
      </c>
      <c r="BE84" s="99" t="n">
        <f aca="false">IFERROR(ROUND($S84*BA84*BC84*BD84*BB84,0),0)</f>
        <v>11138</v>
      </c>
      <c r="BF84" s="55" t="str">
        <f aca="false">IF(COUNT(AO84:AU84)&gt;0,"estimated","pending")</f>
        <v>estimated</v>
      </c>
    </row>
    <row r="85" customFormat="false" ht="16.5" hidden="false" customHeight="true" outlineLevel="0" collapsed="false">
      <c r="A85" s="102"/>
      <c r="B85" s="112" t="n">
        <f aca="false">IF($C85="","",COUNTA($C$5:C85))</f>
        <v>81</v>
      </c>
      <c r="C85" s="113" t="s">
        <v>703</v>
      </c>
      <c r="D85" s="114" t="s">
        <v>279</v>
      </c>
      <c r="E85" s="113" t="s">
        <v>697</v>
      </c>
      <c r="F85" s="113" t="s">
        <v>697</v>
      </c>
      <c r="G85" s="114" t="s">
        <v>560</v>
      </c>
      <c r="H85" s="114" t="n">
        <v>2</v>
      </c>
      <c r="I85" s="114" t="s">
        <v>114</v>
      </c>
      <c r="J85" s="115" t="n">
        <v>11000</v>
      </c>
      <c r="K85" s="115" t="n">
        <v>4600</v>
      </c>
      <c r="L85" s="115" t="n">
        <f aca="false">IF($C85="","",ROUND($J85*0.17,0))</f>
        <v>1870</v>
      </c>
      <c r="M85" s="115" t="n">
        <v>8600</v>
      </c>
      <c r="N85" s="115" t="n">
        <v>3500</v>
      </c>
      <c r="O85" s="115" t="n">
        <v>2200</v>
      </c>
      <c r="P85" s="115" t="n">
        <v>2200</v>
      </c>
      <c r="Q85" s="115" t="n">
        <v>15950</v>
      </c>
      <c r="R85" s="115" t="n">
        <v>7150</v>
      </c>
      <c r="S85" s="115" t="n">
        <f aca="false">IF($C85="","",ROUND($J85*2.2,0))</f>
        <v>24200</v>
      </c>
      <c r="T85" s="115" t="n">
        <v>3850</v>
      </c>
      <c r="U85" s="115" t="n">
        <v>3300</v>
      </c>
      <c r="V85" s="115" t="n">
        <v>2000</v>
      </c>
      <c r="W85" s="115" t="n">
        <v>2400</v>
      </c>
      <c r="X85" s="116" t="s">
        <v>290</v>
      </c>
      <c r="Y85" s="117" t="n">
        <v>0.3</v>
      </c>
      <c r="Z85" s="117" t="n">
        <v>1</v>
      </c>
      <c r="AA85" s="113" t="s">
        <v>703</v>
      </c>
      <c r="AB85" s="113" t="s">
        <v>704</v>
      </c>
      <c r="AC85" s="116" t="s">
        <v>705</v>
      </c>
      <c r="AD85" s="116"/>
      <c r="AE85" s="116"/>
      <c r="AF85" s="116"/>
      <c r="AG85" s="116"/>
      <c r="AH85" s="118"/>
      <c r="AI85" s="118"/>
      <c r="AJ85" s="118"/>
      <c r="AK85" s="118" t="s">
        <v>706</v>
      </c>
      <c r="AL85" s="118" t="s">
        <v>702</v>
      </c>
      <c r="AM85" s="103"/>
      <c r="AN85" s="102"/>
      <c r="AO85" s="104" t="n">
        <v>461</v>
      </c>
      <c r="AP85" s="104" t="n">
        <v>418</v>
      </c>
      <c r="AQ85" s="95"/>
      <c r="AR85" s="95"/>
      <c r="AS85" s="95"/>
      <c r="AT85" s="95"/>
      <c r="AU85" s="95"/>
      <c r="AV85" s="96" t="n">
        <f aca="false">IF(AND(AP85&gt;0,J85&gt;0),J85*1000/(AP85*0.2),"")</f>
        <v>131578.947368421</v>
      </c>
      <c r="AW85" s="96" t="str">
        <f aca="false">IF(AND(AS85&gt;0,M85&gt;0),M85*1000/(AS85*0.3),"")</f>
        <v/>
      </c>
      <c r="AX85" s="96" t="n">
        <f aca="false">IF(AND(AO85&gt;0,O85&gt;0),O85*1000/(AO85*0.1),"")</f>
        <v>47722.3427331887</v>
      </c>
      <c r="AY85" s="96" t="str">
        <f aca="false">IF(AND(AR85&gt;0,N85&gt;0),N85*1000/(AR85*0.25),"")</f>
        <v/>
      </c>
      <c r="AZ85" s="96" t="str">
        <f aca="false">IF(AND(AQ85&gt;0,Q85&gt;0),Q85*1000/(AQ85*1),"")</f>
        <v/>
      </c>
      <c r="BA85" s="97" t="n">
        <f aca="false">IFERROR(VLOOKUP($I85,'07_Settings'!$A$10:$F$14,6,FALSE()),0.25)</f>
        <v>0.45</v>
      </c>
      <c r="BB85" s="98" t="n">
        <v>1</v>
      </c>
      <c r="BC85" s="98" t="n">
        <v>1</v>
      </c>
      <c r="BD85" s="98" t="n">
        <v>1</v>
      </c>
      <c r="BE85" s="99" t="n">
        <f aca="false">IFERROR(ROUND($S85*BA85*BC85*BD85*BB85,0),0)</f>
        <v>10890</v>
      </c>
      <c r="BF85" s="55" t="str">
        <f aca="false">IF(COUNT(AO85:AU85)&gt;0,"estimated","pending")</f>
        <v>estimated</v>
      </c>
    </row>
    <row r="86" customFormat="false" ht="16.5" hidden="false" customHeight="true" outlineLevel="0" collapsed="false">
      <c r="A86" s="102"/>
      <c r="B86" s="112" t="n">
        <f aca="false">IF($C86="","",COUNTA($C$5:C86))</f>
        <v>82</v>
      </c>
      <c r="C86" s="113" t="s">
        <v>707</v>
      </c>
      <c r="D86" s="114" t="s">
        <v>279</v>
      </c>
      <c r="E86" s="113" t="s">
        <v>697</v>
      </c>
      <c r="F86" s="113" t="s">
        <v>697</v>
      </c>
      <c r="G86" s="114" t="s">
        <v>531</v>
      </c>
      <c r="H86" s="114" t="n">
        <v>2</v>
      </c>
      <c r="I86" s="114" t="s">
        <v>114</v>
      </c>
      <c r="J86" s="115" t="n">
        <v>12100</v>
      </c>
      <c r="K86" s="115" t="n">
        <v>5100</v>
      </c>
      <c r="L86" s="115" t="n">
        <f aca="false">IF($C86="","",ROUND($J86*0.17,0))</f>
        <v>2057</v>
      </c>
      <c r="M86" s="115" t="n">
        <v>9450</v>
      </c>
      <c r="N86" s="115" t="n">
        <v>3850</v>
      </c>
      <c r="O86" s="115" t="n">
        <v>2400</v>
      </c>
      <c r="P86" s="115" t="n">
        <v>2400</v>
      </c>
      <c r="Q86" s="115" t="n">
        <v>17550</v>
      </c>
      <c r="R86" s="115" t="n">
        <v>7850</v>
      </c>
      <c r="S86" s="115" t="n">
        <f aca="false">IF($C86="","",ROUND($J86*2.2,0))</f>
        <v>26620</v>
      </c>
      <c r="T86" s="115" t="n">
        <v>4250</v>
      </c>
      <c r="U86" s="115" t="n">
        <v>3650</v>
      </c>
      <c r="V86" s="115" t="n">
        <v>2200</v>
      </c>
      <c r="W86" s="115" t="n">
        <v>2400</v>
      </c>
      <c r="X86" s="116" t="s">
        <v>290</v>
      </c>
      <c r="Y86" s="117" t="n">
        <v>0.75</v>
      </c>
      <c r="Z86" s="117" t="n">
        <v>1</v>
      </c>
      <c r="AA86" s="113" t="s">
        <v>707</v>
      </c>
      <c r="AB86" s="113" t="s">
        <v>708</v>
      </c>
      <c r="AC86" s="116" t="s">
        <v>709</v>
      </c>
      <c r="AD86" s="116"/>
      <c r="AE86" s="116"/>
      <c r="AF86" s="116"/>
      <c r="AG86" s="116"/>
      <c r="AH86" s="118"/>
      <c r="AI86" s="118"/>
      <c r="AJ86" s="118"/>
      <c r="AK86" s="118" t="s">
        <v>710</v>
      </c>
      <c r="AL86" s="118" t="s">
        <v>702</v>
      </c>
      <c r="AM86" s="103"/>
      <c r="AN86" s="102"/>
      <c r="AO86" s="95"/>
      <c r="AP86" s="104" t="n">
        <v>995</v>
      </c>
      <c r="AQ86" s="95"/>
      <c r="AR86" s="95"/>
      <c r="AS86" s="95"/>
      <c r="AT86" s="95"/>
      <c r="AU86" s="95"/>
      <c r="AV86" s="96" t="n">
        <f aca="false">IF(AND(AP86&gt;0,J86&gt;0),J86*1000/(AP86*0.2),"")</f>
        <v>60804.0201005025</v>
      </c>
      <c r="AW86" s="96" t="str">
        <f aca="false">IF(AND(AS86&gt;0,M86&gt;0),M86*1000/(AS86*0.3),"")</f>
        <v/>
      </c>
      <c r="AX86" s="96" t="str">
        <f aca="false">IF(AND(AO86&gt;0,O86&gt;0),O86*1000/(AO86*0.1),"")</f>
        <v/>
      </c>
      <c r="AY86" s="96" t="str">
        <f aca="false">IF(AND(AR86&gt;0,N86&gt;0),N86*1000/(AR86*0.25),"")</f>
        <v/>
      </c>
      <c r="AZ86" s="96" t="str">
        <f aca="false">IF(AND(AQ86&gt;0,Q86&gt;0),Q86*1000/(AQ86*1),"")</f>
        <v/>
      </c>
      <c r="BA86" s="97" t="n">
        <f aca="false">IFERROR(VLOOKUP($I86,'07_Settings'!$A$10:$F$14,6,FALSE()),0.25)</f>
        <v>0.45</v>
      </c>
      <c r="BB86" s="98" t="n">
        <v>1</v>
      </c>
      <c r="BC86" s="98" t="n">
        <v>1</v>
      </c>
      <c r="BD86" s="98" t="n">
        <v>1</v>
      </c>
      <c r="BE86" s="99" t="n">
        <f aca="false">IFERROR(ROUND($S86*BA86*BC86*BD86*BB86,0),0)</f>
        <v>11979</v>
      </c>
      <c r="BF86" s="55" t="str">
        <f aca="false">IF(COUNT(AO86:AU86)&gt;0,"estimated","pending")</f>
        <v>estimated</v>
      </c>
    </row>
    <row r="87" customFormat="false" ht="16.5" hidden="false" customHeight="true" outlineLevel="0" collapsed="false">
      <c r="A87" s="102"/>
      <c r="B87" s="112" t="n">
        <f aca="false">IF($C87="","",COUNTA($C$5:C87))</f>
        <v>83</v>
      </c>
      <c r="C87" s="113" t="s">
        <v>711</v>
      </c>
      <c r="D87" s="114" t="s">
        <v>279</v>
      </c>
      <c r="E87" s="113" t="s">
        <v>697</v>
      </c>
      <c r="F87" s="113" t="s">
        <v>697</v>
      </c>
      <c r="G87" s="114" t="s">
        <v>560</v>
      </c>
      <c r="H87" s="114" t="n">
        <v>2</v>
      </c>
      <c r="I87" s="114" t="s">
        <v>114</v>
      </c>
      <c r="J87" s="115" t="n">
        <v>11000</v>
      </c>
      <c r="K87" s="115" t="n">
        <v>4600</v>
      </c>
      <c r="L87" s="115" t="n">
        <f aca="false">IF($C87="","",ROUND($J87*0.17,0))</f>
        <v>1870</v>
      </c>
      <c r="M87" s="115" t="n">
        <v>8600</v>
      </c>
      <c r="N87" s="115" t="n">
        <v>3500</v>
      </c>
      <c r="O87" s="115" t="n">
        <v>2200</v>
      </c>
      <c r="P87" s="115" t="n">
        <v>2200</v>
      </c>
      <c r="Q87" s="115" t="n">
        <v>15950</v>
      </c>
      <c r="R87" s="115" t="n">
        <v>7150</v>
      </c>
      <c r="S87" s="115" t="n">
        <f aca="false">IF($C87="","",ROUND($J87*2.2,0))</f>
        <v>24200</v>
      </c>
      <c r="T87" s="115" t="n">
        <v>3850</v>
      </c>
      <c r="U87" s="115" t="n">
        <v>3300</v>
      </c>
      <c r="V87" s="115" t="n">
        <v>2000</v>
      </c>
      <c r="W87" s="115" t="n">
        <v>2400</v>
      </c>
      <c r="X87" s="116" t="s">
        <v>290</v>
      </c>
      <c r="Y87" s="117" t="n">
        <v>0.3</v>
      </c>
      <c r="Z87" s="117" t="n">
        <v>1</v>
      </c>
      <c r="AA87" s="113" t="s">
        <v>711</v>
      </c>
      <c r="AB87" s="113" t="s">
        <v>712</v>
      </c>
      <c r="AC87" s="116" t="s">
        <v>713</v>
      </c>
      <c r="AD87" s="116"/>
      <c r="AE87" s="116"/>
      <c r="AF87" s="116"/>
      <c r="AG87" s="116"/>
      <c r="AH87" s="118"/>
      <c r="AI87" s="118"/>
      <c r="AJ87" s="118"/>
      <c r="AK87" s="118" t="s">
        <v>714</v>
      </c>
      <c r="AL87" s="118" t="s">
        <v>702</v>
      </c>
      <c r="AM87" s="103"/>
      <c r="AN87" s="102"/>
      <c r="AO87" s="95"/>
      <c r="AP87" s="95"/>
      <c r="AQ87" s="95"/>
      <c r="AR87" s="95"/>
      <c r="AS87" s="95"/>
      <c r="AT87" s="95"/>
      <c r="AU87" s="95"/>
      <c r="AV87" s="96" t="str">
        <f aca="false">IF(AND(AP87&gt;0,J87&gt;0),J87*1000/(AP87*0.2),"")</f>
        <v/>
      </c>
      <c r="AW87" s="96" t="str">
        <f aca="false">IF(AND(AS87&gt;0,M87&gt;0),M87*1000/(AS87*0.3),"")</f>
        <v/>
      </c>
      <c r="AX87" s="96" t="str">
        <f aca="false">IF(AND(AO87&gt;0,O87&gt;0),O87*1000/(AO87*0.1),"")</f>
        <v/>
      </c>
      <c r="AY87" s="96" t="str">
        <f aca="false">IF(AND(AR87&gt;0,N87&gt;0),N87*1000/(AR87*0.25),"")</f>
        <v/>
      </c>
      <c r="AZ87" s="96" t="str">
        <f aca="false">IF(AND(AQ87&gt;0,Q87&gt;0),Q87*1000/(AQ87*1),"")</f>
        <v/>
      </c>
      <c r="BA87" s="97" t="n">
        <f aca="false">IFERROR(VLOOKUP($I87,'07_Settings'!$A$10:$F$14,6,FALSE()),0.25)</f>
        <v>0.45</v>
      </c>
      <c r="BB87" s="98" t="n">
        <v>1</v>
      </c>
      <c r="BC87" s="98" t="n">
        <v>1</v>
      </c>
      <c r="BD87" s="98" t="n">
        <v>1</v>
      </c>
      <c r="BE87" s="99" t="n">
        <f aca="false">IFERROR(ROUND($S87*BA87*BC87*BD87*BB87,0),0)</f>
        <v>10890</v>
      </c>
      <c r="BF87" s="55" t="str">
        <f aca="false">IF(COUNT(AO87:AU87)&gt;0,"estimated","pending")</f>
        <v>pending</v>
      </c>
    </row>
    <row r="88" customFormat="false" ht="16.5" hidden="false" customHeight="true" outlineLevel="0" collapsed="false">
      <c r="A88" s="86"/>
      <c r="B88" s="121" t="n">
        <f aca="false">IF($C88="","",COUNTA($C$5:C88))</f>
        <v>84</v>
      </c>
      <c r="C88" s="122" t="s">
        <v>715</v>
      </c>
      <c r="D88" s="123" t="s">
        <v>29</v>
      </c>
      <c r="E88" s="122" t="s">
        <v>697</v>
      </c>
      <c r="F88" s="122" t="s">
        <v>697</v>
      </c>
      <c r="G88" s="123" t="s">
        <v>411</v>
      </c>
      <c r="H88" s="123" t="n">
        <v>2</v>
      </c>
      <c r="I88" s="123" t="s">
        <v>122</v>
      </c>
      <c r="J88" s="124" t="n">
        <v>12100</v>
      </c>
      <c r="K88" s="124" t="n">
        <v>5100</v>
      </c>
      <c r="L88" s="125" t="n">
        <f aca="false">IF($C88="","",ROUND($J88*0.17,0))</f>
        <v>2057</v>
      </c>
      <c r="M88" s="124" t="n">
        <v>9450</v>
      </c>
      <c r="N88" s="124" t="n">
        <v>3850</v>
      </c>
      <c r="O88" s="124" t="n">
        <v>2400</v>
      </c>
      <c r="P88" s="124" t="n">
        <v>0</v>
      </c>
      <c r="Q88" s="124" t="n">
        <v>17550</v>
      </c>
      <c r="R88" s="124" t="n">
        <v>7850</v>
      </c>
      <c r="S88" s="125" t="n">
        <f aca="false">IF($C88="","",ROUND($J88*2.2,0))</f>
        <v>26620</v>
      </c>
      <c r="T88" s="124" t="n">
        <v>4250</v>
      </c>
      <c r="U88" s="124" t="n">
        <v>3650</v>
      </c>
      <c r="V88" s="124" t="n">
        <v>2200</v>
      </c>
      <c r="W88" s="124" t="n">
        <v>0</v>
      </c>
      <c r="X88" s="124" t="s">
        <v>290</v>
      </c>
      <c r="Y88" s="126" t="n">
        <v>0.3</v>
      </c>
      <c r="Z88" s="126" t="n">
        <v>1</v>
      </c>
      <c r="AA88" s="122" t="s">
        <v>716</v>
      </c>
      <c r="AB88" s="122" t="s">
        <v>717</v>
      </c>
      <c r="AC88" s="124" t="s">
        <v>718</v>
      </c>
      <c r="AD88" s="124"/>
      <c r="AE88" s="124"/>
      <c r="AF88" s="124"/>
      <c r="AG88" s="124"/>
      <c r="AH88" s="127"/>
      <c r="AI88" s="127"/>
      <c r="AJ88" s="127"/>
      <c r="AK88" s="127" t="s">
        <v>719</v>
      </c>
      <c r="AL88" s="127"/>
      <c r="AM88" s="128"/>
      <c r="AN88" s="86"/>
      <c r="AO88" s="95"/>
      <c r="AP88" s="95"/>
      <c r="AQ88" s="95"/>
      <c r="AR88" s="95"/>
      <c r="AS88" s="95"/>
      <c r="AT88" s="95"/>
      <c r="AU88" s="95"/>
      <c r="AV88" s="96" t="str">
        <f aca="false">IF(AND(AP88&gt;0,J88&gt;0),J88*1000/(AP88*0.2),"")</f>
        <v/>
      </c>
      <c r="AW88" s="96" t="str">
        <f aca="false">IF(AND(AS88&gt;0,M88&gt;0),M88*1000/(AS88*0.3),"")</f>
        <v/>
      </c>
      <c r="AX88" s="96" t="str">
        <f aca="false">IF(AND(AO88&gt;0,O88&gt;0),O88*1000/(AO88*0.1),"")</f>
        <v/>
      </c>
      <c r="AY88" s="96" t="str">
        <f aca="false">IF(AND(AR88&gt;0,N88&gt;0),N88*1000/(AR88*0.25),"")</f>
        <v/>
      </c>
      <c r="AZ88" s="96" t="str">
        <f aca="false">IF(AND(AQ88&gt;0,Q88&gt;0),Q88*1000/(AQ88*1),"")</f>
        <v/>
      </c>
      <c r="BA88" s="97" t="n">
        <f aca="false">IFERROR(VLOOKUP($I88,'07_Settings'!$A$10:$F$14,6,FALSE()),0.25)</f>
        <v>0.25</v>
      </c>
      <c r="BB88" s="98" t="n">
        <v>1</v>
      </c>
      <c r="BC88" s="98" t="n">
        <v>1</v>
      </c>
      <c r="BD88" s="98" t="n">
        <v>1</v>
      </c>
      <c r="BE88" s="99" t="n">
        <f aca="false">IFERROR(ROUND($S88*BA88*BC88*BD88*BB88,0),0)</f>
        <v>6655</v>
      </c>
      <c r="BF88" s="55" t="str">
        <f aca="false">IF(COUNT(AO88:AU88)&gt;0,"estimated","pending")</f>
        <v>pending</v>
      </c>
    </row>
    <row r="89" customFormat="false" ht="16.5" hidden="false" customHeight="true" outlineLevel="0" collapsed="false">
      <c r="A89" s="102"/>
      <c r="B89" s="112" t="n">
        <f aca="false">IF($C89="","",COUNTA($C$5:C89))</f>
        <v>85</v>
      </c>
      <c r="C89" s="113" t="s">
        <v>720</v>
      </c>
      <c r="D89" s="114" t="s">
        <v>279</v>
      </c>
      <c r="E89" s="113" t="s">
        <v>721</v>
      </c>
      <c r="F89" s="113" t="s">
        <v>326</v>
      </c>
      <c r="G89" s="114" t="s">
        <v>722</v>
      </c>
      <c r="H89" s="114" t="n">
        <v>1</v>
      </c>
      <c r="I89" s="114" t="s">
        <v>118</v>
      </c>
      <c r="J89" s="115" t="n">
        <v>8750</v>
      </c>
      <c r="K89" s="115" t="n">
        <v>3000</v>
      </c>
      <c r="L89" s="115" t="n">
        <f aca="false">IF($C89="","",ROUND($J89*0.17,0))</f>
        <v>1488</v>
      </c>
      <c r="M89" s="115" t="n">
        <v>6000</v>
      </c>
      <c r="N89" s="115" t="n">
        <v>2500</v>
      </c>
      <c r="O89" s="115" t="n">
        <v>1200</v>
      </c>
      <c r="P89" s="115" t="n">
        <v>1200</v>
      </c>
      <c r="Q89" s="115" t="n">
        <v>9000</v>
      </c>
      <c r="R89" s="115" t="n">
        <v>4050</v>
      </c>
      <c r="S89" s="115" t="n">
        <f aca="false">IF($C89="","",ROUND($J89*2.2,0))</f>
        <v>19250</v>
      </c>
      <c r="T89" s="115" t="n">
        <v>2200</v>
      </c>
      <c r="U89" s="115" t="n">
        <v>1925</v>
      </c>
      <c r="V89" s="115" t="n">
        <v>1155</v>
      </c>
      <c r="W89" s="115" t="n">
        <v>2400</v>
      </c>
      <c r="X89" s="116" t="s">
        <v>310</v>
      </c>
      <c r="Y89" s="117" t="n">
        <v>0.3</v>
      </c>
      <c r="Z89" s="117" t="n">
        <v>1</v>
      </c>
      <c r="AA89" s="113" t="s">
        <v>723</v>
      </c>
      <c r="AB89" s="113"/>
      <c r="AC89" s="116" t="s">
        <v>724</v>
      </c>
      <c r="AD89" s="116"/>
      <c r="AE89" s="116"/>
      <c r="AF89" s="116"/>
      <c r="AG89" s="116"/>
      <c r="AH89" s="118"/>
      <c r="AI89" s="118"/>
      <c r="AJ89" s="118"/>
      <c r="AK89" s="118" t="s">
        <v>725</v>
      </c>
      <c r="AL89" s="118" t="s">
        <v>726</v>
      </c>
      <c r="AM89" s="103"/>
      <c r="AN89" s="102"/>
      <c r="AO89" s="95"/>
      <c r="AP89" s="104" t="n">
        <v>2574</v>
      </c>
      <c r="AQ89" s="95"/>
      <c r="AR89" s="95"/>
      <c r="AS89" s="95"/>
      <c r="AT89" s="95"/>
      <c r="AU89" s="95"/>
      <c r="AV89" s="96" t="n">
        <f aca="false">IF(AND(AP89&gt;0,J89&gt;0),J89*1000/(AP89*0.2),"")</f>
        <v>16996.891996892</v>
      </c>
      <c r="AW89" s="96" t="str">
        <f aca="false">IF(AND(AS89&gt;0,M89&gt;0),M89*1000/(AS89*0.3),"")</f>
        <v/>
      </c>
      <c r="AX89" s="96" t="str">
        <f aca="false">IF(AND(AO89&gt;0,O89&gt;0),O89*1000/(AO89*0.1),"")</f>
        <v/>
      </c>
      <c r="AY89" s="96" t="str">
        <f aca="false">IF(AND(AR89&gt;0,N89&gt;0),N89*1000/(AR89*0.25),"")</f>
        <v/>
      </c>
      <c r="AZ89" s="96" t="str">
        <f aca="false">IF(AND(AQ89&gt;0,Q89&gt;0),Q89*1000/(AQ89*1),"")</f>
        <v/>
      </c>
      <c r="BA89" s="97" t="n">
        <f aca="false">IFERROR(VLOOKUP($I89,'07_Settings'!$A$10:$F$14,6,FALSE()),0.25)</f>
        <v>0.35</v>
      </c>
      <c r="BB89" s="98" t="n">
        <v>1</v>
      </c>
      <c r="BC89" s="98" t="n">
        <v>1</v>
      </c>
      <c r="BD89" s="98" t="n">
        <v>1</v>
      </c>
      <c r="BE89" s="99" t="n">
        <f aca="false">IFERROR(ROUND($S89*BA89*BC89*BD89*BB89,0),0)</f>
        <v>6738</v>
      </c>
      <c r="BF89" s="55" t="str">
        <f aca="false">IF(COUNT(AO89:AU89)&gt;0,"estimated","pending")</f>
        <v>estimated</v>
      </c>
    </row>
    <row r="90" customFormat="false" ht="16.5" hidden="false" customHeight="true" outlineLevel="0" collapsed="false">
      <c r="A90" s="102"/>
      <c r="B90" s="112" t="n">
        <f aca="false">IF($C90="","",COUNTA($C$5:C90))</f>
        <v>86</v>
      </c>
      <c r="C90" s="113" t="s">
        <v>727</v>
      </c>
      <c r="D90" s="114" t="s">
        <v>279</v>
      </c>
      <c r="E90" s="113" t="s">
        <v>721</v>
      </c>
      <c r="F90" s="113" t="s">
        <v>326</v>
      </c>
      <c r="G90" s="114" t="s">
        <v>210</v>
      </c>
      <c r="H90" s="114" t="n">
        <v>1</v>
      </c>
      <c r="I90" s="114" t="s">
        <v>118</v>
      </c>
      <c r="J90" s="115" t="n">
        <v>5200</v>
      </c>
      <c r="K90" s="115" t="n">
        <v>2200</v>
      </c>
      <c r="L90" s="115" t="n">
        <f aca="false">IF($C90="","",ROUND($J90*0.17,0))</f>
        <v>884</v>
      </c>
      <c r="M90" s="115" t="n">
        <v>4050</v>
      </c>
      <c r="N90" s="115" t="n">
        <v>1650</v>
      </c>
      <c r="O90" s="115" t="n">
        <v>1050</v>
      </c>
      <c r="P90" s="115" t="n">
        <v>1050</v>
      </c>
      <c r="Q90" s="115" t="n">
        <v>7550</v>
      </c>
      <c r="R90" s="115" t="n">
        <v>3400</v>
      </c>
      <c r="S90" s="115" t="n">
        <f aca="false">IF($C90="","",ROUND($J90*2.2,0))</f>
        <v>11440</v>
      </c>
      <c r="T90" s="115" t="n">
        <v>1800</v>
      </c>
      <c r="U90" s="115" t="n">
        <v>1550</v>
      </c>
      <c r="V90" s="115" t="n">
        <v>950</v>
      </c>
      <c r="W90" s="115" t="n">
        <v>2400</v>
      </c>
      <c r="X90" s="116" t="s">
        <v>310</v>
      </c>
      <c r="Y90" s="117" t="n">
        <v>0.3</v>
      </c>
      <c r="Z90" s="117" t="n">
        <v>1</v>
      </c>
      <c r="AA90" s="113" t="s">
        <v>728</v>
      </c>
      <c r="AB90" s="113"/>
      <c r="AC90" s="116" t="s">
        <v>729</v>
      </c>
      <c r="AD90" s="116"/>
      <c r="AE90" s="116"/>
      <c r="AF90" s="116"/>
      <c r="AG90" s="116"/>
      <c r="AH90" s="118"/>
      <c r="AI90" s="118"/>
      <c r="AJ90" s="118"/>
      <c r="AK90" s="118" t="s">
        <v>730</v>
      </c>
      <c r="AL90" s="118" t="s">
        <v>731</v>
      </c>
      <c r="AM90" s="103"/>
      <c r="AN90" s="102"/>
      <c r="AO90" s="95"/>
      <c r="AP90" s="95"/>
      <c r="AQ90" s="95"/>
      <c r="AR90" s="95"/>
      <c r="AS90" s="95"/>
      <c r="AT90" s="95"/>
      <c r="AU90" s="95"/>
      <c r="AV90" s="96" t="str">
        <f aca="false">IF(AND(AP90&gt;0,J90&gt;0),J90*1000/(AP90*0.2),"")</f>
        <v/>
      </c>
      <c r="AW90" s="96" t="str">
        <f aca="false">IF(AND(AS90&gt;0,M90&gt;0),M90*1000/(AS90*0.3),"")</f>
        <v/>
      </c>
      <c r="AX90" s="96" t="str">
        <f aca="false">IF(AND(AO90&gt;0,O90&gt;0),O90*1000/(AO90*0.1),"")</f>
        <v/>
      </c>
      <c r="AY90" s="96" t="str">
        <f aca="false">IF(AND(AR90&gt;0,N90&gt;0),N90*1000/(AR90*0.25),"")</f>
        <v/>
      </c>
      <c r="AZ90" s="96" t="str">
        <f aca="false">IF(AND(AQ90&gt;0,Q90&gt;0),Q90*1000/(AQ90*1),"")</f>
        <v/>
      </c>
      <c r="BA90" s="97" t="n">
        <f aca="false">IFERROR(VLOOKUP($I90,'07_Settings'!$A$10:$F$14,6,FALSE()),0.25)</f>
        <v>0.35</v>
      </c>
      <c r="BB90" s="98" t="n">
        <v>1</v>
      </c>
      <c r="BC90" s="98" t="n">
        <v>1</v>
      </c>
      <c r="BD90" s="98" t="n">
        <v>1</v>
      </c>
      <c r="BE90" s="99" t="n">
        <f aca="false">IFERROR(ROUND($S90*BA90*BC90*BD90*BB90,0),0)</f>
        <v>4004</v>
      </c>
      <c r="BF90" s="55" t="str">
        <f aca="false">IF(COUNT(AO90:AU90)&gt;0,"estimated","pending")</f>
        <v>pending</v>
      </c>
    </row>
    <row r="91" customFormat="false" ht="16.5" hidden="false" customHeight="true" outlineLevel="0" collapsed="false">
      <c r="A91" s="86"/>
      <c r="B91" s="121" t="n">
        <f aca="false">IF($C91="","",COUNTA($C$5:C91))</f>
        <v>87</v>
      </c>
      <c r="C91" s="122" t="s">
        <v>732</v>
      </c>
      <c r="D91" s="123" t="s">
        <v>29</v>
      </c>
      <c r="E91" s="122" t="s">
        <v>721</v>
      </c>
      <c r="F91" s="122" t="s">
        <v>733</v>
      </c>
      <c r="G91" s="123" t="s">
        <v>734</v>
      </c>
      <c r="H91" s="123" t="n">
        <v>1</v>
      </c>
      <c r="I91" s="123" t="s">
        <v>122</v>
      </c>
      <c r="J91" s="124" t="n">
        <v>5700</v>
      </c>
      <c r="K91" s="124" t="n">
        <v>2400</v>
      </c>
      <c r="L91" s="125" t="n">
        <f aca="false">IF($C91="","",ROUND($J91*0.17,0))</f>
        <v>969</v>
      </c>
      <c r="M91" s="124" t="n">
        <v>4450</v>
      </c>
      <c r="N91" s="124" t="n">
        <v>1850</v>
      </c>
      <c r="O91" s="124" t="n">
        <v>1150</v>
      </c>
      <c r="P91" s="124" t="n">
        <v>0</v>
      </c>
      <c r="Q91" s="124" t="n">
        <v>8300</v>
      </c>
      <c r="R91" s="124" t="n">
        <v>3700</v>
      </c>
      <c r="S91" s="125" t="n">
        <f aca="false">IF($C91="","",ROUND($J91*2.2,0))</f>
        <v>12540</v>
      </c>
      <c r="T91" s="124" t="n">
        <v>2000</v>
      </c>
      <c r="U91" s="124" t="n">
        <v>1700</v>
      </c>
      <c r="V91" s="124" t="n">
        <v>1050</v>
      </c>
      <c r="W91" s="124" t="n">
        <v>0</v>
      </c>
      <c r="X91" s="124" t="s">
        <v>310</v>
      </c>
      <c r="Y91" s="126" t="n">
        <v>0.3</v>
      </c>
      <c r="Z91" s="126" t="n">
        <v>1</v>
      </c>
      <c r="AA91" s="122" t="s">
        <v>735</v>
      </c>
      <c r="AB91" s="122"/>
      <c r="AC91" s="124" t="s">
        <v>736</v>
      </c>
      <c r="AD91" s="124"/>
      <c r="AE91" s="124"/>
      <c r="AF91" s="124"/>
      <c r="AG91" s="124"/>
      <c r="AH91" s="127"/>
      <c r="AI91" s="127"/>
      <c r="AJ91" s="127"/>
      <c r="AK91" s="137" t="n">
        <v>37050</v>
      </c>
      <c r="AL91" s="127"/>
      <c r="AM91" s="128"/>
      <c r="AN91" s="86"/>
      <c r="AO91" s="95"/>
      <c r="AP91" s="95"/>
      <c r="AQ91" s="95"/>
      <c r="AR91" s="95"/>
      <c r="AS91" s="95"/>
      <c r="AT91" s="95"/>
      <c r="AU91" s="95"/>
      <c r="AV91" s="96" t="str">
        <f aca="false">IF(AND(AP91&gt;0,J91&gt;0),J91*1000/(AP91*0.2),"")</f>
        <v/>
      </c>
      <c r="AW91" s="96" t="str">
        <f aca="false">IF(AND(AS91&gt;0,M91&gt;0),M91*1000/(AS91*0.3),"")</f>
        <v/>
      </c>
      <c r="AX91" s="96" t="str">
        <f aca="false">IF(AND(AO91&gt;0,O91&gt;0),O91*1000/(AO91*0.1),"")</f>
        <v/>
      </c>
      <c r="AY91" s="96" t="str">
        <f aca="false">IF(AND(AR91&gt;0,N91&gt;0),N91*1000/(AR91*0.25),"")</f>
        <v/>
      </c>
      <c r="AZ91" s="96" t="str">
        <f aca="false">IF(AND(AQ91&gt;0,Q91&gt;0),Q91*1000/(AQ91*1),"")</f>
        <v/>
      </c>
      <c r="BA91" s="97" t="n">
        <f aca="false">IFERROR(VLOOKUP($I91,'07_Settings'!$A$10:$F$14,6,FALSE()),0.25)</f>
        <v>0.25</v>
      </c>
      <c r="BB91" s="98" t="n">
        <v>1</v>
      </c>
      <c r="BC91" s="98" t="n">
        <v>1</v>
      </c>
      <c r="BD91" s="98" t="n">
        <v>1</v>
      </c>
      <c r="BE91" s="99" t="n">
        <f aca="false">IFERROR(ROUND($S91*BA91*BC91*BD91*BB91,0),0)</f>
        <v>3135</v>
      </c>
      <c r="BF91" s="55" t="str">
        <f aca="false">IF(COUNT(AO91:AU91)&gt;0,"estimated","pending")</f>
        <v>pending</v>
      </c>
    </row>
    <row r="92" customFormat="false" ht="16.5" hidden="false" customHeight="true" outlineLevel="0" collapsed="false">
      <c r="A92" s="86"/>
      <c r="B92" s="121" t="n">
        <f aca="false">IF($C92="","",COUNTA($C$5:C92))</f>
        <v>88</v>
      </c>
      <c r="C92" s="122" t="s">
        <v>732</v>
      </c>
      <c r="D92" s="123" t="s">
        <v>29</v>
      </c>
      <c r="E92" s="122" t="s">
        <v>721</v>
      </c>
      <c r="F92" s="122" t="s">
        <v>733</v>
      </c>
      <c r="G92" s="123" t="s">
        <v>734</v>
      </c>
      <c r="H92" s="123" t="n">
        <v>1</v>
      </c>
      <c r="I92" s="123" t="s">
        <v>122</v>
      </c>
      <c r="J92" s="124" t="n">
        <v>0</v>
      </c>
      <c r="K92" s="124" t="n">
        <v>0</v>
      </c>
      <c r="L92" s="125" t="n">
        <f aca="false">IF($C92="","",ROUND($J92*0.17,0))</f>
        <v>0</v>
      </c>
      <c r="M92" s="124" t="n">
        <v>0</v>
      </c>
      <c r="N92" s="124" t="n">
        <v>0</v>
      </c>
      <c r="O92" s="124" t="n">
        <v>0</v>
      </c>
      <c r="P92" s="124" t="n">
        <v>0</v>
      </c>
      <c r="Q92" s="124" t="n">
        <v>0</v>
      </c>
      <c r="R92" s="124" t="n">
        <v>0</v>
      </c>
      <c r="S92" s="125" t="n">
        <f aca="false">IF($C92="","",ROUND($J92*2.2,0))</f>
        <v>0</v>
      </c>
      <c r="T92" s="124" t="n">
        <v>0</v>
      </c>
      <c r="U92" s="124" t="n">
        <v>0</v>
      </c>
      <c r="V92" s="124" t="n">
        <v>600</v>
      </c>
      <c r="W92" s="124" t="n">
        <v>0</v>
      </c>
      <c r="X92" s="124" t="s">
        <v>310</v>
      </c>
      <c r="Y92" s="126" t="n">
        <v>0.3</v>
      </c>
      <c r="Z92" s="126" t="n">
        <v>1</v>
      </c>
      <c r="AA92" s="122" t="s">
        <v>735</v>
      </c>
      <c r="AB92" s="122"/>
      <c r="AC92" s="124" t="s">
        <v>736</v>
      </c>
      <c r="AD92" s="124"/>
      <c r="AE92" s="124"/>
      <c r="AF92" s="124"/>
      <c r="AG92" s="124"/>
      <c r="AH92" s="127"/>
      <c r="AI92" s="127"/>
      <c r="AJ92" s="127"/>
      <c r="AK92" s="137" t="n">
        <v>37050</v>
      </c>
      <c r="AL92" s="127"/>
      <c r="AM92" s="128"/>
      <c r="AN92" s="86"/>
      <c r="AO92" s="95"/>
      <c r="AP92" s="95"/>
      <c r="AQ92" s="95"/>
      <c r="AR92" s="95"/>
      <c r="AS92" s="95"/>
      <c r="AT92" s="95"/>
      <c r="AU92" s="95"/>
      <c r="AV92" s="96" t="str">
        <f aca="false">IF(AND(AP92&gt;0,J92&gt;0),J92*1000/(AP92*0.2),"")</f>
        <v/>
      </c>
      <c r="AW92" s="96" t="str">
        <f aca="false">IF(AND(AS92&gt;0,M92&gt;0),M92*1000/(AS92*0.3),"")</f>
        <v/>
      </c>
      <c r="AX92" s="96" t="str">
        <f aca="false">IF(AND(AO92&gt;0,O92&gt;0),O92*1000/(AO92*0.1),"")</f>
        <v/>
      </c>
      <c r="AY92" s="96" t="str">
        <f aca="false">IF(AND(AR92&gt;0,N92&gt;0),N92*1000/(AR92*0.25),"")</f>
        <v/>
      </c>
      <c r="AZ92" s="96" t="str">
        <f aca="false">IF(AND(AQ92&gt;0,Q92&gt;0),Q92*1000/(AQ92*1),"")</f>
        <v/>
      </c>
      <c r="BA92" s="97" t="n">
        <f aca="false">IFERROR(VLOOKUP($I92,'07_Settings'!$A$10:$F$14,6,FALSE()),0.25)</f>
        <v>0.25</v>
      </c>
      <c r="BB92" s="98" t="n">
        <v>1</v>
      </c>
      <c r="BC92" s="98" t="n">
        <v>1</v>
      </c>
      <c r="BD92" s="98" t="n">
        <v>1</v>
      </c>
      <c r="BE92" s="99" t="n">
        <f aca="false">IFERROR(ROUND($S92*BA92*BC92*BD92*BB92,0),0)</f>
        <v>0</v>
      </c>
      <c r="BF92" s="55" t="str">
        <f aca="false">IF(COUNT(AO92:AU92)&gt;0,"estimated","pending")</f>
        <v>pending</v>
      </c>
    </row>
    <row r="93" customFormat="false" ht="16.5" hidden="false" customHeight="true" outlineLevel="0" collapsed="false">
      <c r="A93" s="102"/>
      <c r="B93" s="112" t="n">
        <f aca="false">IF($C93="","",COUNTA($C$5:C93))</f>
        <v>89</v>
      </c>
      <c r="C93" s="113" t="s">
        <v>737</v>
      </c>
      <c r="D93" s="114" t="s">
        <v>279</v>
      </c>
      <c r="E93" s="113" t="s">
        <v>721</v>
      </c>
      <c r="F93" s="113" t="s">
        <v>326</v>
      </c>
      <c r="G93" s="114" t="s">
        <v>210</v>
      </c>
      <c r="H93" s="114" t="n">
        <v>0</v>
      </c>
      <c r="I93" s="114" t="s">
        <v>118</v>
      </c>
      <c r="J93" s="115" t="n">
        <v>8750</v>
      </c>
      <c r="K93" s="115" t="n">
        <v>3000</v>
      </c>
      <c r="L93" s="115" t="n">
        <f aca="false">IF($C93="","",ROUND($J93*0.17,0))</f>
        <v>1488</v>
      </c>
      <c r="M93" s="115" t="n">
        <v>6000</v>
      </c>
      <c r="N93" s="115" t="n">
        <v>2500</v>
      </c>
      <c r="O93" s="115" t="n">
        <v>1200</v>
      </c>
      <c r="P93" s="115" t="n">
        <v>1200</v>
      </c>
      <c r="Q93" s="115" t="n">
        <v>9000</v>
      </c>
      <c r="R93" s="115" t="n">
        <v>4050</v>
      </c>
      <c r="S93" s="115" t="n">
        <f aca="false">IF($C93="","",ROUND($J93*2.2,0))</f>
        <v>19250</v>
      </c>
      <c r="T93" s="115" t="n">
        <v>2200</v>
      </c>
      <c r="U93" s="115" t="n">
        <v>1925</v>
      </c>
      <c r="V93" s="115" t="n">
        <v>1155</v>
      </c>
      <c r="W93" s="115" t="n">
        <v>2400</v>
      </c>
      <c r="X93" s="116" t="s">
        <v>376</v>
      </c>
      <c r="Y93" s="117" t="n">
        <v>0.3</v>
      </c>
      <c r="Z93" s="117" t="n">
        <v>1</v>
      </c>
      <c r="AA93" s="113" t="s">
        <v>738</v>
      </c>
      <c r="AB93" s="113"/>
      <c r="AC93" s="116"/>
      <c r="AD93" s="116"/>
      <c r="AE93" s="116"/>
      <c r="AF93" s="116"/>
      <c r="AG93" s="116"/>
      <c r="AH93" s="118"/>
      <c r="AI93" s="118"/>
      <c r="AJ93" s="118"/>
      <c r="AK93" s="118" t="s">
        <v>739</v>
      </c>
      <c r="AL93" s="118" t="s">
        <v>740</v>
      </c>
      <c r="AM93" s="103"/>
      <c r="AN93" s="102"/>
      <c r="AO93" s="95"/>
      <c r="AP93" s="95"/>
      <c r="AQ93" s="95"/>
      <c r="AR93" s="95"/>
      <c r="AS93" s="95"/>
      <c r="AT93" s="95"/>
      <c r="AU93" s="95"/>
      <c r="AV93" s="96" t="str">
        <f aca="false">IF(AND(AP93&gt;0,J93&gt;0),J93*1000/(AP93*0.2),"")</f>
        <v/>
      </c>
      <c r="AW93" s="96" t="str">
        <f aca="false">IF(AND(AS93&gt;0,M93&gt;0),M93*1000/(AS93*0.3),"")</f>
        <v/>
      </c>
      <c r="AX93" s="96" t="str">
        <f aca="false">IF(AND(AO93&gt;0,O93&gt;0),O93*1000/(AO93*0.1),"")</f>
        <v/>
      </c>
      <c r="AY93" s="96" t="str">
        <f aca="false">IF(AND(AR93&gt;0,N93&gt;0),N93*1000/(AR93*0.25),"")</f>
        <v/>
      </c>
      <c r="AZ93" s="96" t="str">
        <f aca="false">IF(AND(AQ93&gt;0,Q93&gt;0),Q93*1000/(AQ93*1),"")</f>
        <v/>
      </c>
      <c r="BA93" s="97" t="n">
        <f aca="false">IFERROR(VLOOKUP($I93,'07_Settings'!$A$10:$F$14,6,FALSE()),0.25)</f>
        <v>0.35</v>
      </c>
      <c r="BB93" s="98" t="n">
        <v>1</v>
      </c>
      <c r="BC93" s="98" t="n">
        <v>1</v>
      </c>
      <c r="BD93" s="98" t="n">
        <v>1</v>
      </c>
      <c r="BE93" s="99" t="n">
        <f aca="false">IFERROR(ROUND($S93*BA93*BC93*BD93*BB93,0),0)</f>
        <v>6738</v>
      </c>
      <c r="BF93" s="55" t="str">
        <f aca="false">IF(COUNT(AO93:AU93)&gt;0,"estimated","pending")</f>
        <v>pending</v>
      </c>
    </row>
    <row r="94" customFormat="false" ht="16.5" hidden="false" customHeight="true" outlineLevel="0" collapsed="false">
      <c r="A94" s="102"/>
      <c r="B94" s="112" t="n">
        <f aca="false">IF($C94="","",COUNTA($C$5:C94))</f>
        <v>90</v>
      </c>
      <c r="C94" s="113" t="s">
        <v>741</v>
      </c>
      <c r="D94" s="114" t="s">
        <v>279</v>
      </c>
      <c r="E94" s="113" t="s">
        <v>721</v>
      </c>
      <c r="F94" s="113" t="s">
        <v>326</v>
      </c>
      <c r="G94" s="114" t="s">
        <v>210</v>
      </c>
      <c r="H94" s="114" t="n">
        <v>1</v>
      </c>
      <c r="I94" s="114" t="s">
        <v>118</v>
      </c>
      <c r="J94" s="115" t="n">
        <v>5700</v>
      </c>
      <c r="K94" s="115" t="n">
        <v>2400</v>
      </c>
      <c r="L94" s="115" t="n">
        <f aca="false">IF($C94="","",ROUND($J94*0.17,0))</f>
        <v>969</v>
      </c>
      <c r="M94" s="115" t="n">
        <v>4450</v>
      </c>
      <c r="N94" s="115" t="n">
        <v>1850</v>
      </c>
      <c r="O94" s="115" t="n">
        <v>1150</v>
      </c>
      <c r="P94" s="115" t="n">
        <v>1150</v>
      </c>
      <c r="Q94" s="115" t="n">
        <v>8300</v>
      </c>
      <c r="R94" s="115" t="n">
        <v>3700</v>
      </c>
      <c r="S94" s="115" t="n">
        <f aca="false">IF($C94="","",ROUND($J94*2.2,0))</f>
        <v>12540</v>
      </c>
      <c r="T94" s="115" t="n">
        <v>2000</v>
      </c>
      <c r="U94" s="115" t="n">
        <v>1700</v>
      </c>
      <c r="V94" s="115" t="n">
        <v>1050</v>
      </c>
      <c r="W94" s="115" t="n">
        <v>2400</v>
      </c>
      <c r="X94" s="116" t="s">
        <v>310</v>
      </c>
      <c r="Y94" s="117" t="n">
        <v>0.3</v>
      </c>
      <c r="Z94" s="117" t="n">
        <v>1</v>
      </c>
      <c r="AA94" s="113" t="s">
        <v>742</v>
      </c>
      <c r="AB94" s="113"/>
      <c r="AC94" s="116" t="s">
        <v>743</v>
      </c>
      <c r="AD94" s="116"/>
      <c r="AE94" s="116"/>
      <c r="AF94" s="116"/>
      <c r="AG94" s="116"/>
      <c r="AH94" s="118"/>
      <c r="AI94" s="118"/>
      <c r="AJ94" s="118"/>
      <c r="AK94" s="120" t="n">
        <v>37682</v>
      </c>
      <c r="AL94" s="118" t="s">
        <v>744</v>
      </c>
      <c r="AM94" s="103"/>
      <c r="AN94" s="102"/>
      <c r="AO94" s="95"/>
      <c r="AP94" s="95"/>
      <c r="AQ94" s="95"/>
      <c r="AR94" s="95"/>
      <c r="AS94" s="95"/>
      <c r="AT94" s="95"/>
      <c r="AU94" s="95"/>
      <c r="AV94" s="96" t="str">
        <f aca="false">IF(AND(AP94&gt;0,J94&gt;0),J94*1000/(AP94*0.2),"")</f>
        <v/>
      </c>
      <c r="AW94" s="96" t="str">
        <f aca="false">IF(AND(AS94&gt;0,M94&gt;0),M94*1000/(AS94*0.3),"")</f>
        <v/>
      </c>
      <c r="AX94" s="96" t="str">
        <f aca="false">IF(AND(AO94&gt;0,O94&gt;0),O94*1000/(AO94*0.1),"")</f>
        <v/>
      </c>
      <c r="AY94" s="96" t="str">
        <f aca="false">IF(AND(AR94&gt;0,N94&gt;0),N94*1000/(AR94*0.25),"")</f>
        <v/>
      </c>
      <c r="AZ94" s="96" t="str">
        <f aca="false">IF(AND(AQ94&gt;0,Q94&gt;0),Q94*1000/(AQ94*1),"")</f>
        <v/>
      </c>
      <c r="BA94" s="97" t="n">
        <f aca="false">IFERROR(VLOOKUP($I94,'07_Settings'!$A$10:$F$14,6,FALSE()),0.25)</f>
        <v>0.35</v>
      </c>
      <c r="BB94" s="98" t="n">
        <v>1</v>
      </c>
      <c r="BC94" s="98" t="n">
        <v>1</v>
      </c>
      <c r="BD94" s="98" t="n">
        <v>1</v>
      </c>
      <c r="BE94" s="99" t="n">
        <f aca="false">IFERROR(ROUND($S94*BA94*BC94*BD94*BB94,0),0)</f>
        <v>4389</v>
      </c>
      <c r="BF94" s="55" t="str">
        <f aca="false">IF(COUNT(AO94:AU94)&gt;0,"estimated","pending")</f>
        <v>pending</v>
      </c>
    </row>
    <row r="95" customFormat="false" ht="16.5" hidden="false" customHeight="true" outlineLevel="0" collapsed="false">
      <c r="A95" s="102"/>
      <c r="B95" s="112" t="n">
        <f aca="false">IF($C95="","",COUNTA($C$5:C95))</f>
        <v>91</v>
      </c>
      <c r="C95" s="113" t="s">
        <v>745</v>
      </c>
      <c r="D95" s="114" t="s">
        <v>279</v>
      </c>
      <c r="E95" s="113" t="s">
        <v>721</v>
      </c>
      <c r="F95" s="113" t="s">
        <v>326</v>
      </c>
      <c r="G95" s="114" t="s">
        <v>210</v>
      </c>
      <c r="H95" s="114" t="n">
        <v>0</v>
      </c>
      <c r="I95" s="114" t="s">
        <v>118</v>
      </c>
      <c r="J95" s="115" t="n">
        <v>5700</v>
      </c>
      <c r="K95" s="115" t="n">
        <v>2400</v>
      </c>
      <c r="L95" s="115" t="n">
        <f aca="false">IF($C95="","",ROUND($J95*0.17,0))</f>
        <v>969</v>
      </c>
      <c r="M95" s="115" t="n">
        <v>4450</v>
      </c>
      <c r="N95" s="115" t="n">
        <v>1850</v>
      </c>
      <c r="O95" s="115" t="n">
        <v>1150</v>
      </c>
      <c r="P95" s="115" t="n">
        <v>1150</v>
      </c>
      <c r="Q95" s="115" t="n">
        <v>8300</v>
      </c>
      <c r="R95" s="115" t="n">
        <v>3700</v>
      </c>
      <c r="S95" s="115" t="n">
        <f aca="false">IF($C95="","",ROUND($J95*2.2,0))</f>
        <v>12540</v>
      </c>
      <c r="T95" s="115" t="n">
        <v>2000</v>
      </c>
      <c r="U95" s="115" t="n">
        <v>1700</v>
      </c>
      <c r="V95" s="115" t="n">
        <v>1050</v>
      </c>
      <c r="W95" s="115" t="n">
        <v>2400</v>
      </c>
      <c r="X95" s="116" t="s">
        <v>376</v>
      </c>
      <c r="Y95" s="117" t="n">
        <v>0.3</v>
      </c>
      <c r="Z95" s="117" t="n">
        <v>1</v>
      </c>
      <c r="AA95" s="113" t="s">
        <v>746</v>
      </c>
      <c r="AB95" s="113"/>
      <c r="AC95" s="116"/>
      <c r="AD95" s="116"/>
      <c r="AE95" s="116"/>
      <c r="AF95" s="116"/>
      <c r="AG95" s="116"/>
      <c r="AH95" s="118"/>
      <c r="AI95" s="118"/>
      <c r="AJ95" s="118"/>
      <c r="AK95" s="118" t="s">
        <v>747</v>
      </c>
      <c r="AL95" s="118" t="s">
        <v>726</v>
      </c>
      <c r="AM95" s="103"/>
      <c r="AN95" s="102"/>
      <c r="AO95" s="95"/>
      <c r="AP95" s="95"/>
      <c r="AQ95" s="95"/>
      <c r="AR95" s="95"/>
      <c r="AS95" s="95"/>
      <c r="AT95" s="95"/>
      <c r="AU95" s="95"/>
      <c r="AV95" s="96" t="str">
        <f aca="false">IF(AND(AP95&gt;0,J95&gt;0),J95*1000/(AP95*0.2),"")</f>
        <v/>
      </c>
      <c r="AW95" s="96" t="str">
        <f aca="false">IF(AND(AS95&gt;0,M95&gt;0),M95*1000/(AS95*0.3),"")</f>
        <v/>
      </c>
      <c r="AX95" s="96" t="str">
        <f aca="false">IF(AND(AO95&gt;0,O95&gt;0),O95*1000/(AO95*0.1),"")</f>
        <v/>
      </c>
      <c r="AY95" s="96" t="str">
        <f aca="false">IF(AND(AR95&gt;0,N95&gt;0),N95*1000/(AR95*0.25),"")</f>
        <v/>
      </c>
      <c r="AZ95" s="96" t="str">
        <f aca="false">IF(AND(AQ95&gt;0,Q95&gt;0),Q95*1000/(AQ95*1),"")</f>
        <v/>
      </c>
      <c r="BA95" s="97" t="n">
        <f aca="false">IFERROR(VLOOKUP($I95,'07_Settings'!$A$10:$F$14,6,FALSE()),0.25)</f>
        <v>0.35</v>
      </c>
      <c r="BB95" s="98" t="n">
        <v>1</v>
      </c>
      <c r="BC95" s="98" t="n">
        <v>1</v>
      </c>
      <c r="BD95" s="98" t="n">
        <v>1</v>
      </c>
      <c r="BE95" s="99" t="n">
        <f aca="false">IFERROR(ROUND($S95*BA95*BC95*BD95*BB95,0),0)</f>
        <v>4389</v>
      </c>
      <c r="BF95" s="55" t="str">
        <f aca="false">IF(COUNT(AO95:AU95)&gt;0,"estimated","pending")</f>
        <v>pending</v>
      </c>
    </row>
    <row r="96" customFormat="false" ht="16.5" hidden="false" customHeight="true" outlineLevel="0" collapsed="false">
      <c r="A96" s="102"/>
      <c r="B96" s="112" t="n">
        <f aca="false">IF($C96="","",COUNTA($C$5:C96))</f>
        <v>92</v>
      </c>
      <c r="C96" s="113" t="s">
        <v>748</v>
      </c>
      <c r="D96" s="114" t="s">
        <v>279</v>
      </c>
      <c r="E96" s="113" t="s">
        <v>721</v>
      </c>
      <c r="F96" s="113" t="s">
        <v>326</v>
      </c>
      <c r="G96" s="114" t="s">
        <v>210</v>
      </c>
      <c r="H96" s="114" t="n">
        <v>0</v>
      </c>
      <c r="I96" s="114" t="s">
        <v>118</v>
      </c>
      <c r="J96" s="115" t="n">
        <v>5700</v>
      </c>
      <c r="K96" s="115" t="n">
        <v>2400</v>
      </c>
      <c r="L96" s="115" t="n">
        <f aca="false">IF($C96="","",ROUND($J96*0.17,0))</f>
        <v>969</v>
      </c>
      <c r="M96" s="115" t="n">
        <v>4450</v>
      </c>
      <c r="N96" s="115" t="n">
        <v>1850</v>
      </c>
      <c r="O96" s="115" t="n">
        <v>1150</v>
      </c>
      <c r="P96" s="115" t="n">
        <v>1150</v>
      </c>
      <c r="Q96" s="115" t="n">
        <v>8300</v>
      </c>
      <c r="R96" s="115" t="n">
        <v>3700</v>
      </c>
      <c r="S96" s="115" t="n">
        <f aca="false">IF($C96="","",ROUND($J96*2.2,0))</f>
        <v>12540</v>
      </c>
      <c r="T96" s="115" t="n">
        <v>2000</v>
      </c>
      <c r="U96" s="115" t="n">
        <v>1700</v>
      </c>
      <c r="V96" s="115" t="n">
        <v>1050</v>
      </c>
      <c r="W96" s="115" t="n">
        <v>2400</v>
      </c>
      <c r="X96" s="116" t="s">
        <v>376</v>
      </c>
      <c r="Y96" s="117" t="n">
        <v>0.3</v>
      </c>
      <c r="Z96" s="117" t="n">
        <v>1</v>
      </c>
      <c r="AA96" s="113" t="s">
        <v>749</v>
      </c>
      <c r="AB96" s="113"/>
      <c r="AC96" s="116"/>
      <c r="AD96" s="116"/>
      <c r="AE96" s="116"/>
      <c r="AF96" s="116"/>
      <c r="AG96" s="116"/>
      <c r="AH96" s="118"/>
      <c r="AI96" s="118"/>
      <c r="AJ96" s="118"/>
      <c r="AK96" s="118" t="s">
        <v>750</v>
      </c>
      <c r="AL96" s="118" t="s">
        <v>751</v>
      </c>
      <c r="AM96" s="103"/>
      <c r="AN96" s="102"/>
      <c r="AO96" s="95"/>
      <c r="AP96" s="95"/>
      <c r="AQ96" s="95"/>
      <c r="AR96" s="95"/>
      <c r="AS96" s="95"/>
      <c r="AT96" s="95"/>
      <c r="AU96" s="95"/>
      <c r="AV96" s="96" t="str">
        <f aca="false">IF(AND(AP96&gt;0,J96&gt;0),J96*1000/(AP96*0.2),"")</f>
        <v/>
      </c>
      <c r="AW96" s="96" t="str">
        <f aca="false">IF(AND(AS96&gt;0,M96&gt;0),M96*1000/(AS96*0.3),"")</f>
        <v/>
      </c>
      <c r="AX96" s="96" t="str">
        <f aca="false">IF(AND(AO96&gt;0,O96&gt;0),O96*1000/(AO96*0.1),"")</f>
        <v/>
      </c>
      <c r="AY96" s="96" t="str">
        <f aca="false">IF(AND(AR96&gt;0,N96&gt;0),N96*1000/(AR96*0.25),"")</f>
        <v/>
      </c>
      <c r="AZ96" s="96" t="str">
        <f aca="false">IF(AND(AQ96&gt;0,Q96&gt;0),Q96*1000/(AQ96*1),"")</f>
        <v/>
      </c>
      <c r="BA96" s="97" t="n">
        <f aca="false">IFERROR(VLOOKUP($I96,'07_Settings'!$A$10:$F$14,6,FALSE()),0.25)</f>
        <v>0.35</v>
      </c>
      <c r="BB96" s="98" t="n">
        <v>1</v>
      </c>
      <c r="BC96" s="98" t="n">
        <v>1</v>
      </c>
      <c r="BD96" s="98" t="n">
        <v>1</v>
      </c>
      <c r="BE96" s="99" t="n">
        <f aca="false">IFERROR(ROUND($S96*BA96*BC96*BD96*BB96,0),0)</f>
        <v>4389</v>
      </c>
      <c r="BF96" s="55" t="str">
        <f aca="false">IF(COUNT(AO96:AU96)&gt;0,"estimated","pending")</f>
        <v>pending</v>
      </c>
    </row>
    <row r="97" customFormat="false" ht="16.5" hidden="false" customHeight="true" outlineLevel="0" collapsed="false">
      <c r="A97" s="102"/>
      <c r="B97" s="112" t="n">
        <f aca="false">IF($C97="","",COUNTA($C$5:C97))</f>
        <v>93</v>
      </c>
      <c r="C97" s="113" t="s">
        <v>752</v>
      </c>
      <c r="D97" s="114" t="s">
        <v>279</v>
      </c>
      <c r="E97" s="113" t="s">
        <v>721</v>
      </c>
      <c r="F97" s="113" t="s">
        <v>753</v>
      </c>
      <c r="G97" s="114" t="s">
        <v>722</v>
      </c>
      <c r="H97" s="114" t="n">
        <v>4</v>
      </c>
      <c r="I97" s="114" t="s">
        <v>118</v>
      </c>
      <c r="J97" s="115" t="n">
        <v>11000</v>
      </c>
      <c r="K97" s="115" t="n">
        <v>4600</v>
      </c>
      <c r="L97" s="115" t="n">
        <f aca="false">IF($C97="","",ROUND($J97*0.17,0))</f>
        <v>1870</v>
      </c>
      <c r="M97" s="115" t="n">
        <v>8600</v>
      </c>
      <c r="N97" s="115" t="n">
        <v>3500</v>
      </c>
      <c r="O97" s="115" t="n">
        <v>2200</v>
      </c>
      <c r="P97" s="115" t="n">
        <v>2200</v>
      </c>
      <c r="Q97" s="115" t="n">
        <v>15950</v>
      </c>
      <c r="R97" s="115" t="n">
        <v>7150</v>
      </c>
      <c r="S97" s="115" t="n">
        <f aca="false">IF($C97="","",ROUND($J97*2.2,0))</f>
        <v>24200</v>
      </c>
      <c r="T97" s="115" t="n">
        <v>3850</v>
      </c>
      <c r="U97" s="115" t="n">
        <v>3300</v>
      </c>
      <c r="V97" s="115" t="n">
        <v>2000</v>
      </c>
      <c r="W97" s="115" t="n">
        <v>2400</v>
      </c>
      <c r="X97" s="116" t="s">
        <v>222</v>
      </c>
      <c r="Y97" s="117" t="n">
        <v>0.3</v>
      </c>
      <c r="Z97" s="117" t="n">
        <v>1</v>
      </c>
      <c r="AA97" s="113" t="s">
        <v>754</v>
      </c>
      <c r="AB97" s="113" t="s">
        <v>755</v>
      </c>
      <c r="AC97" s="113" t="s">
        <v>756</v>
      </c>
      <c r="AD97" s="113"/>
      <c r="AE97" s="113"/>
      <c r="AF97" s="113" t="s">
        <v>757</v>
      </c>
      <c r="AG97" s="113"/>
      <c r="AH97" s="118" t="s">
        <v>758</v>
      </c>
      <c r="AI97" s="118"/>
      <c r="AJ97" s="118"/>
      <c r="AK97" s="118" t="s">
        <v>759</v>
      </c>
      <c r="AL97" s="118" t="s">
        <v>751</v>
      </c>
      <c r="AM97" s="103"/>
      <c r="AN97" s="102"/>
      <c r="AO97" s="95"/>
      <c r="AP97" s="104" t="n">
        <v>14000</v>
      </c>
      <c r="AQ97" s="95"/>
      <c r="AR97" s="95"/>
      <c r="AS97" s="104" t="n">
        <v>65500</v>
      </c>
      <c r="AT97" s="95"/>
      <c r="AU97" s="104" t="n">
        <v>54000</v>
      </c>
      <c r="AV97" s="96" t="n">
        <f aca="false">IF(AND(AP97&gt;0,J97&gt;0),J97*1000/(AP97*0.2),"")</f>
        <v>3928.57142857143</v>
      </c>
      <c r="AW97" s="96" t="n">
        <f aca="false">IF(AND(AS97&gt;0,M97&gt;0),M97*1000/(AS97*0.3),"")</f>
        <v>437.65903307888</v>
      </c>
      <c r="AX97" s="96" t="str">
        <f aca="false">IF(AND(AO97&gt;0,O97&gt;0),O97*1000/(AO97*0.1),"")</f>
        <v/>
      </c>
      <c r="AY97" s="96" t="str">
        <f aca="false">IF(AND(AR97&gt;0,N97&gt;0),N97*1000/(AR97*0.25),"")</f>
        <v/>
      </c>
      <c r="AZ97" s="96" t="str">
        <f aca="false">IF(AND(AQ97&gt;0,Q97&gt;0),Q97*1000/(AQ97*1),"")</f>
        <v/>
      </c>
      <c r="BA97" s="97" t="n">
        <f aca="false">IFERROR(VLOOKUP($I97,'07_Settings'!$A$10:$F$14,6,FALSE()),0.25)</f>
        <v>0.35</v>
      </c>
      <c r="BB97" s="98" t="n">
        <v>1</v>
      </c>
      <c r="BC97" s="98" t="n">
        <v>1</v>
      </c>
      <c r="BD97" s="98" t="n">
        <v>1</v>
      </c>
      <c r="BE97" s="99" t="n">
        <f aca="false">IFERROR(ROUND($S97*BA97*BC97*BD97*BB97,0),0)</f>
        <v>8470</v>
      </c>
      <c r="BF97" s="55" t="str">
        <f aca="false">IF(COUNT(AO97:AU97)&gt;0,"estimated","pending")</f>
        <v>estimated</v>
      </c>
    </row>
    <row r="98" customFormat="false" ht="16.5" hidden="false" customHeight="true" outlineLevel="0" collapsed="false">
      <c r="A98" s="102"/>
      <c r="B98" s="112" t="n">
        <f aca="false">IF($C98="","",COUNTA($C$5:C98))</f>
        <v>94</v>
      </c>
      <c r="C98" s="113" t="s">
        <v>760</v>
      </c>
      <c r="D98" s="114" t="s">
        <v>279</v>
      </c>
      <c r="E98" s="113" t="s">
        <v>721</v>
      </c>
      <c r="F98" s="113" t="s">
        <v>753</v>
      </c>
      <c r="G98" s="114" t="s">
        <v>722</v>
      </c>
      <c r="H98" s="114" t="n">
        <v>3</v>
      </c>
      <c r="I98" s="114" t="s">
        <v>114</v>
      </c>
      <c r="J98" s="115" t="n">
        <v>18000</v>
      </c>
      <c r="K98" s="115" t="n">
        <v>7550</v>
      </c>
      <c r="L98" s="115" t="n">
        <f aca="false">IF($C98="","",ROUND($J98*0.17,0))</f>
        <v>3060</v>
      </c>
      <c r="M98" s="115" t="n">
        <v>14050</v>
      </c>
      <c r="N98" s="115" t="n">
        <v>5750</v>
      </c>
      <c r="O98" s="115" t="n">
        <v>3600</v>
      </c>
      <c r="P98" s="115" t="n">
        <v>3600</v>
      </c>
      <c r="Q98" s="115" t="n">
        <v>26100</v>
      </c>
      <c r="R98" s="115" t="n">
        <v>11700</v>
      </c>
      <c r="S98" s="115" t="n">
        <f aca="false">IF($C98="","",ROUND($J98*2.2,0))</f>
        <v>39600</v>
      </c>
      <c r="T98" s="115" t="n">
        <v>6300</v>
      </c>
      <c r="U98" s="115" t="n">
        <v>5400</v>
      </c>
      <c r="V98" s="115" t="n">
        <v>3250</v>
      </c>
      <c r="W98" s="115" t="n">
        <v>2400</v>
      </c>
      <c r="X98" s="116" t="s">
        <v>236</v>
      </c>
      <c r="Y98" s="117" t="n">
        <v>0.3</v>
      </c>
      <c r="Z98" s="117" t="n">
        <v>1</v>
      </c>
      <c r="AA98" s="113" t="s">
        <v>761</v>
      </c>
      <c r="AB98" s="113"/>
      <c r="AC98" s="116" t="s">
        <v>762</v>
      </c>
      <c r="AD98" s="116"/>
      <c r="AE98" s="116"/>
      <c r="AF98" s="116" t="s">
        <v>762</v>
      </c>
      <c r="AG98" s="116"/>
      <c r="AH98" s="118" t="s">
        <v>763</v>
      </c>
      <c r="AI98" s="118"/>
      <c r="AJ98" s="118"/>
      <c r="AK98" s="120" t="n">
        <v>36687</v>
      </c>
      <c r="AL98" s="118" t="s">
        <v>740</v>
      </c>
      <c r="AM98" s="103"/>
      <c r="AN98" s="102"/>
      <c r="AO98" s="95"/>
      <c r="AP98" s="95"/>
      <c r="AQ98" s="95"/>
      <c r="AR98" s="95"/>
      <c r="AS98" s="95"/>
      <c r="AT98" s="95"/>
      <c r="AU98" s="95"/>
      <c r="AV98" s="96" t="str">
        <f aca="false">IF(AND(AP98&gt;0,J98&gt;0),J98*1000/(AP98*0.2),"")</f>
        <v/>
      </c>
      <c r="AW98" s="96" t="str">
        <f aca="false">IF(AND(AS98&gt;0,M98&gt;0),M98*1000/(AS98*0.3),"")</f>
        <v/>
      </c>
      <c r="AX98" s="96" t="str">
        <f aca="false">IF(AND(AO98&gt;0,O98&gt;0),O98*1000/(AO98*0.1),"")</f>
        <v/>
      </c>
      <c r="AY98" s="96" t="str">
        <f aca="false">IF(AND(AR98&gt;0,N98&gt;0),N98*1000/(AR98*0.25),"")</f>
        <v/>
      </c>
      <c r="AZ98" s="96" t="str">
        <f aca="false">IF(AND(AQ98&gt;0,Q98&gt;0),Q98*1000/(AQ98*1),"")</f>
        <v/>
      </c>
      <c r="BA98" s="97" t="n">
        <f aca="false">IFERROR(VLOOKUP($I98,'07_Settings'!$A$10:$F$14,6,FALSE()),0.25)</f>
        <v>0.45</v>
      </c>
      <c r="BB98" s="98" t="n">
        <v>1</v>
      </c>
      <c r="BC98" s="98" t="n">
        <v>1</v>
      </c>
      <c r="BD98" s="98" t="n">
        <v>1</v>
      </c>
      <c r="BE98" s="99" t="n">
        <f aca="false">IFERROR(ROUND($S98*BA98*BC98*BD98*BB98,0),0)</f>
        <v>17820</v>
      </c>
      <c r="BF98" s="55" t="str">
        <f aca="false">IF(COUNT(AO98:AU98)&gt;0,"estimated","pending")</f>
        <v>pending</v>
      </c>
    </row>
    <row r="99" customFormat="false" ht="16.5" hidden="false" customHeight="true" outlineLevel="0" collapsed="false">
      <c r="A99" s="102"/>
      <c r="B99" s="112" t="n">
        <f aca="false">IF($C99="","",COUNTA($C$5:C99))</f>
        <v>95</v>
      </c>
      <c r="C99" s="113" t="s">
        <v>764</v>
      </c>
      <c r="D99" s="114" t="s">
        <v>279</v>
      </c>
      <c r="E99" s="113" t="s">
        <v>721</v>
      </c>
      <c r="F99" s="113" t="s">
        <v>753</v>
      </c>
      <c r="G99" s="114" t="s">
        <v>722</v>
      </c>
      <c r="H99" s="114" t="n">
        <v>3</v>
      </c>
      <c r="I99" s="114" t="s">
        <v>114</v>
      </c>
      <c r="J99" s="115" t="n">
        <v>11000</v>
      </c>
      <c r="K99" s="115" t="n">
        <v>4600</v>
      </c>
      <c r="L99" s="115" t="n">
        <f aca="false">IF($C99="","",ROUND($J99*0.17,0))</f>
        <v>1870</v>
      </c>
      <c r="M99" s="115" t="n">
        <v>8600</v>
      </c>
      <c r="N99" s="115" t="n">
        <v>3500</v>
      </c>
      <c r="O99" s="115" t="n">
        <v>2200</v>
      </c>
      <c r="P99" s="115" t="n">
        <v>2200</v>
      </c>
      <c r="Q99" s="115" t="n">
        <v>15950</v>
      </c>
      <c r="R99" s="115" t="n">
        <v>7150</v>
      </c>
      <c r="S99" s="115" t="n">
        <f aca="false">IF($C99="","",ROUND($J99*2.2,0))</f>
        <v>24200</v>
      </c>
      <c r="T99" s="115" t="n">
        <v>3850</v>
      </c>
      <c r="U99" s="115" t="n">
        <v>3300</v>
      </c>
      <c r="V99" s="115" t="n">
        <v>2000</v>
      </c>
      <c r="W99" s="115" t="n">
        <v>2400</v>
      </c>
      <c r="X99" s="116" t="s">
        <v>236</v>
      </c>
      <c r="Y99" s="117" t="n">
        <v>0.3</v>
      </c>
      <c r="Z99" s="117" t="n">
        <v>1</v>
      </c>
      <c r="AA99" s="113" t="s">
        <v>765</v>
      </c>
      <c r="AB99" s="113"/>
      <c r="AC99" s="116" t="s">
        <v>766</v>
      </c>
      <c r="AD99" s="116"/>
      <c r="AE99" s="116"/>
      <c r="AF99" s="116" t="s">
        <v>767</v>
      </c>
      <c r="AG99" s="116"/>
      <c r="AH99" s="118" t="s">
        <v>768</v>
      </c>
      <c r="AI99" s="118"/>
      <c r="AJ99" s="118"/>
      <c r="AK99" s="118" t="s">
        <v>769</v>
      </c>
      <c r="AL99" s="118" t="s">
        <v>731</v>
      </c>
      <c r="AM99" s="103"/>
      <c r="AN99" s="102"/>
      <c r="AO99" s="95"/>
      <c r="AP99" s="104" t="n">
        <v>85000</v>
      </c>
      <c r="AQ99" s="95"/>
      <c r="AR99" s="95"/>
      <c r="AS99" s="104" t="n">
        <v>193300</v>
      </c>
      <c r="AT99" s="95"/>
      <c r="AU99" s="104" t="n">
        <v>658375</v>
      </c>
      <c r="AV99" s="96" t="n">
        <f aca="false">IF(AND(AP99&gt;0,J99&gt;0),J99*1000/(AP99*0.2),"")</f>
        <v>647.058823529412</v>
      </c>
      <c r="AW99" s="96" t="n">
        <f aca="false">IF(AND(AS99&gt;0,M99&gt;0),M99*1000/(AS99*0.3),"")</f>
        <v>148.301431281255</v>
      </c>
      <c r="AX99" s="96" t="str">
        <f aca="false">IF(AND(AO99&gt;0,O99&gt;0),O99*1000/(AO99*0.1),"")</f>
        <v/>
      </c>
      <c r="AY99" s="96" t="str">
        <f aca="false">IF(AND(AR99&gt;0,N99&gt;0),N99*1000/(AR99*0.25),"")</f>
        <v/>
      </c>
      <c r="AZ99" s="96" t="str">
        <f aca="false">IF(AND(AQ99&gt;0,Q99&gt;0),Q99*1000/(AQ99*1),"")</f>
        <v/>
      </c>
      <c r="BA99" s="97" t="n">
        <f aca="false">IFERROR(VLOOKUP($I99,'07_Settings'!$A$10:$F$14,6,FALSE()),0.25)</f>
        <v>0.45</v>
      </c>
      <c r="BB99" s="98" t="n">
        <v>1</v>
      </c>
      <c r="BC99" s="98" t="n">
        <v>1</v>
      </c>
      <c r="BD99" s="98" t="n">
        <v>1</v>
      </c>
      <c r="BE99" s="99" t="n">
        <f aca="false">IFERROR(ROUND($S99*BA99*BC99*BD99*BB99,0),0)</f>
        <v>10890</v>
      </c>
      <c r="BF99" s="55" t="str">
        <f aca="false">IF(COUNT(AO99:AU99)&gt;0,"estimated","pending")</f>
        <v>estimated</v>
      </c>
    </row>
    <row r="100" customFormat="false" ht="16.5" hidden="false" customHeight="true" outlineLevel="0" collapsed="false">
      <c r="A100" s="100"/>
      <c r="B100" s="129" t="n">
        <f aca="false">IF($C100="","",COUNTA($C$5:C100))</f>
        <v>96</v>
      </c>
      <c r="C100" s="130" t="s">
        <v>770</v>
      </c>
      <c r="D100" s="131" t="s">
        <v>422</v>
      </c>
      <c r="E100" s="130" t="s">
        <v>721</v>
      </c>
      <c r="F100" s="130" t="s">
        <v>753</v>
      </c>
      <c r="G100" s="131" t="s">
        <v>722</v>
      </c>
      <c r="H100" s="131" t="n">
        <v>3</v>
      </c>
      <c r="I100" s="131" t="s">
        <v>122</v>
      </c>
      <c r="J100" s="132" t="n">
        <v>0</v>
      </c>
      <c r="K100" s="132" t="n">
        <v>0</v>
      </c>
      <c r="L100" s="133" t="n">
        <f aca="false">IF($C100="","",ROUND($J100*0.17,0))</f>
        <v>0</v>
      </c>
      <c r="M100" s="132" t="n">
        <v>0</v>
      </c>
      <c r="N100" s="132" t="n">
        <v>0</v>
      </c>
      <c r="O100" s="132" t="n">
        <v>0</v>
      </c>
      <c r="P100" s="132" t="n">
        <v>0</v>
      </c>
      <c r="Q100" s="132" t="n">
        <v>0</v>
      </c>
      <c r="R100" s="132" t="n">
        <v>0</v>
      </c>
      <c r="S100" s="133" t="n">
        <f aca="false">IF($C100="","",ROUND($J100*2.2,0))</f>
        <v>0</v>
      </c>
      <c r="T100" s="132" t="n">
        <v>0</v>
      </c>
      <c r="U100" s="132" t="n">
        <v>0</v>
      </c>
      <c r="V100" s="132" t="n">
        <v>1200</v>
      </c>
      <c r="W100" s="132" t="n">
        <v>0</v>
      </c>
      <c r="X100" s="132" t="s">
        <v>236</v>
      </c>
      <c r="Y100" s="134" t="n">
        <v>0.3</v>
      </c>
      <c r="Z100" s="134" t="n">
        <v>1</v>
      </c>
      <c r="AA100" s="130" t="s">
        <v>771</v>
      </c>
      <c r="AB100" s="130"/>
      <c r="AC100" s="132" t="s">
        <v>772</v>
      </c>
      <c r="AD100" s="132"/>
      <c r="AE100" s="132"/>
      <c r="AF100" s="132" t="s">
        <v>773</v>
      </c>
      <c r="AG100" s="132"/>
      <c r="AH100" s="135" t="s">
        <v>774</v>
      </c>
      <c r="AI100" s="135"/>
      <c r="AJ100" s="135"/>
      <c r="AK100" s="135" t="s">
        <v>775</v>
      </c>
      <c r="AL100" s="135"/>
      <c r="AM100" s="101"/>
      <c r="AN100" s="100"/>
      <c r="AO100" s="95"/>
      <c r="AP100" s="95"/>
      <c r="AQ100" s="95"/>
      <c r="AR100" s="95"/>
      <c r="AS100" s="95"/>
      <c r="AT100" s="95"/>
      <c r="AU100" s="95"/>
      <c r="AV100" s="96" t="str">
        <f aca="false">IF(AND(AP100&gt;0,J100&gt;0),J100*1000/(AP100*0.2),"")</f>
        <v/>
      </c>
      <c r="AW100" s="96" t="str">
        <f aca="false">IF(AND(AS100&gt;0,M100&gt;0),M100*1000/(AS100*0.3),"")</f>
        <v/>
      </c>
      <c r="AX100" s="96" t="str">
        <f aca="false">IF(AND(AO100&gt;0,O100&gt;0),O100*1000/(AO100*0.1),"")</f>
        <v/>
      </c>
      <c r="AY100" s="96" t="str">
        <f aca="false">IF(AND(AR100&gt;0,N100&gt;0),N100*1000/(AR100*0.25),"")</f>
        <v/>
      </c>
      <c r="AZ100" s="96" t="str">
        <f aca="false">IF(AND(AQ100&gt;0,Q100&gt;0),Q100*1000/(AQ100*1),"")</f>
        <v/>
      </c>
      <c r="BA100" s="97" t="n">
        <f aca="false">IFERROR(VLOOKUP($I100,'07_Settings'!$A$10:$F$14,6,FALSE()),0.25)</f>
        <v>0.25</v>
      </c>
      <c r="BB100" s="98" t="n">
        <v>1</v>
      </c>
      <c r="BC100" s="98" t="n">
        <v>1</v>
      </c>
      <c r="BD100" s="98" t="n">
        <v>1</v>
      </c>
      <c r="BE100" s="99" t="n">
        <f aca="false">IFERROR(ROUND($S100*BA100*BC100*BD100*BB100,0),0)</f>
        <v>0</v>
      </c>
      <c r="BF100" s="55" t="str">
        <f aca="false">IF(COUNT(AO100:AU100)&gt;0,"estimated","pending")</f>
        <v>pending</v>
      </c>
    </row>
    <row r="101" customFormat="false" ht="16.5" hidden="false" customHeight="true" outlineLevel="0" collapsed="false">
      <c r="A101" s="105"/>
      <c r="B101" s="138" t="n">
        <f aca="false">IF($C101="","",COUNTA($C$5:C101))</f>
        <v>97</v>
      </c>
      <c r="C101" s="139" t="s">
        <v>776</v>
      </c>
      <c r="D101" s="140" t="s">
        <v>31</v>
      </c>
      <c r="E101" s="139" t="s">
        <v>721</v>
      </c>
      <c r="F101" s="139" t="s">
        <v>753</v>
      </c>
      <c r="G101" s="140" t="s">
        <v>722</v>
      </c>
      <c r="H101" s="140" t="n">
        <v>3</v>
      </c>
      <c r="I101" s="140" t="s">
        <v>122</v>
      </c>
      <c r="J101" s="141" t="n">
        <v>0</v>
      </c>
      <c r="K101" s="141" t="n">
        <v>0</v>
      </c>
      <c r="L101" s="141" t="n">
        <f aca="false">IF($C101="","",ROUND($J101*0.17,0))</f>
        <v>0</v>
      </c>
      <c r="M101" s="141" t="n">
        <v>0</v>
      </c>
      <c r="N101" s="141" t="n">
        <v>0</v>
      </c>
      <c r="O101" s="141" t="n">
        <v>0</v>
      </c>
      <c r="P101" s="141" t="n">
        <v>0</v>
      </c>
      <c r="Q101" s="141" t="n">
        <v>0</v>
      </c>
      <c r="R101" s="141" t="n">
        <v>0</v>
      </c>
      <c r="S101" s="142" t="n">
        <f aca="false">IF($C101="","",ROUND($J101*2.2,0))</f>
        <v>0</v>
      </c>
      <c r="T101" s="141" t="n">
        <v>0</v>
      </c>
      <c r="U101" s="141" t="n">
        <v>0</v>
      </c>
      <c r="V101" s="141" t="n">
        <v>1200</v>
      </c>
      <c r="W101" s="141" t="n">
        <v>0</v>
      </c>
      <c r="X101" s="141" t="s">
        <v>236</v>
      </c>
      <c r="Y101" s="143" t="n">
        <v>0.3</v>
      </c>
      <c r="Z101" s="143" t="n">
        <v>1</v>
      </c>
      <c r="AA101" s="139" t="s">
        <v>777</v>
      </c>
      <c r="AB101" s="139"/>
      <c r="AC101" s="141" t="s">
        <v>778</v>
      </c>
      <c r="AD101" s="141"/>
      <c r="AE101" s="141"/>
      <c r="AF101" s="141" t="s">
        <v>779</v>
      </c>
      <c r="AG101" s="141"/>
      <c r="AH101" s="144" t="s">
        <v>780</v>
      </c>
      <c r="AI101" s="144"/>
      <c r="AJ101" s="144"/>
      <c r="AK101" s="144" t="s">
        <v>781</v>
      </c>
      <c r="AL101" s="144"/>
      <c r="AM101" s="106"/>
      <c r="AN101" s="105"/>
      <c r="AO101" s="95"/>
      <c r="AP101" s="95"/>
      <c r="AQ101" s="95"/>
      <c r="AR101" s="95"/>
      <c r="AS101" s="95"/>
      <c r="AT101" s="95"/>
      <c r="AU101" s="104" t="n">
        <v>7811</v>
      </c>
      <c r="AV101" s="96" t="str">
        <f aca="false">IF(AND(AP101&gt;0,J101&gt;0),J101*1000/(AP101*0.2),"")</f>
        <v/>
      </c>
      <c r="AW101" s="96" t="str">
        <f aca="false">IF(AND(AS101&gt;0,M101&gt;0),M101*1000/(AS101*0.3),"")</f>
        <v/>
      </c>
      <c r="AX101" s="96" t="str">
        <f aca="false">IF(AND(AO101&gt;0,O101&gt;0),O101*1000/(AO101*0.1),"")</f>
        <v/>
      </c>
      <c r="AY101" s="96" t="str">
        <f aca="false">IF(AND(AR101&gt;0,N101&gt;0),N101*1000/(AR101*0.25),"")</f>
        <v/>
      </c>
      <c r="AZ101" s="96" t="str">
        <f aca="false">IF(AND(AQ101&gt;0,Q101&gt;0),Q101*1000/(AQ101*1),"")</f>
        <v/>
      </c>
      <c r="BA101" s="97" t="n">
        <f aca="false">IFERROR(VLOOKUP($I101,'07_Settings'!$A$10:$F$14,6,FALSE()),0.25)</f>
        <v>0.25</v>
      </c>
      <c r="BB101" s="98" t="n">
        <v>1</v>
      </c>
      <c r="BC101" s="98" t="n">
        <v>1</v>
      </c>
      <c r="BD101" s="98" t="n">
        <v>1</v>
      </c>
      <c r="BE101" s="99" t="n">
        <f aca="false">IFERROR(ROUND($S101*BA101*BC101*BD101*BB101,0),0)</f>
        <v>0</v>
      </c>
      <c r="BF101" s="55" t="str">
        <f aca="false">IF(COUNT(AO101:AU101)&gt;0,"estimated","pending")</f>
        <v>estimated</v>
      </c>
    </row>
    <row r="102" customFormat="false" ht="16.5" hidden="false" customHeight="true" outlineLevel="0" collapsed="false">
      <c r="A102" s="102"/>
      <c r="B102" s="112" t="n">
        <f aca="false">IF($C102="","",COUNTA($C$5:C102))</f>
        <v>98</v>
      </c>
      <c r="C102" s="113" t="s">
        <v>782</v>
      </c>
      <c r="D102" s="114" t="s">
        <v>279</v>
      </c>
      <c r="E102" s="113" t="s">
        <v>721</v>
      </c>
      <c r="F102" s="113" t="s">
        <v>733</v>
      </c>
      <c r="G102" s="114" t="s">
        <v>734</v>
      </c>
      <c r="H102" s="114" t="n">
        <v>1</v>
      </c>
      <c r="I102" s="114" t="s">
        <v>118</v>
      </c>
      <c r="J102" s="115" t="n">
        <v>8750</v>
      </c>
      <c r="K102" s="115" t="n">
        <v>3000</v>
      </c>
      <c r="L102" s="115" t="n">
        <f aca="false">IF($C102="","",ROUND($J102*0.17,0))</f>
        <v>1488</v>
      </c>
      <c r="M102" s="115" t="n">
        <v>6000</v>
      </c>
      <c r="N102" s="115" t="n">
        <v>2500</v>
      </c>
      <c r="O102" s="115" t="n">
        <v>1200</v>
      </c>
      <c r="P102" s="115" t="n">
        <v>1200</v>
      </c>
      <c r="Q102" s="115" t="n">
        <v>9000</v>
      </c>
      <c r="R102" s="115" t="n">
        <v>4050</v>
      </c>
      <c r="S102" s="115" t="n">
        <f aca="false">IF($C102="","",ROUND($J102*2.2,0))</f>
        <v>19250</v>
      </c>
      <c r="T102" s="115" t="n">
        <v>2200</v>
      </c>
      <c r="U102" s="115" t="n">
        <v>1925</v>
      </c>
      <c r="V102" s="115" t="n">
        <v>1155</v>
      </c>
      <c r="W102" s="115" t="n">
        <v>2400</v>
      </c>
      <c r="X102" s="116" t="s">
        <v>310</v>
      </c>
      <c r="Y102" s="117" t="n">
        <v>0.3</v>
      </c>
      <c r="Z102" s="117" t="n">
        <v>1</v>
      </c>
      <c r="AA102" s="113" t="s">
        <v>783</v>
      </c>
      <c r="AB102" s="113"/>
      <c r="AC102" s="116" t="s">
        <v>784</v>
      </c>
      <c r="AD102" s="116"/>
      <c r="AE102" s="116"/>
      <c r="AF102" s="116"/>
      <c r="AG102" s="116"/>
      <c r="AH102" s="118"/>
      <c r="AI102" s="118"/>
      <c r="AJ102" s="118"/>
      <c r="AK102" s="118" t="s">
        <v>785</v>
      </c>
      <c r="AL102" s="118" t="s">
        <v>751</v>
      </c>
      <c r="AM102" s="103"/>
      <c r="AN102" s="102"/>
      <c r="AO102" s="95"/>
      <c r="AP102" s="95"/>
      <c r="AQ102" s="95"/>
      <c r="AR102" s="95"/>
      <c r="AS102" s="95"/>
      <c r="AT102" s="95"/>
      <c r="AU102" s="95"/>
      <c r="AV102" s="96" t="str">
        <f aca="false">IF(AND(AP102&gt;0,J102&gt;0),J102*1000/(AP102*0.2),"")</f>
        <v/>
      </c>
      <c r="AW102" s="96" t="str">
        <f aca="false">IF(AND(AS102&gt;0,M102&gt;0),M102*1000/(AS102*0.3),"")</f>
        <v/>
      </c>
      <c r="AX102" s="96" t="str">
        <f aca="false">IF(AND(AO102&gt;0,O102&gt;0),O102*1000/(AO102*0.1),"")</f>
        <v/>
      </c>
      <c r="AY102" s="96" t="str">
        <f aca="false">IF(AND(AR102&gt;0,N102&gt;0),N102*1000/(AR102*0.25),"")</f>
        <v/>
      </c>
      <c r="AZ102" s="96" t="str">
        <f aca="false">IF(AND(AQ102&gt;0,Q102&gt;0),Q102*1000/(AQ102*1),"")</f>
        <v/>
      </c>
      <c r="BA102" s="97" t="n">
        <f aca="false">IFERROR(VLOOKUP($I102,'07_Settings'!$A$10:$F$14,6,FALSE()),0.25)</f>
        <v>0.35</v>
      </c>
      <c r="BB102" s="98" t="n">
        <v>1</v>
      </c>
      <c r="BC102" s="98" t="n">
        <v>1</v>
      </c>
      <c r="BD102" s="98" t="n">
        <v>1</v>
      </c>
      <c r="BE102" s="99" t="n">
        <f aca="false">IFERROR(ROUND($S102*BA102*BC102*BD102*BB102,0),0)</f>
        <v>6738</v>
      </c>
      <c r="BF102" s="55" t="str">
        <f aca="false">IF(COUNT(AO102:AU102)&gt;0,"estimated","pending")</f>
        <v>pending</v>
      </c>
    </row>
    <row r="103" customFormat="false" ht="16.5" hidden="false" customHeight="true" outlineLevel="0" collapsed="false">
      <c r="A103" s="100"/>
      <c r="B103" s="129" t="n">
        <f aca="false">IF($C103="","",COUNTA($C$5:C103))</f>
        <v>99</v>
      </c>
      <c r="C103" s="130" t="s">
        <v>786</v>
      </c>
      <c r="D103" s="131" t="s">
        <v>428</v>
      </c>
      <c r="E103" s="130" t="s">
        <v>721</v>
      </c>
      <c r="F103" s="130" t="s">
        <v>733</v>
      </c>
      <c r="G103" s="131" t="s">
        <v>734</v>
      </c>
      <c r="H103" s="131" t="n">
        <v>1</v>
      </c>
      <c r="I103" s="131" t="s">
        <v>122</v>
      </c>
      <c r="J103" s="132" t="n">
        <v>5700</v>
      </c>
      <c r="K103" s="132" t="n">
        <v>2400</v>
      </c>
      <c r="L103" s="133" t="n">
        <f aca="false">IF($C103="","",ROUND($J103*0.17,0))</f>
        <v>969</v>
      </c>
      <c r="M103" s="132" t="n">
        <v>4450</v>
      </c>
      <c r="N103" s="132" t="n">
        <v>1850</v>
      </c>
      <c r="O103" s="132" t="n">
        <v>1150</v>
      </c>
      <c r="P103" s="132" t="n">
        <v>0</v>
      </c>
      <c r="Q103" s="132" t="n">
        <v>8300</v>
      </c>
      <c r="R103" s="132" t="n">
        <v>3700</v>
      </c>
      <c r="S103" s="133" t="n">
        <f aca="false">IF($C103="","",ROUND($J103*2.2,0))</f>
        <v>12540</v>
      </c>
      <c r="T103" s="132" t="n">
        <v>2000</v>
      </c>
      <c r="U103" s="132" t="n">
        <v>1700</v>
      </c>
      <c r="V103" s="132" t="n">
        <v>1050</v>
      </c>
      <c r="W103" s="132" t="n">
        <v>0</v>
      </c>
      <c r="X103" s="132" t="s">
        <v>310</v>
      </c>
      <c r="Y103" s="134" t="n">
        <v>0.3</v>
      </c>
      <c r="Z103" s="134" t="n">
        <v>1</v>
      </c>
      <c r="AA103" s="130" t="s">
        <v>787</v>
      </c>
      <c r="AB103" s="130"/>
      <c r="AC103" s="132" t="s">
        <v>788</v>
      </c>
      <c r="AD103" s="132"/>
      <c r="AE103" s="132"/>
      <c r="AF103" s="132"/>
      <c r="AG103" s="132"/>
      <c r="AH103" s="135"/>
      <c r="AI103" s="135"/>
      <c r="AJ103" s="135"/>
      <c r="AK103" s="136" t="n">
        <v>38117</v>
      </c>
      <c r="AL103" s="135"/>
      <c r="AM103" s="101"/>
      <c r="AN103" s="100"/>
      <c r="AO103" s="95"/>
      <c r="AP103" s="95"/>
      <c r="AQ103" s="95"/>
      <c r="AR103" s="95"/>
      <c r="AS103" s="95"/>
      <c r="AT103" s="95"/>
      <c r="AU103" s="95"/>
      <c r="AV103" s="96" t="str">
        <f aca="false">IF(AND(AP103&gt;0,J103&gt;0),J103*1000/(AP103*0.2),"")</f>
        <v/>
      </c>
      <c r="AW103" s="96" t="str">
        <f aca="false">IF(AND(AS103&gt;0,M103&gt;0),M103*1000/(AS103*0.3),"")</f>
        <v/>
      </c>
      <c r="AX103" s="96" t="str">
        <f aca="false">IF(AND(AO103&gt;0,O103&gt;0),O103*1000/(AO103*0.1),"")</f>
        <v/>
      </c>
      <c r="AY103" s="96" t="str">
        <f aca="false">IF(AND(AR103&gt;0,N103&gt;0),N103*1000/(AR103*0.25),"")</f>
        <v/>
      </c>
      <c r="AZ103" s="96" t="str">
        <f aca="false">IF(AND(AQ103&gt;0,Q103&gt;0),Q103*1000/(AQ103*1),"")</f>
        <v/>
      </c>
      <c r="BA103" s="97" t="n">
        <f aca="false">IFERROR(VLOOKUP($I103,'07_Settings'!$A$10:$F$14,6,FALSE()),0.25)</f>
        <v>0.25</v>
      </c>
      <c r="BB103" s="98" t="n">
        <v>1</v>
      </c>
      <c r="BC103" s="98" t="n">
        <v>1</v>
      </c>
      <c r="BD103" s="98" t="n">
        <v>1</v>
      </c>
      <c r="BE103" s="99" t="n">
        <f aca="false">IFERROR(ROUND($S103*BA103*BC103*BD103*BB103,0),0)</f>
        <v>3135</v>
      </c>
      <c r="BF103" s="55" t="str">
        <f aca="false">IF(COUNT(AO103:AU103)&gt;0,"estimated","pending")</f>
        <v>pending</v>
      </c>
    </row>
    <row r="104" customFormat="false" ht="16.5" hidden="false" customHeight="true" outlineLevel="0" collapsed="false">
      <c r="A104" s="102"/>
      <c r="B104" s="112" t="n">
        <f aca="false">IF($C104="","",COUNTA($C$5:C104))</f>
        <v>100</v>
      </c>
      <c r="C104" s="113" t="s">
        <v>789</v>
      </c>
      <c r="D104" s="114" t="s">
        <v>279</v>
      </c>
      <c r="E104" s="113" t="s">
        <v>721</v>
      </c>
      <c r="F104" s="113" t="s">
        <v>733</v>
      </c>
      <c r="G104" s="114" t="s">
        <v>734</v>
      </c>
      <c r="H104" s="114" t="n">
        <v>2</v>
      </c>
      <c r="I104" s="114" t="s">
        <v>114</v>
      </c>
      <c r="J104" s="115" t="n">
        <v>11250</v>
      </c>
      <c r="K104" s="115" t="n">
        <v>4500</v>
      </c>
      <c r="L104" s="115" t="n">
        <f aca="false">IF($C104="","",ROUND($J104*0.17,0))</f>
        <v>1913</v>
      </c>
      <c r="M104" s="115" t="n">
        <v>8000</v>
      </c>
      <c r="N104" s="115" t="n">
        <v>3500</v>
      </c>
      <c r="O104" s="115" t="n">
        <v>2000</v>
      </c>
      <c r="P104" s="115" t="n">
        <v>2000</v>
      </c>
      <c r="Q104" s="115" t="n">
        <v>13500</v>
      </c>
      <c r="R104" s="115" t="n">
        <v>6075</v>
      </c>
      <c r="S104" s="115" t="n">
        <f aca="false">IF($C104="","",ROUND($J104*2.2,0))</f>
        <v>24750</v>
      </c>
      <c r="T104" s="115" t="n">
        <v>4638</v>
      </c>
      <c r="U104" s="115" t="n">
        <v>4063</v>
      </c>
      <c r="V104" s="115" t="n">
        <v>2438</v>
      </c>
      <c r="W104" s="115" t="n">
        <v>2400</v>
      </c>
      <c r="X104" s="116" t="s">
        <v>290</v>
      </c>
      <c r="Y104" s="117" t="n">
        <v>0.3</v>
      </c>
      <c r="Z104" s="117" t="n">
        <v>1</v>
      </c>
      <c r="AA104" s="113" t="s">
        <v>790</v>
      </c>
      <c r="AB104" s="113"/>
      <c r="AC104" s="116" t="s">
        <v>791</v>
      </c>
      <c r="AD104" s="116"/>
      <c r="AE104" s="116"/>
      <c r="AF104" s="116" t="s">
        <v>792</v>
      </c>
      <c r="AG104" s="116"/>
      <c r="AH104" s="118"/>
      <c r="AI104" s="118"/>
      <c r="AJ104" s="118"/>
      <c r="AK104" s="120" t="n">
        <v>37145</v>
      </c>
      <c r="AL104" s="118" t="s">
        <v>740</v>
      </c>
      <c r="AM104" s="103"/>
      <c r="AN104" s="102"/>
      <c r="AO104" s="95"/>
      <c r="AP104" s="95"/>
      <c r="AQ104" s="95"/>
      <c r="AR104" s="95"/>
      <c r="AS104" s="95"/>
      <c r="AT104" s="95"/>
      <c r="AU104" s="95"/>
      <c r="AV104" s="96" t="str">
        <f aca="false">IF(AND(AP104&gt;0,J104&gt;0),J104*1000/(AP104*0.2),"")</f>
        <v/>
      </c>
      <c r="AW104" s="96" t="str">
        <f aca="false">IF(AND(AS104&gt;0,M104&gt;0),M104*1000/(AS104*0.3),"")</f>
        <v/>
      </c>
      <c r="AX104" s="96" t="str">
        <f aca="false">IF(AND(AO104&gt;0,O104&gt;0),O104*1000/(AO104*0.1),"")</f>
        <v/>
      </c>
      <c r="AY104" s="96" t="str">
        <f aca="false">IF(AND(AR104&gt;0,N104&gt;0),N104*1000/(AR104*0.25),"")</f>
        <v/>
      </c>
      <c r="AZ104" s="96" t="str">
        <f aca="false">IF(AND(AQ104&gt;0,Q104&gt;0),Q104*1000/(AQ104*1),"")</f>
        <v/>
      </c>
      <c r="BA104" s="97" t="n">
        <f aca="false">IFERROR(VLOOKUP($I104,'07_Settings'!$A$10:$F$14,6,FALSE()),0.25)</f>
        <v>0.45</v>
      </c>
      <c r="BB104" s="98" t="n">
        <v>1</v>
      </c>
      <c r="BC104" s="98" t="n">
        <v>1</v>
      </c>
      <c r="BD104" s="98" t="n">
        <v>1</v>
      </c>
      <c r="BE104" s="99" t="n">
        <f aca="false">IFERROR(ROUND($S104*BA104*BC104*BD104*BB104,0),0)</f>
        <v>11138</v>
      </c>
      <c r="BF104" s="55" t="str">
        <f aca="false">IF(COUNT(AO104:AU104)&gt;0,"estimated","pending")</f>
        <v>pending</v>
      </c>
    </row>
    <row r="105" customFormat="false" ht="16.5" hidden="false" customHeight="true" outlineLevel="0" collapsed="false">
      <c r="A105" s="102"/>
      <c r="B105" s="112" t="n">
        <f aca="false">IF($C105="","",COUNTA($C$5:C105))</f>
        <v>101</v>
      </c>
      <c r="C105" s="113" t="s">
        <v>793</v>
      </c>
      <c r="D105" s="114" t="s">
        <v>279</v>
      </c>
      <c r="E105" s="113" t="s">
        <v>721</v>
      </c>
      <c r="F105" s="113" t="s">
        <v>733</v>
      </c>
      <c r="G105" s="114" t="s">
        <v>734</v>
      </c>
      <c r="H105" s="114" t="n">
        <v>1</v>
      </c>
      <c r="I105" s="114" t="s">
        <v>118</v>
      </c>
      <c r="J105" s="115" t="n">
        <v>12100</v>
      </c>
      <c r="K105" s="115" t="n">
        <v>5100</v>
      </c>
      <c r="L105" s="115" t="n">
        <f aca="false">IF($C105="","",ROUND($J105*0.17,0))</f>
        <v>2057</v>
      </c>
      <c r="M105" s="115" t="n">
        <v>9450</v>
      </c>
      <c r="N105" s="115" t="n">
        <v>3850</v>
      </c>
      <c r="O105" s="115" t="n">
        <v>2400</v>
      </c>
      <c r="P105" s="115" t="n">
        <v>2400</v>
      </c>
      <c r="Q105" s="115" t="n">
        <v>17550</v>
      </c>
      <c r="R105" s="115" t="n">
        <v>7850</v>
      </c>
      <c r="S105" s="115" t="n">
        <f aca="false">IF($C105="","",ROUND($J105*2.2,0))</f>
        <v>26620</v>
      </c>
      <c r="T105" s="115" t="n">
        <v>4250</v>
      </c>
      <c r="U105" s="115" t="n">
        <v>3650</v>
      </c>
      <c r="V105" s="115" t="n">
        <v>2200</v>
      </c>
      <c r="W105" s="115" t="n">
        <v>2400</v>
      </c>
      <c r="X105" s="116" t="s">
        <v>310</v>
      </c>
      <c r="Y105" s="117" t="n">
        <v>0.3</v>
      </c>
      <c r="Z105" s="117" t="n">
        <v>1</v>
      </c>
      <c r="AA105" s="113" t="s">
        <v>794</v>
      </c>
      <c r="AB105" s="113"/>
      <c r="AC105" s="116" t="s">
        <v>795</v>
      </c>
      <c r="AD105" s="116"/>
      <c r="AE105" s="116"/>
      <c r="AF105" s="116"/>
      <c r="AG105" s="116"/>
      <c r="AH105" s="118"/>
      <c r="AI105" s="118"/>
      <c r="AJ105" s="118"/>
      <c r="AK105" s="120" t="n">
        <v>36101</v>
      </c>
      <c r="AL105" s="118" t="s">
        <v>751</v>
      </c>
      <c r="AM105" s="103"/>
      <c r="AN105" s="102"/>
      <c r="AO105" s="95"/>
      <c r="AP105" s="95"/>
      <c r="AQ105" s="95"/>
      <c r="AR105" s="95"/>
      <c r="AS105" s="95"/>
      <c r="AT105" s="95"/>
      <c r="AU105" s="95"/>
      <c r="AV105" s="96" t="str">
        <f aca="false">IF(AND(AP105&gt;0,J105&gt;0),J105*1000/(AP105*0.2),"")</f>
        <v/>
      </c>
      <c r="AW105" s="96" t="str">
        <f aca="false">IF(AND(AS105&gt;0,M105&gt;0),M105*1000/(AS105*0.3),"")</f>
        <v/>
      </c>
      <c r="AX105" s="96" t="str">
        <f aca="false">IF(AND(AO105&gt;0,O105&gt;0),O105*1000/(AO105*0.1),"")</f>
        <v/>
      </c>
      <c r="AY105" s="96" t="str">
        <f aca="false">IF(AND(AR105&gt;0,N105&gt;0),N105*1000/(AR105*0.25),"")</f>
        <v/>
      </c>
      <c r="AZ105" s="96" t="str">
        <f aca="false">IF(AND(AQ105&gt;0,Q105&gt;0),Q105*1000/(AQ105*1),"")</f>
        <v/>
      </c>
      <c r="BA105" s="97" t="n">
        <f aca="false">IFERROR(VLOOKUP($I105,'07_Settings'!$A$10:$F$14,6,FALSE()),0.25)</f>
        <v>0.35</v>
      </c>
      <c r="BB105" s="98" t="n">
        <v>1</v>
      </c>
      <c r="BC105" s="98" t="n">
        <v>1</v>
      </c>
      <c r="BD105" s="98" t="n">
        <v>1</v>
      </c>
      <c r="BE105" s="99" t="n">
        <f aca="false">IFERROR(ROUND($S105*BA105*BC105*BD105*BB105,0),0)</f>
        <v>9317</v>
      </c>
      <c r="BF105" s="55" t="str">
        <f aca="false">IF(COUNT(AO105:AU105)&gt;0,"estimated","pending")</f>
        <v>pending</v>
      </c>
    </row>
    <row r="106" customFormat="false" ht="16.5" hidden="false" customHeight="true" outlineLevel="0" collapsed="false">
      <c r="A106" s="102"/>
      <c r="B106" s="112" t="n">
        <f aca="false">IF($C106="","",COUNTA($C$5:C106))</f>
        <v>102</v>
      </c>
      <c r="C106" s="113" t="s">
        <v>796</v>
      </c>
      <c r="D106" s="114" t="s">
        <v>279</v>
      </c>
      <c r="E106" s="113" t="s">
        <v>721</v>
      </c>
      <c r="F106" s="113" t="s">
        <v>733</v>
      </c>
      <c r="G106" s="114" t="s">
        <v>734</v>
      </c>
      <c r="H106" s="114" t="n">
        <v>0</v>
      </c>
      <c r="I106" s="114" t="s">
        <v>118</v>
      </c>
      <c r="J106" s="115" t="n">
        <v>5700</v>
      </c>
      <c r="K106" s="115" t="n">
        <v>2400</v>
      </c>
      <c r="L106" s="115" t="n">
        <f aca="false">IF($C106="","",ROUND($J106*0.17,0))</f>
        <v>969</v>
      </c>
      <c r="M106" s="115" t="n">
        <v>4450</v>
      </c>
      <c r="N106" s="115" t="n">
        <v>1850</v>
      </c>
      <c r="O106" s="115" t="n">
        <v>1150</v>
      </c>
      <c r="P106" s="115" t="n">
        <v>1150</v>
      </c>
      <c r="Q106" s="115" t="n">
        <v>8300</v>
      </c>
      <c r="R106" s="115" t="n">
        <v>3700</v>
      </c>
      <c r="S106" s="115" t="n">
        <f aca="false">IF($C106="","",ROUND($J106*2.2,0))</f>
        <v>12540</v>
      </c>
      <c r="T106" s="115" t="n">
        <v>2000</v>
      </c>
      <c r="U106" s="115" t="n">
        <v>1700</v>
      </c>
      <c r="V106" s="115" t="n">
        <v>1050</v>
      </c>
      <c r="W106" s="115" t="n">
        <v>2400</v>
      </c>
      <c r="X106" s="116" t="s">
        <v>376</v>
      </c>
      <c r="Y106" s="117" t="n">
        <v>0.3</v>
      </c>
      <c r="Z106" s="117" t="n">
        <v>1</v>
      </c>
      <c r="AA106" s="113" t="s">
        <v>797</v>
      </c>
      <c r="AB106" s="113"/>
      <c r="AC106" s="116"/>
      <c r="AD106" s="116"/>
      <c r="AE106" s="116"/>
      <c r="AF106" s="116"/>
      <c r="AG106" s="116"/>
      <c r="AH106" s="118"/>
      <c r="AI106" s="118"/>
      <c r="AJ106" s="118"/>
      <c r="AK106" s="118"/>
      <c r="AL106" s="118" t="s">
        <v>726</v>
      </c>
      <c r="AM106" s="103"/>
      <c r="AN106" s="102"/>
      <c r="AO106" s="95"/>
      <c r="AP106" s="95"/>
      <c r="AQ106" s="95"/>
      <c r="AR106" s="95"/>
      <c r="AS106" s="95"/>
      <c r="AT106" s="95"/>
      <c r="AU106" s="95"/>
      <c r="AV106" s="96" t="str">
        <f aca="false">IF(AND(AP106&gt;0,J106&gt;0),J106*1000/(AP106*0.2),"")</f>
        <v/>
      </c>
      <c r="AW106" s="96" t="str">
        <f aca="false">IF(AND(AS106&gt;0,M106&gt;0),M106*1000/(AS106*0.3),"")</f>
        <v/>
      </c>
      <c r="AX106" s="96" t="str">
        <f aca="false">IF(AND(AO106&gt;0,O106&gt;0),O106*1000/(AO106*0.1),"")</f>
        <v/>
      </c>
      <c r="AY106" s="96" t="str">
        <f aca="false">IF(AND(AR106&gt;0,N106&gt;0),N106*1000/(AR106*0.25),"")</f>
        <v/>
      </c>
      <c r="AZ106" s="96" t="str">
        <f aca="false">IF(AND(AQ106&gt;0,Q106&gt;0),Q106*1000/(AQ106*1),"")</f>
        <v/>
      </c>
      <c r="BA106" s="97" t="n">
        <f aca="false">IFERROR(VLOOKUP($I106,'07_Settings'!$A$10:$F$14,6,FALSE()),0.25)</f>
        <v>0.35</v>
      </c>
      <c r="BB106" s="98" t="n">
        <v>1</v>
      </c>
      <c r="BC106" s="98" t="n">
        <v>1</v>
      </c>
      <c r="BD106" s="98" t="n">
        <v>1</v>
      </c>
      <c r="BE106" s="99" t="n">
        <f aca="false">IFERROR(ROUND($S106*BA106*BC106*BD106*BB106,0),0)</f>
        <v>4389</v>
      </c>
      <c r="BF106" s="55" t="str">
        <f aca="false">IF(COUNT(AO106:AU106)&gt;0,"estimated","pending")</f>
        <v>pending</v>
      </c>
    </row>
    <row r="107" customFormat="false" ht="16.5" hidden="false" customHeight="true" outlineLevel="0" collapsed="false">
      <c r="A107" s="102"/>
      <c r="B107" s="112" t="n">
        <f aca="false">IF($C107="","",COUNTA($C$5:C107))</f>
        <v>103</v>
      </c>
      <c r="C107" s="113" t="s">
        <v>798</v>
      </c>
      <c r="D107" s="114" t="s">
        <v>279</v>
      </c>
      <c r="E107" s="113" t="s">
        <v>721</v>
      </c>
      <c r="F107" s="113" t="s">
        <v>733</v>
      </c>
      <c r="G107" s="114" t="s">
        <v>734</v>
      </c>
      <c r="H107" s="114" t="n">
        <v>1</v>
      </c>
      <c r="I107" s="114" t="s">
        <v>118</v>
      </c>
      <c r="J107" s="115" t="n">
        <v>5700</v>
      </c>
      <c r="K107" s="115" t="n">
        <v>2400</v>
      </c>
      <c r="L107" s="115" t="n">
        <f aca="false">IF($C107="","",ROUND($J107*0.17,0))</f>
        <v>969</v>
      </c>
      <c r="M107" s="115" t="n">
        <v>4450</v>
      </c>
      <c r="N107" s="115" t="n">
        <v>1850</v>
      </c>
      <c r="O107" s="115" t="n">
        <v>1150</v>
      </c>
      <c r="P107" s="115" t="n">
        <v>1150</v>
      </c>
      <c r="Q107" s="115" t="n">
        <v>8300</v>
      </c>
      <c r="R107" s="115" t="n">
        <v>3700</v>
      </c>
      <c r="S107" s="115" t="n">
        <f aca="false">IF($C107="","",ROUND($J107*2.2,0))</f>
        <v>12540</v>
      </c>
      <c r="T107" s="115" t="n">
        <v>2000</v>
      </c>
      <c r="U107" s="115" t="n">
        <v>1700</v>
      </c>
      <c r="V107" s="115" t="n">
        <v>1050</v>
      </c>
      <c r="W107" s="115" t="n">
        <v>2400</v>
      </c>
      <c r="X107" s="116" t="s">
        <v>310</v>
      </c>
      <c r="Y107" s="117" t="n">
        <v>0.3</v>
      </c>
      <c r="Z107" s="117" t="n">
        <v>1</v>
      </c>
      <c r="AA107" s="113" t="s">
        <v>799</v>
      </c>
      <c r="AB107" s="113"/>
      <c r="AC107" s="116" t="s">
        <v>800</v>
      </c>
      <c r="AD107" s="116"/>
      <c r="AE107" s="116"/>
      <c r="AF107" s="116"/>
      <c r="AG107" s="116"/>
      <c r="AH107" s="118"/>
      <c r="AI107" s="118"/>
      <c r="AJ107" s="118"/>
      <c r="AK107" s="118" t="s">
        <v>801</v>
      </c>
      <c r="AL107" s="118" t="s">
        <v>744</v>
      </c>
      <c r="AM107" s="103"/>
      <c r="AN107" s="102"/>
      <c r="AO107" s="95"/>
      <c r="AP107" s="95"/>
      <c r="AQ107" s="95"/>
      <c r="AR107" s="95"/>
      <c r="AS107" s="95"/>
      <c r="AT107" s="95"/>
      <c r="AU107" s="95"/>
      <c r="AV107" s="96" t="str">
        <f aca="false">IF(AND(AP107&gt;0,J107&gt;0),J107*1000/(AP107*0.2),"")</f>
        <v/>
      </c>
      <c r="AW107" s="96" t="str">
        <f aca="false">IF(AND(AS107&gt;0,M107&gt;0),M107*1000/(AS107*0.3),"")</f>
        <v/>
      </c>
      <c r="AX107" s="96" t="str">
        <f aca="false">IF(AND(AO107&gt;0,O107&gt;0),O107*1000/(AO107*0.1),"")</f>
        <v/>
      </c>
      <c r="AY107" s="96" t="str">
        <f aca="false">IF(AND(AR107&gt;0,N107&gt;0),N107*1000/(AR107*0.25),"")</f>
        <v/>
      </c>
      <c r="AZ107" s="96" t="str">
        <f aca="false">IF(AND(AQ107&gt;0,Q107&gt;0),Q107*1000/(AQ107*1),"")</f>
        <v/>
      </c>
      <c r="BA107" s="97" t="n">
        <f aca="false">IFERROR(VLOOKUP($I107,'07_Settings'!$A$10:$F$14,6,FALSE()),0.25)</f>
        <v>0.35</v>
      </c>
      <c r="BB107" s="98" t="n">
        <v>1</v>
      </c>
      <c r="BC107" s="98" t="n">
        <v>1</v>
      </c>
      <c r="BD107" s="98" t="n">
        <v>1</v>
      </c>
      <c r="BE107" s="99" t="n">
        <f aca="false">IFERROR(ROUND($S107*BA107*BC107*BD107*BB107,0),0)</f>
        <v>4389</v>
      </c>
      <c r="BF107" s="55" t="str">
        <f aca="false">IF(COUNT(AO107:AU107)&gt;0,"estimated","pending")</f>
        <v>pending</v>
      </c>
    </row>
    <row r="108" customFormat="false" ht="16.5" hidden="false" customHeight="true" outlineLevel="0" collapsed="false">
      <c r="A108" s="102"/>
      <c r="B108" s="112" t="n">
        <f aca="false">IF($C108="","",COUNTA($C$5:C108))</f>
        <v>104</v>
      </c>
      <c r="C108" s="113" t="s">
        <v>802</v>
      </c>
      <c r="D108" s="114" t="s">
        <v>279</v>
      </c>
      <c r="E108" s="113" t="s">
        <v>721</v>
      </c>
      <c r="F108" s="113" t="s">
        <v>803</v>
      </c>
      <c r="G108" s="114" t="s">
        <v>804</v>
      </c>
      <c r="H108" s="114" t="n">
        <v>3</v>
      </c>
      <c r="I108" s="114" t="s">
        <v>114</v>
      </c>
      <c r="J108" s="115" t="n">
        <v>5700</v>
      </c>
      <c r="K108" s="115" t="n">
        <v>2400</v>
      </c>
      <c r="L108" s="115" t="n">
        <f aca="false">IF($C108="","",ROUND($J108*0.17,0))</f>
        <v>969</v>
      </c>
      <c r="M108" s="115" t="n">
        <v>4450</v>
      </c>
      <c r="N108" s="115" t="n">
        <v>1850</v>
      </c>
      <c r="O108" s="115" t="n">
        <v>1150</v>
      </c>
      <c r="P108" s="115" t="n">
        <v>1150</v>
      </c>
      <c r="Q108" s="115" t="n">
        <v>8300</v>
      </c>
      <c r="R108" s="115" t="n">
        <v>3700</v>
      </c>
      <c r="S108" s="115" t="n">
        <f aca="false">IF($C108="","",ROUND($J108*2.2,0))</f>
        <v>12540</v>
      </c>
      <c r="T108" s="115" t="n">
        <v>2000</v>
      </c>
      <c r="U108" s="115" t="n">
        <v>1700</v>
      </c>
      <c r="V108" s="115" t="n">
        <v>1050</v>
      </c>
      <c r="W108" s="115" t="n">
        <v>2400</v>
      </c>
      <c r="X108" s="116" t="s">
        <v>236</v>
      </c>
      <c r="Y108" s="117" t="n">
        <v>0.3</v>
      </c>
      <c r="Z108" s="117" t="n">
        <v>1</v>
      </c>
      <c r="AA108" s="113" t="s">
        <v>805</v>
      </c>
      <c r="AB108" s="113"/>
      <c r="AC108" s="116" t="s">
        <v>806</v>
      </c>
      <c r="AD108" s="116"/>
      <c r="AE108" s="116" t="s">
        <v>807</v>
      </c>
      <c r="AF108" s="116" t="s">
        <v>808</v>
      </c>
      <c r="AG108" s="116"/>
      <c r="AH108" s="118"/>
      <c r="AI108" s="118"/>
      <c r="AJ108" s="118"/>
      <c r="AK108" s="118" t="s">
        <v>809</v>
      </c>
      <c r="AL108" s="118" t="s">
        <v>744</v>
      </c>
      <c r="AM108" s="103"/>
      <c r="AN108" s="102"/>
      <c r="AO108" s="95"/>
      <c r="AP108" s="104" t="n">
        <v>72000</v>
      </c>
      <c r="AQ108" s="95"/>
      <c r="AR108" s="95"/>
      <c r="AS108" s="95"/>
      <c r="AT108" s="95"/>
      <c r="AU108" s="95"/>
      <c r="AV108" s="96" t="n">
        <f aca="false">IF(AND(AP108&gt;0,J108&gt;0),J108*1000/(AP108*0.2),"")</f>
        <v>395.833333333333</v>
      </c>
      <c r="AW108" s="96" t="str">
        <f aca="false">IF(AND(AS108&gt;0,M108&gt;0),M108*1000/(AS108*0.3),"")</f>
        <v/>
      </c>
      <c r="AX108" s="96" t="str">
        <f aca="false">IF(AND(AO108&gt;0,O108&gt;0),O108*1000/(AO108*0.1),"")</f>
        <v/>
      </c>
      <c r="AY108" s="96" t="str">
        <f aca="false">IF(AND(AR108&gt;0,N108&gt;0),N108*1000/(AR108*0.25),"")</f>
        <v/>
      </c>
      <c r="AZ108" s="96" t="str">
        <f aca="false">IF(AND(AQ108&gt;0,Q108&gt;0),Q108*1000/(AQ108*1),"")</f>
        <v/>
      </c>
      <c r="BA108" s="97" t="n">
        <f aca="false">IFERROR(VLOOKUP($I108,'07_Settings'!$A$10:$F$14,6,FALSE()),0.25)</f>
        <v>0.45</v>
      </c>
      <c r="BB108" s="98" t="n">
        <v>1</v>
      </c>
      <c r="BC108" s="98" t="n">
        <v>1</v>
      </c>
      <c r="BD108" s="98" t="n">
        <v>1</v>
      </c>
      <c r="BE108" s="99" t="n">
        <f aca="false">IFERROR(ROUND($S108*BA108*BC108*BD108*BB108,0),0)</f>
        <v>5643</v>
      </c>
      <c r="BF108" s="55" t="str">
        <f aca="false">IF(COUNT(AO108:AU108)&gt;0,"estimated","pending")</f>
        <v>estimated</v>
      </c>
    </row>
    <row r="109" customFormat="false" ht="16.5" hidden="false" customHeight="true" outlineLevel="0" collapsed="false">
      <c r="A109" s="102"/>
      <c r="B109" s="112" t="n">
        <f aca="false">IF($C109="","",COUNTA($C$5:C109))</f>
        <v>105</v>
      </c>
      <c r="C109" s="113" t="s">
        <v>810</v>
      </c>
      <c r="D109" s="114" t="s">
        <v>279</v>
      </c>
      <c r="E109" s="113" t="s">
        <v>721</v>
      </c>
      <c r="F109" s="113" t="s">
        <v>803</v>
      </c>
      <c r="G109" s="114" t="s">
        <v>804</v>
      </c>
      <c r="H109" s="114" t="n">
        <v>2</v>
      </c>
      <c r="I109" s="114" t="s">
        <v>114</v>
      </c>
      <c r="J109" s="115" t="n">
        <v>11000</v>
      </c>
      <c r="K109" s="115" t="n">
        <v>4600</v>
      </c>
      <c r="L109" s="115" t="n">
        <f aca="false">IF($C109="","",ROUND($J109*0.17,0))</f>
        <v>1870</v>
      </c>
      <c r="M109" s="115" t="n">
        <v>8600</v>
      </c>
      <c r="N109" s="115" t="n">
        <v>3500</v>
      </c>
      <c r="O109" s="115" t="n">
        <v>2200</v>
      </c>
      <c r="P109" s="115" t="n">
        <v>2200</v>
      </c>
      <c r="Q109" s="115" t="n">
        <v>15950</v>
      </c>
      <c r="R109" s="115" t="n">
        <v>7150</v>
      </c>
      <c r="S109" s="115" t="n">
        <f aca="false">IF($C109="","",ROUND($J109*2.2,0))</f>
        <v>24200</v>
      </c>
      <c r="T109" s="115" t="n">
        <v>3850</v>
      </c>
      <c r="U109" s="115" t="n">
        <v>3300</v>
      </c>
      <c r="V109" s="115" t="n">
        <v>2000</v>
      </c>
      <c r="W109" s="115" t="n">
        <v>2400</v>
      </c>
      <c r="X109" s="116" t="s">
        <v>290</v>
      </c>
      <c r="Y109" s="117" t="n">
        <v>0.3</v>
      </c>
      <c r="Z109" s="117" t="n">
        <v>1</v>
      </c>
      <c r="AA109" s="113" t="s">
        <v>811</v>
      </c>
      <c r="AB109" s="113"/>
      <c r="AC109" s="116" t="s">
        <v>812</v>
      </c>
      <c r="AD109" s="116"/>
      <c r="AE109" s="116"/>
      <c r="AF109" s="116" t="s">
        <v>813</v>
      </c>
      <c r="AG109" s="116"/>
      <c r="AH109" s="118"/>
      <c r="AI109" s="118"/>
      <c r="AJ109" s="118"/>
      <c r="AK109" s="118" t="s">
        <v>814</v>
      </c>
      <c r="AL109" s="118" t="s">
        <v>726</v>
      </c>
      <c r="AM109" s="103"/>
      <c r="AN109" s="102"/>
      <c r="AO109" s="95"/>
      <c r="AP109" s="95"/>
      <c r="AQ109" s="95"/>
      <c r="AR109" s="95"/>
      <c r="AS109" s="95"/>
      <c r="AT109" s="95"/>
      <c r="AU109" s="95"/>
      <c r="AV109" s="96" t="str">
        <f aca="false">IF(AND(AP109&gt;0,J109&gt;0),J109*1000/(AP109*0.2),"")</f>
        <v/>
      </c>
      <c r="AW109" s="96" t="str">
        <f aca="false">IF(AND(AS109&gt;0,M109&gt;0),M109*1000/(AS109*0.3),"")</f>
        <v/>
      </c>
      <c r="AX109" s="96" t="str">
        <f aca="false">IF(AND(AO109&gt;0,O109&gt;0),O109*1000/(AO109*0.1),"")</f>
        <v/>
      </c>
      <c r="AY109" s="96" t="str">
        <f aca="false">IF(AND(AR109&gt;0,N109&gt;0),N109*1000/(AR109*0.25),"")</f>
        <v/>
      </c>
      <c r="AZ109" s="96" t="str">
        <f aca="false">IF(AND(AQ109&gt;0,Q109&gt;0),Q109*1000/(AQ109*1),"")</f>
        <v/>
      </c>
      <c r="BA109" s="97" t="n">
        <f aca="false">IFERROR(VLOOKUP($I109,'07_Settings'!$A$10:$F$14,6,FALSE()),0.25)</f>
        <v>0.45</v>
      </c>
      <c r="BB109" s="98" t="n">
        <v>1</v>
      </c>
      <c r="BC109" s="98" t="n">
        <v>1</v>
      </c>
      <c r="BD109" s="98" t="n">
        <v>1</v>
      </c>
      <c r="BE109" s="99" t="n">
        <f aca="false">IFERROR(ROUND($S109*BA109*BC109*BD109*BB109,0),0)</f>
        <v>10890</v>
      </c>
      <c r="BF109" s="55" t="str">
        <f aca="false">IF(COUNT(AO109:AU109)&gt;0,"estimated","pending")</f>
        <v>pending</v>
      </c>
    </row>
    <row r="110" customFormat="false" ht="16.5" hidden="false" customHeight="true" outlineLevel="0" collapsed="false">
      <c r="A110" s="102"/>
      <c r="B110" s="112" t="n">
        <f aca="false">IF($C110="","",COUNTA($C$5:C110))</f>
        <v>106</v>
      </c>
      <c r="C110" s="113" t="s">
        <v>815</v>
      </c>
      <c r="D110" s="114" t="s">
        <v>279</v>
      </c>
      <c r="E110" s="113" t="s">
        <v>721</v>
      </c>
      <c r="F110" s="113" t="s">
        <v>803</v>
      </c>
      <c r="G110" s="114" t="s">
        <v>804</v>
      </c>
      <c r="H110" s="114" t="n">
        <v>3</v>
      </c>
      <c r="I110" s="114" t="s">
        <v>114</v>
      </c>
      <c r="J110" s="115" t="n">
        <v>11000</v>
      </c>
      <c r="K110" s="115" t="n">
        <v>4600</v>
      </c>
      <c r="L110" s="115" t="n">
        <f aca="false">IF($C110="","",ROUND($J110*0.17,0))</f>
        <v>1870</v>
      </c>
      <c r="M110" s="115" t="n">
        <v>8600</v>
      </c>
      <c r="N110" s="115" t="n">
        <v>3500</v>
      </c>
      <c r="O110" s="115" t="n">
        <v>2200</v>
      </c>
      <c r="P110" s="115" t="n">
        <v>2200</v>
      </c>
      <c r="Q110" s="115" t="n">
        <v>15950</v>
      </c>
      <c r="R110" s="115" t="n">
        <v>7150</v>
      </c>
      <c r="S110" s="115" t="n">
        <f aca="false">IF($C110="","",ROUND($J110*2.2,0))</f>
        <v>24200</v>
      </c>
      <c r="T110" s="115" t="n">
        <v>3850</v>
      </c>
      <c r="U110" s="115" t="n">
        <v>3300</v>
      </c>
      <c r="V110" s="115" t="n">
        <v>2000</v>
      </c>
      <c r="W110" s="115" t="n">
        <v>2400</v>
      </c>
      <c r="X110" s="116" t="s">
        <v>236</v>
      </c>
      <c r="Y110" s="117" t="n">
        <v>0.3</v>
      </c>
      <c r="Z110" s="117" t="n">
        <v>1</v>
      </c>
      <c r="AA110" s="113" t="s">
        <v>816</v>
      </c>
      <c r="AB110" s="113"/>
      <c r="AC110" s="116" t="s">
        <v>817</v>
      </c>
      <c r="AD110" s="116"/>
      <c r="AE110" s="116" t="s">
        <v>818</v>
      </c>
      <c r="AF110" s="116" t="s">
        <v>819</v>
      </c>
      <c r="AG110" s="116"/>
      <c r="AH110" s="118"/>
      <c r="AI110" s="118"/>
      <c r="AJ110" s="118"/>
      <c r="AK110" s="120" t="n">
        <v>34794</v>
      </c>
      <c r="AL110" s="118" t="s">
        <v>731</v>
      </c>
      <c r="AM110" s="103"/>
      <c r="AN110" s="102"/>
      <c r="AO110" s="95"/>
      <c r="AP110" s="104" t="n">
        <v>140000</v>
      </c>
      <c r="AQ110" s="95"/>
      <c r="AR110" s="95"/>
      <c r="AS110" s="95"/>
      <c r="AT110" s="95"/>
      <c r="AU110" s="95"/>
      <c r="AV110" s="96" t="n">
        <f aca="false">IF(AND(AP110&gt;0,J110&gt;0),J110*1000/(AP110*0.2),"")</f>
        <v>392.857142857143</v>
      </c>
      <c r="AW110" s="96" t="str">
        <f aca="false">IF(AND(AS110&gt;0,M110&gt;0),M110*1000/(AS110*0.3),"")</f>
        <v/>
      </c>
      <c r="AX110" s="96" t="str">
        <f aca="false">IF(AND(AO110&gt;0,O110&gt;0),O110*1000/(AO110*0.1),"")</f>
        <v/>
      </c>
      <c r="AY110" s="96" t="str">
        <f aca="false">IF(AND(AR110&gt;0,N110&gt;0),N110*1000/(AR110*0.25),"")</f>
        <v/>
      </c>
      <c r="AZ110" s="96" t="str">
        <f aca="false">IF(AND(AQ110&gt;0,Q110&gt;0),Q110*1000/(AQ110*1),"")</f>
        <v/>
      </c>
      <c r="BA110" s="97" t="n">
        <f aca="false">IFERROR(VLOOKUP($I110,'07_Settings'!$A$10:$F$14,6,FALSE()),0.25)</f>
        <v>0.45</v>
      </c>
      <c r="BB110" s="98" t="n">
        <v>1</v>
      </c>
      <c r="BC110" s="98" t="n">
        <v>1</v>
      </c>
      <c r="BD110" s="98" t="n">
        <v>1</v>
      </c>
      <c r="BE110" s="99" t="n">
        <f aca="false">IFERROR(ROUND($S110*BA110*BC110*BD110*BB110,0),0)</f>
        <v>10890</v>
      </c>
      <c r="BF110" s="55" t="str">
        <f aca="false">IF(COUNT(AO110:AU110)&gt;0,"estimated","pending")</f>
        <v>estimated</v>
      </c>
    </row>
    <row r="111" customFormat="false" ht="16.5" hidden="false" customHeight="true" outlineLevel="0" collapsed="false">
      <c r="A111" s="102"/>
      <c r="B111" s="112" t="n">
        <f aca="false">IF($C111="","",COUNTA($C$5:C111))</f>
        <v>107</v>
      </c>
      <c r="C111" s="113" t="s">
        <v>820</v>
      </c>
      <c r="D111" s="114" t="s">
        <v>279</v>
      </c>
      <c r="E111" s="113" t="s">
        <v>721</v>
      </c>
      <c r="F111" s="113" t="s">
        <v>803</v>
      </c>
      <c r="G111" s="114" t="s">
        <v>804</v>
      </c>
      <c r="H111" s="114" t="n">
        <v>2</v>
      </c>
      <c r="I111" s="114" t="s">
        <v>114</v>
      </c>
      <c r="J111" s="115" t="n">
        <v>11000</v>
      </c>
      <c r="K111" s="115" t="n">
        <v>4600</v>
      </c>
      <c r="L111" s="115" t="n">
        <f aca="false">IF($C111="","",ROUND($J111*0.17,0))</f>
        <v>1870</v>
      </c>
      <c r="M111" s="115" t="n">
        <v>8600</v>
      </c>
      <c r="N111" s="115" t="n">
        <v>3500</v>
      </c>
      <c r="O111" s="115" t="n">
        <v>2200</v>
      </c>
      <c r="P111" s="115" t="n">
        <v>2200</v>
      </c>
      <c r="Q111" s="115" t="n">
        <v>15950</v>
      </c>
      <c r="R111" s="115" t="n">
        <v>7150</v>
      </c>
      <c r="S111" s="115" t="n">
        <f aca="false">IF($C111="","",ROUND($J111*2.2,0))</f>
        <v>24200</v>
      </c>
      <c r="T111" s="115" t="n">
        <v>3850</v>
      </c>
      <c r="U111" s="115" t="n">
        <v>3300</v>
      </c>
      <c r="V111" s="115" t="n">
        <v>2000</v>
      </c>
      <c r="W111" s="115" t="n">
        <v>2400</v>
      </c>
      <c r="X111" s="116" t="s">
        <v>290</v>
      </c>
      <c r="Y111" s="117" t="n">
        <v>0.3</v>
      </c>
      <c r="Z111" s="117" t="n">
        <v>1</v>
      </c>
      <c r="AA111" s="113" t="s">
        <v>821</v>
      </c>
      <c r="AB111" s="113"/>
      <c r="AC111" s="116" t="s">
        <v>822</v>
      </c>
      <c r="AD111" s="116"/>
      <c r="AE111" s="116"/>
      <c r="AF111" s="116" t="s">
        <v>823</v>
      </c>
      <c r="AG111" s="116"/>
      <c r="AH111" s="118"/>
      <c r="AI111" s="118"/>
      <c r="AJ111" s="118"/>
      <c r="AK111" s="120" t="n">
        <v>37234</v>
      </c>
      <c r="AL111" s="118" t="s">
        <v>740</v>
      </c>
      <c r="AM111" s="103"/>
      <c r="AN111" s="102"/>
      <c r="AO111" s="95"/>
      <c r="AP111" s="95"/>
      <c r="AQ111" s="95"/>
      <c r="AR111" s="95"/>
      <c r="AS111" s="95"/>
      <c r="AT111" s="95"/>
      <c r="AU111" s="95"/>
      <c r="AV111" s="96" t="str">
        <f aca="false">IF(AND(AP111&gt;0,J111&gt;0),J111*1000/(AP111*0.2),"")</f>
        <v/>
      </c>
      <c r="AW111" s="96" t="str">
        <f aca="false">IF(AND(AS111&gt;0,M111&gt;0),M111*1000/(AS111*0.3),"")</f>
        <v/>
      </c>
      <c r="AX111" s="96" t="str">
        <f aca="false">IF(AND(AO111&gt;0,O111&gt;0),O111*1000/(AO111*0.1),"")</f>
        <v/>
      </c>
      <c r="AY111" s="96" t="str">
        <f aca="false">IF(AND(AR111&gt;0,N111&gt;0),N111*1000/(AR111*0.25),"")</f>
        <v/>
      </c>
      <c r="AZ111" s="96" t="str">
        <f aca="false">IF(AND(AQ111&gt;0,Q111&gt;0),Q111*1000/(AQ111*1),"")</f>
        <v/>
      </c>
      <c r="BA111" s="97" t="n">
        <f aca="false">IFERROR(VLOOKUP($I111,'07_Settings'!$A$10:$F$14,6,FALSE()),0.25)</f>
        <v>0.45</v>
      </c>
      <c r="BB111" s="98" t="n">
        <v>1</v>
      </c>
      <c r="BC111" s="98" t="n">
        <v>1</v>
      </c>
      <c r="BD111" s="98" t="n">
        <v>1</v>
      </c>
      <c r="BE111" s="99" t="n">
        <f aca="false">IFERROR(ROUND($S111*BA111*BC111*BD111*BB111,0),0)</f>
        <v>10890</v>
      </c>
      <c r="BF111" s="55" t="str">
        <f aca="false">IF(COUNT(AO111:AU111)&gt;0,"estimated","pending")</f>
        <v>pending</v>
      </c>
    </row>
    <row r="112" customFormat="false" ht="16.5" hidden="false" customHeight="true" outlineLevel="0" collapsed="false">
      <c r="A112" s="102"/>
      <c r="B112" s="112" t="n">
        <f aca="false">IF($C112="","",COUNTA($C$5:C112))</f>
        <v>108</v>
      </c>
      <c r="C112" s="113" t="s">
        <v>824</v>
      </c>
      <c r="D112" s="114" t="s">
        <v>279</v>
      </c>
      <c r="E112" s="113" t="s">
        <v>721</v>
      </c>
      <c r="F112" s="113" t="s">
        <v>803</v>
      </c>
      <c r="G112" s="114" t="s">
        <v>804</v>
      </c>
      <c r="H112" s="114" t="n">
        <v>3</v>
      </c>
      <c r="I112" s="114" t="s">
        <v>114</v>
      </c>
      <c r="J112" s="115" t="n">
        <v>11000</v>
      </c>
      <c r="K112" s="115" t="n">
        <v>4600</v>
      </c>
      <c r="L112" s="115" t="n">
        <f aca="false">IF($C112="","",ROUND($J112*0.17,0))</f>
        <v>1870</v>
      </c>
      <c r="M112" s="115" t="n">
        <v>8600</v>
      </c>
      <c r="N112" s="115" t="n">
        <v>3500</v>
      </c>
      <c r="O112" s="115" t="n">
        <v>2200</v>
      </c>
      <c r="P112" s="115" t="n">
        <v>2200</v>
      </c>
      <c r="Q112" s="115" t="n">
        <v>15950</v>
      </c>
      <c r="R112" s="115" t="n">
        <v>7150</v>
      </c>
      <c r="S112" s="115" t="n">
        <f aca="false">IF($C112="","",ROUND($J112*2.2,0))</f>
        <v>24200</v>
      </c>
      <c r="T112" s="115" t="n">
        <v>3850</v>
      </c>
      <c r="U112" s="115" t="n">
        <v>3300</v>
      </c>
      <c r="V112" s="115" t="n">
        <v>2000</v>
      </c>
      <c r="W112" s="115" t="n">
        <v>2400</v>
      </c>
      <c r="X112" s="116" t="s">
        <v>236</v>
      </c>
      <c r="Y112" s="117" t="n">
        <v>0.3</v>
      </c>
      <c r="Z112" s="117" t="n">
        <v>1</v>
      </c>
      <c r="AA112" s="113" t="s">
        <v>825</v>
      </c>
      <c r="AB112" s="113"/>
      <c r="AC112" s="116" t="s">
        <v>826</v>
      </c>
      <c r="AD112" s="116"/>
      <c r="AE112" s="116" t="s">
        <v>827</v>
      </c>
      <c r="AF112" s="116" t="s">
        <v>828</v>
      </c>
      <c r="AG112" s="116"/>
      <c r="AH112" s="118"/>
      <c r="AI112" s="118"/>
      <c r="AJ112" s="118"/>
      <c r="AK112" s="120" t="n">
        <v>36832</v>
      </c>
      <c r="AL112" s="118" t="s">
        <v>751</v>
      </c>
      <c r="AM112" s="103"/>
      <c r="AN112" s="102"/>
      <c r="AO112" s="95"/>
      <c r="AP112" s="95"/>
      <c r="AQ112" s="95"/>
      <c r="AR112" s="95"/>
      <c r="AS112" s="95"/>
      <c r="AT112" s="95"/>
      <c r="AU112" s="95"/>
      <c r="AV112" s="96" t="str">
        <f aca="false">IF(AND(AP112&gt;0,J112&gt;0),J112*1000/(AP112*0.2),"")</f>
        <v/>
      </c>
      <c r="AW112" s="96" t="str">
        <f aca="false">IF(AND(AS112&gt;0,M112&gt;0),M112*1000/(AS112*0.3),"")</f>
        <v/>
      </c>
      <c r="AX112" s="96" t="str">
        <f aca="false">IF(AND(AO112&gt;0,O112&gt;0),O112*1000/(AO112*0.1),"")</f>
        <v/>
      </c>
      <c r="AY112" s="96" t="str">
        <f aca="false">IF(AND(AR112&gt;0,N112&gt;0),N112*1000/(AR112*0.25),"")</f>
        <v/>
      </c>
      <c r="AZ112" s="96" t="str">
        <f aca="false">IF(AND(AQ112&gt;0,Q112&gt;0),Q112*1000/(AQ112*1),"")</f>
        <v/>
      </c>
      <c r="BA112" s="97" t="n">
        <f aca="false">IFERROR(VLOOKUP($I112,'07_Settings'!$A$10:$F$14,6,FALSE()),0.25)</f>
        <v>0.45</v>
      </c>
      <c r="BB112" s="98" t="n">
        <v>1</v>
      </c>
      <c r="BC112" s="98" t="n">
        <v>1</v>
      </c>
      <c r="BD112" s="98" t="n">
        <v>1</v>
      </c>
      <c r="BE112" s="99" t="n">
        <f aca="false">IFERROR(ROUND($S112*BA112*BC112*BD112*BB112,0),0)</f>
        <v>10890</v>
      </c>
      <c r="BF112" s="55" t="str">
        <f aca="false">IF(COUNT(AO112:AU112)&gt;0,"estimated","pending")</f>
        <v>pending</v>
      </c>
    </row>
    <row r="113" customFormat="false" ht="16.5" hidden="false" customHeight="true" outlineLevel="0" collapsed="false">
      <c r="A113" s="102"/>
      <c r="B113" s="112" t="n">
        <f aca="false">IF($C113="","",COUNTA($C$5:C113))</f>
        <v>109</v>
      </c>
      <c r="C113" s="113" t="s">
        <v>829</v>
      </c>
      <c r="D113" s="114" t="s">
        <v>279</v>
      </c>
      <c r="E113" s="113" t="s">
        <v>721</v>
      </c>
      <c r="F113" s="113" t="s">
        <v>803</v>
      </c>
      <c r="G113" s="114" t="s">
        <v>804</v>
      </c>
      <c r="H113" s="114" t="n">
        <v>2</v>
      </c>
      <c r="I113" s="114" t="s">
        <v>114</v>
      </c>
      <c r="J113" s="115" t="n">
        <v>11000</v>
      </c>
      <c r="K113" s="115" t="n">
        <v>4600</v>
      </c>
      <c r="L113" s="115" t="n">
        <f aca="false">IF($C113="","",ROUND($J113*0.17,0))</f>
        <v>1870</v>
      </c>
      <c r="M113" s="115" t="n">
        <v>8600</v>
      </c>
      <c r="N113" s="115" t="n">
        <v>3500</v>
      </c>
      <c r="O113" s="115" t="n">
        <v>2200</v>
      </c>
      <c r="P113" s="115" t="n">
        <v>2200</v>
      </c>
      <c r="Q113" s="115" t="n">
        <v>15950</v>
      </c>
      <c r="R113" s="115" t="n">
        <v>7150</v>
      </c>
      <c r="S113" s="115" t="n">
        <f aca="false">IF($C113="","",ROUND($J113*2.2,0))</f>
        <v>24200</v>
      </c>
      <c r="T113" s="115" t="n">
        <v>3850</v>
      </c>
      <c r="U113" s="115" t="n">
        <v>3300</v>
      </c>
      <c r="V113" s="115" t="n">
        <v>2000</v>
      </c>
      <c r="W113" s="115" t="n">
        <v>2400</v>
      </c>
      <c r="X113" s="116" t="s">
        <v>290</v>
      </c>
      <c r="Y113" s="117" t="n">
        <v>0.3</v>
      </c>
      <c r="Z113" s="117" t="n">
        <v>1</v>
      </c>
      <c r="AA113" s="113" t="s">
        <v>830</v>
      </c>
      <c r="AB113" s="113"/>
      <c r="AC113" s="116" t="s">
        <v>831</v>
      </c>
      <c r="AD113" s="116"/>
      <c r="AE113" s="116"/>
      <c r="AF113" s="116" t="s">
        <v>832</v>
      </c>
      <c r="AG113" s="116"/>
      <c r="AH113" s="118"/>
      <c r="AI113" s="118"/>
      <c r="AJ113" s="118"/>
      <c r="AK113" s="118" t="s">
        <v>833</v>
      </c>
      <c r="AL113" s="118" t="s">
        <v>731</v>
      </c>
      <c r="AM113" s="103"/>
      <c r="AN113" s="102"/>
      <c r="AO113" s="95"/>
      <c r="AP113" s="104" t="n">
        <v>6015</v>
      </c>
      <c r="AQ113" s="95"/>
      <c r="AR113" s="95"/>
      <c r="AS113" s="95"/>
      <c r="AT113" s="95"/>
      <c r="AU113" s="95"/>
      <c r="AV113" s="96" t="n">
        <f aca="false">IF(AND(AP113&gt;0,J113&gt;0),J113*1000/(AP113*0.2),"")</f>
        <v>9143.80714879468</v>
      </c>
      <c r="AW113" s="96" t="str">
        <f aca="false">IF(AND(AS113&gt;0,M113&gt;0),M113*1000/(AS113*0.3),"")</f>
        <v/>
      </c>
      <c r="AX113" s="96" t="str">
        <f aca="false">IF(AND(AO113&gt;0,O113&gt;0),O113*1000/(AO113*0.1),"")</f>
        <v/>
      </c>
      <c r="AY113" s="96" t="str">
        <f aca="false">IF(AND(AR113&gt;0,N113&gt;0),N113*1000/(AR113*0.25),"")</f>
        <v/>
      </c>
      <c r="AZ113" s="96" t="str">
        <f aca="false">IF(AND(AQ113&gt;0,Q113&gt;0),Q113*1000/(AQ113*1),"")</f>
        <v/>
      </c>
      <c r="BA113" s="97" t="n">
        <f aca="false">IFERROR(VLOOKUP($I113,'07_Settings'!$A$10:$F$14,6,FALSE()),0.25)</f>
        <v>0.45</v>
      </c>
      <c r="BB113" s="98" t="n">
        <v>1</v>
      </c>
      <c r="BC113" s="98" t="n">
        <v>1</v>
      </c>
      <c r="BD113" s="98" t="n">
        <v>1</v>
      </c>
      <c r="BE113" s="99" t="n">
        <f aca="false">IFERROR(ROUND($S113*BA113*BC113*BD113*BB113,0),0)</f>
        <v>10890</v>
      </c>
      <c r="BF113" s="55" t="str">
        <f aca="false">IF(COUNT(AO113:AU113)&gt;0,"estimated","pending")</f>
        <v>estimated</v>
      </c>
    </row>
    <row r="114" customFormat="false" ht="16.5" hidden="false" customHeight="true" outlineLevel="0" collapsed="false">
      <c r="A114" s="100"/>
      <c r="B114" s="129" t="n">
        <f aca="false">IF($C114="","",COUNTA($C$5:C114))</f>
        <v>110</v>
      </c>
      <c r="C114" s="130" t="s">
        <v>834</v>
      </c>
      <c r="D114" s="131" t="s">
        <v>428</v>
      </c>
      <c r="E114" s="130" t="s">
        <v>721</v>
      </c>
      <c r="F114" s="130" t="s">
        <v>803</v>
      </c>
      <c r="G114" s="131" t="s">
        <v>804</v>
      </c>
      <c r="H114" s="131" t="n">
        <v>2</v>
      </c>
      <c r="I114" s="131" t="s">
        <v>122</v>
      </c>
      <c r="J114" s="132" t="n">
        <v>11000</v>
      </c>
      <c r="K114" s="132" t="n">
        <v>4600</v>
      </c>
      <c r="L114" s="133" t="n">
        <f aca="false">IF($C114="","",ROUND($J114*0.17,0))</f>
        <v>1870</v>
      </c>
      <c r="M114" s="132" t="n">
        <v>8600</v>
      </c>
      <c r="N114" s="132" t="n">
        <v>3500</v>
      </c>
      <c r="O114" s="132" t="n">
        <v>2200</v>
      </c>
      <c r="P114" s="132" t="n">
        <v>0</v>
      </c>
      <c r="Q114" s="132" t="n">
        <v>15950</v>
      </c>
      <c r="R114" s="132" t="n">
        <v>7150</v>
      </c>
      <c r="S114" s="133" t="n">
        <f aca="false">IF($C114="","",ROUND($J114*2.2,0))</f>
        <v>24200</v>
      </c>
      <c r="T114" s="132" t="n">
        <v>3850</v>
      </c>
      <c r="U114" s="132" t="n">
        <v>3300</v>
      </c>
      <c r="V114" s="132" t="n">
        <v>2000</v>
      </c>
      <c r="W114" s="132" t="n">
        <v>0</v>
      </c>
      <c r="X114" s="132" t="s">
        <v>290</v>
      </c>
      <c r="Y114" s="134" t="n">
        <v>0.3</v>
      </c>
      <c r="Z114" s="134" t="n">
        <v>1</v>
      </c>
      <c r="AA114" s="130" t="s">
        <v>835</v>
      </c>
      <c r="AB114" s="130"/>
      <c r="AC114" s="132" t="s">
        <v>836</v>
      </c>
      <c r="AD114" s="132"/>
      <c r="AE114" s="132"/>
      <c r="AF114" s="132" t="s">
        <v>837</v>
      </c>
      <c r="AG114" s="132"/>
      <c r="AH114" s="135"/>
      <c r="AI114" s="135"/>
      <c r="AJ114" s="135"/>
      <c r="AK114" s="135" t="s">
        <v>838</v>
      </c>
      <c r="AL114" s="135"/>
      <c r="AM114" s="101"/>
      <c r="AN114" s="100"/>
      <c r="AO114" s="95"/>
      <c r="AP114" s="95"/>
      <c r="AQ114" s="95"/>
      <c r="AR114" s="95"/>
      <c r="AS114" s="95"/>
      <c r="AT114" s="95"/>
      <c r="AU114" s="95"/>
      <c r="AV114" s="96" t="str">
        <f aca="false">IF(AND(AP114&gt;0,J114&gt;0),J114*1000/(AP114*0.2),"")</f>
        <v/>
      </c>
      <c r="AW114" s="96" t="str">
        <f aca="false">IF(AND(AS114&gt;0,M114&gt;0),M114*1000/(AS114*0.3),"")</f>
        <v/>
      </c>
      <c r="AX114" s="96" t="str">
        <f aca="false">IF(AND(AO114&gt;0,O114&gt;0),O114*1000/(AO114*0.1),"")</f>
        <v/>
      </c>
      <c r="AY114" s="96" t="str">
        <f aca="false">IF(AND(AR114&gt;0,N114&gt;0),N114*1000/(AR114*0.25),"")</f>
        <v/>
      </c>
      <c r="AZ114" s="96" t="str">
        <f aca="false">IF(AND(AQ114&gt;0,Q114&gt;0),Q114*1000/(AQ114*1),"")</f>
        <v/>
      </c>
      <c r="BA114" s="97" t="n">
        <f aca="false">IFERROR(VLOOKUP($I114,'07_Settings'!$A$10:$F$14,6,FALSE()),0.25)</f>
        <v>0.25</v>
      </c>
      <c r="BB114" s="98" t="n">
        <v>1</v>
      </c>
      <c r="BC114" s="98" t="n">
        <v>1</v>
      </c>
      <c r="BD114" s="98" t="n">
        <v>1</v>
      </c>
      <c r="BE114" s="99" t="n">
        <f aca="false">IFERROR(ROUND($S114*BA114*BC114*BD114*BB114,0),0)</f>
        <v>6050</v>
      </c>
      <c r="BF114" s="55" t="str">
        <f aca="false">IF(COUNT(AO114:AU114)&gt;0,"estimated","pending")</f>
        <v>pending</v>
      </c>
    </row>
    <row r="115" customFormat="false" ht="16.5" hidden="false" customHeight="true" outlineLevel="0" collapsed="false">
      <c r="A115" s="105"/>
      <c r="B115" s="138" t="n">
        <f aca="false">IF($C115="","",COUNTA($C$5:C115))</f>
        <v>111</v>
      </c>
      <c r="C115" s="139" t="s">
        <v>839</v>
      </c>
      <c r="D115" s="140" t="s">
        <v>31</v>
      </c>
      <c r="E115" s="139" t="s">
        <v>721</v>
      </c>
      <c r="F115" s="139" t="s">
        <v>803</v>
      </c>
      <c r="G115" s="140" t="s">
        <v>804</v>
      </c>
      <c r="H115" s="140" t="n">
        <v>3</v>
      </c>
      <c r="I115" s="140" t="s">
        <v>122</v>
      </c>
      <c r="J115" s="141" t="n">
        <v>0</v>
      </c>
      <c r="K115" s="141" t="n">
        <v>0</v>
      </c>
      <c r="L115" s="142" t="n">
        <f aca="false">IF($C115="","",ROUND($J115*0.17,0))</f>
        <v>0</v>
      </c>
      <c r="M115" s="141" t="n">
        <v>0</v>
      </c>
      <c r="N115" s="141" t="n">
        <v>0</v>
      </c>
      <c r="O115" s="141" t="n">
        <v>0</v>
      </c>
      <c r="P115" s="141" t="n">
        <v>0</v>
      </c>
      <c r="Q115" s="141" t="n">
        <v>0</v>
      </c>
      <c r="R115" s="141" t="n">
        <v>0</v>
      </c>
      <c r="S115" s="142" t="n">
        <f aca="false">IF($C115="","",ROUND($J115*2.2,0))</f>
        <v>0</v>
      </c>
      <c r="T115" s="141" t="n">
        <v>0</v>
      </c>
      <c r="U115" s="141" t="n">
        <v>0</v>
      </c>
      <c r="V115" s="141" t="n">
        <v>1200</v>
      </c>
      <c r="W115" s="141" t="n">
        <v>0</v>
      </c>
      <c r="X115" s="141" t="s">
        <v>236</v>
      </c>
      <c r="Y115" s="143" t="n">
        <v>0.3</v>
      </c>
      <c r="Z115" s="143" t="n">
        <v>1</v>
      </c>
      <c r="AA115" s="139" t="s">
        <v>840</v>
      </c>
      <c r="AB115" s="139"/>
      <c r="AC115" s="141" t="s">
        <v>841</v>
      </c>
      <c r="AD115" s="141"/>
      <c r="AE115" s="141" t="s">
        <v>842</v>
      </c>
      <c r="AF115" s="141" t="s">
        <v>843</v>
      </c>
      <c r="AG115" s="141"/>
      <c r="AH115" s="144"/>
      <c r="AI115" s="144"/>
      <c r="AJ115" s="144"/>
      <c r="AK115" s="145" t="n">
        <v>35343</v>
      </c>
      <c r="AL115" s="144"/>
      <c r="AM115" s="106"/>
      <c r="AN115" s="105"/>
      <c r="AO115" s="95"/>
      <c r="AP115" s="95"/>
      <c r="AQ115" s="95"/>
      <c r="AR115" s="95"/>
      <c r="AS115" s="95"/>
      <c r="AT115" s="95"/>
      <c r="AU115" s="95"/>
      <c r="AV115" s="96" t="str">
        <f aca="false">IF(AND(AP115&gt;0,J115&gt;0),J115*1000/(AP115*0.2),"")</f>
        <v/>
      </c>
      <c r="AW115" s="96" t="str">
        <f aca="false">IF(AND(AS115&gt;0,M115&gt;0),M115*1000/(AS115*0.3),"")</f>
        <v/>
      </c>
      <c r="AX115" s="96" t="str">
        <f aca="false">IF(AND(AO115&gt;0,O115&gt;0),O115*1000/(AO115*0.1),"")</f>
        <v/>
      </c>
      <c r="AY115" s="96" t="str">
        <f aca="false">IF(AND(AR115&gt;0,N115&gt;0),N115*1000/(AR115*0.25),"")</f>
        <v/>
      </c>
      <c r="AZ115" s="96" t="str">
        <f aca="false">IF(AND(AQ115&gt;0,Q115&gt;0),Q115*1000/(AQ115*1),"")</f>
        <v/>
      </c>
      <c r="BA115" s="97" t="n">
        <f aca="false">IFERROR(VLOOKUP($I115,'07_Settings'!$A$10:$F$14,6,FALSE()),0.25)</f>
        <v>0.25</v>
      </c>
      <c r="BB115" s="98" t="n">
        <v>1</v>
      </c>
      <c r="BC115" s="98" t="n">
        <v>1</v>
      </c>
      <c r="BD115" s="98" t="n">
        <v>1</v>
      </c>
      <c r="BE115" s="99" t="n">
        <f aca="false">IFERROR(ROUND($S115*BA115*BC115*BD115*BB115,0),0)</f>
        <v>0</v>
      </c>
      <c r="BF115" s="55" t="str">
        <f aca="false">IF(COUNT(AO115:AU115)&gt;0,"estimated","pending")</f>
        <v>pending</v>
      </c>
    </row>
    <row r="116" customFormat="false" ht="16.5" hidden="false" customHeight="true" outlineLevel="0" collapsed="false">
      <c r="A116" s="86"/>
      <c r="B116" s="121" t="n">
        <f aca="false">IF($C116="","",COUNTA($C$5:C116))</f>
        <v>112</v>
      </c>
      <c r="C116" s="122" t="s">
        <v>844</v>
      </c>
      <c r="D116" s="123" t="s">
        <v>29</v>
      </c>
      <c r="E116" s="122" t="s">
        <v>721</v>
      </c>
      <c r="F116" s="122" t="s">
        <v>753</v>
      </c>
      <c r="G116" s="123" t="s">
        <v>722</v>
      </c>
      <c r="H116" s="123" t="n">
        <v>0</v>
      </c>
      <c r="I116" s="123" t="s">
        <v>122</v>
      </c>
      <c r="J116" s="124" t="n">
        <v>0</v>
      </c>
      <c r="K116" s="124" t="n">
        <v>0</v>
      </c>
      <c r="L116" s="124" t="n">
        <f aca="false">IF($C116="","",ROUND($J116*0.17,0))</f>
        <v>0</v>
      </c>
      <c r="M116" s="124" t="n">
        <v>0</v>
      </c>
      <c r="N116" s="124" t="n">
        <v>0</v>
      </c>
      <c r="O116" s="124" t="n">
        <v>0</v>
      </c>
      <c r="P116" s="124" t="n">
        <v>0</v>
      </c>
      <c r="Q116" s="124" t="n">
        <v>0</v>
      </c>
      <c r="R116" s="124" t="n">
        <v>0</v>
      </c>
      <c r="S116" s="125" t="n">
        <f aca="false">IF($C116="","",ROUND($J116*2.2,0))</f>
        <v>0</v>
      </c>
      <c r="T116" s="124" t="n">
        <v>0</v>
      </c>
      <c r="U116" s="124" t="n">
        <v>0</v>
      </c>
      <c r="V116" s="124" t="n">
        <v>600</v>
      </c>
      <c r="W116" s="124" t="n">
        <v>0</v>
      </c>
      <c r="X116" s="124" t="s">
        <v>376</v>
      </c>
      <c r="Y116" s="126" t="n">
        <v>0.3</v>
      </c>
      <c r="Z116" s="126" t="n">
        <v>1</v>
      </c>
      <c r="AA116" s="122" t="s">
        <v>845</v>
      </c>
      <c r="AB116" s="122"/>
      <c r="AC116" s="124"/>
      <c r="AD116" s="124"/>
      <c r="AE116" s="124"/>
      <c r="AF116" s="124"/>
      <c r="AG116" s="124"/>
      <c r="AH116" s="127"/>
      <c r="AI116" s="127"/>
      <c r="AJ116" s="127"/>
      <c r="AK116" s="137" t="n">
        <v>32548</v>
      </c>
      <c r="AL116" s="127"/>
      <c r="AM116" s="128"/>
      <c r="AN116" s="86"/>
      <c r="AO116" s="104" t="n">
        <v>442</v>
      </c>
      <c r="AP116" s="95"/>
      <c r="AQ116" s="95"/>
      <c r="AR116" s="95"/>
      <c r="AS116" s="95"/>
      <c r="AT116" s="95"/>
      <c r="AU116" s="95"/>
      <c r="AV116" s="96" t="str">
        <f aca="false">IF(AND(AP116&gt;0,J116&gt;0),J116*1000/(AP116*0.2),"")</f>
        <v/>
      </c>
      <c r="AW116" s="96" t="str">
        <f aca="false">IF(AND(AS116&gt;0,M116&gt;0),M116*1000/(AS116*0.3),"")</f>
        <v/>
      </c>
      <c r="AX116" s="96" t="str">
        <f aca="false">IF(AND(AO116&gt;0,O116&gt;0),O116*1000/(AO116*0.1),"")</f>
        <v/>
      </c>
      <c r="AY116" s="96" t="str">
        <f aca="false">IF(AND(AR116&gt;0,N116&gt;0),N116*1000/(AR116*0.25),"")</f>
        <v/>
      </c>
      <c r="AZ116" s="96" t="str">
        <f aca="false">IF(AND(AQ116&gt;0,Q116&gt;0),Q116*1000/(AQ116*1),"")</f>
        <v/>
      </c>
      <c r="BA116" s="97" t="n">
        <f aca="false">IFERROR(VLOOKUP($I116,'07_Settings'!$A$10:$F$14,6,FALSE()),0.25)</f>
        <v>0.25</v>
      </c>
      <c r="BB116" s="98" t="n">
        <v>1</v>
      </c>
      <c r="BC116" s="98" t="n">
        <v>1</v>
      </c>
      <c r="BD116" s="98" t="n">
        <v>1</v>
      </c>
      <c r="BE116" s="99" t="n">
        <f aca="false">IFERROR(ROUND($S116*BA116*BC116*BD116*BB116,0),0)</f>
        <v>0</v>
      </c>
      <c r="BF116" s="55" t="str">
        <f aca="false">IF(COUNT(AO116:AU116)&gt;0,"estimated","pending")</f>
        <v>estimated</v>
      </c>
    </row>
    <row r="117" customFormat="false" ht="16.5" hidden="false" customHeight="true" outlineLevel="0" collapsed="false">
      <c r="A117" s="86"/>
      <c r="B117" s="121" t="n">
        <f aca="false">IF($C117="","",COUNTA($C$5:C117))</f>
        <v>113</v>
      </c>
      <c r="C117" s="122" t="s">
        <v>846</v>
      </c>
      <c r="D117" s="123" t="s">
        <v>29</v>
      </c>
      <c r="E117" s="122" t="s">
        <v>721</v>
      </c>
      <c r="F117" s="122" t="s">
        <v>803</v>
      </c>
      <c r="G117" s="123" t="s">
        <v>804</v>
      </c>
      <c r="H117" s="123" t="n">
        <v>5</v>
      </c>
      <c r="I117" s="123" t="s">
        <v>122</v>
      </c>
      <c r="J117" s="124" t="n">
        <v>0</v>
      </c>
      <c r="K117" s="124" t="n">
        <v>0</v>
      </c>
      <c r="L117" s="124" t="n">
        <f aca="false">IF($C117="","",ROUND($J117*0.17,0))</f>
        <v>0</v>
      </c>
      <c r="M117" s="124" t="n">
        <v>0</v>
      </c>
      <c r="N117" s="124" t="n">
        <v>0</v>
      </c>
      <c r="O117" s="124" t="n">
        <v>0</v>
      </c>
      <c r="P117" s="124" t="n">
        <v>0</v>
      </c>
      <c r="Q117" s="124" t="n">
        <v>0</v>
      </c>
      <c r="R117" s="124" t="n">
        <v>0</v>
      </c>
      <c r="S117" s="125" t="n">
        <f aca="false">IF($C117="","",ROUND($J117*2.2,0))</f>
        <v>0</v>
      </c>
      <c r="T117" s="124" t="n">
        <v>0</v>
      </c>
      <c r="U117" s="124" t="n">
        <v>0</v>
      </c>
      <c r="V117" s="124" t="n">
        <v>2000</v>
      </c>
      <c r="W117" s="124" t="n">
        <v>0</v>
      </c>
      <c r="X117" s="124" t="s">
        <v>246</v>
      </c>
      <c r="Y117" s="126" t="n">
        <v>0.3</v>
      </c>
      <c r="Z117" s="126" t="n">
        <v>1</v>
      </c>
      <c r="AA117" s="122" t="s">
        <v>847</v>
      </c>
      <c r="AB117" s="122" t="s">
        <v>848</v>
      </c>
      <c r="AC117" s="122" t="s">
        <v>849</v>
      </c>
      <c r="AD117" s="122"/>
      <c r="AE117" s="122" t="s">
        <v>850</v>
      </c>
      <c r="AF117" s="122" t="s">
        <v>851</v>
      </c>
      <c r="AG117" s="122"/>
      <c r="AH117" s="127" t="s">
        <v>852</v>
      </c>
      <c r="AI117" s="127"/>
      <c r="AJ117" s="127"/>
      <c r="AK117" s="127" t="s">
        <v>853</v>
      </c>
      <c r="AL117" s="127"/>
      <c r="AM117" s="128"/>
      <c r="AN117" s="86"/>
      <c r="AO117" s="95"/>
      <c r="AP117" s="104" t="n">
        <v>81000</v>
      </c>
      <c r="AQ117" s="95"/>
      <c r="AR117" s="95"/>
      <c r="AS117" s="95"/>
      <c r="AT117" s="95"/>
      <c r="AU117" s="95"/>
      <c r="AV117" s="96" t="str">
        <f aca="false">IF(AND(AP117&gt;0,J117&gt;0),J117*1000/(AP117*0.2),"")</f>
        <v/>
      </c>
      <c r="AW117" s="96" t="str">
        <f aca="false">IF(AND(AS117&gt;0,M117&gt;0),M117*1000/(AS117*0.3),"")</f>
        <v/>
      </c>
      <c r="AX117" s="96" t="str">
        <f aca="false">IF(AND(AO117&gt;0,O117&gt;0),O117*1000/(AO117*0.1),"")</f>
        <v/>
      </c>
      <c r="AY117" s="96" t="str">
        <f aca="false">IF(AND(AR117&gt;0,N117&gt;0),N117*1000/(AR117*0.25),"")</f>
        <v/>
      </c>
      <c r="AZ117" s="96" t="str">
        <f aca="false">IF(AND(AQ117&gt;0,Q117&gt;0),Q117*1000/(AQ117*1),"")</f>
        <v/>
      </c>
      <c r="BA117" s="97" t="n">
        <f aca="false">IFERROR(VLOOKUP($I117,'07_Settings'!$A$10:$F$14,6,FALSE()),0.25)</f>
        <v>0.25</v>
      </c>
      <c r="BB117" s="98" t="n">
        <v>1</v>
      </c>
      <c r="BC117" s="98" t="n">
        <v>1</v>
      </c>
      <c r="BD117" s="98" t="n">
        <v>1</v>
      </c>
      <c r="BE117" s="99" t="n">
        <f aca="false">IFERROR(ROUND($S117*BA117*BC117*BD117*BB117,0),0)</f>
        <v>0</v>
      </c>
      <c r="BF117" s="55" t="str">
        <f aca="false">IF(COUNT(AO117:AU117)&gt;0,"estimated","pending")</f>
        <v>estimated</v>
      </c>
    </row>
    <row r="118" customFormat="false" ht="16.5" hidden="false" customHeight="true" outlineLevel="0" collapsed="false">
      <c r="A118" s="102"/>
      <c r="B118" s="112" t="n">
        <f aca="false">IF($C118="","",COUNTA($C$5:C118))</f>
        <v>114</v>
      </c>
      <c r="C118" s="113" t="s">
        <v>854</v>
      </c>
      <c r="D118" s="114" t="s">
        <v>279</v>
      </c>
      <c r="E118" s="113" t="s">
        <v>855</v>
      </c>
      <c r="F118" s="113" t="s">
        <v>337</v>
      </c>
      <c r="G118" s="114" t="s">
        <v>607</v>
      </c>
      <c r="H118" s="114" t="n">
        <v>2</v>
      </c>
      <c r="I118" s="114" t="s">
        <v>118</v>
      </c>
      <c r="J118" s="115" t="n">
        <v>11250</v>
      </c>
      <c r="K118" s="115" t="n">
        <v>4500</v>
      </c>
      <c r="L118" s="115" t="n">
        <f aca="false">IF($C118="","",ROUND($J118*0.17,0))</f>
        <v>1913</v>
      </c>
      <c r="M118" s="115" t="n">
        <v>8000</v>
      </c>
      <c r="N118" s="115" t="n">
        <v>3500</v>
      </c>
      <c r="O118" s="115" t="n">
        <v>2000</v>
      </c>
      <c r="P118" s="115" t="n">
        <v>2000</v>
      </c>
      <c r="Q118" s="115" t="n">
        <v>13500</v>
      </c>
      <c r="R118" s="115" t="n">
        <v>6075</v>
      </c>
      <c r="S118" s="115" t="n">
        <f aca="false">IF($C118="","",ROUND($J118*2.2,0))</f>
        <v>24750</v>
      </c>
      <c r="T118" s="115" t="n">
        <v>4638</v>
      </c>
      <c r="U118" s="115" t="n">
        <v>4063</v>
      </c>
      <c r="V118" s="115" t="n">
        <v>2438</v>
      </c>
      <c r="W118" s="115" t="n">
        <v>2400</v>
      </c>
      <c r="X118" s="116" t="s">
        <v>290</v>
      </c>
      <c r="Y118" s="117" t="n">
        <v>0.75</v>
      </c>
      <c r="Z118" s="117" t="n">
        <v>1</v>
      </c>
      <c r="AA118" s="113" t="s">
        <v>856</v>
      </c>
      <c r="AB118" s="113" t="s">
        <v>857</v>
      </c>
      <c r="AC118" s="116"/>
      <c r="AD118" s="116" t="s">
        <v>858</v>
      </c>
      <c r="AE118" s="116"/>
      <c r="AF118" s="116"/>
      <c r="AG118" s="116"/>
      <c r="AH118" s="118"/>
      <c r="AI118" s="118"/>
      <c r="AJ118" s="118"/>
      <c r="AK118" s="120" t="n">
        <v>37842</v>
      </c>
      <c r="AL118" s="118" t="s">
        <v>859</v>
      </c>
      <c r="AM118" s="103"/>
      <c r="AN118" s="102"/>
      <c r="AO118" s="104" t="n">
        <v>10600</v>
      </c>
      <c r="AP118" s="95"/>
      <c r="AQ118" s="95"/>
      <c r="AR118" s="95"/>
      <c r="AS118" s="95"/>
      <c r="AT118" s="95"/>
      <c r="AU118" s="95"/>
      <c r="AV118" s="96" t="str">
        <f aca="false">IF(AND(AP118&gt;0,J118&gt;0),J118*1000/(AP118*0.2),"")</f>
        <v/>
      </c>
      <c r="AW118" s="96" t="str">
        <f aca="false">IF(AND(AS118&gt;0,M118&gt;0),M118*1000/(AS118*0.3),"")</f>
        <v/>
      </c>
      <c r="AX118" s="96" t="n">
        <f aca="false">IF(AND(AO118&gt;0,O118&gt;0),O118*1000/(AO118*0.1),"")</f>
        <v>1886.79245283019</v>
      </c>
      <c r="AY118" s="96" t="str">
        <f aca="false">IF(AND(AR118&gt;0,N118&gt;0),N118*1000/(AR118*0.25),"")</f>
        <v/>
      </c>
      <c r="AZ118" s="96" t="str">
        <f aca="false">IF(AND(AQ118&gt;0,Q118&gt;0),Q118*1000/(AQ118*1),"")</f>
        <v/>
      </c>
      <c r="BA118" s="97" t="n">
        <f aca="false">IFERROR(VLOOKUP($I118,'07_Settings'!$A$10:$F$14,6,FALSE()),0.25)</f>
        <v>0.35</v>
      </c>
      <c r="BB118" s="98" t="n">
        <v>1</v>
      </c>
      <c r="BC118" s="98" t="n">
        <v>1</v>
      </c>
      <c r="BD118" s="98" t="n">
        <v>1</v>
      </c>
      <c r="BE118" s="99" t="n">
        <f aca="false">IFERROR(ROUND($S118*BA118*BC118*BD118*BB118,0),0)</f>
        <v>8663</v>
      </c>
      <c r="BF118" s="55" t="str">
        <f aca="false">IF(COUNT(AO118:AU118)&gt;0,"estimated","pending")</f>
        <v>estimated</v>
      </c>
    </row>
    <row r="119" customFormat="false" ht="16.5" hidden="false" customHeight="true" outlineLevel="0" collapsed="false">
      <c r="A119" s="102"/>
      <c r="B119" s="112" t="n">
        <f aca="false">IF($C119="","",COUNTA($C$5:C119))</f>
        <v>115</v>
      </c>
      <c r="C119" s="113" t="s">
        <v>860</v>
      </c>
      <c r="D119" s="114" t="s">
        <v>279</v>
      </c>
      <c r="E119" s="113" t="s">
        <v>855</v>
      </c>
      <c r="F119" s="113" t="s">
        <v>337</v>
      </c>
      <c r="G119" s="114" t="s">
        <v>607</v>
      </c>
      <c r="H119" s="114" t="n">
        <v>3</v>
      </c>
      <c r="I119" s="114" t="s">
        <v>118</v>
      </c>
      <c r="J119" s="115" t="n">
        <v>11000</v>
      </c>
      <c r="K119" s="115" t="n">
        <v>4600</v>
      </c>
      <c r="L119" s="115" t="n">
        <f aca="false">IF($C119="","",ROUND($J119*0.17,0))</f>
        <v>1870</v>
      </c>
      <c r="M119" s="115" t="n">
        <v>8600</v>
      </c>
      <c r="N119" s="115" t="n">
        <v>3500</v>
      </c>
      <c r="O119" s="115" t="n">
        <v>2200</v>
      </c>
      <c r="P119" s="115" t="n">
        <v>2200</v>
      </c>
      <c r="Q119" s="115" t="n">
        <v>15950</v>
      </c>
      <c r="R119" s="115" t="n">
        <v>7150</v>
      </c>
      <c r="S119" s="115" t="n">
        <f aca="false">IF($C119="","",ROUND($J119*2.2,0))</f>
        <v>24200</v>
      </c>
      <c r="T119" s="115" t="n">
        <v>3850</v>
      </c>
      <c r="U119" s="115" t="n">
        <v>3300</v>
      </c>
      <c r="V119" s="115" t="n">
        <v>2000</v>
      </c>
      <c r="W119" s="115" t="n">
        <v>2400</v>
      </c>
      <c r="X119" s="116" t="s">
        <v>236</v>
      </c>
      <c r="Y119" s="117" t="n">
        <v>0.75</v>
      </c>
      <c r="Z119" s="117" t="n">
        <v>1</v>
      </c>
      <c r="AA119" s="113" t="s">
        <v>861</v>
      </c>
      <c r="AB119" s="113" t="s">
        <v>862</v>
      </c>
      <c r="AC119" s="116"/>
      <c r="AD119" s="116" t="s">
        <v>863</v>
      </c>
      <c r="AE119" s="116" t="s">
        <v>864</v>
      </c>
      <c r="AF119" s="116"/>
      <c r="AG119" s="116"/>
      <c r="AH119" s="118"/>
      <c r="AI119" s="118"/>
      <c r="AJ119" s="118"/>
      <c r="AK119" s="118" t="s">
        <v>865</v>
      </c>
      <c r="AL119" s="118" t="s">
        <v>859</v>
      </c>
      <c r="AM119" s="103"/>
      <c r="AN119" s="102"/>
      <c r="AO119" s="104" t="n">
        <v>13600</v>
      </c>
      <c r="AP119" s="95"/>
      <c r="AQ119" s="95"/>
      <c r="AR119" s="95"/>
      <c r="AS119" s="95"/>
      <c r="AT119" s="95"/>
      <c r="AU119" s="95"/>
      <c r="AV119" s="96" t="str">
        <f aca="false">IF(AND(AP119&gt;0,J119&gt;0),J119*1000/(AP119*0.2),"")</f>
        <v/>
      </c>
      <c r="AW119" s="96" t="str">
        <f aca="false">IF(AND(AS119&gt;0,M119&gt;0),M119*1000/(AS119*0.3),"")</f>
        <v/>
      </c>
      <c r="AX119" s="96" t="n">
        <f aca="false">IF(AND(AO119&gt;0,O119&gt;0),O119*1000/(AO119*0.1),"")</f>
        <v>1617.64705882353</v>
      </c>
      <c r="AY119" s="96" t="str">
        <f aca="false">IF(AND(AR119&gt;0,N119&gt;0),N119*1000/(AR119*0.25),"")</f>
        <v/>
      </c>
      <c r="AZ119" s="96" t="str">
        <f aca="false">IF(AND(AQ119&gt;0,Q119&gt;0),Q119*1000/(AQ119*1),"")</f>
        <v/>
      </c>
      <c r="BA119" s="97" t="n">
        <f aca="false">IFERROR(VLOOKUP($I119,'07_Settings'!$A$10:$F$14,6,FALSE()),0.25)</f>
        <v>0.35</v>
      </c>
      <c r="BB119" s="98" t="n">
        <v>1</v>
      </c>
      <c r="BC119" s="98" t="n">
        <v>1</v>
      </c>
      <c r="BD119" s="98" t="n">
        <v>1</v>
      </c>
      <c r="BE119" s="99" t="n">
        <f aca="false">IFERROR(ROUND($S119*BA119*BC119*BD119*BB119,0),0)</f>
        <v>8470</v>
      </c>
      <c r="BF119" s="55" t="str">
        <f aca="false">IF(COUNT(AO119:AU119)&gt;0,"estimated","pending")</f>
        <v>estimated</v>
      </c>
    </row>
    <row r="120" customFormat="false" ht="16.5" hidden="false" customHeight="true" outlineLevel="0" collapsed="false">
      <c r="A120" s="102"/>
      <c r="B120" s="112" t="n">
        <f aca="false">IF($C120="","",COUNTA($C$5:C120))</f>
        <v>116</v>
      </c>
      <c r="C120" s="113" t="s">
        <v>866</v>
      </c>
      <c r="D120" s="114" t="s">
        <v>279</v>
      </c>
      <c r="E120" s="113" t="s">
        <v>855</v>
      </c>
      <c r="F120" s="113" t="s">
        <v>337</v>
      </c>
      <c r="G120" s="114" t="s">
        <v>607</v>
      </c>
      <c r="H120" s="114" t="n">
        <v>2</v>
      </c>
      <c r="I120" s="114" t="s">
        <v>118</v>
      </c>
      <c r="J120" s="115" t="n">
        <v>11000</v>
      </c>
      <c r="K120" s="115" t="n">
        <v>4600</v>
      </c>
      <c r="L120" s="115" t="n">
        <f aca="false">IF($C120="","",ROUND($J120*0.17,0))</f>
        <v>1870</v>
      </c>
      <c r="M120" s="115" t="n">
        <v>8600</v>
      </c>
      <c r="N120" s="115" t="n">
        <v>3500</v>
      </c>
      <c r="O120" s="115" t="n">
        <v>2200</v>
      </c>
      <c r="P120" s="115" t="n">
        <v>2200</v>
      </c>
      <c r="Q120" s="115" t="n">
        <v>15950</v>
      </c>
      <c r="R120" s="115" t="n">
        <v>7150</v>
      </c>
      <c r="S120" s="115" t="n">
        <f aca="false">IF($C120="","",ROUND($J120*2.2,0))</f>
        <v>24200</v>
      </c>
      <c r="T120" s="115" t="n">
        <v>3850</v>
      </c>
      <c r="U120" s="115" t="n">
        <v>3300</v>
      </c>
      <c r="V120" s="115" t="n">
        <v>2000</v>
      </c>
      <c r="W120" s="115" t="n">
        <v>2400</v>
      </c>
      <c r="X120" s="116" t="s">
        <v>290</v>
      </c>
      <c r="Y120" s="117" t="n">
        <v>0.75</v>
      </c>
      <c r="Z120" s="117" t="n">
        <v>1</v>
      </c>
      <c r="AA120" s="113" t="s">
        <v>867</v>
      </c>
      <c r="AB120" s="113" t="s">
        <v>868</v>
      </c>
      <c r="AC120" s="116"/>
      <c r="AD120" s="116" t="s">
        <v>869</v>
      </c>
      <c r="AE120" s="116"/>
      <c r="AF120" s="116"/>
      <c r="AG120" s="116"/>
      <c r="AH120" s="118"/>
      <c r="AI120" s="118"/>
      <c r="AJ120" s="118"/>
      <c r="AK120" s="118" t="s">
        <v>870</v>
      </c>
      <c r="AL120" s="118" t="s">
        <v>871</v>
      </c>
      <c r="AM120" s="103"/>
      <c r="AN120" s="102"/>
      <c r="AO120" s="104" t="n">
        <v>18500</v>
      </c>
      <c r="AP120" s="104" t="n">
        <v>2529</v>
      </c>
      <c r="AQ120" s="95"/>
      <c r="AR120" s="95"/>
      <c r="AS120" s="95"/>
      <c r="AT120" s="95"/>
      <c r="AU120" s="95"/>
      <c r="AV120" s="96" t="n">
        <f aca="false">IF(AND(AP120&gt;0,J120&gt;0),J120*1000/(AP120*0.2),"")</f>
        <v>21747.7263740609</v>
      </c>
      <c r="AW120" s="96" t="str">
        <f aca="false">IF(AND(AS120&gt;0,M120&gt;0),M120*1000/(AS120*0.3),"")</f>
        <v/>
      </c>
      <c r="AX120" s="96" t="n">
        <f aca="false">IF(AND(AO120&gt;0,O120&gt;0),O120*1000/(AO120*0.1),"")</f>
        <v>1189.18918918919</v>
      </c>
      <c r="AY120" s="96" t="str">
        <f aca="false">IF(AND(AR120&gt;0,N120&gt;0),N120*1000/(AR120*0.25),"")</f>
        <v/>
      </c>
      <c r="AZ120" s="96" t="str">
        <f aca="false">IF(AND(AQ120&gt;0,Q120&gt;0),Q120*1000/(AQ120*1),"")</f>
        <v/>
      </c>
      <c r="BA120" s="97" t="n">
        <f aca="false">IFERROR(VLOOKUP($I120,'07_Settings'!$A$10:$F$14,6,FALSE()),0.25)</f>
        <v>0.35</v>
      </c>
      <c r="BB120" s="98" t="n">
        <v>1</v>
      </c>
      <c r="BC120" s="98" t="n">
        <v>1</v>
      </c>
      <c r="BD120" s="98" t="n">
        <v>1</v>
      </c>
      <c r="BE120" s="99" t="n">
        <f aca="false">IFERROR(ROUND($S120*BA120*BC120*BD120*BB120,0),0)</f>
        <v>8470</v>
      </c>
      <c r="BF120" s="55" t="str">
        <f aca="false">IF(COUNT(AO120:AU120)&gt;0,"estimated","pending")</f>
        <v>estimated</v>
      </c>
    </row>
    <row r="121" customFormat="false" ht="16.5" hidden="false" customHeight="true" outlineLevel="0" collapsed="false">
      <c r="A121" s="86"/>
      <c r="B121" s="121" t="n">
        <f aca="false">IF($C121="","",COUNTA($C$5:C121))</f>
        <v>117</v>
      </c>
      <c r="C121" s="122" t="s">
        <v>872</v>
      </c>
      <c r="D121" s="123" t="s">
        <v>29</v>
      </c>
      <c r="E121" s="122" t="s">
        <v>855</v>
      </c>
      <c r="F121" s="122" t="s">
        <v>337</v>
      </c>
      <c r="G121" s="123" t="s">
        <v>607</v>
      </c>
      <c r="H121" s="123" t="n">
        <v>2</v>
      </c>
      <c r="I121" s="123" t="s">
        <v>122</v>
      </c>
      <c r="J121" s="124" t="n">
        <v>11000</v>
      </c>
      <c r="K121" s="124" t="n">
        <v>4600</v>
      </c>
      <c r="L121" s="125" t="n">
        <f aca="false">IF($C121="","",ROUND($J121*0.17,0))</f>
        <v>1870</v>
      </c>
      <c r="M121" s="124" t="n">
        <v>8600</v>
      </c>
      <c r="N121" s="124" t="n">
        <v>3500</v>
      </c>
      <c r="O121" s="124" t="n">
        <v>2200</v>
      </c>
      <c r="P121" s="124" t="n">
        <v>0</v>
      </c>
      <c r="Q121" s="124" t="n">
        <v>15950</v>
      </c>
      <c r="R121" s="124" t="n">
        <v>7150</v>
      </c>
      <c r="S121" s="125" t="n">
        <f aca="false">IF($C121="","",ROUND($J121*2.2,0))</f>
        <v>24200</v>
      </c>
      <c r="T121" s="124" t="n">
        <v>3850</v>
      </c>
      <c r="U121" s="124" t="n">
        <v>3300</v>
      </c>
      <c r="V121" s="124" t="n">
        <v>2000</v>
      </c>
      <c r="W121" s="124" t="n">
        <v>0</v>
      </c>
      <c r="X121" s="124" t="s">
        <v>290</v>
      </c>
      <c r="Y121" s="126" t="n">
        <v>0.3</v>
      </c>
      <c r="Z121" s="126" t="n">
        <v>1</v>
      </c>
      <c r="AA121" s="122" t="s">
        <v>873</v>
      </c>
      <c r="AB121" s="122" t="s">
        <v>874</v>
      </c>
      <c r="AC121" s="124" t="s">
        <v>875</v>
      </c>
      <c r="AD121" s="124"/>
      <c r="AE121" s="124"/>
      <c r="AF121" s="124"/>
      <c r="AG121" s="124"/>
      <c r="AH121" s="127"/>
      <c r="AI121" s="127"/>
      <c r="AJ121" s="127"/>
      <c r="AK121" s="127" t="s">
        <v>876</v>
      </c>
      <c r="AL121" s="127"/>
      <c r="AM121" s="128"/>
      <c r="AN121" s="86"/>
      <c r="AO121" s="104" t="n">
        <v>2682</v>
      </c>
      <c r="AP121" s="95"/>
      <c r="AQ121" s="95"/>
      <c r="AR121" s="95"/>
      <c r="AS121" s="95"/>
      <c r="AT121" s="95"/>
      <c r="AU121" s="95"/>
      <c r="AV121" s="96" t="str">
        <f aca="false">IF(AND(AP121&gt;0,J121&gt;0),J121*1000/(AP121*0.2),"")</f>
        <v/>
      </c>
      <c r="AW121" s="96" t="str">
        <f aca="false">IF(AND(AS121&gt;0,M121&gt;0),M121*1000/(AS121*0.3),"")</f>
        <v/>
      </c>
      <c r="AX121" s="96" t="n">
        <f aca="false">IF(AND(AO121&gt;0,O121&gt;0),O121*1000/(AO121*0.1),"")</f>
        <v>8202.83370618941</v>
      </c>
      <c r="AY121" s="96" t="str">
        <f aca="false">IF(AND(AR121&gt;0,N121&gt;0),N121*1000/(AR121*0.25),"")</f>
        <v/>
      </c>
      <c r="AZ121" s="96" t="str">
        <f aca="false">IF(AND(AQ121&gt;0,Q121&gt;0),Q121*1000/(AQ121*1),"")</f>
        <v/>
      </c>
      <c r="BA121" s="97" t="n">
        <f aca="false">IFERROR(VLOOKUP($I121,'07_Settings'!$A$10:$F$14,6,FALSE()),0.25)</f>
        <v>0.25</v>
      </c>
      <c r="BB121" s="98" t="n">
        <v>1</v>
      </c>
      <c r="BC121" s="98" t="n">
        <v>1</v>
      </c>
      <c r="BD121" s="98" t="n">
        <v>1</v>
      </c>
      <c r="BE121" s="99" t="n">
        <f aca="false">IFERROR(ROUND($S121*BA121*BC121*BD121*BB121,0),0)</f>
        <v>6050</v>
      </c>
      <c r="BF121" s="55" t="str">
        <f aca="false">IF(COUNT(AO121:AU121)&gt;0,"estimated","pending")</f>
        <v>estimated</v>
      </c>
    </row>
    <row r="122" customFormat="false" ht="16.5" hidden="false" customHeight="true" outlineLevel="0" collapsed="false">
      <c r="A122" s="102"/>
      <c r="B122" s="112" t="n">
        <f aca="false">IF($C122="","",COUNTA($C$5:C122))</f>
        <v>118</v>
      </c>
      <c r="C122" s="113" t="s">
        <v>877</v>
      </c>
      <c r="D122" s="114" t="s">
        <v>279</v>
      </c>
      <c r="E122" s="113" t="s">
        <v>855</v>
      </c>
      <c r="F122" s="113" t="s">
        <v>337</v>
      </c>
      <c r="G122" s="114" t="s">
        <v>607</v>
      </c>
      <c r="H122" s="114" t="n">
        <v>3</v>
      </c>
      <c r="I122" s="114" t="s">
        <v>118</v>
      </c>
      <c r="J122" s="115" t="n">
        <v>11250</v>
      </c>
      <c r="K122" s="115" t="n">
        <v>4500</v>
      </c>
      <c r="L122" s="115" t="n">
        <f aca="false">IF($C122="","",ROUND($J122*0.17,0))</f>
        <v>1913</v>
      </c>
      <c r="M122" s="115" t="n">
        <v>8000</v>
      </c>
      <c r="N122" s="115" t="n">
        <v>3500</v>
      </c>
      <c r="O122" s="115" t="n">
        <v>2000</v>
      </c>
      <c r="P122" s="115" t="n">
        <v>2000</v>
      </c>
      <c r="Q122" s="115" t="n">
        <v>13500</v>
      </c>
      <c r="R122" s="115" t="n">
        <v>6075</v>
      </c>
      <c r="S122" s="115" t="n">
        <f aca="false">IF($C122="","",ROUND($J122*2.2,0))</f>
        <v>24750</v>
      </c>
      <c r="T122" s="115" t="n">
        <v>4638</v>
      </c>
      <c r="U122" s="115" t="n">
        <v>4063</v>
      </c>
      <c r="V122" s="115" t="n">
        <v>2438</v>
      </c>
      <c r="W122" s="115" t="n">
        <v>2400</v>
      </c>
      <c r="X122" s="116" t="s">
        <v>236</v>
      </c>
      <c r="Y122" s="117" t="n">
        <v>0.75</v>
      </c>
      <c r="Z122" s="117" t="n">
        <v>1</v>
      </c>
      <c r="AA122" s="113" t="s">
        <v>878</v>
      </c>
      <c r="AB122" s="113" t="s">
        <v>879</v>
      </c>
      <c r="AC122" s="116" t="s">
        <v>880</v>
      </c>
      <c r="AD122" s="116" t="s">
        <v>881</v>
      </c>
      <c r="AE122" s="116"/>
      <c r="AF122" s="116"/>
      <c r="AG122" s="116"/>
      <c r="AH122" s="118"/>
      <c r="AI122" s="118"/>
      <c r="AJ122" s="118"/>
      <c r="AK122" s="118" t="s">
        <v>882</v>
      </c>
      <c r="AL122" s="118" t="s">
        <v>883</v>
      </c>
      <c r="AM122" s="103"/>
      <c r="AN122" s="102"/>
      <c r="AO122" s="104" t="n">
        <v>6199</v>
      </c>
      <c r="AP122" s="104" t="n">
        <v>1989</v>
      </c>
      <c r="AQ122" s="95"/>
      <c r="AR122" s="95"/>
      <c r="AS122" s="95"/>
      <c r="AT122" s="95"/>
      <c r="AU122" s="95"/>
      <c r="AV122" s="96" t="n">
        <f aca="false">IF(AND(AP122&gt;0,J122&gt;0),J122*1000/(AP122*0.2),"")</f>
        <v>28280.5429864253</v>
      </c>
      <c r="AW122" s="96" t="str">
        <f aca="false">IF(AND(AS122&gt;0,M122&gt;0),M122*1000/(AS122*0.3),"")</f>
        <v/>
      </c>
      <c r="AX122" s="96" t="n">
        <f aca="false">IF(AND(AO122&gt;0,O122&gt;0),O122*1000/(AO122*0.1),"")</f>
        <v>3226.32682690757</v>
      </c>
      <c r="AY122" s="96" t="str">
        <f aca="false">IF(AND(AR122&gt;0,N122&gt;0),N122*1000/(AR122*0.25),"")</f>
        <v/>
      </c>
      <c r="AZ122" s="96" t="str">
        <f aca="false">IF(AND(AQ122&gt;0,Q122&gt;0),Q122*1000/(AQ122*1),"")</f>
        <v/>
      </c>
      <c r="BA122" s="97" t="n">
        <f aca="false">IFERROR(VLOOKUP($I122,'07_Settings'!$A$10:$F$14,6,FALSE()),0.25)</f>
        <v>0.35</v>
      </c>
      <c r="BB122" s="98" t="n">
        <v>1</v>
      </c>
      <c r="BC122" s="98" t="n">
        <v>1</v>
      </c>
      <c r="BD122" s="98" t="n">
        <v>1</v>
      </c>
      <c r="BE122" s="99" t="n">
        <f aca="false">IFERROR(ROUND($S122*BA122*BC122*BD122*BB122,0),0)</f>
        <v>8663</v>
      </c>
      <c r="BF122" s="55" t="str">
        <f aca="false">IF(COUNT(AO122:AU122)&gt;0,"estimated","pending")</f>
        <v>estimated</v>
      </c>
    </row>
    <row r="123" customFormat="false" ht="16.5" hidden="false" customHeight="true" outlineLevel="0" collapsed="false">
      <c r="A123" s="100"/>
      <c r="B123" s="129" t="n">
        <f aca="false">IF($C123="","",COUNTA($C$5:C123))</f>
        <v>119</v>
      </c>
      <c r="C123" s="130" t="s">
        <v>884</v>
      </c>
      <c r="D123" s="131" t="s">
        <v>428</v>
      </c>
      <c r="E123" s="130" t="s">
        <v>855</v>
      </c>
      <c r="F123" s="130" t="s">
        <v>337</v>
      </c>
      <c r="G123" s="131" t="s">
        <v>607</v>
      </c>
      <c r="H123" s="131" t="n">
        <v>2</v>
      </c>
      <c r="I123" s="131" t="s">
        <v>118</v>
      </c>
      <c r="J123" s="132" t="n">
        <v>11000</v>
      </c>
      <c r="K123" s="132" t="n">
        <v>4600</v>
      </c>
      <c r="L123" s="133" t="n">
        <f aca="false">IF($C123="","",ROUND($J123*0.17,0))</f>
        <v>1870</v>
      </c>
      <c r="M123" s="132" t="n">
        <v>8600</v>
      </c>
      <c r="N123" s="132" t="n">
        <v>3500</v>
      </c>
      <c r="O123" s="132" t="n">
        <v>2200</v>
      </c>
      <c r="P123" s="132" t="n">
        <v>0</v>
      </c>
      <c r="Q123" s="132" t="n">
        <v>15950</v>
      </c>
      <c r="R123" s="132" t="n">
        <v>7150</v>
      </c>
      <c r="S123" s="133" t="n">
        <f aca="false">IF($C123="","",ROUND($J123*2.2,0))</f>
        <v>24200</v>
      </c>
      <c r="T123" s="132" t="n">
        <v>3850</v>
      </c>
      <c r="U123" s="132" t="n">
        <v>3300</v>
      </c>
      <c r="V123" s="132" t="n">
        <v>2000</v>
      </c>
      <c r="W123" s="132" t="n">
        <v>0</v>
      </c>
      <c r="X123" s="132" t="s">
        <v>290</v>
      </c>
      <c r="Y123" s="134" t="n">
        <v>0.3</v>
      </c>
      <c r="Z123" s="134" t="n">
        <v>1</v>
      </c>
      <c r="AA123" s="130" t="s">
        <v>885</v>
      </c>
      <c r="AB123" s="130" t="s">
        <v>886</v>
      </c>
      <c r="AC123" s="132"/>
      <c r="AD123" s="132"/>
      <c r="AE123" s="132" t="s">
        <v>887</v>
      </c>
      <c r="AF123" s="132"/>
      <c r="AG123" s="132"/>
      <c r="AH123" s="135"/>
      <c r="AI123" s="135"/>
      <c r="AJ123" s="135"/>
      <c r="AK123" s="136" t="n">
        <v>32425</v>
      </c>
      <c r="AL123" s="135"/>
      <c r="AM123" s="101"/>
      <c r="AN123" s="100"/>
      <c r="AO123" s="104" t="n">
        <v>5053</v>
      </c>
      <c r="AP123" s="95"/>
      <c r="AQ123" s="95"/>
      <c r="AR123" s="95"/>
      <c r="AS123" s="95"/>
      <c r="AT123" s="95"/>
      <c r="AU123" s="95"/>
      <c r="AV123" s="96" t="str">
        <f aca="false">IF(AND(AP123&gt;0,J123&gt;0),J123*1000/(AP123*0.2),"")</f>
        <v/>
      </c>
      <c r="AW123" s="96" t="str">
        <f aca="false">IF(AND(AS123&gt;0,M123&gt;0),M123*1000/(AS123*0.3),"")</f>
        <v/>
      </c>
      <c r="AX123" s="96" t="n">
        <f aca="false">IF(AND(AO123&gt;0,O123&gt;0),O123*1000/(AO123*0.1),"")</f>
        <v>4353.84919849594</v>
      </c>
      <c r="AY123" s="96" t="str">
        <f aca="false">IF(AND(AR123&gt;0,N123&gt;0),N123*1000/(AR123*0.25),"")</f>
        <v/>
      </c>
      <c r="AZ123" s="96" t="str">
        <f aca="false">IF(AND(AQ123&gt;0,Q123&gt;0),Q123*1000/(AQ123*1),"")</f>
        <v/>
      </c>
      <c r="BA123" s="97" t="n">
        <f aca="false">IFERROR(VLOOKUP($I123,'07_Settings'!$A$10:$F$14,6,FALSE()),0.25)</f>
        <v>0.35</v>
      </c>
      <c r="BB123" s="98" t="n">
        <v>1</v>
      </c>
      <c r="BC123" s="98" t="n">
        <v>1</v>
      </c>
      <c r="BD123" s="98" t="n">
        <v>1</v>
      </c>
      <c r="BE123" s="99" t="n">
        <f aca="false">IFERROR(ROUND($S123*BA123*BC123*BD123*BB123,0),0)</f>
        <v>8470</v>
      </c>
      <c r="BF123" s="55" t="str">
        <f aca="false">IF(COUNT(AO123:AU123)&gt;0,"estimated","pending")</f>
        <v>estimated</v>
      </c>
    </row>
    <row r="124" customFormat="false" ht="16.5" hidden="false" customHeight="true" outlineLevel="0" collapsed="false">
      <c r="A124" s="102"/>
      <c r="B124" s="112" t="n">
        <f aca="false">IF($C124="","",COUNTA($C$5:C124))</f>
        <v>120</v>
      </c>
      <c r="C124" s="113" t="s">
        <v>888</v>
      </c>
      <c r="D124" s="114" t="s">
        <v>279</v>
      </c>
      <c r="E124" s="113" t="s">
        <v>855</v>
      </c>
      <c r="F124" s="113" t="s">
        <v>337</v>
      </c>
      <c r="G124" s="114" t="s">
        <v>607</v>
      </c>
      <c r="H124" s="114" t="n">
        <v>3</v>
      </c>
      <c r="I124" s="114" t="s">
        <v>118</v>
      </c>
      <c r="J124" s="115" t="n">
        <v>22750</v>
      </c>
      <c r="K124" s="115" t="n">
        <v>9550</v>
      </c>
      <c r="L124" s="115" t="n">
        <f aca="false">IF($C124="","",ROUND($J124*0.17,0))</f>
        <v>3868</v>
      </c>
      <c r="M124" s="115" t="n">
        <v>17750</v>
      </c>
      <c r="N124" s="115" t="n">
        <v>7300</v>
      </c>
      <c r="O124" s="115" t="n">
        <v>4550</v>
      </c>
      <c r="P124" s="115" t="n">
        <v>4550</v>
      </c>
      <c r="Q124" s="115" t="n">
        <v>33000</v>
      </c>
      <c r="R124" s="115" t="n">
        <v>14800</v>
      </c>
      <c r="S124" s="115" t="n">
        <f aca="false">IF($C124="","",ROUND($J124*2.2,0))</f>
        <v>50050</v>
      </c>
      <c r="T124" s="115" t="n">
        <v>7950</v>
      </c>
      <c r="U124" s="115" t="n">
        <v>6850</v>
      </c>
      <c r="V124" s="115" t="n">
        <v>4100</v>
      </c>
      <c r="W124" s="115" t="n">
        <v>2400</v>
      </c>
      <c r="X124" s="116" t="s">
        <v>236</v>
      </c>
      <c r="Y124" s="117" t="n">
        <v>0.75</v>
      </c>
      <c r="Z124" s="117" t="n">
        <v>1</v>
      </c>
      <c r="AA124" s="113" t="s">
        <v>889</v>
      </c>
      <c r="AB124" s="113" t="s">
        <v>890</v>
      </c>
      <c r="AC124" s="116" t="s">
        <v>891</v>
      </c>
      <c r="AD124" s="116" t="s">
        <v>892</v>
      </c>
      <c r="AE124" s="116"/>
      <c r="AF124" s="116"/>
      <c r="AG124" s="116"/>
      <c r="AH124" s="118"/>
      <c r="AI124" s="118"/>
      <c r="AJ124" s="118"/>
      <c r="AK124" s="118" t="s">
        <v>893</v>
      </c>
      <c r="AL124" s="118" t="s">
        <v>871</v>
      </c>
      <c r="AM124" s="103"/>
      <c r="AN124" s="102"/>
      <c r="AO124" s="104" t="n">
        <v>13000</v>
      </c>
      <c r="AP124" s="95"/>
      <c r="AQ124" s="95"/>
      <c r="AR124" s="95"/>
      <c r="AS124" s="95"/>
      <c r="AT124" s="95"/>
      <c r="AU124" s="95"/>
      <c r="AV124" s="96" t="str">
        <f aca="false">IF(AND(AP124&gt;0,J124&gt;0),J124*1000/(AP124*0.2),"")</f>
        <v/>
      </c>
      <c r="AW124" s="96" t="str">
        <f aca="false">IF(AND(AS124&gt;0,M124&gt;0),M124*1000/(AS124*0.3),"")</f>
        <v/>
      </c>
      <c r="AX124" s="96" t="n">
        <f aca="false">IF(AND(AO124&gt;0,O124&gt;0),O124*1000/(AO124*0.1),"")</f>
        <v>3500</v>
      </c>
      <c r="AY124" s="96" t="str">
        <f aca="false">IF(AND(AR124&gt;0,N124&gt;0),N124*1000/(AR124*0.25),"")</f>
        <v/>
      </c>
      <c r="AZ124" s="96" t="str">
        <f aca="false">IF(AND(AQ124&gt;0,Q124&gt;0),Q124*1000/(AQ124*1),"")</f>
        <v/>
      </c>
      <c r="BA124" s="97" t="n">
        <f aca="false">IFERROR(VLOOKUP($I124,'07_Settings'!$A$10:$F$14,6,FALSE()),0.25)</f>
        <v>0.35</v>
      </c>
      <c r="BB124" s="98" t="n">
        <v>1</v>
      </c>
      <c r="BC124" s="98" t="n">
        <v>1</v>
      </c>
      <c r="BD124" s="98" t="n">
        <v>1</v>
      </c>
      <c r="BE124" s="99" t="n">
        <f aca="false">IFERROR(ROUND($S124*BA124*BC124*BD124*BB124,0),0)</f>
        <v>17518</v>
      </c>
      <c r="BF124" s="55" t="str">
        <f aca="false">IF(COUNT(AO124:AU124)&gt;0,"estimated","pending")</f>
        <v>estimated</v>
      </c>
    </row>
    <row r="125" customFormat="false" ht="16.5" hidden="false" customHeight="true" outlineLevel="0" collapsed="false">
      <c r="A125" s="100"/>
      <c r="B125" s="129" t="n">
        <f aca="false">IF($C125="","",COUNTA($C$5:C125))</f>
        <v>121</v>
      </c>
      <c r="C125" s="130" t="s">
        <v>894</v>
      </c>
      <c r="D125" s="131" t="s">
        <v>526</v>
      </c>
      <c r="E125" s="130" t="s">
        <v>855</v>
      </c>
      <c r="F125" s="130" t="s">
        <v>337</v>
      </c>
      <c r="G125" s="131" t="s">
        <v>607</v>
      </c>
      <c r="H125" s="131" t="n">
        <v>4</v>
      </c>
      <c r="I125" s="131" t="s">
        <v>118</v>
      </c>
      <c r="J125" s="132" t="n">
        <v>11000</v>
      </c>
      <c r="K125" s="132" t="n">
        <v>4600</v>
      </c>
      <c r="L125" s="133" t="n">
        <f aca="false">IF($C125="","",ROUND($J125*0.17,0))</f>
        <v>1870</v>
      </c>
      <c r="M125" s="132" t="n">
        <v>8600</v>
      </c>
      <c r="N125" s="132" t="n">
        <v>3500</v>
      </c>
      <c r="O125" s="132" t="n">
        <v>2200</v>
      </c>
      <c r="P125" s="132" t="n">
        <v>0</v>
      </c>
      <c r="Q125" s="132" t="n">
        <v>15950</v>
      </c>
      <c r="R125" s="132" t="n">
        <v>7150</v>
      </c>
      <c r="S125" s="133" t="n">
        <f aca="false">IF($C125="","",ROUND($J125*2.2,0))</f>
        <v>24200</v>
      </c>
      <c r="T125" s="132" t="n">
        <v>3850</v>
      </c>
      <c r="U125" s="132" t="n">
        <v>3300</v>
      </c>
      <c r="V125" s="132" t="n">
        <v>2000</v>
      </c>
      <c r="W125" s="132" t="n">
        <v>0</v>
      </c>
      <c r="X125" s="132" t="s">
        <v>222</v>
      </c>
      <c r="Y125" s="134" t="n">
        <v>0.3</v>
      </c>
      <c r="Z125" s="134" t="n">
        <v>1</v>
      </c>
      <c r="AA125" s="130" t="s">
        <v>895</v>
      </c>
      <c r="AB125" s="130" t="s">
        <v>896</v>
      </c>
      <c r="AC125" s="130" t="s">
        <v>897</v>
      </c>
      <c r="AD125" s="130" t="s">
        <v>898</v>
      </c>
      <c r="AE125" s="130" t="s">
        <v>899</v>
      </c>
      <c r="AF125" s="130"/>
      <c r="AG125" s="130"/>
      <c r="AH125" s="135"/>
      <c r="AI125" s="135"/>
      <c r="AJ125" s="135"/>
      <c r="AK125" s="135" t="s">
        <v>900</v>
      </c>
      <c r="AL125" s="135"/>
      <c r="AM125" s="101"/>
      <c r="AN125" s="100"/>
      <c r="AO125" s="104" t="n">
        <v>26300</v>
      </c>
      <c r="AP125" s="104" t="n">
        <v>7746</v>
      </c>
      <c r="AQ125" s="95"/>
      <c r="AR125" s="95"/>
      <c r="AS125" s="95"/>
      <c r="AT125" s="95"/>
      <c r="AU125" s="95"/>
      <c r="AV125" s="96" t="n">
        <f aca="false">IF(AND(AP125&gt;0,J125&gt;0),J125*1000/(AP125*0.2),"")</f>
        <v>7100.43893622515</v>
      </c>
      <c r="AW125" s="96" t="str">
        <f aca="false">IF(AND(AS125&gt;0,M125&gt;0),M125*1000/(AS125*0.3),"")</f>
        <v/>
      </c>
      <c r="AX125" s="96" t="n">
        <f aca="false">IF(AND(AO125&gt;0,O125&gt;0),O125*1000/(AO125*0.1),"")</f>
        <v>836.501901140684</v>
      </c>
      <c r="AY125" s="96" t="str">
        <f aca="false">IF(AND(AR125&gt;0,N125&gt;0),N125*1000/(AR125*0.25),"")</f>
        <v/>
      </c>
      <c r="AZ125" s="96" t="str">
        <f aca="false">IF(AND(AQ125&gt;0,Q125&gt;0),Q125*1000/(AQ125*1),"")</f>
        <v/>
      </c>
      <c r="BA125" s="97" t="n">
        <f aca="false">IFERROR(VLOOKUP($I125,'07_Settings'!$A$10:$F$14,6,FALSE()),0.25)</f>
        <v>0.35</v>
      </c>
      <c r="BB125" s="98" t="n">
        <v>1</v>
      </c>
      <c r="BC125" s="98" t="n">
        <v>1</v>
      </c>
      <c r="BD125" s="98" t="n">
        <v>1</v>
      </c>
      <c r="BE125" s="99" t="n">
        <f aca="false">IFERROR(ROUND($S125*BA125*BC125*BD125*BB125,0),0)</f>
        <v>8470</v>
      </c>
      <c r="BF125" s="55" t="str">
        <f aca="false">IF(COUNT(AO125:AU125)&gt;0,"estimated","pending")</f>
        <v>estimated</v>
      </c>
    </row>
    <row r="126" customFormat="false" ht="16.5" hidden="false" customHeight="true" outlineLevel="0" collapsed="false">
      <c r="A126" s="100"/>
      <c r="B126" s="129" t="n">
        <f aca="false">IF($C126="","",COUNTA($C$5:C126))</f>
        <v>122</v>
      </c>
      <c r="C126" s="130" t="s">
        <v>901</v>
      </c>
      <c r="D126" s="131" t="s">
        <v>428</v>
      </c>
      <c r="E126" s="130" t="s">
        <v>902</v>
      </c>
      <c r="F126" s="130" t="s">
        <v>337</v>
      </c>
      <c r="G126" s="131" t="s">
        <v>282</v>
      </c>
      <c r="H126" s="131" t="n">
        <v>3</v>
      </c>
      <c r="I126" s="131" t="s">
        <v>118</v>
      </c>
      <c r="J126" s="132" t="n">
        <v>11000</v>
      </c>
      <c r="K126" s="132" t="n">
        <v>4600</v>
      </c>
      <c r="L126" s="133" t="n">
        <f aca="false">IF($C126="","",ROUND($J126*0.17,0))</f>
        <v>1870</v>
      </c>
      <c r="M126" s="132" t="n">
        <v>8600</v>
      </c>
      <c r="N126" s="132" t="n">
        <v>3500</v>
      </c>
      <c r="O126" s="132" t="n">
        <v>2200</v>
      </c>
      <c r="P126" s="132" t="n">
        <v>0</v>
      </c>
      <c r="Q126" s="132" t="n">
        <v>15950</v>
      </c>
      <c r="R126" s="132" t="n">
        <v>7150</v>
      </c>
      <c r="S126" s="133" t="n">
        <f aca="false">IF($C126="","",ROUND($J126*2.2,0))</f>
        <v>24200</v>
      </c>
      <c r="T126" s="132" t="n">
        <v>3850</v>
      </c>
      <c r="U126" s="132" t="n">
        <v>3300</v>
      </c>
      <c r="V126" s="132" t="n">
        <v>2000</v>
      </c>
      <c r="W126" s="132" t="n">
        <v>0</v>
      </c>
      <c r="X126" s="132" t="s">
        <v>236</v>
      </c>
      <c r="Y126" s="134" t="n">
        <v>0.3</v>
      </c>
      <c r="Z126" s="134" t="n">
        <v>1</v>
      </c>
      <c r="AA126" s="130" t="s">
        <v>903</v>
      </c>
      <c r="AB126" s="130" t="s">
        <v>904</v>
      </c>
      <c r="AC126" s="132" t="s">
        <v>905</v>
      </c>
      <c r="AD126" s="132" t="s">
        <v>906</v>
      </c>
      <c r="AE126" s="132"/>
      <c r="AF126" s="132"/>
      <c r="AG126" s="132"/>
      <c r="AH126" s="135"/>
      <c r="AI126" s="135"/>
      <c r="AJ126" s="135"/>
      <c r="AK126" s="135" t="s">
        <v>907</v>
      </c>
      <c r="AL126" s="135"/>
      <c r="AM126" s="101"/>
      <c r="AN126" s="100"/>
      <c r="AO126" s="104" t="n">
        <v>10300</v>
      </c>
      <c r="AP126" s="95"/>
      <c r="AQ126" s="95"/>
      <c r="AR126" s="95"/>
      <c r="AS126" s="95"/>
      <c r="AT126" s="95"/>
      <c r="AU126" s="95"/>
      <c r="AV126" s="96" t="str">
        <f aca="false">IF(AND(AP126&gt;0,J126&gt;0),J126*1000/(AP126*0.2),"")</f>
        <v/>
      </c>
      <c r="AW126" s="96" t="str">
        <f aca="false">IF(AND(AS126&gt;0,M126&gt;0),M126*1000/(AS126*0.3),"")</f>
        <v/>
      </c>
      <c r="AX126" s="96" t="n">
        <f aca="false">IF(AND(AO126&gt;0,O126&gt;0),O126*1000/(AO126*0.1),"")</f>
        <v>2135.92233009709</v>
      </c>
      <c r="AY126" s="96" t="str">
        <f aca="false">IF(AND(AR126&gt;0,N126&gt;0),N126*1000/(AR126*0.25),"")</f>
        <v/>
      </c>
      <c r="AZ126" s="96" t="str">
        <f aca="false">IF(AND(AQ126&gt;0,Q126&gt;0),Q126*1000/(AQ126*1),"")</f>
        <v/>
      </c>
      <c r="BA126" s="97" t="n">
        <f aca="false">IFERROR(VLOOKUP($I126,'07_Settings'!$A$10:$F$14,6,FALSE()),0.25)</f>
        <v>0.35</v>
      </c>
      <c r="BB126" s="98" t="n">
        <v>1</v>
      </c>
      <c r="BC126" s="98" t="n">
        <v>1</v>
      </c>
      <c r="BD126" s="98" t="n">
        <v>1</v>
      </c>
      <c r="BE126" s="99" t="n">
        <f aca="false">IFERROR(ROUND($S126*BA126*BC126*BD126*BB126,0),0)</f>
        <v>8470</v>
      </c>
      <c r="BF126" s="55" t="str">
        <f aca="false">IF(COUNT(AO126:AU126)&gt;0,"estimated","pending")</f>
        <v>estimated</v>
      </c>
    </row>
    <row r="127" customFormat="false" ht="16.5" hidden="false" customHeight="true" outlineLevel="0" collapsed="false">
      <c r="A127" s="102"/>
      <c r="B127" s="112" t="n">
        <f aca="false">IF($C127="","",COUNTA($C$5:C127))</f>
        <v>123</v>
      </c>
      <c r="C127" s="113" t="s">
        <v>908</v>
      </c>
      <c r="D127" s="114" t="s">
        <v>279</v>
      </c>
      <c r="E127" s="113" t="s">
        <v>902</v>
      </c>
      <c r="F127" s="113" t="s">
        <v>337</v>
      </c>
      <c r="G127" s="114" t="s">
        <v>282</v>
      </c>
      <c r="H127" s="114" t="n">
        <v>4</v>
      </c>
      <c r="I127" s="114" t="s">
        <v>114</v>
      </c>
      <c r="J127" s="115" t="n">
        <v>15000</v>
      </c>
      <c r="K127" s="115" t="n">
        <v>6750</v>
      </c>
      <c r="L127" s="115" t="n">
        <f aca="false">IF($C127="","",ROUND($J127*0.17,0))</f>
        <v>2550</v>
      </c>
      <c r="M127" s="115" t="n">
        <v>11000</v>
      </c>
      <c r="N127" s="115" t="n">
        <v>5000</v>
      </c>
      <c r="O127" s="115" t="n">
        <v>3200</v>
      </c>
      <c r="P127" s="115" t="n">
        <v>3200</v>
      </c>
      <c r="Q127" s="115" t="n">
        <v>19500</v>
      </c>
      <c r="R127" s="115" t="n">
        <v>8775</v>
      </c>
      <c r="S127" s="115" t="n">
        <f aca="false">IF($C127="","",ROUND($J127*2.2,0))</f>
        <v>33000</v>
      </c>
      <c r="T127" s="115" t="n">
        <v>6800</v>
      </c>
      <c r="U127" s="115" t="n">
        <v>5950</v>
      </c>
      <c r="V127" s="115" t="n">
        <v>3570</v>
      </c>
      <c r="W127" s="115" t="n">
        <v>2400</v>
      </c>
      <c r="X127" s="116" t="s">
        <v>222</v>
      </c>
      <c r="Y127" s="117" t="n">
        <v>0.3</v>
      </c>
      <c r="Z127" s="117" t="n">
        <v>1</v>
      </c>
      <c r="AA127" s="113" t="s">
        <v>909</v>
      </c>
      <c r="AB127" s="113" t="s">
        <v>910</v>
      </c>
      <c r="AC127" s="113" t="s">
        <v>911</v>
      </c>
      <c r="AD127" s="113" t="s">
        <v>912</v>
      </c>
      <c r="AE127" s="113" t="s">
        <v>913</v>
      </c>
      <c r="AF127" s="113"/>
      <c r="AG127" s="113"/>
      <c r="AH127" s="118"/>
      <c r="AI127" s="118"/>
      <c r="AJ127" s="118"/>
      <c r="AK127" s="118" t="s">
        <v>914</v>
      </c>
      <c r="AL127" s="118"/>
      <c r="AM127" s="103"/>
      <c r="AN127" s="102"/>
      <c r="AO127" s="104" t="n">
        <v>12100</v>
      </c>
      <c r="AP127" s="95"/>
      <c r="AQ127" s="104" t="n">
        <v>66000</v>
      </c>
      <c r="AR127" s="104" t="n">
        <v>3100</v>
      </c>
      <c r="AS127" s="95"/>
      <c r="AT127" s="95"/>
      <c r="AU127" s="95"/>
      <c r="AV127" s="96" t="str">
        <f aca="false">IF(AND(AP127&gt;0,J127&gt;0),J127*1000/(AP127*0.2),"")</f>
        <v/>
      </c>
      <c r="AW127" s="96" t="str">
        <f aca="false">IF(AND(AS127&gt;0,M127&gt;0),M127*1000/(AS127*0.3),"")</f>
        <v/>
      </c>
      <c r="AX127" s="96" t="n">
        <f aca="false">IF(AND(AO127&gt;0,O127&gt;0),O127*1000/(AO127*0.1),"")</f>
        <v>2644.62809917355</v>
      </c>
      <c r="AY127" s="96" t="n">
        <f aca="false">IF(AND(AR127&gt;0,N127&gt;0),N127*1000/(AR127*0.25),"")</f>
        <v>6451.61290322581</v>
      </c>
      <c r="AZ127" s="96" t="n">
        <f aca="false">IF(AND(AQ127&gt;0,Q127&gt;0),Q127*1000/(AQ127*1),"")</f>
        <v>295.454545454545</v>
      </c>
      <c r="BA127" s="97" t="n">
        <f aca="false">IFERROR(VLOOKUP($I127,'07_Settings'!$A$10:$F$14,6,FALSE()),0.25)</f>
        <v>0.45</v>
      </c>
      <c r="BB127" s="98" t="n">
        <v>1</v>
      </c>
      <c r="BC127" s="98" t="n">
        <v>1</v>
      </c>
      <c r="BD127" s="98" t="n">
        <v>1</v>
      </c>
      <c r="BE127" s="99" t="n">
        <f aca="false">IFERROR(ROUND($S127*BA127*BC127*BD127*BB127,0),0)</f>
        <v>14850</v>
      </c>
      <c r="BF127" s="55" t="str">
        <f aca="false">IF(COUNT(AO127:AU127)&gt;0,"estimated","pending")</f>
        <v>estimated</v>
      </c>
    </row>
    <row r="128" customFormat="false" ht="16.5" hidden="false" customHeight="true" outlineLevel="0" collapsed="false">
      <c r="A128" s="102"/>
      <c r="B128" s="112" t="n">
        <f aca="false">IF($C128="","",COUNTA($C$5:C128))</f>
        <v>124</v>
      </c>
      <c r="C128" s="113" t="s">
        <v>915</v>
      </c>
      <c r="D128" s="114" t="s">
        <v>279</v>
      </c>
      <c r="E128" s="113" t="s">
        <v>902</v>
      </c>
      <c r="F128" s="113" t="s">
        <v>337</v>
      </c>
      <c r="G128" s="114" t="s">
        <v>282</v>
      </c>
      <c r="H128" s="114" t="n">
        <v>4</v>
      </c>
      <c r="I128" s="114" t="s">
        <v>114</v>
      </c>
      <c r="J128" s="115" t="n">
        <v>20700</v>
      </c>
      <c r="K128" s="115" t="n">
        <v>8700</v>
      </c>
      <c r="L128" s="115" t="n">
        <f aca="false">IF($C128="","",ROUND($J128*0.17,0))</f>
        <v>3519</v>
      </c>
      <c r="M128" s="115" t="n">
        <v>16150</v>
      </c>
      <c r="N128" s="115" t="n">
        <v>6600</v>
      </c>
      <c r="O128" s="115" t="n">
        <v>4150</v>
      </c>
      <c r="P128" s="115" t="n">
        <v>4150</v>
      </c>
      <c r="Q128" s="115" t="n">
        <v>30000</v>
      </c>
      <c r="R128" s="115" t="n">
        <v>13450</v>
      </c>
      <c r="S128" s="115" t="n">
        <f aca="false">IF($C128="","",ROUND($J128*2.2,0))</f>
        <v>45540</v>
      </c>
      <c r="T128" s="115" t="n">
        <v>7250</v>
      </c>
      <c r="U128" s="115" t="n">
        <v>6200</v>
      </c>
      <c r="V128" s="115" t="n">
        <v>3750</v>
      </c>
      <c r="W128" s="115" t="n">
        <v>2400</v>
      </c>
      <c r="X128" s="116" t="s">
        <v>222</v>
      </c>
      <c r="Y128" s="117" t="n">
        <v>0.3</v>
      </c>
      <c r="Z128" s="117" t="n">
        <v>1</v>
      </c>
      <c r="AA128" s="113" t="s">
        <v>916</v>
      </c>
      <c r="AB128" s="113" t="s">
        <v>917</v>
      </c>
      <c r="AC128" s="113" t="s">
        <v>918</v>
      </c>
      <c r="AD128" s="113" t="s">
        <v>919</v>
      </c>
      <c r="AE128" s="113" t="s">
        <v>920</v>
      </c>
      <c r="AF128" s="113"/>
      <c r="AG128" s="113"/>
      <c r="AH128" s="118"/>
      <c r="AI128" s="118"/>
      <c r="AJ128" s="118"/>
      <c r="AK128" s="118" t="s">
        <v>921</v>
      </c>
      <c r="AL128" s="118"/>
      <c r="AM128" s="103"/>
      <c r="AN128" s="102"/>
      <c r="AO128" s="104" t="n">
        <v>12100</v>
      </c>
      <c r="AP128" s="104" t="n">
        <v>2307</v>
      </c>
      <c r="AQ128" s="104" t="n">
        <v>50114</v>
      </c>
      <c r="AR128" s="104" t="n">
        <v>52300</v>
      </c>
      <c r="AS128" s="95"/>
      <c r="AT128" s="95"/>
      <c r="AU128" s="95"/>
      <c r="AV128" s="96" t="n">
        <f aca="false">IF(AND(AP128&gt;0,J128&gt;0),J128*1000/(AP128*0.2),"")</f>
        <v>44863.4590377113</v>
      </c>
      <c r="AW128" s="96" t="str">
        <f aca="false">IF(AND(AS128&gt;0,M128&gt;0),M128*1000/(AS128*0.3),"")</f>
        <v/>
      </c>
      <c r="AX128" s="96" t="n">
        <f aca="false">IF(AND(AO128&gt;0,O128&gt;0),O128*1000/(AO128*0.1),"")</f>
        <v>3429.7520661157</v>
      </c>
      <c r="AY128" s="96" t="n">
        <f aca="false">IF(AND(AR128&gt;0,N128&gt;0),N128*1000/(AR128*0.25),"")</f>
        <v>504.780114722753</v>
      </c>
      <c r="AZ128" s="96" t="n">
        <f aca="false">IF(AND(AQ128&gt;0,Q128&gt;0),Q128*1000/(AQ128*1),"")</f>
        <v>598.635111944766</v>
      </c>
      <c r="BA128" s="97" t="n">
        <f aca="false">IFERROR(VLOOKUP($I128,'07_Settings'!$A$10:$F$14,6,FALSE()),0.25)</f>
        <v>0.45</v>
      </c>
      <c r="BB128" s="98" t="n">
        <v>1</v>
      </c>
      <c r="BC128" s="98" t="n">
        <v>1</v>
      </c>
      <c r="BD128" s="98" t="n">
        <v>1</v>
      </c>
      <c r="BE128" s="99" t="n">
        <f aca="false">IFERROR(ROUND($S128*BA128*BC128*BD128*BB128,0),0)</f>
        <v>20493</v>
      </c>
      <c r="BF128" s="55" t="str">
        <f aca="false">IF(COUNT(AO128:AU128)&gt;0,"estimated","pending")</f>
        <v>estimated</v>
      </c>
    </row>
    <row r="129" customFormat="false" ht="16.5" hidden="false" customHeight="true" outlineLevel="0" collapsed="false">
      <c r="A129" s="102"/>
      <c r="B129" s="112" t="n">
        <f aca="false">IF($C129="","",COUNTA($C$5:C129))</f>
        <v>125</v>
      </c>
      <c r="C129" s="113" t="s">
        <v>922</v>
      </c>
      <c r="D129" s="114" t="s">
        <v>279</v>
      </c>
      <c r="E129" s="113" t="s">
        <v>902</v>
      </c>
      <c r="F129" s="113" t="s">
        <v>337</v>
      </c>
      <c r="G129" s="114" t="s">
        <v>282</v>
      </c>
      <c r="H129" s="114" t="n">
        <v>4</v>
      </c>
      <c r="I129" s="114" t="s">
        <v>114</v>
      </c>
      <c r="J129" s="115" t="n">
        <v>20700</v>
      </c>
      <c r="K129" s="115" t="n">
        <v>8700</v>
      </c>
      <c r="L129" s="115" t="n">
        <f aca="false">IF($C129="","",ROUND($J129*0.17,0))</f>
        <v>3519</v>
      </c>
      <c r="M129" s="115" t="n">
        <v>16150</v>
      </c>
      <c r="N129" s="115" t="n">
        <v>6600</v>
      </c>
      <c r="O129" s="115" t="n">
        <v>4150</v>
      </c>
      <c r="P129" s="115" t="n">
        <v>4150</v>
      </c>
      <c r="Q129" s="115" t="n">
        <v>30000</v>
      </c>
      <c r="R129" s="115" t="n">
        <v>13450</v>
      </c>
      <c r="S129" s="115" t="n">
        <f aca="false">IF($C129="","",ROUND($J129*2.2,0))</f>
        <v>45540</v>
      </c>
      <c r="T129" s="115" t="n">
        <v>7250</v>
      </c>
      <c r="U129" s="115" t="n">
        <v>6200</v>
      </c>
      <c r="V129" s="115" t="n">
        <v>3750</v>
      </c>
      <c r="W129" s="115" t="n">
        <v>2400</v>
      </c>
      <c r="X129" s="116" t="s">
        <v>222</v>
      </c>
      <c r="Y129" s="117" t="n">
        <v>0.3</v>
      </c>
      <c r="Z129" s="117" t="n">
        <v>1</v>
      </c>
      <c r="AA129" s="113" t="s">
        <v>923</v>
      </c>
      <c r="AB129" s="113" t="s">
        <v>924</v>
      </c>
      <c r="AC129" s="113" t="s">
        <v>925</v>
      </c>
      <c r="AD129" s="113" t="s">
        <v>926</v>
      </c>
      <c r="AE129" s="113" t="s">
        <v>927</v>
      </c>
      <c r="AF129" s="113"/>
      <c r="AG129" s="113"/>
      <c r="AH129" s="118"/>
      <c r="AI129" s="118"/>
      <c r="AJ129" s="118"/>
      <c r="AK129" s="118" t="s">
        <v>928</v>
      </c>
      <c r="AL129" s="118"/>
      <c r="AM129" s="103"/>
      <c r="AN129" s="102"/>
      <c r="AO129" s="104" t="n">
        <v>20700</v>
      </c>
      <c r="AP129" s="104" t="n">
        <v>4432</v>
      </c>
      <c r="AQ129" s="104" t="n">
        <v>80300</v>
      </c>
      <c r="AR129" s="95"/>
      <c r="AS129" s="95"/>
      <c r="AT129" s="95"/>
      <c r="AU129" s="95"/>
      <c r="AV129" s="96" t="n">
        <f aca="false">IF(AND(AP129&gt;0,J129&gt;0),J129*1000/(AP129*0.2),"")</f>
        <v>23352.8880866426</v>
      </c>
      <c r="AW129" s="96" t="str">
        <f aca="false">IF(AND(AS129&gt;0,M129&gt;0),M129*1000/(AS129*0.3),"")</f>
        <v/>
      </c>
      <c r="AX129" s="96" t="n">
        <f aca="false">IF(AND(AO129&gt;0,O129&gt;0),O129*1000/(AO129*0.1),"")</f>
        <v>2004.8309178744</v>
      </c>
      <c r="AY129" s="96" t="str">
        <f aca="false">IF(AND(AR129&gt;0,N129&gt;0),N129*1000/(AR129*0.25),"")</f>
        <v/>
      </c>
      <c r="AZ129" s="96" t="n">
        <f aca="false">IF(AND(AQ129&gt;0,Q129&gt;0),Q129*1000/(AQ129*1),"")</f>
        <v>373.59900373599</v>
      </c>
      <c r="BA129" s="97" t="n">
        <f aca="false">IFERROR(VLOOKUP($I129,'07_Settings'!$A$10:$F$14,6,FALSE()),0.25)</f>
        <v>0.45</v>
      </c>
      <c r="BB129" s="98" t="n">
        <v>1</v>
      </c>
      <c r="BC129" s="98" t="n">
        <v>1</v>
      </c>
      <c r="BD129" s="98" t="n">
        <v>1</v>
      </c>
      <c r="BE129" s="99" t="n">
        <f aca="false">IFERROR(ROUND($S129*BA129*BC129*BD129*BB129,0),0)</f>
        <v>20493</v>
      </c>
      <c r="BF129" s="55" t="str">
        <f aca="false">IF(COUNT(AO129:AU129)&gt;0,"estimated","pending")</f>
        <v>estimated</v>
      </c>
    </row>
    <row r="130" customFormat="false" ht="16.5" hidden="false" customHeight="true" outlineLevel="0" collapsed="false">
      <c r="A130" s="102"/>
      <c r="B130" s="112" t="n">
        <f aca="false">IF($C130="","",COUNTA($C$5:C130))</f>
        <v>126</v>
      </c>
      <c r="C130" s="113" t="s">
        <v>929</v>
      </c>
      <c r="D130" s="114" t="s">
        <v>279</v>
      </c>
      <c r="E130" s="113" t="s">
        <v>902</v>
      </c>
      <c r="F130" s="113" t="s">
        <v>337</v>
      </c>
      <c r="G130" s="114" t="s">
        <v>930</v>
      </c>
      <c r="H130" s="114" t="n">
        <v>5</v>
      </c>
      <c r="I130" s="114" t="s">
        <v>110</v>
      </c>
      <c r="J130" s="115" t="n">
        <v>20700</v>
      </c>
      <c r="K130" s="115" t="n">
        <v>8700</v>
      </c>
      <c r="L130" s="115" t="n">
        <f aca="false">IF($C130="","",ROUND($J130*0.17,0))</f>
        <v>3519</v>
      </c>
      <c r="M130" s="115" t="n">
        <v>16150</v>
      </c>
      <c r="N130" s="115" t="n">
        <v>6600</v>
      </c>
      <c r="O130" s="115" t="n">
        <v>4150</v>
      </c>
      <c r="P130" s="115" t="n">
        <v>4150</v>
      </c>
      <c r="Q130" s="115" t="n">
        <v>30000</v>
      </c>
      <c r="R130" s="115" t="n">
        <v>13450</v>
      </c>
      <c r="S130" s="115" t="n">
        <f aca="false">IF($C130="","",ROUND($J130*2.2,0))</f>
        <v>45540</v>
      </c>
      <c r="T130" s="115" t="n">
        <v>7250</v>
      </c>
      <c r="U130" s="115" t="n">
        <v>6200</v>
      </c>
      <c r="V130" s="115" t="n">
        <v>3750</v>
      </c>
      <c r="W130" s="115" t="n">
        <v>2400</v>
      </c>
      <c r="X130" s="116" t="s">
        <v>246</v>
      </c>
      <c r="Y130" s="117" t="n">
        <v>0.3</v>
      </c>
      <c r="Z130" s="117" t="n">
        <v>1</v>
      </c>
      <c r="AA130" s="113" t="s">
        <v>931</v>
      </c>
      <c r="AB130" s="113" t="s">
        <v>932</v>
      </c>
      <c r="AC130" s="113" t="s">
        <v>933</v>
      </c>
      <c r="AD130" s="113" t="s">
        <v>934</v>
      </c>
      <c r="AE130" s="113" t="s">
        <v>935</v>
      </c>
      <c r="AF130" s="113"/>
      <c r="AG130" s="113" t="s">
        <v>936</v>
      </c>
      <c r="AH130" s="118"/>
      <c r="AI130" s="118"/>
      <c r="AJ130" s="118"/>
      <c r="AK130" s="119" t="n">
        <v>36810</v>
      </c>
      <c r="AL130" s="118"/>
      <c r="AM130" s="103"/>
      <c r="AN130" s="102"/>
      <c r="AO130" s="104" t="n">
        <v>46900</v>
      </c>
      <c r="AP130" s="104" t="n">
        <v>39000</v>
      </c>
      <c r="AQ130" s="104" t="n">
        <v>487726</v>
      </c>
      <c r="AR130" s="104" t="n">
        <v>347000</v>
      </c>
      <c r="AS130" s="104" t="n">
        <v>172600</v>
      </c>
      <c r="AT130" s="95"/>
      <c r="AU130" s="95"/>
      <c r="AV130" s="96" t="n">
        <f aca="false">IF(AND(AP130&gt;0,J130&gt;0),J130*1000/(AP130*0.2),"")</f>
        <v>2653.84615384615</v>
      </c>
      <c r="AW130" s="96" t="n">
        <f aca="false">IF(AND(AS130&gt;0,M130&gt;0),M130*1000/(AS130*0.3),"")</f>
        <v>311.896485129394</v>
      </c>
      <c r="AX130" s="96" t="n">
        <f aca="false">IF(AND(AO130&gt;0,O130&gt;0),O130*1000/(AO130*0.1),"")</f>
        <v>884.861407249467</v>
      </c>
      <c r="AY130" s="96" t="n">
        <f aca="false">IF(AND(AR130&gt;0,N130&gt;0),N130*1000/(AR130*0.25),"")</f>
        <v>76.0806916426513</v>
      </c>
      <c r="AZ130" s="96" t="n">
        <f aca="false">IF(AND(AQ130&gt;0,Q130&gt;0),Q130*1000/(AQ130*1),"")</f>
        <v>61.5099461582938</v>
      </c>
      <c r="BA130" s="97" t="n">
        <f aca="false">IFERROR(VLOOKUP($I130,'07_Settings'!$A$10:$F$14,6,FALSE()),0.25)</f>
        <v>0.55</v>
      </c>
      <c r="BB130" s="98" t="n">
        <v>1</v>
      </c>
      <c r="BC130" s="98" t="n">
        <v>1</v>
      </c>
      <c r="BD130" s="98" t="n">
        <v>1</v>
      </c>
      <c r="BE130" s="99" t="n">
        <f aca="false">IFERROR(ROUND($S130*BA130*BC130*BD130*BB130,0),0)</f>
        <v>25047</v>
      </c>
      <c r="BF130" s="55" t="str">
        <f aca="false">IF(COUNT(AO130:AU130)&gt;0,"estimated","pending")</f>
        <v>estimated</v>
      </c>
    </row>
    <row r="131" customFormat="false" ht="16.5" hidden="false" customHeight="true" outlineLevel="0" collapsed="false">
      <c r="A131" s="102"/>
      <c r="B131" s="112" t="n">
        <f aca="false">IF($C131="","",COUNTA($C$5:C131))</f>
        <v>127</v>
      </c>
      <c r="C131" s="113" t="s">
        <v>937</v>
      </c>
      <c r="D131" s="114" t="s">
        <v>279</v>
      </c>
      <c r="E131" s="113" t="s">
        <v>938</v>
      </c>
      <c r="F131" s="113" t="s">
        <v>337</v>
      </c>
      <c r="G131" s="114" t="s">
        <v>411</v>
      </c>
      <c r="H131" s="114" t="n">
        <v>3</v>
      </c>
      <c r="I131" s="114" t="s">
        <v>118</v>
      </c>
      <c r="J131" s="115" t="n">
        <v>20700</v>
      </c>
      <c r="K131" s="115" t="n">
        <v>8700</v>
      </c>
      <c r="L131" s="115" t="n">
        <f aca="false">IF($C131="","",ROUND($J131*0.17,0))</f>
        <v>3519</v>
      </c>
      <c r="M131" s="115" t="n">
        <v>16150</v>
      </c>
      <c r="N131" s="115" t="n">
        <v>6600</v>
      </c>
      <c r="O131" s="115" t="n">
        <v>4150</v>
      </c>
      <c r="P131" s="115" t="n">
        <v>4150</v>
      </c>
      <c r="Q131" s="115" t="n">
        <v>30000</v>
      </c>
      <c r="R131" s="115" t="n">
        <v>13450</v>
      </c>
      <c r="S131" s="115" t="n">
        <f aca="false">IF($C131="","",ROUND($J131*2.2,0))</f>
        <v>45540</v>
      </c>
      <c r="T131" s="115" t="n">
        <v>7250</v>
      </c>
      <c r="U131" s="115" t="n">
        <v>6200</v>
      </c>
      <c r="V131" s="115" t="n">
        <v>3750</v>
      </c>
      <c r="W131" s="115" t="n">
        <v>2400</v>
      </c>
      <c r="X131" s="116" t="s">
        <v>236</v>
      </c>
      <c r="Y131" s="117" t="n">
        <v>0.75</v>
      </c>
      <c r="Z131" s="117" t="n">
        <v>1</v>
      </c>
      <c r="AA131" s="113" t="s">
        <v>939</v>
      </c>
      <c r="AB131" s="113" t="s">
        <v>940</v>
      </c>
      <c r="AC131" s="116" t="s">
        <v>941</v>
      </c>
      <c r="AD131" s="116" t="s">
        <v>942</v>
      </c>
      <c r="AE131" s="116"/>
      <c r="AF131" s="116"/>
      <c r="AG131" s="116"/>
      <c r="AH131" s="118"/>
      <c r="AI131" s="118"/>
      <c r="AJ131" s="118"/>
      <c r="AK131" s="118" t="s">
        <v>943</v>
      </c>
      <c r="AL131" s="118" t="s">
        <v>859</v>
      </c>
      <c r="AM131" s="103"/>
      <c r="AN131" s="102"/>
      <c r="AO131" s="104" t="n">
        <v>22600</v>
      </c>
      <c r="AP131" s="95"/>
      <c r="AQ131" s="95"/>
      <c r="AR131" s="95"/>
      <c r="AS131" s="95"/>
      <c r="AT131" s="95"/>
      <c r="AU131" s="95"/>
      <c r="AV131" s="96" t="str">
        <f aca="false">IF(AND(AP131&gt;0,J131&gt;0),J131*1000/(AP131*0.2),"")</f>
        <v/>
      </c>
      <c r="AW131" s="96" t="str">
        <f aca="false">IF(AND(AS131&gt;0,M131&gt;0),M131*1000/(AS131*0.3),"")</f>
        <v/>
      </c>
      <c r="AX131" s="96" t="n">
        <f aca="false">IF(AND(AO131&gt;0,O131&gt;0),O131*1000/(AO131*0.1),"")</f>
        <v>1836.28318584071</v>
      </c>
      <c r="AY131" s="96" t="str">
        <f aca="false">IF(AND(AR131&gt;0,N131&gt;0),N131*1000/(AR131*0.25),"")</f>
        <v/>
      </c>
      <c r="AZ131" s="96" t="str">
        <f aca="false">IF(AND(AQ131&gt;0,Q131&gt;0),Q131*1000/(AQ131*1),"")</f>
        <v/>
      </c>
      <c r="BA131" s="97" t="n">
        <f aca="false">IFERROR(VLOOKUP($I131,'07_Settings'!$A$10:$F$14,6,FALSE()),0.25)</f>
        <v>0.35</v>
      </c>
      <c r="BB131" s="98" t="n">
        <v>1</v>
      </c>
      <c r="BC131" s="98" t="n">
        <v>1</v>
      </c>
      <c r="BD131" s="98" t="n">
        <v>1</v>
      </c>
      <c r="BE131" s="99" t="n">
        <f aca="false">IFERROR(ROUND($S131*BA131*BC131*BD131*BB131,0),0)</f>
        <v>15939</v>
      </c>
      <c r="BF131" s="55" t="str">
        <f aca="false">IF(COUNT(AO131:AU131)&gt;0,"estimated","pending")</f>
        <v>estimated</v>
      </c>
    </row>
    <row r="132" customFormat="false" ht="16.5" hidden="false" customHeight="true" outlineLevel="0" collapsed="false">
      <c r="A132" s="105"/>
      <c r="B132" s="138" t="n">
        <f aca="false">IF($C132="","",COUNTA($C$5:C132))</f>
        <v>128</v>
      </c>
      <c r="C132" s="139" t="s">
        <v>944</v>
      </c>
      <c r="D132" s="140" t="s">
        <v>31</v>
      </c>
      <c r="E132" s="139" t="s">
        <v>938</v>
      </c>
      <c r="F132" s="139" t="s">
        <v>337</v>
      </c>
      <c r="G132" s="140" t="s">
        <v>945</v>
      </c>
      <c r="H132" s="140" t="n">
        <v>1</v>
      </c>
      <c r="I132" s="140" t="s">
        <v>118</v>
      </c>
      <c r="J132" s="141" t="n">
        <v>11000</v>
      </c>
      <c r="K132" s="141" t="n">
        <v>4600</v>
      </c>
      <c r="L132" s="142" t="n">
        <f aca="false">IF($C132="","",ROUND($J132*0.17,0))</f>
        <v>1870</v>
      </c>
      <c r="M132" s="141" t="n">
        <v>8600</v>
      </c>
      <c r="N132" s="141" t="n">
        <v>3500</v>
      </c>
      <c r="O132" s="141" t="n">
        <v>2200</v>
      </c>
      <c r="P132" s="141" t="n">
        <v>0</v>
      </c>
      <c r="Q132" s="141" t="n">
        <v>15950</v>
      </c>
      <c r="R132" s="141" t="n">
        <v>7150</v>
      </c>
      <c r="S132" s="142" t="n">
        <f aca="false">IF($C132="","",ROUND($J132*2.2,0))</f>
        <v>24200</v>
      </c>
      <c r="T132" s="141" t="n">
        <v>3850</v>
      </c>
      <c r="U132" s="141" t="n">
        <v>3300</v>
      </c>
      <c r="V132" s="141" t="n">
        <v>2000</v>
      </c>
      <c r="W132" s="141" t="n">
        <v>0</v>
      </c>
      <c r="X132" s="141" t="s">
        <v>310</v>
      </c>
      <c r="Y132" s="143" t="n">
        <v>0.75</v>
      </c>
      <c r="Z132" s="143" t="n">
        <v>1</v>
      </c>
      <c r="AA132" s="139" t="s">
        <v>946</v>
      </c>
      <c r="AB132" s="139" t="s">
        <v>947</v>
      </c>
      <c r="AC132" s="141"/>
      <c r="AD132" s="141"/>
      <c r="AE132" s="141"/>
      <c r="AF132" s="141"/>
      <c r="AG132" s="141"/>
      <c r="AH132" s="144"/>
      <c r="AI132" s="144"/>
      <c r="AJ132" s="144"/>
      <c r="AK132" s="144" t="s">
        <v>948</v>
      </c>
      <c r="AL132" s="144"/>
      <c r="AM132" s="106"/>
      <c r="AN132" s="105"/>
      <c r="AO132" s="104" t="n">
        <v>7056</v>
      </c>
      <c r="AP132" s="95"/>
      <c r="AQ132" s="95"/>
      <c r="AR132" s="95"/>
      <c r="AS132" s="95"/>
      <c r="AT132" s="95"/>
      <c r="AU132" s="95"/>
      <c r="AV132" s="96" t="str">
        <f aca="false">IF(AND(AP132&gt;0,J132&gt;0),J132*1000/(AP132*0.2),"")</f>
        <v/>
      </c>
      <c r="AW132" s="96" t="str">
        <f aca="false">IF(AND(AS132&gt;0,M132&gt;0),M132*1000/(AS132*0.3),"")</f>
        <v/>
      </c>
      <c r="AX132" s="96" t="n">
        <f aca="false">IF(AND(AO132&gt;0,O132&gt;0),O132*1000/(AO132*0.1),"")</f>
        <v>3117.91383219955</v>
      </c>
      <c r="AY132" s="96" t="str">
        <f aca="false">IF(AND(AR132&gt;0,N132&gt;0),N132*1000/(AR132*0.25),"")</f>
        <v/>
      </c>
      <c r="AZ132" s="96" t="str">
        <f aca="false">IF(AND(AQ132&gt;0,Q132&gt;0),Q132*1000/(AQ132*1),"")</f>
        <v/>
      </c>
      <c r="BA132" s="97" t="n">
        <f aca="false">IFERROR(VLOOKUP($I132,'07_Settings'!$A$10:$F$14,6,FALSE()),0.25)</f>
        <v>0.35</v>
      </c>
      <c r="BB132" s="98" t="n">
        <v>1</v>
      </c>
      <c r="BC132" s="98" t="n">
        <v>1</v>
      </c>
      <c r="BD132" s="98" t="n">
        <v>1</v>
      </c>
      <c r="BE132" s="99" t="n">
        <f aca="false">IFERROR(ROUND($S132*BA132*BC132*BD132*BB132,0),0)</f>
        <v>8470</v>
      </c>
      <c r="BF132" s="55" t="str">
        <f aca="false">IF(COUNT(AO132:AU132)&gt;0,"estimated","pending")</f>
        <v>estimated</v>
      </c>
    </row>
    <row r="133" customFormat="false" ht="16.5" hidden="false" customHeight="true" outlineLevel="0" collapsed="false">
      <c r="A133" s="86"/>
      <c r="B133" s="121" t="n">
        <f aca="false">IF($C133="","",COUNTA($C$5:C133))</f>
        <v>129</v>
      </c>
      <c r="C133" s="122" t="s">
        <v>949</v>
      </c>
      <c r="D133" s="123" t="s">
        <v>29</v>
      </c>
      <c r="E133" s="122" t="s">
        <v>938</v>
      </c>
      <c r="F133" s="122" t="s">
        <v>337</v>
      </c>
      <c r="G133" s="123" t="s">
        <v>411</v>
      </c>
      <c r="H133" s="123" t="n">
        <v>0</v>
      </c>
      <c r="I133" s="123" t="s">
        <v>122</v>
      </c>
      <c r="J133" s="124" t="n">
        <v>0</v>
      </c>
      <c r="K133" s="124" t="n">
        <v>0</v>
      </c>
      <c r="L133" s="125" t="n">
        <f aca="false">IF($C133="","",ROUND($J133*0.17,0))</f>
        <v>0</v>
      </c>
      <c r="M133" s="124" t="n">
        <v>0</v>
      </c>
      <c r="N133" s="124" t="n">
        <v>0</v>
      </c>
      <c r="O133" s="124" t="n">
        <v>0</v>
      </c>
      <c r="P133" s="124" t="n">
        <v>0</v>
      </c>
      <c r="Q133" s="124" t="n">
        <v>0</v>
      </c>
      <c r="R133" s="124" t="n">
        <v>0</v>
      </c>
      <c r="S133" s="125" t="n">
        <f aca="false">IF($C133="","",ROUND($J133*2.2,0))</f>
        <v>0</v>
      </c>
      <c r="T133" s="124" t="n">
        <v>0</v>
      </c>
      <c r="U133" s="124" t="n">
        <v>0</v>
      </c>
      <c r="V133" s="124" t="n">
        <v>2000</v>
      </c>
      <c r="W133" s="124" t="n">
        <v>0</v>
      </c>
      <c r="X133" s="124" t="s">
        <v>376</v>
      </c>
      <c r="Y133" s="126" t="n">
        <v>0.5</v>
      </c>
      <c r="Z133" s="126" t="n">
        <v>1</v>
      </c>
      <c r="AA133" s="122" t="s">
        <v>950</v>
      </c>
      <c r="AB133" s="122"/>
      <c r="AC133" s="122"/>
      <c r="AD133" s="122"/>
      <c r="AE133" s="122"/>
      <c r="AF133" s="122"/>
      <c r="AG133" s="122"/>
      <c r="AH133" s="127"/>
      <c r="AI133" s="127"/>
      <c r="AJ133" s="127"/>
      <c r="AK133" s="127" t="s">
        <v>951</v>
      </c>
      <c r="AL133" s="127"/>
      <c r="AM133" s="128"/>
      <c r="AN133" s="86"/>
      <c r="AO133" s="95"/>
      <c r="AP133" s="95"/>
      <c r="AQ133" s="95"/>
      <c r="AR133" s="95"/>
      <c r="AS133" s="95"/>
      <c r="AT133" s="95"/>
      <c r="AU133" s="95"/>
      <c r="AV133" s="96" t="str">
        <f aca="false">IF(AND(AP133&gt;0,J133&gt;0),J133*1000/(AP133*0.2),"")</f>
        <v/>
      </c>
      <c r="AW133" s="96" t="str">
        <f aca="false">IF(AND(AS133&gt;0,M133&gt;0),M133*1000/(AS133*0.3),"")</f>
        <v/>
      </c>
      <c r="AX133" s="96" t="str">
        <f aca="false">IF(AND(AO133&gt;0,O133&gt;0),O133*1000/(AO133*0.1),"")</f>
        <v/>
      </c>
      <c r="AY133" s="96" t="str">
        <f aca="false">IF(AND(AR133&gt;0,N133&gt;0),N133*1000/(AR133*0.25),"")</f>
        <v/>
      </c>
      <c r="AZ133" s="96" t="str">
        <f aca="false">IF(AND(AQ133&gt;0,Q133&gt;0),Q133*1000/(AQ133*1),"")</f>
        <v/>
      </c>
      <c r="BA133" s="97" t="n">
        <f aca="false">IFERROR(VLOOKUP($I133,'07_Settings'!$A$10:$F$14,6,FALSE()),0.25)</f>
        <v>0.25</v>
      </c>
      <c r="BB133" s="98" t="n">
        <v>1</v>
      </c>
      <c r="BC133" s="98" t="n">
        <v>1</v>
      </c>
      <c r="BD133" s="98" t="n">
        <v>1</v>
      </c>
      <c r="BE133" s="99" t="n">
        <f aca="false">IFERROR(ROUND($S133*BA133*BC133*BD133*BB133,0),0)</f>
        <v>0</v>
      </c>
      <c r="BF133" s="55" t="str">
        <f aca="false">IF(COUNT(AO133:AU133)&gt;0,"estimated","pending")</f>
        <v>pending</v>
      </c>
    </row>
    <row r="134" customFormat="false" ht="16.5" hidden="false" customHeight="true" outlineLevel="0" collapsed="false">
      <c r="A134" s="100"/>
      <c r="B134" s="129" t="n">
        <f aca="false">IF($C134="","",COUNTA($C$5:C134))</f>
        <v>130</v>
      </c>
      <c r="C134" s="130" t="s">
        <v>952</v>
      </c>
      <c r="D134" s="131" t="s">
        <v>526</v>
      </c>
      <c r="E134" s="130" t="s">
        <v>938</v>
      </c>
      <c r="F134" s="130" t="s">
        <v>337</v>
      </c>
      <c r="G134" s="131" t="s">
        <v>953</v>
      </c>
      <c r="H134" s="131" t="n">
        <v>3</v>
      </c>
      <c r="I134" s="131" t="s">
        <v>114</v>
      </c>
      <c r="J134" s="132" t="n">
        <v>0</v>
      </c>
      <c r="K134" s="132" t="n">
        <v>0</v>
      </c>
      <c r="L134" s="132" t="n">
        <f aca="false">IF($C134="","",ROUND($J134*0.17,0))</f>
        <v>0</v>
      </c>
      <c r="M134" s="132" t="n">
        <v>0</v>
      </c>
      <c r="N134" s="132" t="n">
        <v>0</v>
      </c>
      <c r="O134" s="132" t="n">
        <v>0</v>
      </c>
      <c r="P134" s="132" t="n">
        <v>0</v>
      </c>
      <c r="Q134" s="132" t="n">
        <v>0</v>
      </c>
      <c r="R134" s="132" t="n">
        <v>0</v>
      </c>
      <c r="S134" s="133" t="n">
        <f aca="false">IF($C134="","",ROUND($J134*2.2,0))</f>
        <v>0</v>
      </c>
      <c r="T134" s="132" t="n">
        <v>0</v>
      </c>
      <c r="U134" s="132" t="n">
        <v>0</v>
      </c>
      <c r="V134" s="132" t="n">
        <v>1200</v>
      </c>
      <c r="W134" s="132" t="n">
        <v>0</v>
      </c>
      <c r="X134" s="132" t="s">
        <v>236</v>
      </c>
      <c r="Y134" s="134" t="n">
        <v>0.75</v>
      </c>
      <c r="Z134" s="134" t="n">
        <v>1</v>
      </c>
      <c r="AA134" s="130" t="s">
        <v>954</v>
      </c>
      <c r="AB134" s="130" t="s">
        <v>955</v>
      </c>
      <c r="AC134" s="132" t="s">
        <v>956</v>
      </c>
      <c r="AD134" s="132" t="s">
        <v>957</v>
      </c>
      <c r="AE134" s="132"/>
      <c r="AF134" s="132"/>
      <c r="AG134" s="132"/>
      <c r="AH134" s="135"/>
      <c r="AI134" s="135"/>
      <c r="AJ134" s="135"/>
      <c r="AK134" s="135" t="s">
        <v>958</v>
      </c>
      <c r="AL134" s="135"/>
      <c r="AM134" s="101"/>
      <c r="AN134" s="100"/>
      <c r="AO134" s="104" t="n">
        <v>60700</v>
      </c>
      <c r="AP134" s="104" t="n">
        <v>21000</v>
      </c>
      <c r="AQ134" s="95"/>
      <c r="AR134" s="95"/>
      <c r="AS134" s="95"/>
      <c r="AT134" s="95"/>
      <c r="AU134" s="95"/>
      <c r="AV134" s="96" t="str">
        <f aca="false">IF(AND(AP134&gt;0,J134&gt;0),J134*1000/(AP134*0.2),"")</f>
        <v/>
      </c>
      <c r="AW134" s="96" t="str">
        <f aca="false">IF(AND(AS134&gt;0,M134&gt;0),M134*1000/(AS134*0.3),"")</f>
        <v/>
      </c>
      <c r="AX134" s="96" t="str">
        <f aca="false">IF(AND(AO134&gt;0,O134&gt;0),O134*1000/(AO134*0.1),"")</f>
        <v/>
      </c>
      <c r="AY134" s="96" t="str">
        <f aca="false">IF(AND(AR134&gt;0,N134&gt;0),N134*1000/(AR134*0.25),"")</f>
        <v/>
      </c>
      <c r="AZ134" s="96" t="str">
        <f aca="false">IF(AND(AQ134&gt;0,Q134&gt;0),Q134*1000/(AQ134*1),"")</f>
        <v/>
      </c>
      <c r="BA134" s="97" t="n">
        <f aca="false">IFERROR(VLOOKUP($I134,'07_Settings'!$A$10:$F$14,6,FALSE()),0.25)</f>
        <v>0.45</v>
      </c>
      <c r="BB134" s="98" t="n">
        <v>1</v>
      </c>
      <c r="BC134" s="98" t="n">
        <v>1</v>
      </c>
      <c r="BD134" s="98" t="n">
        <v>1</v>
      </c>
      <c r="BE134" s="99" t="n">
        <f aca="false">IFERROR(ROUND($S134*BA134*BC134*BD134*BB134,0),0)</f>
        <v>0</v>
      </c>
      <c r="BF134" s="55" t="str">
        <f aca="false">IF(COUNT(AO134:AU134)&gt;0,"estimated","pending")</f>
        <v>estimated</v>
      </c>
    </row>
    <row r="135" customFormat="false" ht="16.5" hidden="false" customHeight="true" outlineLevel="0" collapsed="false">
      <c r="A135" s="102"/>
      <c r="B135" s="112" t="n">
        <f aca="false">IF($C135="","",COUNTA($C$5:C135))</f>
        <v>131</v>
      </c>
      <c r="C135" s="113" t="s">
        <v>959</v>
      </c>
      <c r="D135" s="114" t="s">
        <v>279</v>
      </c>
      <c r="E135" s="113" t="s">
        <v>938</v>
      </c>
      <c r="F135" s="113" t="s">
        <v>337</v>
      </c>
      <c r="G135" s="114" t="s">
        <v>411</v>
      </c>
      <c r="H135" s="114" t="n">
        <v>3</v>
      </c>
      <c r="I135" s="114" t="s">
        <v>114</v>
      </c>
      <c r="J135" s="115" t="n">
        <v>11250</v>
      </c>
      <c r="K135" s="115" t="n">
        <v>4500</v>
      </c>
      <c r="L135" s="115" t="n">
        <f aca="false">IF($C135="","",ROUND($J135*0.17,0))</f>
        <v>1913</v>
      </c>
      <c r="M135" s="115" t="n">
        <v>8000</v>
      </c>
      <c r="N135" s="115" t="n">
        <v>3500</v>
      </c>
      <c r="O135" s="115" t="n">
        <v>2000</v>
      </c>
      <c r="P135" s="115" t="n">
        <v>2000</v>
      </c>
      <c r="Q135" s="115" t="n">
        <v>13500</v>
      </c>
      <c r="R135" s="115" t="n">
        <v>6075</v>
      </c>
      <c r="S135" s="115" t="n">
        <f aca="false">IF($C135="","",ROUND($J135*2.2,0))</f>
        <v>24750</v>
      </c>
      <c r="T135" s="115" t="n">
        <v>4638</v>
      </c>
      <c r="U135" s="115" t="n">
        <v>4063</v>
      </c>
      <c r="V135" s="115" t="n">
        <v>2438</v>
      </c>
      <c r="W135" s="115" t="n">
        <v>2400</v>
      </c>
      <c r="X135" s="116" t="s">
        <v>236</v>
      </c>
      <c r="Y135" s="117" t="n">
        <v>0.75</v>
      </c>
      <c r="Z135" s="117" t="n">
        <v>1</v>
      </c>
      <c r="AA135" s="113" t="s">
        <v>960</v>
      </c>
      <c r="AB135" s="113" t="s">
        <v>961</v>
      </c>
      <c r="AC135" s="116" t="s">
        <v>962</v>
      </c>
      <c r="AD135" s="116" t="s">
        <v>963</v>
      </c>
      <c r="AE135" s="116"/>
      <c r="AF135" s="116"/>
      <c r="AG135" s="116"/>
      <c r="AH135" s="118"/>
      <c r="AI135" s="118"/>
      <c r="AJ135" s="118"/>
      <c r="AK135" s="120" t="n">
        <v>37778</v>
      </c>
      <c r="AL135" s="118" t="s">
        <v>393</v>
      </c>
      <c r="AM135" s="103"/>
      <c r="AN135" s="102"/>
      <c r="AO135" s="104" t="n">
        <v>20300</v>
      </c>
      <c r="AP135" s="95"/>
      <c r="AQ135" s="95"/>
      <c r="AR135" s="95"/>
      <c r="AS135" s="95"/>
      <c r="AT135" s="95"/>
      <c r="AU135" s="95"/>
      <c r="AV135" s="96" t="str">
        <f aca="false">IF(AND(AP135&gt;0,J135&gt;0),J135*1000/(AP135*0.2),"")</f>
        <v/>
      </c>
      <c r="AW135" s="96" t="str">
        <f aca="false">IF(AND(AS135&gt;0,M135&gt;0),M135*1000/(AS135*0.3),"")</f>
        <v/>
      </c>
      <c r="AX135" s="96" t="n">
        <f aca="false">IF(AND(AO135&gt;0,O135&gt;0),O135*1000/(AO135*0.1),"")</f>
        <v>985.221674876847</v>
      </c>
      <c r="AY135" s="96" t="str">
        <f aca="false">IF(AND(AR135&gt;0,N135&gt;0),N135*1000/(AR135*0.25),"")</f>
        <v/>
      </c>
      <c r="AZ135" s="96" t="str">
        <f aca="false">IF(AND(AQ135&gt;0,Q135&gt;0),Q135*1000/(AQ135*1),"")</f>
        <v/>
      </c>
      <c r="BA135" s="97" t="n">
        <f aca="false">IFERROR(VLOOKUP($I135,'07_Settings'!$A$10:$F$14,6,FALSE()),0.25)</f>
        <v>0.45</v>
      </c>
      <c r="BB135" s="98" t="n">
        <v>1</v>
      </c>
      <c r="BC135" s="98" t="n">
        <v>1</v>
      </c>
      <c r="BD135" s="98" t="n">
        <v>1</v>
      </c>
      <c r="BE135" s="99" t="n">
        <f aca="false">IFERROR(ROUND($S135*BA135*BC135*BD135*BB135,0),0)</f>
        <v>11138</v>
      </c>
      <c r="BF135" s="55" t="str">
        <f aca="false">IF(COUNT(AO135:AU135)&gt;0,"estimated","pending")</f>
        <v>estimated</v>
      </c>
    </row>
    <row r="136" customFormat="false" ht="16.5" hidden="false" customHeight="true" outlineLevel="0" collapsed="false">
      <c r="A136" s="102"/>
      <c r="B136" s="112" t="n">
        <f aca="false">IF($C136="","",COUNTA($C$5:C136))</f>
        <v>132</v>
      </c>
      <c r="C136" s="113" t="s">
        <v>964</v>
      </c>
      <c r="D136" s="114" t="s">
        <v>279</v>
      </c>
      <c r="E136" s="113" t="s">
        <v>938</v>
      </c>
      <c r="F136" s="113" t="s">
        <v>337</v>
      </c>
      <c r="G136" s="114" t="s">
        <v>965</v>
      </c>
      <c r="H136" s="114" t="n">
        <v>1</v>
      </c>
      <c r="I136" s="114" t="s">
        <v>114</v>
      </c>
      <c r="J136" s="115" t="n">
        <v>20700</v>
      </c>
      <c r="K136" s="115" t="n">
        <v>8700</v>
      </c>
      <c r="L136" s="115" t="n">
        <f aca="false">IF($C136="","",ROUND($J136*0.17,0))</f>
        <v>3519</v>
      </c>
      <c r="M136" s="115" t="n">
        <v>16150</v>
      </c>
      <c r="N136" s="115" t="n">
        <v>6600</v>
      </c>
      <c r="O136" s="115" t="n">
        <v>4150</v>
      </c>
      <c r="P136" s="115" t="n">
        <v>4150</v>
      </c>
      <c r="Q136" s="115" t="n">
        <v>30000</v>
      </c>
      <c r="R136" s="115" t="n">
        <v>13450</v>
      </c>
      <c r="S136" s="115" t="n">
        <f aca="false">IF($C136="","",ROUND($J136*2.2,0))</f>
        <v>45540</v>
      </c>
      <c r="T136" s="115" t="n">
        <v>7250</v>
      </c>
      <c r="U136" s="115" t="n">
        <v>6200</v>
      </c>
      <c r="V136" s="115" t="n">
        <v>3750</v>
      </c>
      <c r="W136" s="115" t="n">
        <v>2400</v>
      </c>
      <c r="X136" s="116" t="s">
        <v>310</v>
      </c>
      <c r="Y136" s="117" t="n">
        <v>0.75</v>
      </c>
      <c r="Z136" s="117" t="n">
        <v>1</v>
      </c>
      <c r="AA136" s="113" t="s">
        <v>966</v>
      </c>
      <c r="AB136" s="113" t="s">
        <v>967</v>
      </c>
      <c r="AC136" s="116"/>
      <c r="AD136" s="116"/>
      <c r="AE136" s="116"/>
      <c r="AF136" s="116"/>
      <c r="AG136" s="116"/>
      <c r="AH136" s="118"/>
      <c r="AI136" s="118"/>
      <c r="AJ136" s="118"/>
      <c r="AK136" s="118" t="s">
        <v>968</v>
      </c>
      <c r="AL136" s="118" t="s">
        <v>969</v>
      </c>
      <c r="AM136" s="103"/>
      <c r="AN136" s="102"/>
      <c r="AO136" s="104" t="n">
        <v>5130</v>
      </c>
      <c r="AP136" s="95"/>
      <c r="AQ136" s="95"/>
      <c r="AR136" s="95"/>
      <c r="AS136" s="95"/>
      <c r="AT136" s="95"/>
      <c r="AU136" s="95"/>
      <c r="AV136" s="96" t="str">
        <f aca="false">IF(AND(AP136&gt;0,J136&gt;0),J136*1000/(AP136*0.2),"")</f>
        <v/>
      </c>
      <c r="AW136" s="96" t="str">
        <f aca="false">IF(AND(AS136&gt;0,M136&gt;0),M136*1000/(AS136*0.3),"")</f>
        <v/>
      </c>
      <c r="AX136" s="96" t="n">
        <f aca="false">IF(AND(AO136&gt;0,O136&gt;0),O136*1000/(AO136*0.1),"")</f>
        <v>8089.66861598441</v>
      </c>
      <c r="AY136" s="96" t="str">
        <f aca="false">IF(AND(AR136&gt;0,N136&gt;0),N136*1000/(AR136*0.25),"")</f>
        <v/>
      </c>
      <c r="AZ136" s="96" t="str">
        <f aca="false">IF(AND(AQ136&gt;0,Q136&gt;0),Q136*1000/(AQ136*1),"")</f>
        <v/>
      </c>
      <c r="BA136" s="97" t="n">
        <f aca="false">IFERROR(VLOOKUP($I136,'07_Settings'!$A$10:$F$14,6,FALSE()),0.25)</f>
        <v>0.45</v>
      </c>
      <c r="BB136" s="98" t="n">
        <v>1</v>
      </c>
      <c r="BC136" s="98" t="n">
        <v>1</v>
      </c>
      <c r="BD136" s="98" t="n">
        <v>1</v>
      </c>
      <c r="BE136" s="99" t="n">
        <f aca="false">IFERROR(ROUND($S136*BA136*BC136*BD136*BB136,0),0)</f>
        <v>20493</v>
      </c>
      <c r="BF136" s="55" t="str">
        <f aca="false">IF(COUNT(AO136:AU136)&gt;0,"estimated","pending")</f>
        <v>estimated</v>
      </c>
    </row>
    <row r="137" customFormat="false" ht="16.5" hidden="false" customHeight="true" outlineLevel="0" collapsed="false">
      <c r="A137" s="100"/>
      <c r="B137" s="129" t="n">
        <f aca="false">IF($C137="","",COUNTA($C$5:C137))</f>
        <v>133</v>
      </c>
      <c r="C137" s="130" t="s">
        <v>970</v>
      </c>
      <c r="D137" s="131" t="s">
        <v>428</v>
      </c>
      <c r="E137" s="130" t="s">
        <v>938</v>
      </c>
      <c r="F137" s="130" t="s">
        <v>337</v>
      </c>
      <c r="G137" s="131" t="s">
        <v>411</v>
      </c>
      <c r="H137" s="131" t="n">
        <v>1</v>
      </c>
      <c r="I137" s="131" t="s">
        <v>118</v>
      </c>
      <c r="J137" s="132" t="n">
        <v>11000</v>
      </c>
      <c r="K137" s="132" t="n">
        <v>4600</v>
      </c>
      <c r="L137" s="133" t="n">
        <f aca="false">IF($C137="","",ROUND($J137*0.17,0))</f>
        <v>1870</v>
      </c>
      <c r="M137" s="132" t="n">
        <v>8600</v>
      </c>
      <c r="N137" s="132" t="n">
        <v>3500</v>
      </c>
      <c r="O137" s="132" t="n">
        <v>2200</v>
      </c>
      <c r="P137" s="132" t="n">
        <v>0</v>
      </c>
      <c r="Q137" s="132" t="n">
        <v>15950</v>
      </c>
      <c r="R137" s="132" t="n">
        <v>7150</v>
      </c>
      <c r="S137" s="133" t="n">
        <f aca="false">IF($C137="","",ROUND($J137*2.2,0))</f>
        <v>24200</v>
      </c>
      <c r="T137" s="132" t="n">
        <v>3850</v>
      </c>
      <c r="U137" s="132" t="n">
        <v>3300</v>
      </c>
      <c r="V137" s="132" t="n">
        <v>2000</v>
      </c>
      <c r="W137" s="132" t="n">
        <v>0</v>
      </c>
      <c r="X137" s="132" t="s">
        <v>310</v>
      </c>
      <c r="Y137" s="134" t="n">
        <v>0.75</v>
      </c>
      <c r="Z137" s="134" t="n">
        <v>1</v>
      </c>
      <c r="AA137" s="130" t="s">
        <v>971</v>
      </c>
      <c r="AB137" s="130" t="s">
        <v>972</v>
      </c>
      <c r="AC137" s="132"/>
      <c r="AD137" s="132"/>
      <c r="AE137" s="132"/>
      <c r="AF137" s="132"/>
      <c r="AG137" s="132"/>
      <c r="AH137" s="135"/>
      <c r="AI137" s="135"/>
      <c r="AJ137" s="135"/>
      <c r="AK137" s="135" t="s">
        <v>973</v>
      </c>
      <c r="AL137" s="135"/>
      <c r="AM137" s="101"/>
      <c r="AN137" s="100"/>
      <c r="AO137" s="104" t="n">
        <v>6311</v>
      </c>
      <c r="AP137" s="95"/>
      <c r="AQ137" s="95"/>
      <c r="AR137" s="95"/>
      <c r="AS137" s="95"/>
      <c r="AT137" s="95"/>
      <c r="AU137" s="95"/>
      <c r="AV137" s="96" t="str">
        <f aca="false">IF(AND(AP137&gt;0,J137&gt;0),J137*1000/(AP137*0.2),"")</f>
        <v/>
      </c>
      <c r="AW137" s="96" t="str">
        <f aca="false">IF(AND(AS137&gt;0,M137&gt;0),M137*1000/(AS137*0.3),"")</f>
        <v/>
      </c>
      <c r="AX137" s="96" t="n">
        <f aca="false">IF(AND(AO137&gt;0,O137&gt;0),O137*1000/(AO137*0.1),"")</f>
        <v>3485.97686578989</v>
      </c>
      <c r="AY137" s="96" t="str">
        <f aca="false">IF(AND(AR137&gt;0,N137&gt;0),N137*1000/(AR137*0.25),"")</f>
        <v/>
      </c>
      <c r="AZ137" s="96" t="str">
        <f aca="false">IF(AND(AQ137&gt;0,Q137&gt;0),Q137*1000/(AQ137*1),"")</f>
        <v/>
      </c>
      <c r="BA137" s="97" t="n">
        <f aca="false">IFERROR(VLOOKUP($I137,'07_Settings'!$A$10:$F$14,6,FALSE()),0.25)</f>
        <v>0.35</v>
      </c>
      <c r="BB137" s="98" t="n">
        <v>1</v>
      </c>
      <c r="BC137" s="98" t="n">
        <v>1</v>
      </c>
      <c r="BD137" s="98" t="n">
        <v>1</v>
      </c>
      <c r="BE137" s="99" t="n">
        <f aca="false">IFERROR(ROUND($S137*BA137*BC137*BD137*BB137,0),0)</f>
        <v>8470</v>
      </c>
      <c r="BF137" s="55" t="str">
        <f aca="false">IF(COUNT(AO137:AU137)&gt;0,"estimated","pending")</f>
        <v>estimated</v>
      </c>
    </row>
    <row r="138" customFormat="false" ht="16.5" hidden="false" customHeight="true" outlineLevel="0" collapsed="false">
      <c r="A138" s="102"/>
      <c r="B138" s="112" t="n">
        <f aca="false">IF($C138="","",COUNTA($C$5:C138))</f>
        <v>134</v>
      </c>
      <c r="C138" s="113" t="s">
        <v>974</v>
      </c>
      <c r="D138" s="114" t="s">
        <v>279</v>
      </c>
      <c r="E138" s="113" t="s">
        <v>938</v>
      </c>
      <c r="F138" s="113" t="s">
        <v>337</v>
      </c>
      <c r="G138" s="114" t="s">
        <v>514</v>
      </c>
      <c r="H138" s="114" t="n">
        <v>4</v>
      </c>
      <c r="I138" s="114" t="s">
        <v>110</v>
      </c>
      <c r="J138" s="115" t="n">
        <v>15000</v>
      </c>
      <c r="K138" s="115" t="n">
        <v>6750</v>
      </c>
      <c r="L138" s="115" t="n">
        <f aca="false">IF($C138="","",ROUND($J138*0.17,0))</f>
        <v>2550</v>
      </c>
      <c r="M138" s="115" t="n">
        <v>11000</v>
      </c>
      <c r="N138" s="115" t="n">
        <v>5000</v>
      </c>
      <c r="O138" s="115" t="n">
        <v>3200</v>
      </c>
      <c r="P138" s="115" t="n">
        <v>3200</v>
      </c>
      <c r="Q138" s="115" t="n">
        <v>19500</v>
      </c>
      <c r="R138" s="115" t="n">
        <v>8775</v>
      </c>
      <c r="S138" s="115" t="n">
        <f aca="false">IF($C138="","",ROUND($J138*2.2,0))</f>
        <v>33000</v>
      </c>
      <c r="T138" s="115" t="n">
        <v>6800</v>
      </c>
      <c r="U138" s="115" t="n">
        <v>5950</v>
      </c>
      <c r="V138" s="115" t="n">
        <v>3570</v>
      </c>
      <c r="W138" s="115" t="n">
        <v>2400</v>
      </c>
      <c r="X138" s="116" t="s">
        <v>222</v>
      </c>
      <c r="Y138" s="117" t="n">
        <v>0.75</v>
      </c>
      <c r="Z138" s="117" t="n">
        <v>1</v>
      </c>
      <c r="AA138" s="113" t="s">
        <v>975</v>
      </c>
      <c r="AB138" s="113" t="s">
        <v>976</v>
      </c>
      <c r="AC138" s="113" t="s">
        <v>977</v>
      </c>
      <c r="AD138" s="113" t="s">
        <v>978</v>
      </c>
      <c r="AE138" s="113" t="s">
        <v>979</v>
      </c>
      <c r="AF138" s="113"/>
      <c r="AG138" s="113"/>
      <c r="AH138" s="118"/>
      <c r="AI138" s="118"/>
      <c r="AJ138" s="118"/>
      <c r="AK138" s="118" t="s">
        <v>980</v>
      </c>
      <c r="AL138" s="118" t="s">
        <v>981</v>
      </c>
      <c r="AM138" s="103"/>
      <c r="AN138" s="102"/>
      <c r="AO138" s="104" t="n">
        <v>9732</v>
      </c>
      <c r="AP138" s="95"/>
      <c r="AQ138" s="95"/>
      <c r="AR138" s="95"/>
      <c r="AS138" s="95"/>
      <c r="AT138" s="95"/>
      <c r="AU138" s="95"/>
      <c r="AV138" s="96" t="str">
        <f aca="false">IF(AND(AP138&gt;0,J138&gt;0),J138*1000/(AP138*0.2),"")</f>
        <v/>
      </c>
      <c r="AW138" s="96" t="str">
        <f aca="false">IF(AND(AS138&gt;0,M138&gt;0),M138*1000/(AS138*0.3),"")</f>
        <v/>
      </c>
      <c r="AX138" s="96" t="n">
        <f aca="false">IF(AND(AO138&gt;0,O138&gt;0),O138*1000/(AO138*0.1),"")</f>
        <v>3288.12166050144</v>
      </c>
      <c r="AY138" s="96" t="str">
        <f aca="false">IF(AND(AR138&gt;0,N138&gt;0),N138*1000/(AR138*0.25),"")</f>
        <v/>
      </c>
      <c r="AZ138" s="96" t="str">
        <f aca="false">IF(AND(AQ138&gt;0,Q138&gt;0),Q138*1000/(AQ138*1),"")</f>
        <v/>
      </c>
      <c r="BA138" s="97" t="n">
        <f aca="false">IFERROR(VLOOKUP($I138,'07_Settings'!$A$10:$F$14,6,FALSE()),0.25)</f>
        <v>0.55</v>
      </c>
      <c r="BB138" s="98" t="n">
        <v>1</v>
      </c>
      <c r="BC138" s="98" t="n">
        <v>1</v>
      </c>
      <c r="BD138" s="98" t="n">
        <v>1</v>
      </c>
      <c r="BE138" s="99" t="n">
        <f aca="false">IFERROR(ROUND($S138*BA138*BC138*BD138*BB138,0),0)</f>
        <v>18150</v>
      </c>
      <c r="BF138" s="55" t="str">
        <f aca="false">IF(COUNT(AO138:AU138)&gt;0,"estimated","pending")</f>
        <v>estimated</v>
      </c>
    </row>
    <row r="139" customFormat="false" ht="16.5" hidden="false" customHeight="true" outlineLevel="0" collapsed="false">
      <c r="A139" s="86"/>
      <c r="B139" s="121" t="n">
        <f aca="false">IF($C139="","",COUNTA($C$5:C139))</f>
        <v>135</v>
      </c>
      <c r="C139" s="122" t="s">
        <v>949</v>
      </c>
      <c r="D139" s="123" t="s">
        <v>29</v>
      </c>
      <c r="E139" s="122" t="s">
        <v>938</v>
      </c>
      <c r="F139" s="122" t="s">
        <v>337</v>
      </c>
      <c r="G139" s="123" t="s">
        <v>411</v>
      </c>
      <c r="H139" s="123" t="n">
        <v>0</v>
      </c>
      <c r="I139" s="123" t="s">
        <v>122</v>
      </c>
      <c r="J139" s="124" t="n">
        <v>20700</v>
      </c>
      <c r="K139" s="124" t="n">
        <v>8700</v>
      </c>
      <c r="L139" s="125" t="n">
        <f aca="false">IF($C139="","",ROUND($J139*0.17,0))</f>
        <v>3519</v>
      </c>
      <c r="M139" s="124" t="n">
        <v>16150</v>
      </c>
      <c r="N139" s="124" t="n">
        <v>6600</v>
      </c>
      <c r="O139" s="124" t="n">
        <v>4150</v>
      </c>
      <c r="P139" s="124" t="n">
        <v>0</v>
      </c>
      <c r="Q139" s="124" t="n">
        <v>30000</v>
      </c>
      <c r="R139" s="124" t="n">
        <v>13450</v>
      </c>
      <c r="S139" s="125" t="n">
        <f aca="false">IF($C139="","",ROUND($J139*2.2,0))</f>
        <v>45540</v>
      </c>
      <c r="T139" s="124" t="n">
        <v>7250</v>
      </c>
      <c r="U139" s="124" t="n">
        <v>6200</v>
      </c>
      <c r="V139" s="124" t="n">
        <v>3750</v>
      </c>
      <c r="W139" s="124" t="n">
        <v>0</v>
      </c>
      <c r="X139" s="124" t="s">
        <v>376</v>
      </c>
      <c r="Y139" s="126" t="n">
        <v>0.5</v>
      </c>
      <c r="Z139" s="126" t="n">
        <v>1</v>
      </c>
      <c r="AA139" s="122" t="s">
        <v>950</v>
      </c>
      <c r="AB139" s="122"/>
      <c r="AC139" s="124"/>
      <c r="AD139" s="124"/>
      <c r="AE139" s="124"/>
      <c r="AF139" s="124"/>
      <c r="AG139" s="124"/>
      <c r="AH139" s="127"/>
      <c r="AI139" s="127"/>
      <c r="AJ139" s="127"/>
      <c r="AK139" s="127" t="s">
        <v>951</v>
      </c>
      <c r="AL139" s="127"/>
      <c r="AM139" s="128"/>
      <c r="AN139" s="86"/>
      <c r="AO139" s="95"/>
      <c r="AP139" s="95"/>
      <c r="AQ139" s="95"/>
      <c r="AR139" s="95"/>
      <c r="AS139" s="95"/>
      <c r="AT139" s="95"/>
      <c r="AU139" s="95"/>
      <c r="AV139" s="96" t="str">
        <f aca="false">IF(AND(AP139&gt;0,J139&gt;0),J139*1000/(AP139*0.2),"")</f>
        <v/>
      </c>
      <c r="AW139" s="96" t="str">
        <f aca="false">IF(AND(AS139&gt;0,M139&gt;0),M139*1000/(AS139*0.3),"")</f>
        <v/>
      </c>
      <c r="AX139" s="96" t="str">
        <f aca="false">IF(AND(AO139&gt;0,O139&gt;0),O139*1000/(AO139*0.1),"")</f>
        <v/>
      </c>
      <c r="AY139" s="96" t="str">
        <f aca="false">IF(AND(AR139&gt;0,N139&gt;0),N139*1000/(AR139*0.25),"")</f>
        <v/>
      </c>
      <c r="AZ139" s="96" t="str">
        <f aca="false">IF(AND(AQ139&gt;0,Q139&gt;0),Q139*1000/(AQ139*1),"")</f>
        <v/>
      </c>
      <c r="BA139" s="97" t="n">
        <f aca="false">IFERROR(VLOOKUP($I139,'07_Settings'!$A$10:$F$14,6,FALSE()),0.25)</f>
        <v>0.25</v>
      </c>
      <c r="BB139" s="98" t="n">
        <v>1</v>
      </c>
      <c r="BC139" s="98" t="n">
        <v>1</v>
      </c>
      <c r="BD139" s="98" t="n">
        <v>1</v>
      </c>
      <c r="BE139" s="99" t="n">
        <f aca="false">IFERROR(ROUND($S139*BA139*BC139*BD139*BB139,0),0)</f>
        <v>11385</v>
      </c>
      <c r="BF139" s="55" t="str">
        <f aca="false">IF(COUNT(AO139:AU139)&gt;0,"estimated","pending")</f>
        <v>pending</v>
      </c>
    </row>
    <row r="140" customFormat="false" ht="16.5" hidden="false" customHeight="true" outlineLevel="0" collapsed="false">
      <c r="A140" s="86"/>
      <c r="B140" s="121" t="n">
        <f aca="false">IF($C140="","",COUNTA($C$5:C140))</f>
        <v>136</v>
      </c>
      <c r="C140" s="122" t="s">
        <v>982</v>
      </c>
      <c r="D140" s="123" t="s">
        <v>29</v>
      </c>
      <c r="E140" s="122" t="s">
        <v>983</v>
      </c>
      <c r="F140" s="122" t="s">
        <v>337</v>
      </c>
      <c r="G140" s="123" t="s">
        <v>210</v>
      </c>
      <c r="H140" s="123" t="n">
        <v>1</v>
      </c>
      <c r="I140" s="123" t="s">
        <v>122</v>
      </c>
      <c r="J140" s="124" t="n">
        <v>0</v>
      </c>
      <c r="K140" s="124" t="n">
        <v>0</v>
      </c>
      <c r="L140" s="125" t="n">
        <f aca="false">IF($C140="","",ROUND($J140*0.17,0))</f>
        <v>0</v>
      </c>
      <c r="M140" s="124" t="n">
        <v>0</v>
      </c>
      <c r="N140" s="124" t="n">
        <v>0</v>
      </c>
      <c r="O140" s="124" t="n">
        <v>0</v>
      </c>
      <c r="P140" s="124" t="n">
        <v>0</v>
      </c>
      <c r="Q140" s="124" t="n">
        <v>0</v>
      </c>
      <c r="R140" s="124" t="n">
        <v>0</v>
      </c>
      <c r="S140" s="125" t="n">
        <f aca="false">IF($C140="","",ROUND($J140*2.2,0))</f>
        <v>0</v>
      </c>
      <c r="T140" s="124" t="n">
        <v>0</v>
      </c>
      <c r="U140" s="124" t="n">
        <v>0</v>
      </c>
      <c r="V140" s="124" t="n">
        <v>600</v>
      </c>
      <c r="W140" s="124" t="n">
        <v>0</v>
      </c>
      <c r="X140" s="124" t="s">
        <v>310</v>
      </c>
      <c r="Y140" s="126" t="n">
        <v>0.3</v>
      </c>
      <c r="Z140" s="126" t="n">
        <v>1</v>
      </c>
      <c r="AA140" s="122" t="s">
        <v>984</v>
      </c>
      <c r="AB140" s="122" t="s">
        <v>985</v>
      </c>
      <c r="AC140" s="124"/>
      <c r="AD140" s="124"/>
      <c r="AE140" s="124"/>
      <c r="AF140" s="124"/>
      <c r="AG140" s="124"/>
      <c r="AH140" s="127"/>
      <c r="AI140" s="127"/>
      <c r="AJ140" s="127"/>
      <c r="AK140" s="127" t="s">
        <v>986</v>
      </c>
      <c r="AL140" s="127"/>
      <c r="AM140" s="128"/>
      <c r="AN140" s="86"/>
      <c r="AO140" s="104" t="n">
        <v>10300</v>
      </c>
      <c r="AP140" s="95"/>
      <c r="AQ140" s="95"/>
      <c r="AR140" s="95"/>
      <c r="AS140" s="95"/>
      <c r="AT140" s="95"/>
      <c r="AU140" s="95"/>
      <c r="AV140" s="96" t="str">
        <f aca="false">IF(AND(AP140&gt;0,J140&gt;0),J140*1000/(AP140*0.2),"")</f>
        <v/>
      </c>
      <c r="AW140" s="96" t="str">
        <f aca="false">IF(AND(AS140&gt;0,M140&gt;0),M140*1000/(AS140*0.3),"")</f>
        <v/>
      </c>
      <c r="AX140" s="96" t="str">
        <f aca="false">IF(AND(AO140&gt;0,O140&gt;0),O140*1000/(AO140*0.1),"")</f>
        <v/>
      </c>
      <c r="AY140" s="96" t="str">
        <f aca="false">IF(AND(AR140&gt;0,N140&gt;0),N140*1000/(AR140*0.25),"")</f>
        <v/>
      </c>
      <c r="AZ140" s="96" t="str">
        <f aca="false">IF(AND(AQ140&gt;0,Q140&gt;0),Q140*1000/(AQ140*1),"")</f>
        <v/>
      </c>
      <c r="BA140" s="97" t="n">
        <f aca="false">IFERROR(VLOOKUP($I140,'07_Settings'!$A$10:$F$14,6,FALSE()),0.25)</f>
        <v>0.25</v>
      </c>
      <c r="BB140" s="98" t="n">
        <v>1</v>
      </c>
      <c r="BC140" s="98" t="n">
        <v>1</v>
      </c>
      <c r="BD140" s="98" t="n">
        <v>1</v>
      </c>
      <c r="BE140" s="99" t="n">
        <f aca="false">IFERROR(ROUND($S140*BA140*BC140*BD140*BB140,0),0)</f>
        <v>0</v>
      </c>
      <c r="BF140" s="55" t="str">
        <f aca="false">IF(COUNT(AO140:AU140)&gt;0,"estimated","pending")</f>
        <v>estimated</v>
      </c>
    </row>
    <row r="141" customFormat="false" ht="16.5" hidden="false" customHeight="true" outlineLevel="0" collapsed="false">
      <c r="A141" s="100"/>
      <c r="B141" s="129" t="n">
        <f aca="false">IF($C141="","",COUNTA($C$5:C141))</f>
        <v>137</v>
      </c>
      <c r="C141" s="130" t="s">
        <v>987</v>
      </c>
      <c r="D141" s="131" t="s">
        <v>428</v>
      </c>
      <c r="E141" s="130" t="s">
        <v>983</v>
      </c>
      <c r="F141" s="130" t="s">
        <v>337</v>
      </c>
      <c r="G141" s="131" t="s">
        <v>210</v>
      </c>
      <c r="H141" s="131" t="n">
        <v>1</v>
      </c>
      <c r="I141" s="131" t="s">
        <v>122</v>
      </c>
      <c r="J141" s="132" t="n">
        <v>0</v>
      </c>
      <c r="K141" s="132" t="n">
        <v>0</v>
      </c>
      <c r="L141" s="132" t="n">
        <f aca="false">IF($C141="","",ROUND($J141*0.17,0))</f>
        <v>0</v>
      </c>
      <c r="M141" s="132" t="n">
        <v>0</v>
      </c>
      <c r="N141" s="132" t="n">
        <v>0</v>
      </c>
      <c r="O141" s="132" t="n">
        <v>0</v>
      </c>
      <c r="P141" s="132" t="n">
        <v>0</v>
      </c>
      <c r="Q141" s="132" t="n">
        <v>0</v>
      </c>
      <c r="R141" s="132" t="n">
        <v>0</v>
      </c>
      <c r="S141" s="133" t="n">
        <f aca="false">IF($C141="","",ROUND($J141*2.2,0))</f>
        <v>0</v>
      </c>
      <c r="T141" s="132" t="n">
        <v>0</v>
      </c>
      <c r="U141" s="132" t="n">
        <v>0</v>
      </c>
      <c r="V141" s="132" t="n">
        <v>1200</v>
      </c>
      <c r="W141" s="132" t="n">
        <v>0</v>
      </c>
      <c r="X141" s="132" t="s">
        <v>310</v>
      </c>
      <c r="Y141" s="134" t="n">
        <v>0.3</v>
      </c>
      <c r="Z141" s="134" t="n">
        <v>1</v>
      </c>
      <c r="AA141" s="130" t="s">
        <v>988</v>
      </c>
      <c r="AB141" s="130" t="s">
        <v>989</v>
      </c>
      <c r="AC141" s="132" t="s">
        <v>990</v>
      </c>
      <c r="AD141" s="132"/>
      <c r="AE141" s="132"/>
      <c r="AF141" s="132"/>
      <c r="AG141" s="132"/>
      <c r="AH141" s="135"/>
      <c r="AI141" s="135"/>
      <c r="AJ141" s="135"/>
      <c r="AK141" s="136" t="n">
        <v>37688</v>
      </c>
      <c r="AL141" s="135"/>
      <c r="AM141" s="101"/>
      <c r="AN141" s="100"/>
      <c r="AO141" s="95"/>
      <c r="AP141" s="104" t="n">
        <v>8857</v>
      </c>
      <c r="AQ141" s="95"/>
      <c r="AR141" s="95"/>
      <c r="AS141" s="95"/>
      <c r="AT141" s="95"/>
      <c r="AU141" s="95"/>
      <c r="AV141" s="96" t="str">
        <f aca="false">IF(AND(AP141&gt;0,J141&gt;0),J141*1000/(AP141*0.2),"")</f>
        <v/>
      </c>
      <c r="AW141" s="96" t="str">
        <f aca="false">IF(AND(AS141&gt;0,M141&gt;0),M141*1000/(AS141*0.3),"")</f>
        <v/>
      </c>
      <c r="AX141" s="96" t="str">
        <f aca="false">IF(AND(AO141&gt;0,O141&gt;0),O141*1000/(AO141*0.1),"")</f>
        <v/>
      </c>
      <c r="AY141" s="96" t="str">
        <f aca="false">IF(AND(AR141&gt;0,N141&gt;0),N141*1000/(AR141*0.25),"")</f>
        <v/>
      </c>
      <c r="AZ141" s="96" t="str">
        <f aca="false">IF(AND(AQ141&gt;0,Q141&gt;0),Q141*1000/(AQ141*1),"")</f>
        <v/>
      </c>
      <c r="BA141" s="97" t="n">
        <f aca="false">IFERROR(VLOOKUP($I141,'07_Settings'!$A$10:$F$14,6,FALSE()),0.25)</f>
        <v>0.25</v>
      </c>
      <c r="BB141" s="98" t="n">
        <v>1</v>
      </c>
      <c r="BC141" s="98" t="n">
        <v>1</v>
      </c>
      <c r="BD141" s="98" t="n">
        <v>1</v>
      </c>
      <c r="BE141" s="99" t="n">
        <f aca="false">IFERROR(ROUND($S141*BA141*BC141*BD141*BB141,0),0)</f>
        <v>0</v>
      </c>
      <c r="BF141" s="55" t="str">
        <f aca="false">IF(COUNT(AO141:AU141)&gt;0,"estimated","pending")</f>
        <v>estimated</v>
      </c>
    </row>
    <row r="142" customFormat="false" ht="16.5" hidden="false" customHeight="true" outlineLevel="0" collapsed="false">
      <c r="A142" s="102"/>
      <c r="B142" s="112" t="n">
        <f aca="false">IF($C142="","",COUNTA($C$5:C142))</f>
        <v>138</v>
      </c>
      <c r="C142" s="113" t="s">
        <v>991</v>
      </c>
      <c r="D142" s="114" t="s">
        <v>279</v>
      </c>
      <c r="E142" s="113" t="s">
        <v>983</v>
      </c>
      <c r="F142" s="113" t="s">
        <v>337</v>
      </c>
      <c r="G142" s="114" t="s">
        <v>992</v>
      </c>
      <c r="H142" s="114" t="n">
        <v>2</v>
      </c>
      <c r="I142" s="114" t="s">
        <v>114</v>
      </c>
      <c r="J142" s="115" t="n">
        <v>11250</v>
      </c>
      <c r="K142" s="115" t="n">
        <v>4500</v>
      </c>
      <c r="L142" s="115" t="n">
        <f aca="false">IF($C142="","",ROUND($J142*0.17,0))</f>
        <v>1913</v>
      </c>
      <c r="M142" s="115" t="n">
        <v>8000</v>
      </c>
      <c r="N142" s="115" t="n">
        <v>3500</v>
      </c>
      <c r="O142" s="115" t="n">
        <v>2000</v>
      </c>
      <c r="P142" s="115" t="n">
        <v>2000</v>
      </c>
      <c r="Q142" s="115" t="n">
        <v>13500</v>
      </c>
      <c r="R142" s="115" t="n">
        <v>6075</v>
      </c>
      <c r="S142" s="115" t="n">
        <f aca="false">IF($C142="","",ROUND($J142*2.2,0))</f>
        <v>24750</v>
      </c>
      <c r="T142" s="115" t="n">
        <v>4638</v>
      </c>
      <c r="U142" s="115" t="n">
        <v>4063</v>
      </c>
      <c r="V142" s="115" t="n">
        <v>2438</v>
      </c>
      <c r="W142" s="115" t="n">
        <v>2400</v>
      </c>
      <c r="X142" s="116" t="s">
        <v>290</v>
      </c>
      <c r="Y142" s="117" t="n">
        <v>0.3</v>
      </c>
      <c r="Z142" s="117" t="n">
        <v>1</v>
      </c>
      <c r="AA142" s="113" t="s">
        <v>993</v>
      </c>
      <c r="AB142" s="113" t="s">
        <v>994</v>
      </c>
      <c r="AC142" s="116"/>
      <c r="AD142" s="116" t="s">
        <v>995</v>
      </c>
      <c r="AE142" s="116"/>
      <c r="AF142" s="116"/>
      <c r="AG142" s="116"/>
      <c r="AH142" s="118"/>
      <c r="AI142" s="118"/>
      <c r="AJ142" s="118"/>
      <c r="AK142" s="120" t="n">
        <v>39243</v>
      </c>
      <c r="AL142" s="118"/>
      <c r="AM142" s="103"/>
      <c r="AN142" s="102"/>
      <c r="AO142" s="104" t="n">
        <v>41700</v>
      </c>
      <c r="AP142" s="104" t="n">
        <v>39000</v>
      </c>
      <c r="AQ142" s="104" t="n">
        <v>78978</v>
      </c>
      <c r="AR142" s="95"/>
      <c r="AS142" s="95"/>
      <c r="AT142" s="95"/>
      <c r="AU142" s="95"/>
      <c r="AV142" s="96" t="n">
        <f aca="false">IF(AND(AP142&gt;0,J142&gt;0),J142*1000/(AP142*0.2),"")</f>
        <v>1442.30769230769</v>
      </c>
      <c r="AW142" s="96" t="str">
        <f aca="false">IF(AND(AS142&gt;0,M142&gt;0),M142*1000/(AS142*0.3),"")</f>
        <v/>
      </c>
      <c r="AX142" s="96" t="n">
        <f aca="false">IF(AND(AO142&gt;0,O142&gt;0),O142*1000/(AO142*0.1),"")</f>
        <v>479.616306954436</v>
      </c>
      <c r="AY142" s="96" t="str">
        <f aca="false">IF(AND(AR142&gt;0,N142&gt;0),N142*1000/(AR142*0.25),"")</f>
        <v/>
      </c>
      <c r="AZ142" s="96" t="n">
        <f aca="false">IF(AND(AQ142&gt;0,Q142&gt;0),Q142*1000/(AQ142*1),"")</f>
        <v>170.93367773304</v>
      </c>
      <c r="BA142" s="97" t="n">
        <f aca="false">IFERROR(VLOOKUP($I142,'07_Settings'!$A$10:$F$14,6,FALSE()),0.25)</f>
        <v>0.45</v>
      </c>
      <c r="BB142" s="98" t="n">
        <v>1</v>
      </c>
      <c r="BC142" s="98" t="n">
        <v>1</v>
      </c>
      <c r="BD142" s="98" t="n">
        <v>1</v>
      </c>
      <c r="BE142" s="99" t="n">
        <f aca="false">IFERROR(ROUND($S142*BA142*BC142*BD142*BB142,0),0)</f>
        <v>11138</v>
      </c>
      <c r="BF142" s="55" t="str">
        <f aca="false">IF(COUNT(AO142:AU142)&gt;0,"estimated","pending")</f>
        <v>estimated</v>
      </c>
    </row>
    <row r="143" customFormat="false" ht="16.5" hidden="false" customHeight="true" outlineLevel="0" collapsed="false">
      <c r="A143" s="102"/>
      <c r="B143" s="112" t="n">
        <f aca="false">IF($C143="","",COUNTA($C$5:C143))</f>
        <v>139</v>
      </c>
      <c r="C143" s="113" t="s">
        <v>996</v>
      </c>
      <c r="D143" s="114" t="s">
        <v>279</v>
      </c>
      <c r="E143" s="113" t="s">
        <v>983</v>
      </c>
      <c r="F143" s="113" t="s">
        <v>337</v>
      </c>
      <c r="G143" s="114" t="s">
        <v>210</v>
      </c>
      <c r="H143" s="114" t="n">
        <v>2</v>
      </c>
      <c r="I143" s="114" t="s">
        <v>114</v>
      </c>
      <c r="J143" s="115" t="n">
        <v>11000</v>
      </c>
      <c r="K143" s="115" t="n">
        <v>4600</v>
      </c>
      <c r="L143" s="115" t="n">
        <f aca="false">IF($C143="","",ROUND($J143*0.17,0))</f>
        <v>1870</v>
      </c>
      <c r="M143" s="115" t="n">
        <v>8600</v>
      </c>
      <c r="N143" s="115" t="n">
        <v>3500</v>
      </c>
      <c r="O143" s="115" t="n">
        <v>2200</v>
      </c>
      <c r="P143" s="115" t="n">
        <v>2200</v>
      </c>
      <c r="Q143" s="115" t="n">
        <v>15950</v>
      </c>
      <c r="R143" s="115" t="n">
        <v>7150</v>
      </c>
      <c r="S143" s="115" t="n">
        <f aca="false">IF($C143="","",ROUND($J143*2.2,0))</f>
        <v>24200</v>
      </c>
      <c r="T143" s="115" t="n">
        <v>3850</v>
      </c>
      <c r="U143" s="115" t="n">
        <v>3300</v>
      </c>
      <c r="V143" s="115" t="n">
        <v>2000</v>
      </c>
      <c r="W143" s="115" t="n">
        <v>2400</v>
      </c>
      <c r="X143" s="116" t="s">
        <v>290</v>
      </c>
      <c r="Y143" s="117" t="n">
        <v>0.3</v>
      </c>
      <c r="Z143" s="117" t="n">
        <v>1</v>
      </c>
      <c r="AA143" s="113" t="s">
        <v>997</v>
      </c>
      <c r="AB143" s="113" t="s">
        <v>998</v>
      </c>
      <c r="AC143" s="116" t="s">
        <v>999</v>
      </c>
      <c r="AD143" s="116" t="s">
        <v>1000</v>
      </c>
      <c r="AE143" s="116"/>
      <c r="AF143" s="116"/>
      <c r="AG143" s="116"/>
      <c r="AH143" s="118"/>
      <c r="AI143" s="118"/>
      <c r="AJ143" s="118"/>
      <c r="AK143" s="120" t="n">
        <v>39361</v>
      </c>
      <c r="AL143" s="118"/>
      <c r="AM143" s="103"/>
      <c r="AN143" s="102"/>
      <c r="AO143" s="104" t="n">
        <v>47900</v>
      </c>
      <c r="AP143" s="104" t="n">
        <v>34000</v>
      </c>
      <c r="AQ143" s="95"/>
      <c r="AR143" s="95"/>
      <c r="AS143" s="95"/>
      <c r="AT143" s="95"/>
      <c r="AU143" s="95"/>
      <c r="AV143" s="96" t="n">
        <f aca="false">IF(AND(AP143&gt;0,J143&gt;0),J143*1000/(AP143*0.2),"")</f>
        <v>1617.64705882353</v>
      </c>
      <c r="AW143" s="96" t="str">
        <f aca="false">IF(AND(AS143&gt;0,M143&gt;0),M143*1000/(AS143*0.3),"")</f>
        <v/>
      </c>
      <c r="AX143" s="96" t="n">
        <f aca="false">IF(AND(AO143&gt;0,O143&gt;0),O143*1000/(AO143*0.1),"")</f>
        <v>459.290187891441</v>
      </c>
      <c r="AY143" s="96" t="str">
        <f aca="false">IF(AND(AR143&gt;0,N143&gt;0),N143*1000/(AR143*0.25),"")</f>
        <v/>
      </c>
      <c r="AZ143" s="96" t="str">
        <f aca="false">IF(AND(AQ143&gt;0,Q143&gt;0),Q143*1000/(AQ143*1),"")</f>
        <v/>
      </c>
      <c r="BA143" s="97" t="n">
        <f aca="false">IFERROR(VLOOKUP($I143,'07_Settings'!$A$10:$F$14,6,FALSE()),0.25)</f>
        <v>0.45</v>
      </c>
      <c r="BB143" s="98" t="n">
        <v>1</v>
      </c>
      <c r="BC143" s="98" t="n">
        <v>1</v>
      </c>
      <c r="BD143" s="98" t="n">
        <v>1</v>
      </c>
      <c r="BE143" s="99" t="n">
        <f aca="false">IFERROR(ROUND($S143*BA143*BC143*BD143*BB143,0),0)</f>
        <v>10890</v>
      </c>
      <c r="BF143" s="55" t="str">
        <f aca="false">IF(COUNT(AO143:AU143)&gt;0,"estimated","pending")</f>
        <v>estimated</v>
      </c>
    </row>
    <row r="144" customFormat="false" ht="16.5" hidden="false" customHeight="true" outlineLevel="0" collapsed="false">
      <c r="A144" s="102"/>
      <c r="B144" s="112" t="n">
        <f aca="false">IF($C144="","",COUNTA($C$5:C144))</f>
        <v>140</v>
      </c>
      <c r="C144" s="113" t="s">
        <v>1001</v>
      </c>
      <c r="D144" s="114" t="s">
        <v>279</v>
      </c>
      <c r="E144" s="113" t="s">
        <v>983</v>
      </c>
      <c r="F144" s="113" t="s">
        <v>337</v>
      </c>
      <c r="G144" s="114" t="s">
        <v>210</v>
      </c>
      <c r="H144" s="114" t="n">
        <v>2</v>
      </c>
      <c r="I144" s="114" t="s">
        <v>114</v>
      </c>
      <c r="J144" s="115" t="n">
        <v>12100</v>
      </c>
      <c r="K144" s="115" t="n">
        <v>5100</v>
      </c>
      <c r="L144" s="115" t="n">
        <f aca="false">IF($C144="","",ROUND($J144*0.17,0))</f>
        <v>2057</v>
      </c>
      <c r="M144" s="115" t="n">
        <v>9450</v>
      </c>
      <c r="N144" s="115" t="n">
        <v>3850</v>
      </c>
      <c r="O144" s="115" t="n">
        <v>2400</v>
      </c>
      <c r="P144" s="115" t="n">
        <v>2400</v>
      </c>
      <c r="Q144" s="115" t="n">
        <v>17550</v>
      </c>
      <c r="R144" s="115" t="n">
        <v>7850</v>
      </c>
      <c r="S144" s="115" t="n">
        <f aca="false">IF($C144="","",ROUND($J144*2.2,0))</f>
        <v>26620</v>
      </c>
      <c r="T144" s="115" t="n">
        <v>4250</v>
      </c>
      <c r="U144" s="115" t="n">
        <v>3650</v>
      </c>
      <c r="V144" s="115" t="n">
        <v>2200</v>
      </c>
      <c r="W144" s="115" t="n">
        <v>2400</v>
      </c>
      <c r="X144" s="116" t="s">
        <v>290</v>
      </c>
      <c r="Y144" s="117" t="n">
        <v>0.3</v>
      </c>
      <c r="Z144" s="117" t="n">
        <v>1</v>
      </c>
      <c r="AA144" s="113" t="s">
        <v>1002</v>
      </c>
      <c r="AB144" s="113" t="s">
        <v>1003</v>
      </c>
      <c r="AC144" s="116"/>
      <c r="AD144" s="116" t="s">
        <v>1004</v>
      </c>
      <c r="AE144" s="116"/>
      <c r="AF144" s="116"/>
      <c r="AG144" s="116"/>
      <c r="AH144" s="118"/>
      <c r="AI144" s="118"/>
      <c r="AJ144" s="118"/>
      <c r="AK144" s="120" t="n">
        <v>39361</v>
      </c>
      <c r="AL144" s="118"/>
      <c r="AM144" s="103"/>
      <c r="AN144" s="102"/>
      <c r="AO144" s="104" t="n">
        <v>75400</v>
      </c>
      <c r="AP144" s="104" t="n">
        <v>38000</v>
      </c>
      <c r="AQ144" s="104" t="n">
        <v>7700</v>
      </c>
      <c r="AR144" s="95"/>
      <c r="AS144" s="95"/>
      <c r="AT144" s="95"/>
      <c r="AU144" s="95"/>
      <c r="AV144" s="96" t="n">
        <f aca="false">IF(AND(AP144&gt;0,J144&gt;0),J144*1000/(AP144*0.2),"")</f>
        <v>1592.10526315789</v>
      </c>
      <c r="AW144" s="96" t="str">
        <f aca="false">IF(AND(AS144&gt;0,M144&gt;0),M144*1000/(AS144*0.3),"")</f>
        <v/>
      </c>
      <c r="AX144" s="96" t="n">
        <f aca="false">IF(AND(AO144&gt;0,O144&gt;0),O144*1000/(AO144*0.1),"")</f>
        <v>318.302387267905</v>
      </c>
      <c r="AY144" s="96" t="str">
        <f aca="false">IF(AND(AR144&gt;0,N144&gt;0),N144*1000/(AR144*0.25),"")</f>
        <v/>
      </c>
      <c r="AZ144" s="96" t="n">
        <f aca="false">IF(AND(AQ144&gt;0,Q144&gt;0),Q144*1000/(AQ144*1),"")</f>
        <v>2279.22077922078</v>
      </c>
      <c r="BA144" s="97" t="n">
        <f aca="false">IFERROR(VLOOKUP($I144,'07_Settings'!$A$10:$F$14,6,FALSE()),0.25)</f>
        <v>0.45</v>
      </c>
      <c r="BB144" s="98" t="n">
        <v>1</v>
      </c>
      <c r="BC144" s="98" t="n">
        <v>1</v>
      </c>
      <c r="BD144" s="98" t="n">
        <v>1</v>
      </c>
      <c r="BE144" s="99" t="n">
        <f aca="false">IFERROR(ROUND($S144*BA144*BC144*BD144*BB144,0),0)</f>
        <v>11979</v>
      </c>
      <c r="BF144" s="55" t="str">
        <f aca="false">IF(COUNT(AO144:AU144)&gt;0,"estimated","pending")</f>
        <v>estimated</v>
      </c>
    </row>
    <row r="145" customFormat="false" ht="16.5" hidden="false" customHeight="true" outlineLevel="0" collapsed="false">
      <c r="A145" s="102"/>
      <c r="B145" s="112" t="n">
        <f aca="false">IF($C145="","",COUNTA($C$5:C145))</f>
        <v>141</v>
      </c>
      <c r="C145" s="113" t="s">
        <v>1005</v>
      </c>
      <c r="D145" s="114" t="s">
        <v>279</v>
      </c>
      <c r="E145" s="113" t="s">
        <v>1006</v>
      </c>
      <c r="F145" s="113" t="s">
        <v>1006</v>
      </c>
      <c r="G145" s="114" t="s">
        <v>1007</v>
      </c>
      <c r="H145" s="114" t="n">
        <v>2</v>
      </c>
      <c r="I145" s="114" t="s">
        <v>114</v>
      </c>
      <c r="J145" s="115" t="n">
        <v>12100</v>
      </c>
      <c r="K145" s="115" t="n">
        <v>5100</v>
      </c>
      <c r="L145" s="115" t="n">
        <f aca="false">IF($C145="","",ROUND($J145*0.17,0))</f>
        <v>2057</v>
      </c>
      <c r="M145" s="115" t="n">
        <v>9450</v>
      </c>
      <c r="N145" s="115" t="n">
        <v>3850</v>
      </c>
      <c r="O145" s="115" t="n">
        <v>2400</v>
      </c>
      <c r="P145" s="115" t="n">
        <v>2400</v>
      </c>
      <c r="Q145" s="115" t="n">
        <v>17550</v>
      </c>
      <c r="R145" s="115" t="n">
        <v>7850</v>
      </c>
      <c r="S145" s="115" t="n">
        <f aca="false">IF($C145="","",ROUND($J145*2.2,0))</f>
        <v>26620</v>
      </c>
      <c r="T145" s="115" t="n">
        <v>4250</v>
      </c>
      <c r="U145" s="115" t="n">
        <v>3650</v>
      </c>
      <c r="V145" s="115" t="n">
        <v>2200</v>
      </c>
      <c r="W145" s="115" t="n">
        <v>2400</v>
      </c>
      <c r="X145" s="116" t="s">
        <v>290</v>
      </c>
      <c r="Y145" s="117" t="n">
        <v>0.3</v>
      </c>
      <c r="Z145" s="117" t="n">
        <v>1</v>
      </c>
      <c r="AA145" s="113" t="s">
        <v>1008</v>
      </c>
      <c r="AB145" s="113" t="s">
        <v>1009</v>
      </c>
      <c r="AC145" s="116" t="s">
        <v>1010</v>
      </c>
      <c r="AD145" s="116"/>
      <c r="AE145" s="116"/>
      <c r="AF145" s="116"/>
      <c r="AG145" s="116"/>
      <c r="AH145" s="118"/>
      <c r="AI145" s="118"/>
      <c r="AJ145" s="118"/>
      <c r="AK145" s="120" t="n">
        <v>35012</v>
      </c>
      <c r="AL145" s="118"/>
      <c r="AM145" s="103"/>
      <c r="AN145" s="102"/>
      <c r="AO145" s="95"/>
      <c r="AP145" s="95"/>
      <c r="AQ145" s="95"/>
      <c r="AR145" s="95"/>
      <c r="AS145" s="95"/>
      <c r="AT145" s="95"/>
      <c r="AU145" s="95"/>
      <c r="AV145" s="96" t="str">
        <f aca="false">IF(AND(AP145&gt;0,J145&gt;0),J145*1000/(AP145*0.2),"")</f>
        <v/>
      </c>
      <c r="AW145" s="96" t="str">
        <f aca="false">IF(AND(AS145&gt;0,M145&gt;0),M145*1000/(AS145*0.3),"")</f>
        <v/>
      </c>
      <c r="AX145" s="96" t="str">
        <f aca="false">IF(AND(AO145&gt;0,O145&gt;0),O145*1000/(AO145*0.1),"")</f>
        <v/>
      </c>
      <c r="AY145" s="96" t="str">
        <f aca="false">IF(AND(AR145&gt;0,N145&gt;0),N145*1000/(AR145*0.25),"")</f>
        <v/>
      </c>
      <c r="AZ145" s="96" t="str">
        <f aca="false">IF(AND(AQ145&gt;0,Q145&gt;0),Q145*1000/(AQ145*1),"")</f>
        <v/>
      </c>
      <c r="BA145" s="97" t="n">
        <f aca="false">IFERROR(VLOOKUP($I145,'07_Settings'!$A$10:$F$14,6,FALSE()),0.25)</f>
        <v>0.45</v>
      </c>
      <c r="BB145" s="98" t="n">
        <v>1</v>
      </c>
      <c r="BC145" s="98" t="n">
        <v>1</v>
      </c>
      <c r="BD145" s="98" t="n">
        <v>1</v>
      </c>
      <c r="BE145" s="99" t="n">
        <f aca="false">IFERROR(ROUND($S145*BA145*BC145*BD145*BB145,0),0)</f>
        <v>11979</v>
      </c>
      <c r="BF145" s="55" t="str">
        <f aca="false">IF(COUNT(AO145:AU145)&gt;0,"estimated","pending")</f>
        <v>pending</v>
      </c>
    </row>
    <row r="146" customFormat="false" ht="16.5" hidden="false" customHeight="true" outlineLevel="0" collapsed="false">
      <c r="A146" s="102"/>
      <c r="B146" s="112" t="n">
        <f aca="false">IF($C146="","",COUNTA($C$5:C146))</f>
        <v>142</v>
      </c>
      <c r="C146" s="113" t="s">
        <v>1011</v>
      </c>
      <c r="D146" s="114" t="s">
        <v>279</v>
      </c>
      <c r="E146" s="113" t="s">
        <v>1006</v>
      </c>
      <c r="F146" s="113" t="s">
        <v>1006</v>
      </c>
      <c r="G146" s="114" t="s">
        <v>1007</v>
      </c>
      <c r="H146" s="114" t="n">
        <v>1</v>
      </c>
      <c r="I146" s="114" t="s">
        <v>118</v>
      </c>
      <c r="J146" s="115" t="n">
        <v>11000</v>
      </c>
      <c r="K146" s="115" t="n">
        <v>4600</v>
      </c>
      <c r="L146" s="115" t="n">
        <f aca="false">IF($C146="","",ROUND($J146*0.17,0))</f>
        <v>1870</v>
      </c>
      <c r="M146" s="115" t="n">
        <v>8600</v>
      </c>
      <c r="N146" s="115" t="n">
        <v>3500</v>
      </c>
      <c r="O146" s="115" t="n">
        <v>2200</v>
      </c>
      <c r="P146" s="115" t="n">
        <v>2200</v>
      </c>
      <c r="Q146" s="115" t="n">
        <v>15950</v>
      </c>
      <c r="R146" s="115" t="n">
        <v>7150</v>
      </c>
      <c r="S146" s="115" t="n">
        <f aca="false">IF($C146="","",ROUND($J146*2.2,0))</f>
        <v>24200</v>
      </c>
      <c r="T146" s="115" t="n">
        <v>3850</v>
      </c>
      <c r="U146" s="115" t="n">
        <v>3300</v>
      </c>
      <c r="V146" s="115" t="n">
        <v>2000</v>
      </c>
      <c r="W146" s="115" t="n">
        <v>2400</v>
      </c>
      <c r="X146" s="116" t="s">
        <v>310</v>
      </c>
      <c r="Y146" s="117" t="n">
        <v>0.3</v>
      </c>
      <c r="Z146" s="117" t="n">
        <v>1</v>
      </c>
      <c r="AA146" s="113" t="s">
        <v>1012</v>
      </c>
      <c r="AB146" s="113"/>
      <c r="AC146" s="116" t="s">
        <v>1013</v>
      </c>
      <c r="AD146" s="116"/>
      <c r="AE146" s="116"/>
      <c r="AF146" s="116"/>
      <c r="AG146" s="116"/>
      <c r="AH146" s="118"/>
      <c r="AI146" s="118"/>
      <c r="AJ146" s="118"/>
      <c r="AK146" s="118" t="s">
        <v>1014</v>
      </c>
      <c r="AL146" s="118"/>
      <c r="AM146" s="103"/>
      <c r="AN146" s="102"/>
      <c r="AO146" s="95"/>
      <c r="AP146" s="95"/>
      <c r="AQ146" s="95"/>
      <c r="AR146" s="95"/>
      <c r="AS146" s="95"/>
      <c r="AT146" s="95"/>
      <c r="AU146" s="95"/>
      <c r="AV146" s="96" t="str">
        <f aca="false">IF(AND(AP146&gt;0,J146&gt;0),J146*1000/(AP146*0.2),"")</f>
        <v/>
      </c>
      <c r="AW146" s="96" t="str">
        <f aca="false">IF(AND(AS146&gt;0,M146&gt;0),M146*1000/(AS146*0.3),"")</f>
        <v/>
      </c>
      <c r="AX146" s="96" t="str">
        <f aca="false">IF(AND(AO146&gt;0,O146&gt;0),O146*1000/(AO146*0.1),"")</f>
        <v/>
      </c>
      <c r="AY146" s="96" t="str">
        <f aca="false">IF(AND(AR146&gt;0,N146&gt;0),N146*1000/(AR146*0.25),"")</f>
        <v/>
      </c>
      <c r="AZ146" s="96" t="str">
        <f aca="false">IF(AND(AQ146&gt;0,Q146&gt;0),Q146*1000/(AQ146*1),"")</f>
        <v/>
      </c>
      <c r="BA146" s="97" t="n">
        <f aca="false">IFERROR(VLOOKUP($I146,'07_Settings'!$A$10:$F$14,6,FALSE()),0.25)</f>
        <v>0.35</v>
      </c>
      <c r="BB146" s="98" t="n">
        <v>1</v>
      </c>
      <c r="BC146" s="98" t="n">
        <v>1</v>
      </c>
      <c r="BD146" s="98" t="n">
        <v>1</v>
      </c>
      <c r="BE146" s="99" t="n">
        <f aca="false">IFERROR(ROUND($S146*BA146*BC146*BD146*BB146,0),0)</f>
        <v>8470</v>
      </c>
      <c r="BF146" s="55" t="str">
        <f aca="false">IF(COUNT(AO146:AU146)&gt;0,"estimated","pending")</f>
        <v>pending</v>
      </c>
    </row>
    <row r="147" customFormat="false" ht="16.5" hidden="false" customHeight="true" outlineLevel="0" collapsed="false">
      <c r="A147" s="102"/>
      <c r="B147" s="112" t="n">
        <f aca="false">IF($C147="","",COUNTA($C$5:C147))</f>
        <v>143</v>
      </c>
      <c r="C147" s="113" t="s">
        <v>1015</v>
      </c>
      <c r="D147" s="114" t="s">
        <v>279</v>
      </c>
      <c r="E147" s="113" t="s">
        <v>1006</v>
      </c>
      <c r="F147" s="113" t="s">
        <v>1006</v>
      </c>
      <c r="G147" s="114" t="s">
        <v>1007</v>
      </c>
      <c r="H147" s="114" t="n">
        <v>3</v>
      </c>
      <c r="I147" s="114" t="s">
        <v>114</v>
      </c>
      <c r="J147" s="115" t="n">
        <v>5200</v>
      </c>
      <c r="K147" s="115" t="n">
        <v>2200</v>
      </c>
      <c r="L147" s="115" t="n">
        <f aca="false">IF($C147="","",ROUND($J147*0.17,0))</f>
        <v>884</v>
      </c>
      <c r="M147" s="115" t="n">
        <v>4050</v>
      </c>
      <c r="N147" s="115" t="n">
        <v>1650</v>
      </c>
      <c r="O147" s="115" t="n">
        <v>1050</v>
      </c>
      <c r="P147" s="115" t="n">
        <v>1050</v>
      </c>
      <c r="Q147" s="115" t="n">
        <v>7550</v>
      </c>
      <c r="R147" s="115" t="n">
        <v>3400</v>
      </c>
      <c r="S147" s="115" t="n">
        <f aca="false">IF($C147="","",ROUND($J147*2.2,0))</f>
        <v>11440</v>
      </c>
      <c r="T147" s="115" t="n">
        <v>1800</v>
      </c>
      <c r="U147" s="115" t="n">
        <v>1550</v>
      </c>
      <c r="V147" s="115" t="n">
        <v>950</v>
      </c>
      <c r="W147" s="115" t="n">
        <v>2400</v>
      </c>
      <c r="X147" s="116" t="s">
        <v>236</v>
      </c>
      <c r="Y147" s="117" t="n">
        <v>0.3</v>
      </c>
      <c r="Z147" s="117" t="n">
        <v>1</v>
      </c>
      <c r="AA147" s="113" t="s">
        <v>1016</v>
      </c>
      <c r="AB147" s="113" t="s">
        <v>1017</v>
      </c>
      <c r="AC147" s="116" t="s">
        <v>1018</v>
      </c>
      <c r="AD147" s="116" t="s">
        <v>1019</v>
      </c>
      <c r="AE147" s="116"/>
      <c r="AF147" s="116"/>
      <c r="AG147" s="116"/>
      <c r="AH147" s="118"/>
      <c r="AI147" s="118"/>
      <c r="AJ147" s="118"/>
      <c r="AK147" s="120" t="n">
        <v>35313</v>
      </c>
      <c r="AL147" s="118"/>
      <c r="AM147" s="103"/>
      <c r="AN147" s="102"/>
      <c r="AO147" s="95"/>
      <c r="AP147" s="95"/>
      <c r="AQ147" s="95"/>
      <c r="AR147" s="95"/>
      <c r="AS147" s="95"/>
      <c r="AT147" s="95"/>
      <c r="AU147" s="95"/>
      <c r="AV147" s="96" t="str">
        <f aca="false">IF(AND(AP147&gt;0,J147&gt;0),J147*1000/(AP147*0.2),"")</f>
        <v/>
      </c>
      <c r="AW147" s="96" t="str">
        <f aca="false">IF(AND(AS147&gt;0,M147&gt;0),M147*1000/(AS147*0.3),"")</f>
        <v/>
      </c>
      <c r="AX147" s="96" t="str">
        <f aca="false">IF(AND(AO147&gt;0,O147&gt;0),O147*1000/(AO147*0.1),"")</f>
        <v/>
      </c>
      <c r="AY147" s="96" t="str">
        <f aca="false">IF(AND(AR147&gt;0,N147&gt;0),N147*1000/(AR147*0.25),"")</f>
        <v/>
      </c>
      <c r="AZ147" s="96" t="str">
        <f aca="false">IF(AND(AQ147&gt;0,Q147&gt;0),Q147*1000/(AQ147*1),"")</f>
        <v/>
      </c>
      <c r="BA147" s="97" t="n">
        <f aca="false">IFERROR(VLOOKUP($I147,'07_Settings'!$A$10:$F$14,6,FALSE()),0.25)</f>
        <v>0.45</v>
      </c>
      <c r="BB147" s="98" t="n">
        <v>1</v>
      </c>
      <c r="BC147" s="98" t="n">
        <v>1</v>
      </c>
      <c r="BD147" s="98" t="n">
        <v>1</v>
      </c>
      <c r="BE147" s="99" t="n">
        <f aca="false">IFERROR(ROUND($S147*BA147*BC147*BD147*BB147,0),0)</f>
        <v>5148</v>
      </c>
      <c r="BF147" s="55" t="str">
        <f aca="false">IF(COUNT(AO147:AU147)&gt;0,"estimated","pending")</f>
        <v>pending</v>
      </c>
    </row>
    <row r="148" customFormat="false" ht="16.5" hidden="false" customHeight="true" outlineLevel="0" collapsed="false">
      <c r="A148" s="102"/>
      <c r="B148" s="112" t="n">
        <f aca="false">IF($C148="","",COUNTA($C$5:C148))</f>
        <v>144</v>
      </c>
      <c r="C148" s="113" t="s">
        <v>1020</v>
      </c>
      <c r="D148" s="114" t="s">
        <v>279</v>
      </c>
      <c r="E148" s="113" t="s">
        <v>612</v>
      </c>
      <c r="F148" s="113" t="s">
        <v>612</v>
      </c>
      <c r="G148" s="114" t="s">
        <v>1021</v>
      </c>
      <c r="H148" s="114" t="n">
        <v>1</v>
      </c>
      <c r="I148" s="114" t="s">
        <v>118</v>
      </c>
      <c r="J148" s="115" t="n">
        <v>11000</v>
      </c>
      <c r="K148" s="115" t="n">
        <v>4600</v>
      </c>
      <c r="L148" s="115" t="n">
        <f aca="false">IF($C148="","",ROUND($J148*0.17,0))</f>
        <v>1870</v>
      </c>
      <c r="M148" s="115" t="n">
        <v>8600</v>
      </c>
      <c r="N148" s="115" t="n">
        <v>3500</v>
      </c>
      <c r="O148" s="115" t="n">
        <v>2200</v>
      </c>
      <c r="P148" s="115" t="n">
        <v>2200</v>
      </c>
      <c r="Q148" s="115" t="n">
        <v>15950</v>
      </c>
      <c r="R148" s="115" t="n">
        <v>7150</v>
      </c>
      <c r="S148" s="115" t="n">
        <f aca="false">IF($C148="","",ROUND($J148*2.2,0))</f>
        <v>24200</v>
      </c>
      <c r="T148" s="115" t="n">
        <v>3850</v>
      </c>
      <c r="U148" s="115" t="n">
        <v>3300</v>
      </c>
      <c r="V148" s="115" t="n">
        <v>2000</v>
      </c>
      <c r="W148" s="115" t="n">
        <v>2400</v>
      </c>
      <c r="X148" s="116" t="s">
        <v>310</v>
      </c>
      <c r="Y148" s="117" t="n">
        <v>0.75</v>
      </c>
      <c r="Z148" s="117" t="n">
        <v>1</v>
      </c>
      <c r="AA148" s="113" t="s">
        <v>1022</v>
      </c>
      <c r="AB148" s="113" t="s">
        <v>1023</v>
      </c>
      <c r="AC148" s="116"/>
      <c r="AD148" s="116"/>
      <c r="AE148" s="116"/>
      <c r="AF148" s="116"/>
      <c r="AG148" s="116"/>
      <c r="AH148" s="118"/>
      <c r="AI148" s="118"/>
      <c r="AJ148" s="118"/>
      <c r="AK148" s="120" t="n">
        <v>40760</v>
      </c>
      <c r="AL148" s="118"/>
      <c r="AM148" s="103"/>
      <c r="AN148" s="102"/>
      <c r="AO148" s="95"/>
      <c r="AP148" s="95"/>
      <c r="AQ148" s="95"/>
      <c r="AR148" s="95"/>
      <c r="AS148" s="95"/>
      <c r="AT148" s="95"/>
      <c r="AU148" s="95"/>
      <c r="AV148" s="96" t="str">
        <f aca="false">IF(AND(AP148&gt;0,J148&gt;0),J148*1000/(AP148*0.2),"")</f>
        <v/>
      </c>
      <c r="AW148" s="96" t="str">
        <f aca="false">IF(AND(AS148&gt;0,M148&gt;0),M148*1000/(AS148*0.3),"")</f>
        <v/>
      </c>
      <c r="AX148" s="96" t="str">
        <f aca="false">IF(AND(AO148&gt;0,O148&gt;0),O148*1000/(AO148*0.1),"")</f>
        <v/>
      </c>
      <c r="AY148" s="96" t="str">
        <f aca="false">IF(AND(AR148&gt;0,N148&gt;0),N148*1000/(AR148*0.25),"")</f>
        <v/>
      </c>
      <c r="AZ148" s="96" t="str">
        <f aca="false">IF(AND(AQ148&gt;0,Q148&gt;0),Q148*1000/(AQ148*1),"")</f>
        <v/>
      </c>
      <c r="BA148" s="97" t="n">
        <f aca="false">IFERROR(VLOOKUP($I148,'07_Settings'!$A$10:$F$14,6,FALSE()),0.25)</f>
        <v>0.35</v>
      </c>
      <c r="BB148" s="98" t="n">
        <v>1</v>
      </c>
      <c r="BC148" s="98" t="n">
        <v>1</v>
      </c>
      <c r="BD148" s="98" t="n">
        <v>1</v>
      </c>
      <c r="BE148" s="99" t="n">
        <f aca="false">IFERROR(ROUND($S148*BA148*BC148*BD148*BB148,0),0)</f>
        <v>8470</v>
      </c>
      <c r="BF148" s="55" t="str">
        <f aca="false">IF(COUNT(AO148:AU148)&gt;0,"estimated","pending")</f>
        <v>pending</v>
      </c>
    </row>
    <row r="149" customFormat="false" ht="16.5" hidden="false" customHeight="true" outlineLevel="0" collapsed="false">
      <c r="A149" s="102"/>
      <c r="B149" s="112" t="n">
        <f aca="false">IF($C149="","",COUNTA($C$5:C149))</f>
        <v>145</v>
      </c>
      <c r="C149" s="113" t="s">
        <v>1024</v>
      </c>
      <c r="D149" s="114" t="s">
        <v>279</v>
      </c>
      <c r="E149" s="113" t="s">
        <v>612</v>
      </c>
      <c r="F149" s="113" t="s">
        <v>612</v>
      </c>
      <c r="G149" s="114" t="s">
        <v>411</v>
      </c>
      <c r="H149" s="114" t="n">
        <v>2</v>
      </c>
      <c r="I149" s="114" t="s">
        <v>118</v>
      </c>
      <c r="J149" s="115" t="n">
        <v>5200</v>
      </c>
      <c r="K149" s="115" t="n">
        <v>2200</v>
      </c>
      <c r="L149" s="115" t="n">
        <f aca="false">IF($C149="","",ROUND($J149*0.17,0))</f>
        <v>884</v>
      </c>
      <c r="M149" s="115" t="n">
        <v>4050</v>
      </c>
      <c r="N149" s="115" t="n">
        <v>1650</v>
      </c>
      <c r="O149" s="115" t="n">
        <v>1050</v>
      </c>
      <c r="P149" s="115" t="n">
        <v>1050</v>
      </c>
      <c r="Q149" s="115" t="n">
        <v>7550</v>
      </c>
      <c r="R149" s="115" t="n">
        <v>3400</v>
      </c>
      <c r="S149" s="115" t="n">
        <f aca="false">IF($C149="","",ROUND($J149*2.2,0))</f>
        <v>11440</v>
      </c>
      <c r="T149" s="115" t="n">
        <v>1800</v>
      </c>
      <c r="U149" s="115" t="n">
        <v>1550</v>
      </c>
      <c r="V149" s="115" t="n">
        <v>950</v>
      </c>
      <c r="W149" s="115" t="n">
        <v>2400</v>
      </c>
      <c r="X149" s="116" t="s">
        <v>290</v>
      </c>
      <c r="Y149" s="117" t="n">
        <v>0.5</v>
      </c>
      <c r="Z149" s="117" t="n">
        <v>1</v>
      </c>
      <c r="AA149" s="113" t="s">
        <v>1025</v>
      </c>
      <c r="AB149" s="113" t="s">
        <v>1026</v>
      </c>
      <c r="AC149" s="116"/>
      <c r="AD149" s="116" t="s">
        <v>1027</v>
      </c>
      <c r="AE149" s="116"/>
      <c r="AF149" s="116"/>
      <c r="AG149" s="116"/>
      <c r="AH149" s="118"/>
      <c r="AI149" s="118"/>
      <c r="AJ149" s="118"/>
      <c r="AK149" s="118" t="s">
        <v>1028</v>
      </c>
      <c r="AL149" s="118"/>
      <c r="AM149" s="103"/>
      <c r="AN149" s="102"/>
      <c r="AO149" s="104" t="n">
        <v>7188</v>
      </c>
      <c r="AP149" s="104" t="n">
        <v>1774</v>
      </c>
      <c r="AQ149" s="95"/>
      <c r="AR149" s="95"/>
      <c r="AS149" s="95"/>
      <c r="AT149" s="95"/>
      <c r="AU149" s="95"/>
      <c r="AV149" s="96" t="n">
        <f aca="false">IF(AND(AP149&gt;0,J149&gt;0),J149*1000/(AP149*0.2),"")</f>
        <v>14656.1443066516</v>
      </c>
      <c r="AW149" s="96" t="str">
        <f aca="false">IF(AND(AS149&gt;0,M149&gt;0),M149*1000/(AS149*0.3),"")</f>
        <v/>
      </c>
      <c r="AX149" s="96" t="n">
        <f aca="false">IF(AND(AO149&gt;0,O149&gt;0),O149*1000/(AO149*0.1),"")</f>
        <v>1460.76794657763</v>
      </c>
      <c r="AY149" s="96" t="str">
        <f aca="false">IF(AND(AR149&gt;0,N149&gt;0),N149*1000/(AR149*0.25),"")</f>
        <v/>
      </c>
      <c r="AZ149" s="96" t="str">
        <f aca="false">IF(AND(AQ149&gt;0,Q149&gt;0),Q149*1000/(AQ149*1),"")</f>
        <v/>
      </c>
      <c r="BA149" s="97" t="n">
        <f aca="false">IFERROR(VLOOKUP($I149,'07_Settings'!$A$10:$F$14,6,FALSE()),0.25)</f>
        <v>0.35</v>
      </c>
      <c r="BB149" s="98" t="n">
        <v>1</v>
      </c>
      <c r="BC149" s="98" t="n">
        <v>1</v>
      </c>
      <c r="BD149" s="98" t="n">
        <v>1</v>
      </c>
      <c r="BE149" s="99" t="n">
        <f aca="false">IFERROR(ROUND($S149*BA149*BC149*BD149*BB149,0),0)</f>
        <v>4004</v>
      </c>
      <c r="BF149" s="55" t="str">
        <f aca="false">IF(COUNT(AO149:AU149)&gt;0,"estimated","pending")</f>
        <v>estimated</v>
      </c>
    </row>
    <row r="150" customFormat="false" ht="16.5" hidden="false" customHeight="true" outlineLevel="0" collapsed="false">
      <c r="A150" s="102"/>
      <c r="B150" s="112" t="n">
        <f aca="false">IF($C150="","",COUNTA($C$5:C150))</f>
        <v>146</v>
      </c>
      <c r="C150" s="113" t="s">
        <v>1029</v>
      </c>
      <c r="D150" s="114" t="s">
        <v>279</v>
      </c>
      <c r="E150" s="113" t="s">
        <v>612</v>
      </c>
      <c r="F150" s="113" t="s">
        <v>612</v>
      </c>
      <c r="G150" s="114" t="s">
        <v>1007</v>
      </c>
      <c r="H150" s="114" t="n">
        <v>3</v>
      </c>
      <c r="I150" s="114" t="s">
        <v>118</v>
      </c>
      <c r="J150" s="115" t="n">
        <v>11000</v>
      </c>
      <c r="K150" s="115" t="n">
        <v>4600</v>
      </c>
      <c r="L150" s="115" t="n">
        <f aca="false">IF($C150="","",ROUND($J150*0.17,0))</f>
        <v>1870</v>
      </c>
      <c r="M150" s="115" t="n">
        <v>8600</v>
      </c>
      <c r="N150" s="115" t="n">
        <v>3500</v>
      </c>
      <c r="O150" s="115" t="n">
        <v>2200</v>
      </c>
      <c r="P150" s="115" t="n">
        <v>2200</v>
      </c>
      <c r="Q150" s="115" t="n">
        <v>15950</v>
      </c>
      <c r="R150" s="115" t="n">
        <v>7150</v>
      </c>
      <c r="S150" s="115" t="n">
        <f aca="false">IF($C150="","",ROUND($J150*2.2,0))</f>
        <v>24200</v>
      </c>
      <c r="T150" s="115" t="n">
        <v>3850</v>
      </c>
      <c r="U150" s="115" t="n">
        <v>3300</v>
      </c>
      <c r="V150" s="115" t="n">
        <v>2000</v>
      </c>
      <c r="W150" s="115" t="n">
        <v>2400</v>
      </c>
      <c r="X150" s="116" t="s">
        <v>236</v>
      </c>
      <c r="Y150" s="117" t="n">
        <v>0.75</v>
      </c>
      <c r="Z150" s="117" t="n">
        <v>1</v>
      </c>
      <c r="AA150" s="113" t="s">
        <v>1030</v>
      </c>
      <c r="AB150" s="113" t="s">
        <v>1031</v>
      </c>
      <c r="AC150" s="116"/>
      <c r="AD150" s="116" t="s">
        <v>1032</v>
      </c>
      <c r="AE150" s="116" t="s">
        <v>1033</v>
      </c>
      <c r="AF150" s="116"/>
      <c r="AG150" s="116"/>
      <c r="AH150" s="118"/>
      <c r="AI150" s="118"/>
      <c r="AJ150" s="118"/>
      <c r="AK150" s="118" t="s">
        <v>1034</v>
      </c>
      <c r="AL150" s="118"/>
      <c r="AM150" s="103"/>
      <c r="AN150" s="102"/>
      <c r="AO150" s="104" t="n">
        <v>7869</v>
      </c>
      <c r="AP150" s="95"/>
      <c r="AQ150" s="95"/>
      <c r="AR150" s="95"/>
      <c r="AS150" s="95"/>
      <c r="AT150" s="95"/>
      <c r="AU150" s="95"/>
      <c r="AV150" s="96" t="str">
        <f aca="false">IF(AND(AP150&gt;0,J150&gt;0),J150*1000/(AP150*0.2),"")</f>
        <v/>
      </c>
      <c r="AW150" s="96" t="str">
        <f aca="false">IF(AND(AS150&gt;0,M150&gt;0),M150*1000/(AS150*0.3),"")</f>
        <v/>
      </c>
      <c r="AX150" s="96" t="n">
        <f aca="false">IF(AND(AO150&gt;0,O150&gt;0),O150*1000/(AO150*0.1),"")</f>
        <v>2795.78091244122</v>
      </c>
      <c r="AY150" s="96" t="str">
        <f aca="false">IF(AND(AR150&gt;0,N150&gt;0),N150*1000/(AR150*0.25),"")</f>
        <v/>
      </c>
      <c r="AZ150" s="96" t="str">
        <f aca="false">IF(AND(AQ150&gt;0,Q150&gt;0),Q150*1000/(AQ150*1),"")</f>
        <v/>
      </c>
      <c r="BA150" s="97" t="n">
        <f aca="false">IFERROR(VLOOKUP($I150,'07_Settings'!$A$10:$F$14,6,FALSE()),0.25)</f>
        <v>0.35</v>
      </c>
      <c r="BB150" s="98" t="n">
        <v>1</v>
      </c>
      <c r="BC150" s="98" t="n">
        <v>1</v>
      </c>
      <c r="BD150" s="98" t="n">
        <v>1</v>
      </c>
      <c r="BE150" s="99" t="n">
        <f aca="false">IFERROR(ROUND($S150*BA150*BC150*BD150*BB150,0),0)</f>
        <v>8470</v>
      </c>
      <c r="BF150" s="55" t="str">
        <f aca="false">IF(COUNT(AO150:AU150)&gt;0,"estimated","pending")</f>
        <v>estimated</v>
      </c>
    </row>
    <row r="151" customFormat="false" ht="16.5" hidden="false" customHeight="true" outlineLevel="0" collapsed="false">
      <c r="A151" s="102"/>
      <c r="B151" s="112" t="n">
        <f aca="false">IF($C151="","",COUNTA($C$5:C151))</f>
        <v>147</v>
      </c>
      <c r="C151" s="113" t="s">
        <v>611</v>
      </c>
      <c r="D151" s="114" t="s">
        <v>279</v>
      </c>
      <c r="E151" s="113" t="s">
        <v>612</v>
      </c>
      <c r="F151" s="113" t="s">
        <v>612</v>
      </c>
      <c r="G151" s="114" t="s">
        <v>613</v>
      </c>
      <c r="H151" s="114" t="n">
        <v>1</v>
      </c>
      <c r="I151" s="114" t="s">
        <v>118</v>
      </c>
      <c r="J151" s="115" t="n">
        <v>11000</v>
      </c>
      <c r="K151" s="115" t="n">
        <v>4600</v>
      </c>
      <c r="L151" s="115" t="n">
        <f aca="false">IF($C151="","",ROUND($J151*0.17,0))</f>
        <v>1870</v>
      </c>
      <c r="M151" s="115" t="n">
        <v>8600</v>
      </c>
      <c r="N151" s="115" t="n">
        <v>3500</v>
      </c>
      <c r="O151" s="115" t="n">
        <v>2200</v>
      </c>
      <c r="P151" s="115" t="n">
        <v>2200</v>
      </c>
      <c r="Q151" s="115" t="n">
        <v>15950</v>
      </c>
      <c r="R151" s="115" t="n">
        <v>7150</v>
      </c>
      <c r="S151" s="115" t="n">
        <f aca="false">IF($C151="","",ROUND($J151*2.2,0))</f>
        <v>24200</v>
      </c>
      <c r="T151" s="115" t="n">
        <v>3850</v>
      </c>
      <c r="U151" s="115" t="n">
        <v>3300</v>
      </c>
      <c r="V151" s="115" t="n">
        <v>2000</v>
      </c>
      <c r="W151" s="115" t="n">
        <v>2400</v>
      </c>
      <c r="X151" s="116" t="s">
        <v>310</v>
      </c>
      <c r="Y151" s="117" t="n">
        <v>0.1</v>
      </c>
      <c r="Z151" s="117" t="n">
        <v>1</v>
      </c>
      <c r="AA151" s="113" t="s">
        <v>614</v>
      </c>
      <c r="AB151" s="113" t="s">
        <v>615</v>
      </c>
      <c r="AC151" s="116"/>
      <c r="AD151" s="116"/>
      <c r="AE151" s="116"/>
      <c r="AF151" s="116"/>
      <c r="AG151" s="116"/>
      <c r="AH151" s="118"/>
      <c r="AI151" s="118"/>
      <c r="AJ151" s="118"/>
      <c r="AK151" s="118" t="s">
        <v>616</v>
      </c>
      <c r="AL151" s="118"/>
      <c r="AM151" s="103"/>
      <c r="AN151" s="102"/>
      <c r="AO151" s="104" t="n">
        <v>30800</v>
      </c>
      <c r="AP151" s="104" t="n">
        <v>268</v>
      </c>
      <c r="AQ151" s="95"/>
      <c r="AR151" s="95"/>
      <c r="AS151" s="95"/>
      <c r="AT151" s="95"/>
      <c r="AU151" s="95"/>
      <c r="AV151" s="96" t="n">
        <f aca="false">IF(AND(AP151&gt;0,J151&gt;0),J151*1000/(AP151*0.2),"")</f>
        <v>205223.880597015</v>
      </c>
      <c r="AW151" s="96" t="str">
        <f aca="false">IF(AND(AS151&gt;0,M151&gt;0),M151*1000/(AS151*0.3),"")</f>
        <v/>
      </c>
      <c r="AX151" s="96" t="n">
        <f aca="false">IF(AND(AO151&gt;0,O151&gt;0),O151*1000/(AO151*0.1),"")</f>
        <v>714.285714285714</v>
      </c>
      <c r="AY151" s="96" t="str">
        <f aca="false">IF(AND(AR151&gt;0,N151&gt;0),N151*1000/(AR151*0.25),"")</f>
        <v/>
      </c>
      <c r="AZ151" s="96" t="str">
        <f aca="false">IF(AND(AQ151&gt;0,Q151&gt;0),Q151*1000/(AQ151*1),"")</f>
        <v/>
      </c>
      <c r="BA151" s="97" t="n">
        <f aca="false">IFERROR(VLOOKUP($I151,'07_Settings'!$A$10:$F$14,6,FALSE()),0.25)</f>
        <v>0.35</v>
      </c>
      <c r="BB151" s="98" t="n">
        <v>1</v>
      </c>
      <c r="BC151" s="98" t="n">
        <v>1</v>
      </c>
      <c r="BD151" s="98" t="n">
        <v>1</v>
      </c>
      <c r="BE151" s="99" t="n">
        <f aca="false">IFERROR(ROUND($S151*BA151*BC151*BD151*BB151,0),0)</f>
        <v>8470</v>
      </c>
      <c r="BF151" s="55" t="str">
        <f aca="false">IF(COUNT(AO151:AU151)&gt;0,"estimated","pending")</f>
        <v>estimated</v>
      </c>
    </row>
    <row r="152" customFormat="false" ht="16.5" hidden="false" customHeight="true" outlineLevel="0" collapsed="false">
      <c r="A152" s="86"/>
      <c r="B152" s="121" t="n">
        <f aca="false">IF($C152="","",COUNTA($C$5:C152))</f>
        <v>148</v>
      </c>
      <c r="C152" s="122" t="s">
        <v>574</v>
      </c>
      <c r="D152" s="123" t="s">
        <v>29</v>
      </c>
      <c r="E152" s="122" t="s">
        <v>575</v>
      </c>
      <c r="F152" s="122" t="s">
        <v>575</v>
      </c>
      <c r="G152" s="123" t="s">
        <v>576</v>
      </c>
      <c r="H152" s="123" t="n">
        <v>1</v>
      </c>
      <c r="I152" s="123" t="s">
        <v>118</v>
      </c>
      <c r="J152" s="124" t="n">
        <v>5200</v>
      </c>
      <c r="K152" s="124" t="n">
        <v>2200</v>
      </c>
      <c r="L152" s="125" t="n">
        <f aca="false">IF($C152="","",ROUND($J152*0.17,0))</f>
        <v>884</v>
      </c>
      <c r="M152" s="124" t="n">
        <v>4050</v>
      </c>
      <c r="N152" s="124" t="n">
        <v>1650</v>
      </c>
      <c r="O152" s="124" t="n">
        <v>1050</v>
      </c>
      <c r="P152" s="124" t="n">
        <v>0</v>
      </c>
      <c r="Q152" s="124" t="n">
        <v>7550</v>
      </c>
      <c r="R152" s="124" t="n">
        <v>3400</v>
      </c>
      <c r="S152" s="125" t="n">
        <f aca="false">IF($C152="","",ROUND($J152*2.2,0))</f>
        <v>11440</v>
      </c>
      <c r="T152" s="124" t="n">
        <v>1800</v>
      </c>
      <c r="U152" s="124" t="n">
        <v>1550</v>
      </c>
      <c r="V152" s="124" t="n">
        <v>950</v>
      </c>
      <c r="W152" s="124" t="n">
        <v>0</v>
      </c>
      <c r="X152" s="124" t="s">
        <v>310</v>
      </c>
      <c r="Y152" s="126" t="n">
        <v>0.25</v>
      </c>
      <c r="Z152" s="126" t="n">
        <v>1</v>
      </c>
      <c r="AA152" s="122" t="s">
        <v>577</v>
      </c>
      <c r="AB152" s="122" t="s">
        <v>578</v>
      </c>
      <c r="AC152" s="124"/>
      <c r="AD152" s="124"/>
      <c r="AE152" s="124"/>
      <c r="AF152" s="124"/>
      <c r="AG152" s="124"/>
      <c r="AH152" s="127"/>
      <c r="AI152" s="127"/>
      <c r="AJ152" s="127"/>
      <c r="AK152" s="127" t="s">
        <v>579</v>
      </c>
      <c r="AL152" s="127"/>
      <c r="AM152" s="128"/>
      <c r="AN152" s="86"/>
      <c r="AO152" s="104" t="n">
        <v>6213</v>
      </c>
      <c r="AP152" s="95"/>
      <c r="AQ152" s="95"/>
      <c r="AR152" s="95"/>
      <c r="AS152" s="95"/>
      <c r="AT152" s="95"/>
      <c r="AU152" s="95"/>
      <c r="AV152" s="96" t="str">
        <f aca="false">IF(AND(AP152&gt;0,J152&gt;0),J152*1000/(AP152*0.2),"")</f>
        <v/>
      </c>
      <c r="AW152" s="96" t="str">
        <f aca="false">IF(AND(AS152&gt;0,M152&gt;0),M152*1000/(AS152*0.3),"")</f>
        <v/>
      </c>
      <c r="AX152" s="96" t="n">
        <f aca="false">IF(AND(AO152&gt;0,O152&gt;0),O152*1000/(AO152*0.1),"")</f>
        <v>1690.00482858522</v>
      </c>
      <c r="AY152" s="96" t="str">
        <f aca="false">IF(AND(AR152&gt;0,N152&gt;0),N152*1000/(AR152*0.25),"")</f>
        <v/>
      </c>
      <c r="AZ152" s="96" t="str">
        <f aca="false">IF(AND(AQ152&gt;0,Q152&gt;0),Q152*1000/(AQ152*1),"")</f>
        <v/>
      </c>
      <c r="BA152" s="97" t="n">
        <f aca="false">IFERROR(VLOOKUP($I152,'07_Settings'!$A$10:$F$14,6,FALSE()),0.25)</f>
        <v>0.35</v>
      </c>
      <c r="BB152" s="98" t="n">
        <v>1</v>
      </c>
      <c r="BC152" s="98" t="n">
        <v>1</v>
      </c>
      <c r="BD152" s="98" t="n">
        <v>1</v>
      </c>
      <c r="BE152" s="99" t="n">
        <f aca="false">IFERROR(ROUND($S152*BA152*BC152*BD152*BB152,0),0)</f>
        <v>4004</v>
      </c>
      <c r="BF152" s="55" t="str">
        <f aca="false">IF(COUNT(AO152:AU152)&gt;0,"estimated","pending")</f>
        <v>estimated</v>
      </c>
    </row>
    <row r="153" customFormat="false" ht="16.5" hidden="false" customHeight="true" outlineLevel="0" collapsed="false">
      <c r="A153" s="102"/>
      <c r="B153" s="112" t="n">
        <f aca="false">IF($C153="","",COUNTA($C$5:C153))</f>
        <v>149</v>
      </c>
      <c r="C153" s="113" t="s">
        <v>1035</v>
      </c>
      <c r="D153" s="114" t="s">
        <v>279</v>
      </c>
      <c r="E153" s="113" t="s">
        <v>575</v>
      </c>
      <c r="F153" s="113" t="s">
        <v>575</v>
      </c>
      <c r="G153" s="114" t="s">
        <v>210</v>
      </c>
      <c r="H153" s="114" t="n">
        <v>2</v>
      </c>
      <c r="I153" s="114" t="s">
        <v>114</v>
      </c>
      <c r="J153" s="115" t="n">
        <v>11250</v>
      </c>
      <c r="K153" s="115" t="n">
        <v>4500</v>
      </c>
      <c r="L153" s="115" t="n">
        <f aca="false">IF($C153="","",ROUND($J153*0.17,0))</f>
        <v>1913</v>
      </c>
      <c r="M153" s="115" t="n">
        <v>8000</v>
      </c>
      <c r="N153" s="115" t="n">
        <v>3500</v>
      </c>
      <c r="O153" s="115" t="n">
        <v>2000</v>
      </c>
      <c r="P153" s="115" t="n">
        <v>2000</v>
      </c>
      <c r="Q153" s="115" t="n">
        <v>13500</v>
      </c>
      <c r="R153" s="115" t="n">
        <v>6075</v>
      </c>
      <c r="S153" s="115" t="n">
        <f aca="false">IF($C153="","",ROUND($J153*2.2,0))</f>
        <v>24750</v>
      </c>
      <c r="T153" s="115" t="n">
        <v>4638</v>
      </c>
      <c r="U153" s="115" t="n">
        <v>4063</v>
      </c>
      <c r="V153" s="115" t="n">
        <v>2438</v>
      </c>
      <c r="W153" s="115" t="n">
        <v>2400</v>
      </c>
      <c r="X153" s="116" t="s">
        <v>290</v>
      </c>
      <c r="Y153" s="117" t="n">
        <v>0.3</v>
      </c>
      <c r="Z153" s="117" t="n">
        <v>1</v>
      </c>
      <c r="AA153" s="113" t="s">
        <v>1036</v>
      </c>
      <c r="AB153" s="113" t="s">
        <v>1037</v>
      </c>
      <c r="AC153" s="116"/>
      <c r="AD153" s="116" t="s">
        <v>1038</v>
      </c>
      <c r="AE153" s="116"/>
      <c r="AF153" s="116"/>
      <c r="AG153" s="116"/>
      <c r="AH153" s="118"/>
      <c r="AI153" s="118"/>
      <c r="AJ153" s="118"/>
      <c r="AK153" s="118" t="s">
        <v>1039</v>
      </c>
      <c r="AL153" s="118"/>
      <c r="AM153" s="103"/>
      <c r="AN153" s="102"/>
      <c r="AO153" s="95"/>
      <c r="AP153" s="95"/>
      <c r="AQ153" s="95"/>
      <c r="AR153" s="95"/>
      <c r="AS153" s="95"/>
      <c r="AT153" s="95"/>
      <c r="AU153" s="95"/>
      <c r="AV153" s="96" t="str">
        <f aca="false">IF(AND(AP153&gt;0,J153&gt;0),J153*1000/(AP153*0.2),"")</f>
        <v/>
      </c>
      <c r="AW153" s="96" t="str">
        <f aca="false">IF(AND(AS153&gt;0,M153&gt;0),M153*1000/(AS153*0.3),"")</f>
        <v/>
      </c>
      <c r="AX153" s="96" t="str">
        <f aca="false">IF(AND(AO153&gt;0,O153&gt;0),O153*1000/(AO153*0.1),"")</f>
        <v/>
      </c>
      <c r="AY153" s="96" t="str">
        <f aca="false">IF(AND(AR153&gt;0,N153&gt;0),N153*1000/(AR153*0.25),"")</f>
        <v/>
      </c>
      <c r="AZ153" s="96" t="str">
        <f aca="false">IF(AND(AQ153&gt;0,Q153&gt;0),Q153*1000/(AQ153*1),"")</f>
        <v/>
      </c>
      <c r="BA153" s="97" t="n">
        <f aca="false">IFERROR(VLOOKUP($I153,'07_Settings'!$A$10:$F$14,6,FALSE()),0.25)</f>
        <v>0.45</v>
      </c>
      <c r="BB153" s="98" t="n">
        <v>1</v>
      </c>
      <c r="BC153" s="98" t="n">
        <v>1</v>
      </c>
      <c r="BD153" s="98" t="n">
        <v>1</v>
      </c>
      <c r="BE153" s="99" t="n">
        <f aca="false">IFERROR(ROUND($S153*BA153*BC153*BD153*BB153,0),0)</f>
        <v>11138</v>
      </c>
      <c r="BF153" s="55" t="str">
        <f aca="false">IF(COUNT(AO153:AU153)&gt;0,"estimated","pending")</f>
        <v>pending</v>
      </c>
    </row>
    <row r="154" customFormat="false" ht="16.5" hidden="false" customHeight="true" outlineLevel="0" collapsed="false">
      <c r="A154" s="102"/>
      <c r="B154" s="112" t="n">
        <f aca="false">IF($C154="","",COUNTA($C$5:C154))</f>
        <v>150</v>
      </c>
      <c r="C154" s="113" t="s">
        <v>1040</v>
      </c>
      <c r="D154" s="114" t="s">
        <v>279</v>
      </c>
      <c r="E154" s="113" t="s">
        <v>575</v>
      </c>
      <c r="F154" s="113" t="s">
        <v>575</v>
      </c>
      <c r="G154" s="114" t="s">
        <v>1041</v>
      </c>
      <c r="H154" s="114" t="n">
        <v>1</v>
      </c>
      <c r="I154" s="114" t="s">
        <v>118</v>
      </c>
      <c r="J154" s="115" t="n">
        <v>12100</v>
      </c>
      <c r="K154" s="115" t="n">
        <v>5100</v>
      </c>
      <c r="L154" s="115" t="n">
        <f aca="false">IF($C154="","",ROUND($J154*0.17,0))</f>
        <v>2057</v>
      </c>
      <c r="M154" s="115" t="n">
        <v>9450</v>
      </c>
      <c r="N154" s="115" t="n">
        <v>3850</v>
      </c>
      <c r="O154" s="115" t="n">
        <v>2400</v>
      </c>
      <c r="P154" s="115" t="n">
        <v>2400</v>
      </c>
      <c r="Q154" s="115" t="n">
        <v>17550</v>
      </c>
      <c r="R154" s="115" t="n">
        <v>7850</v>
      </c>
      <c r="S154" s="115" t="n">
        <f aca="false">IF($C154="","",ROUND($J154*2.2,0))</f>
        <v>26620</v>
      </c>
      <c r="T154" s="115" t="n">
        <v>4250</v>
      </c>
      <c r="U154" s="115" t="n">
        <v>3650</v>
      </c>
      <c r="V154" s="115" t="n">
        <v>2200</v>
      </c>
      <c r="W154" s="115" t="n">
        <v>2400</v>
      </c>
      <c r="X154" s="116" t="s">
        <v>310</v>
      </c>
      <c r="Y154" s="117" t="n">
        <v>0.5</v>
      </c>
      <c r="Z154" s="117" t="n">
        <v>1</v>
      </c>
      <c r="AA154" s="113" t="s">
        <v>1042</v>
      </c>
      <c r="AB154" s="113" t="s">
        <v>1043</v>
      </c>
      <c r="AC154" s="116"/>
      <c r="AD154" s="116"/>
      <c r="AE154" s="116"/>
      <c r="AF154" s="116"/>
      <c r="AG154" s="116"/>
      <c r="AH154" s="118"/>
      <c r="AI154" s="118"/>
      <c r="AJ154" s="118"/>
      <c r="AK154" s="120" t="n">
        <v>35528</v>
      </c>
      <c r="AL154" s="118"/>
      <c r="AM154" s="103"/>
      <c r="AN154" s="102"/>
      <c r="AO154" s="104" t="n">
        <v>19500</v>
      </c>
      <c r="AP154" s="104" t="n">
        <v>18000</v>
      </c>
      <c r="AQ154" s="95"/>
      <c r="AR154" s="95"/>
      <c r="AS154" s="95"/>
      <c r="AT154" s="95"/>
      <c r="AU154" s="95"/>
      <c r="AV154" s="96" t="n">
        <f aca="false">IF(AND(AP154&gt;0,J154&gt;0),J154*1000/(AP154*0.2),"")</f>
        <v>3361.11111111111</v>
      </c>
      <c r="AW154" s="96" t="str">
        <f aca="false">IF(AND(AS154&gt;0,M154&gt;0),M154*1000/(AS154*0.3),"")</f>
        <v/>
      </c>
      <c r="AX154" s="96" t="n">
        <f aca="false">IF(AND(AO154&gt;0,O154&gt;0),O154*1000/(AO154*0.1),"")</f>
        <v>1230.76923076923</v>
      </c>
      <c r="AY154" s="96" t="str">
        <f aca="false">IF(AND(AR154&gt;0,N154&gt;0),N154*1000/(AR154*0.25),"")</f>
        <v/>
      </c>
      <c r="AZ154" s="96" t="str">
        <f aca="false">IF(AND(AQ154&gt;0,Q154&gt;0),Q154*1000/(AQ154*1),"")</f>
        <v/>
      </c>
      <c r="BA154" s="97" t="n">
        <f aca="false">IFERROR(VLOOKUP($I154,'07_Settings'!$A$10:$F$14,6,FALSE()),0.25)</f>
        <v>0.35</v>
      </c>
      <c r="BB154" s="98" t="n">
        <v>1</v>
      </c>
      <c r="BC154" s="98" t="n">
        <v>1</v>
      </c>
      <c r="BD154" s="98" t="n">
        <v>1</v>
      </c>
      <c r="BE154" s="99" t="n">
        <f aca="false">IFERROR(ROUND($S154*BA154*BC154*BD154*BB154,0),0)</f>
        <v>9317</v>
      </c>
      <c r="BF154" s="55" t="str">
        <f aca="false">IF(COUNT(AO154:AU154)&gt;0,"estimated","pending")</f>
        <v>estimated</v>
      </c>
    </row>
    <row r="155" customFormat="false" ht="16.5" hidden="false" customHeight="true" outlineLevel="0" collapsed="false">
      <c r="A155" s="102"/>
      <c r="B155" s="112" t="n">
        <f aca="false">IF($C155="","",COUNTA($C$5:C155))</f>
        <v>151</v>
      </c>
      <c r="C155" s="113" t="s">
        <v>1044</v>
      </c>
      <c r="D155" s="114" t="s">
        <v>279</v>
      </c>
      <c r="E155" s="113" t="s">
        <v>575</v>
      </c>
      <c r="F155" s="113" t="s">
        <v>575</v>
      </c>
      <c r="G155" s="114" t="s">
        <v>1041</v>
      </c>
      <c r="H155" s="114" t="n">
        <v>2</v>
      </c>
      <c r="I155" s="114" t="s">
        <v>118</v>
      </c>
      <c r="J155" s="115" t="n">
        <v>5200</v>
      </c>
      <c r="K155" s="115" t="n">
        <v>2200</v>
      </c>
      <c r="L155" s="115" t="n">
        <f aca="false">IF($C155="","",ROUND($J155*0.17,0))</f>
        <v>884</v>
      </c>
      <c r="M155" s="115" t="n">
        <v>4050</v>
      </c>
      <c r="N155" s="115" t="n">
        <v>1650</v>
      </c>
      <c r="O155" s="115" t="n">
        <v>1050</v>
      </c>
      <c r="P155" s="115" t="n">
        <v>1050</v>
      </c>
      <c r="Q155" s="115" t="n">
        <v>7550</v>
      </c>
      <c r="R155" s="115" t="n">
        <v>3400</v>
      </c>
      <c r="S155" s="115" t="n">
        <f aca="false">IF($C155="","",ROUND($J155*2.2,0))</f>
        <v>11440</v>
      </c>
      <c r="T155" s="115" t="n">
        <v>1800</v>
      </c>
      <c r="U155" s="115" t="n">
        <v>1550</v>
      </c>
      <c r="V155" s="115" t="n">
        <v>950</v>
      </c>
      <c r="W155" s="115" t="n">
        <v>2400</v>
      </c>
      <c r="X155" s="116" t="s">
        <v>290</v>
      </c>
      <c r="Y155" s="117" t="n">
        <v>0.75</v>
      </c>
      <c r="Z155" s="117" t="n">
        <v>1</v>
      </c>
      <c r="AA155" s="113" t="s">
        <v>1045</v>
      </c>
      <c r="AB155" s="113" t="s">
        <v>1046</v>
      </c>
      <c r="AC155" s="116" t="s">
        <v>1047</v>
      </c>
      <c r="AD155" s="116"/>
      <c r="AE155" s="116"/>
      <c r="AF155" s="116"/>
      <c r="AG155" s="116"/>
      <c r="AH155" s="118"/>
      <c r="AI155" s="118"/>
      <c r="AJ155" s="118"/>
      <c r="AK155" s="120" t="n">
        <v>37416</v>
      </c>
      <c r="AL155" s="118"/>
      <c r="AM155" s="103"/>
      <c r="AN155" s="102"/>
      <c r="AO155" s="104" t="n">
        <v>5888</v>
      </c>
      <c r="AP155" s="104" t="n">
        <v>7148</v>
      </c>
      <c r="AQ155" s="95"/>
      <c r="AR155" s="95"/>
      <c r="AS155" s="95"/>
      <c r="AT155" s="95"/>
      <c r="AU155" s="95"/>
      <c r="AV155" s="96" t="n">
        <f aca="false">IF(AND(AP155&gt;0,J155&gt;0),J155*1000/(AP155*0.2),"")</f>
        <v>3637.38108561835</v>
      </c>
      <c r="AW155" s="96" t="str">
        <f aca="false">IF(AND(AS155&gt;0,M155&gt;0),M155*1000/(AS155*0.3),"")</f>
        <v/>
      </c>
      <c r="AX155" s="96" t="n">
        <f aca="false">IF(AND(AO155&gt;0,O155&gt;0),O155*1000/(AO155*0.1),"")</f>
        <v>1783.28804347826</v>
      </c>
      <c r="AY155" s="96" t="str">
        <f aca="false">IF(AND(AR155&gt;0,N155&gt;0),N155*1000/(AR155*0.25),"")</f>
        <v/>
      </c>
      <c r="AZ155" s="96" t="str">
        <f aca="false">IF(AND(AQ155&gt;0,Q155&gt;0),Q155*1000/(AQ155*1),"")</f>
        <v/>
      </c>
      <c r="BA155" s="97" t="n">
        <f aca="false">IFERROR(VLOOKUP($I155,'07_Settings'!$A$10:$F$14,6,FALSE()),0.25)</f>
        <v>0.35</v>
      </c>
      <c r="BB155" s="98" t="n">
        <v>1</v>
      </c>
      <c r="BC155" s="98" t="n">
        <v>1</v>
      </c>
      <c r="BD155" s="98" t="n">
        <v>1</v>
      </c>
      <c r="BE155" s="99" t="n">
        <f aca="false">IFERROR(ROUND($S155*BA155*BC155*BD155*BB155,0),0)</f>
        <v>4004</v>
      </c>
      <c r="BF155" s="55" t="str">
        <f aca="false">IF(COUNT(AO155:AU155)&gt;0,"estimated","pending")</f>
        <v>estimated</v>
      </c>
    </row>
    <row r="156" customFormat="false" ht="16.5" hidden="false" customHeight="true" outlineLevel="0" collapsed="false">
      <c r="A156" s="102"/>
      <c r="B156" s="112" t="n">
        <f aca="false">IF($C156="","",COUNTA($C$5:C156))</f>
        <v>152</v>
      </c>
      <c r="C156" s="113" t="s">
        <v>1048</v>
      </c>
      <c r="D156" s="114" t="s">
        <v>279</v>
      </c>
      <c r="E156" s="113" t="s">
        <v>575</v>
      </c>
      <c r="F156" s="113" t="s">
        <v>575</v>
      </c>
      <c r="G156" s="114" t="s">
        <v>1041</v>
      </c>
      <c r="H156" s="114" t="n">
        <v>1</v>
      </c>
      <c r="I156" s="114" t="s">
        <v>118</v>
      </c>
      <c r="J156" s="115" t="n">
        <v>11000</v>
      </c>
      <c r="K156" s="115" t="n">
        <v>4600</v>
      </c>
      <c r="L156" s="115" t="n">
        <f aca="false">IF($C156="","",ROUND($J156*0.17,0))</f>
        <v>1870</v>
      </c>
      <c r="M156" s="115" t="n">
        <v>8600</v>
      </c>
      <c r="N156" s="115" t="n">
        <v>3500</v>
      </c>
      <c r="O156" s="115" t="n">
        <v>2200</v>
      </c>
      <c r="P156" s="115" t="n">
        <v>2200</v>
      </c>
      <c r="Q156" s="115" t="n">
        <v>15950</v>
      </c>
      <c r="R156" s="115" t="n">
        <v>7150</v>
      </c>
      <c r="S156" s="115" t="n">
        <f aca="false">IF($C156="","",ROUND($J156*2.2,0))</f>
        <v>24200</v>
      </c>
      <c r="T156" s="115" t="n">
        <v>3850</v>
      </c>
      <c r="U156" s="115" t="n">
        <v>3300</v>
      </c>
      <c r="V156" s="115" t="n">
        <v>2000</v>
      </c>
      <c r="W156" s="115" t="n">
        <v>2400</v>
      </c>
      <c r="X156" s="116" t="s">
        <v>310</v>
      </c>
      <c r="Y156" s="117" t="n">
        <v>0.75</v>
      </c>
      <c r="Z156" s="117" t="n">
        <v>1</v>
      </c>
      <c r="AA156" s="113" t="s">
        <v>1049</v>
      </c>
      <c r="AB156" s="113" t="s">
        <v>1050</v>
      </c>
      <c r="AC156" s="116"/>
      <c r="AD156" s="116"/>
      <c r="AE156" s="116"/>
      <c r="AF156" s="116"/>
      <c r="AG156" s="116"/>
      <c r="AH156" s="118"/>
      <c r="AI156" s="118"/>
      <c r="AJ156" s="118"/>
      <c r="AK156" s="120" t="n">
        <v>35799</v>
      </c>
      <c r="AL156" s="118"/>
      <c r="AM156" s="103"/>
      <c r="AN156" s="102"/>
      <c r="AO156" s="104" t="n">
        <v>3080</v>
      </c>
      <c r="AP156" s="95"/>
      <c r="AQ156" s="95"/>
      <c r="AR156" s="95"/>
      <c r="AS156" s="95"/>
      <c r="AT156" s="95"/>
      <c r="AU156" s="95"/>
      <c r="AV156" s="96" t="str">
        <f aca="false">IF(AND(AP156&gt;0,J156&gt;0),J156*1000/(AP156*0.2),"")</f>
        <v/>
      </c>
      <c r="AW156" s="96" t="str">
        <f aca="false">IF(AND(AS156&gt;0,M156&gt;0),M156*1000/(AS156*0.3),"")</f>
        <v/>
      </c>
      <c r="AX156" s="96" t="n">
        <f aca="false">IF(AND(AO156&gt;0,O156&gt;0),O156*1000/(AO156*0.1),"")</f>
        <v>7142.85714285714</v>
      </c>
      <c r="AY156" s="96" t="str">
        <f aca="false">IF(AND(AR156&gt;0,N156&gt;0),N156*1000/(AR156*0.25),"")</f>
        <v/>
      </c>
      <c r="AZ156" s="96" t="str">
        <f aca="false">IF(AND(AQ156&gt;0,Q156&gt;0),Q156*1000/(AQ156*1),"")</f>
        <v/>
      </c>
      <c r="BA156" s="97" t="n">
        <f aca="false">IFERROR(VLOOKUP($I156,'07_Settings'!$A$10:$F$14,6,FALSE()),0.25)</f>
        <v>0.35</v>
      </c>
      <c r="BB156" s="98" t="n">
        <v>1</v>
      </c>
      <c r="BC156" s="98" t="n">
        <v>1</v>
      </c>
      <c r="BD156" s="98" t="n">
        <v>1</v>
      </c>
      <c r="BE156" s="99" t="n">
        <f aca="false">IFERROR(ROUND($S156*BA156*BC156*BD156*BB156,0),0)</f>
        <v>8470</v>
      </c>
      <c r="BF156" s="55" t="str">
        <f aca="false">IF(COUNT(AO156:AU156)&gt;0,"estimated","pending")</f>
        <v>estimated</v>
      </c>
    </row>
    <row r="157" customFormat="false" ht="16.5" hidden="false" customHeight="true" outlineLevel="0" collapsed="false">
      <c r="A157" s="102"/>
      <c r="B157" s="112" t="n">
        <f aca="false">IF($C157="","",COUNTA($C$5:C157))</f>
        <v>153</v>
      </c>
      <c r="C157" s="113" t="s">
        <v>1051</v>
      </c>
      <c r="D157" s="114" t="s">
        <v>279</v>
      </c>
      <c r="E157" s="113" t="s">
        <v>575</v>
      </c>
      <c r="F157" s="113" t="s">
        <v>575</v>
      </c>
      <c r="G157" s="114" t="s">
        <v>1041</v>
      </c>
      <c r="H157" s="114" t="n">
        <v>1</v>
      </c>
      <c r="I157" s="114" t="s">
        <v>118</v>
      </c>
      <c r="J157" s="115" t="n">
        <v>5200</v>
      </c>
      <c r="K157" s="115" t="n">
        <v>2200</v>
      </c>
      <c r="L157" s="115" t="n">
        <f aca="false">IF($C157="","",ROUND($J157*0.17,0))</f>
        <v>884</v>
      </c>
      <c r="M157" s="115" t="n">
        <v>4050</v>
      </c>
      <c r="N157" s="115" t="n">
        <v>1650</v>
      </c>
      <c r="O157" s="115" t="n">
        <v>1050</v>
      </c>
      <c r="P157" s="115" t="n">
        <v>1050</v>
      </c>
      <c r="Q157" s="115" t="n">
        <v>7550</v>
      </c>
      <c r="R157" s="115" t="n">
        <v>3400</v>
      </c>
      <c r="S157" s="115" t="n">
        <f aca="false">IF($C157="","",ROUND($J157*2.2,0))</f>
        <v>11440</v>
      </c>
      <c r="T157" s="115" t="n">
        <v>1800</v>
      </c>
      <c r="U157" s="115" t="n">
        <v>1550</v>
      </c>
      <c r="V157" s="115" t="n">
        <v>950</v>
      </c>
      <c r="W157" s="115" t="n">
        <v>2400</v>
      </c>
      <c r="X157" s="116" t="s">
        <v>310</v>
      </c>
      <c r="Y157" s="117" t="n">
        <v>0.75</v>
      </c>
      <c r="Z157" s="117" t="n">
        <v>1</v>
      </c>
      <c r="AA157" s="113" t="s">
        <v>1051</v>
      </c>
      <c r="AB157" s="113" t="s">
        <v>1052</v>
      </c>
      <c r="AC157" s="116"/>
      <c r="AD157" s="116"/>
      <c r="AE157" s="116"/>
      <c r="AF157" s="116"/>
      <c r="AG157" s="116"/>
      <c r="AH157" s="118"/>
      <c r="AI157" s="118"/>
      <c r="AJ157" s="118"/>
      <c r="AK157" s="120" t="n">
        <v>37628</v>
      </c>
      <c r="AL157" s="118"/>
      <c r="AM157" s="103"/>
      <c r="AN157" s="102"/>
      <c r="AO157" s="104" t="n">
        <v>922</v>
      </c>
      <c r="AP157" s="104" t="n">
        <v>778</v>
      </c>
      <c r="AQ157" s="95"/>
      <c r="AR157" s="95"/>
      <c r="AS157" s="95"/>
      <c r="AT157" s="95"/>
      <c r="AU157" s="95"/>
      <c r="AV157" s="96" t="n">
        <f aca="false">IF(AND(AP157&gt;0,J157&gt;0),J157*1000/(AP157*0.2),"")</f>
        <v>33419.0231362468</v>
      </c>
      <c r="AW157" s="96" t="str">
        <f aca="false">IF(AND(AS157&gt;0,M157&gt;0),M157*1000/(AS157*0.3),"")</f>
        <v/>
      </c>
      <c r="AX157" s="96" t="n">
        <f aca="false">IF(AND(AO157&gt;0,O157&gt;0),O157*1000/(AO157*0.1),"")</f>
        <v>11388.2863340564</v>
      </c>
      <c r="AY157" s="96" t="str">
        <f aca="false">IF(AND(AR157&gt;0,N157&gt;0),N157*1000/(AR157*0.25),"")</f>
        <v/>
      </c>
      <c r="AZ157" s="96" t="str">
        <f aca="false">IF(AND(AQ157&gt;0,Q157&gt;0),Q157*1000/(AQ157*1),"")</f>
        <v/>
      </c>
      <c r="BA157" s="97" t="n">
        <f aca="false">IFERROR(VLOOKUP($I157,'07_Settings'!$A$10:$F$14,6,FALSE()),0.25)</f>
        <v>0.35</v>
      </c>
      <c r="BB157" s="98" t="n">
        <v>1</v>
      </c>
      <c r="BC157" s="98" t="n">
        <v>1</v>
      </c>
      <c r="BD157" s="98" t="n">
        <v>1</v>
      </c>
      <c r="BE157" s="99" t="n">
        <f aca="false">IFERROR(ROUND($S157*BA157*BC157*BD157*BB157,0),0)</f>
        <v>4004</v>
      </c>
      <c r="BF157" s="55" t="str">
        <f aca="false">IF(COUNT(AO157:AU157)&gt;0,"estimated","pending")</f>
        <v>estimated</v>
      </c>
    </row>
    <row r="158" customFormat="false" ht="16.5" hidden="false" customHeight="true" outlineLevel="0" collapsed="false">
      <c r="A158" s="86"/>
      <c r="B158" s="121" t="n">
        <f aca="false">IF($C158="","",COUNTA($C$5:C158))</f>
        <v>154</v>
      </c>
      <c r="C158" s="122" t="s">
        <v>574</v>
      </c>
      <c r="D158" s="123" t="s">
        <v>29</v>
      </c>
      <c r="E158" s="122" t="s">
        <v>575</v>
      </c>
      <c r="F158" s="122" t="s">
        <v>575</v>
      </c>
      <c r="G158" s="123" t="s">
        <v>576</v>
      </c>
      <c r="H158" s="123" t="n">
        <v>1</v>
      </c>
      <c r="I158" s="123" t="s">
        <v>118</v>
      </c>
      <c r="J158" s="124" t="n">
        <v>5200</v>
      </c>
      <c r="K158" s="124" t="n">
        <v>2200</v>
      </c>
      <c r="L158" s="125" t="n">
        <f aca="false">IF($C158="","",ROUND($J158*0.17,0))</f>
        <v>884</v>
      </c>
      <c r="M158" s="124" t="n">
        <v>4050</v>
      </c>
      <c r="N158" s="124" t="n">
        <v>1650</v>
      </c>
      <c r="O158" s="124" t="n">
        <v>1050</v>
      </c>
      <c r="P158" s="124" t="n">
        <v>0</v>
      </c>
      <c r="Q158" s="124" t="n">
        <v>7550</v>
      </c>
      <c r="R158" s="124" t="n">
        <v>3400</v>
      </c>
      <c r="S158" s="125" t="n">
        <f aca="false">IF($C158="","",ROUND($J158*2.2,0))</f>
        <v>11440</v>
      </c>
      <c r="T158" s="124" t="n">
        <v>1800</v>
      </c>
      <c r="U158" s="124" t="n">
        <v>1550</v>
      </c>
      <c r="V158" s="124" t="n">
        <v>950</v>
      </c>
      <c r="W158" s="124" t="n">
        <v>0</v>
      </c>
      <c r="X158" s="124" t="s">
        <v>310</v>
      </c>
      <c r="Y158" s="126" t="n">
        <v>0.25</v>
      </c>
      <c r="Z158" s="126" t="n">
        <v>1</v>
      </c>
      <c r="AA158" s="122" t="s">
        <v>577</v>
      </c>
      <c r="AB158" s="122" t="s">
        <v>578</v>
      </c>
      <c r="AC158" s="124"/>
      <c r="AD158" s="124"/>
      <c r="AE158" s="124"/>
      <c r="AF158" s="124"/>
      <c r="AG158" s="124"/>
      <c r="AH158" s="127"/>
      <c r="AI158" s="127"/>
      <c r="AJ158" s="127"/>
      <c r="AK158" s="127" t="s">
        <v>579</v>
      </c>
      <c r="AL158" s="127"/>
      <c r="AM158" s="128"/>
      <c r="AN158" s="86"/>
      <c r="AO158" s="104" t="n">
        <v>6213</v>
      </c>
      <c r="AP158" s="95"/>
      <c r="AQ158" s="95"/>
      <c r="AR158" s="95"/>
      <c r="AS158" s="95"/>
      <c r="AT158" s="95"/>
      <c r="AU158" s="95"/>
      <c r="AV158" s="96" t="str">
        <f aca="false">IF(AND(AP158&gt;0,J158&gt;0),J158*1000/(AP158*0.2),"")</f>
        <v/>
      </c>
      <c r="AW158" s="96" t="str">
        <f aca="false">IF(AND(AS158&gt;0,M158&gt;0),M158*1000/(AS158*0.3),"")</f>
        <v/>
      </c>
      <c r="AX158" s="96" t="n">
        <f aca="false">IF(AND(AO158&gt;0,O158&gt;0),O158*1000/(AO158*0.1),"")</f>
        <v>1690.00482858522</v>
      </c>
      <c r="AY158" s="96" t="str">
        <f aca="false">IF(AND(AR158&gt;0,N158&gt;0),N158*1000/(AR158*0.25),"")</f>
        <v/>
      </c>
      <c r="AZ158" s="96" t="str">
        <f aca="false">IF(AND(AQ158&gt;0,Q158&gt;0),Q158*1000/(AQ158*1),"")</f>
        <v/>
      </c>
      <c r="BA158" s="97" t="n">
        <f aca="false">IFERROR(VLOOKUP($I158,'07_Settings'!$A$10:$F$14,6,FALSE()),0.25)</f>
        <v>0.35</v>
      </c>
      <c r="BB158" s="98" t="n">
        <v>1</v>
      </c>
      <c r="BC158" s="98" t="n">
        <v>1</v>
      </c>
      <c r="BD158" s="98" t="n">
        <v>1</v>
      </c>
      <c r="BE158" s="99" t="n">
        <f aca="false">IFERROR(ROUND($S158*BA158*BC158*BD158*BB158,0),0)</f>
        <v>4004</v>
      </c>
      <c r="BF158" s="55" t="str">
        <f aca="false">IF(COUNT(AO158:AU158)&gt;0,"estimated","pending")</f>
        <v>estimated</v>
      </c>
    </row>
    <row r="159" customFormat="false" ht="16.5" hidden="false" customHeight="true" outlineLevel="0" collapsed="false">
      <c r="A159" s="102"/>
      <c r="B159" s="112" t="n">
        <f aca="false">IF($C159="","",COUNTA($C$5:C159))</f>
        <v>155</v>
      </c>
      <c r="C159" s="113" t="s">
        <v>1053</v>
      </c>
      <c r="D159" s="114" t="s">
        <v>279</v>
      </c>
      <c r="E159" s="113" t="s">
        <v>1054</v>
      </c>
      <c r="F159" s="113" t="s">
        <v>1055</v>
      </c>
      <c r="G159" s="114" t="s">
        <v>1056</v>
      </c>
      <c r="H159" s="114" t="n">
        <v>3</v>
      </c>
      <c r="I159" s="114" t="s">
        <v>118</v>
      </c>
      <c r="J159" s="115" t="n">
        <v>11250</v>
      </c>
      <c r="K159" s="115" t="n">
        <v>4500</v>
      </c>
      <c r="L159" s="115" t="n">
        <f aca="false">IF($C159="","",ROUND($J159*0.17,0))</f>
        <v>1913</v>
      </c>
      <c r="M159" s="115" t="n">
        <v>8000</v>
      </c>
      <c r="N159" s="115" t="n">
        <v>3500</v>
      </c>
      <c r="O159" s="115" t="n">
        <v>2000</v>
      </c>
      <c r="P159" s="115" t="n">
        <v>2000</v>
      </c>
      <c r="Q159" s="115" t="n">
        <v>13500</v>
      </c>
      <c r="R159" s="115" t="n">
        <v>6075</v>
      </c>
      <c r="S159" s="115" t="n">
        <f aca="false">IF($C159="","",ROUND($J159*2.2,0))</f>
        <v>24750</v>
      </c>
      <c r="T159" s="115" t="n">
        <v>4638</v>
      </c>
      <c r="U159" s="115" t="n">
        <v>4063</v>
      </c>
      <c r="V159" s="115" t="n">
        <v>2438</v>
      </c>
      <c r="W159" s="115" t="n">
        <v>2400</v>
      </c>
      <c r="X159" s="116" t="s">
        <v>236</v>
      </c>
      <c r="Y159" s="117" t="n">
        <v>0.3</v>
      </c>
      <c r="Z159" s="117" t="n">
        <v>1</v>
      </c>
      <c r="AA159" s="113" t="s">
        <v>1057</v>
      </c>
      <c r="AB159" s="113" t="s">
        <v>1058</v>
      </c>
      <c r="AC159" s="116"/>
      <c r="AD159" s="116" t="s">
        <v>1059</v>
      </c>
      <c r="AE159" s="116"/>
      <c r="AF159" s="116"/>
      <c r="AG159" s="116"/>
      <c r="AH159" s="118" t="s">
        <v>1060</v>
      </c>
      <c r="AI159" s="118"/>
      <c r="AJ159" s="118"/>
      <c r="AK159" s="118" t="s">
        <v>1061</v>
      </c>
      <c r="AL159" s="118"/>
      <c r="AM159" s="103"/>
      <c r="AN159" s="102"/>
      <c r="AO159" s="104" t="n">
        <v>6517</v>
      </c>
      <c r="AP159" s="95"/>
      <c r="AQ159" s="95"/>
      <c r="AR159" s="95"/>
      <c r="AS159" s="95"/>
      <c r="AT159" s="95"/>
      <c r="AU159" s="95"/>
      <c r="AV159" s="96" t="str">
        <f aca="false">IF(AND(AP159&gt;0,J159&gt;0),J159*1000/(AP159*0.2),"")</f>
        <v/>
      </c>
      <c r="AW159" s="96" t="str">
        <f aca="false">IF(AND(AS159&gt;0,M159&gt;0),M159*1000/(AS159*0.3),"")</f>
        <v/>
      </c>
      <c r="AX159" s="96" t="n">
        <f aca="false">IF(AND(AO159&gt;0,O159&gt;0),O159*1000/(AO159*0.1),"")</f>
        <v>3068.89673162498</v>
      </c>
      <c r="AY159" s="96" t="str">
        <f aca="false">IF(AND(AR159&gt;0,N159&gt;0),N159*1000/(AR159*0.25),"")</f>
        <v/>
      </c>
      <c r="AZ159" s="96" t="str">
        <f aca="false">IF(AND(AQ159&gt;0,Q159&gt;0),Q159*1000/(AQ159*1),"")</f>
        <v/>
      </c>
      <c r="BA159" s="97" t="n">
        <f aca="false">IFERROR(VLOOKUP($I159,'07_Settings'!$A$10:$F$14,6,FALSE()),0.25)</f>
        <v>0.35</v>
      </c>
      <c r="BB159" s="98" t="n">
        <v>1</v>
      </c>
      <c r="BC159" s="98" t="n">
        <v>1</v>
      </c>
      <c r="BD159" s="98" t="n">
        <v>1</v>
      </c>
      <c r="BE159" s="99" t="n">
        <f aca="false">IFERROR(ROUND($S159*BA159*BC159*BD159*BB159,0),0)</f>
        <v>8663</v>
      </c>
      <c r="BF159" s="55" t="str">
        <f aca="false">IF(COUNT(AO159:AU159)&gt;0,"estimated","pending")</f>
        <v>estimated</v>
      </c>
    </row>
    <row r="160" customFormat="false" ht="16.5" hidden="false" customHeight="true" outlineLevel="0" collapsed="false">
      <c r="A160" s="102"/>
      <c r="B160" s="112" t="n">
        <f aca="false">IF($C160="","",COUNTA($C$5:C160))</f>
        <v>156</v>
      </c>
      <c r="C160" s="113" t="s">
        <v>1062</v>
      </c>
      <c r="D160" s="114" t="s">
        <v>279</v>
      </c>
      <c r="E160" s="113" t="s">
        <v>1054</v>
      </c>
      <c r="F160" s="113" t="s">
        <v>1055</v>
      </c>
      <c r="G160" s="114" t="s">
        <v>804</v>
      </c>
      <c r="H160" s="114" t="n">
        <v>2</v>
      </c>
      <c r="I160" s="114" t="s">
        <v>118</v>
      </c>
      <c r="J160" s="115" t="n">
        <v>11000</v>
      </c>
      <c r="K160" s="115" t="n">
        <v>4600</v>
      </c>
      <c r="L160" s="115" t="n">
        <f aca="false">IF($C160="","",ROUND($J160*0.17,0))</f>
        <v>1870</v>
      </c>
      <c r="M160" s="115" t="n">
        <v>8600</v>
      </c>
      <c r="N160" s="115" t="n">
        <v>3500</v>
      </c>
      <c r="O160" s="115" t="n">
        <v>2200</v>
      </c>
      <c r="P160" s="115" t="n">
        <v>2200</v>
      </c>
      <c r="Q160" s="115" t="n">
        <v>15950</v>
      </c>
      <c r="R160" s="115" t="n">
        <v>7150</v>
      </c>
      <c r="S160" s="115" t="n">
        <f aca="false">IF($C160="","",ROUND($J160*2.2,0))</f>
        <v>24200</v>
      </c>
      <c r="T160" s="115" t="n">
        <v>3850</v>
      </c>
      <c r="U160" s="115" t="n">
        <v>3300</v>
      </c>
      <c r="V160" s="115" t="n">
        <v>2000</v>
      </c>
      <c r="W160" s="115" t="n">
        <v>2400</v>
      </c>
      <c r="X160" s="116" t="s">
        <v>290</v>
      </c>
      <c r="Y160" s="117" t="n">
        <v>0.3</v>
      </c>
      <c r="Z160" s="117" t="n">
        <v>1</v>
      </c>
      <c r="AA160" s="113" t="s">
        <v>1063</v>
      </c>
      <c r="AB160" s="113" t="s">
        <v>1064</v>
      </c>
      <c r="AC160" s="116"/>
      <c r="AD160" s="116" t="s">
        <v>1065</v>
      </c>
      <c r="AE160" s="116"/>
      <c r="AF160" s="116"/>
      <c r="AG160" s="116"/>
      <c r="AH160" s="118"/>
      <c r="AI160" s="118"/>
      <c r="AJ160" s="118"/>
      <c r="AK160" s="120" t="n">
        <v>38020</v>
      </c>
      <c r="AL160" s="118"/>
      <c r="AM160" s="103"/>
      <c r="AN160" s="102"/>
      <c r="AO160" s="104" t="n">
        <v>24200</v>
      </c>
      <c r="AP160" s="95"/>
      <c r="AQ160" s="95"/>
      <c r="AR160" s="95"/>
      <c r="AS160" s="95"/>
      <c r="AT160" s="95"/>
      <c r="AU160" s="95"/>
      <c r="AV160" s="96" t="str">
        <f aca="false">IF(AND(AP160&gt;0,J160&gt;0),J160*1000/(AP160*0.2),"")</f>
        <v/>
      </c>
      <c r="AW160" s="96" t="str">
        <f aca="false">IF(AND(AS160&gt;0,M160&gt;0),M160*1000/(AS160*0.3),"")</f>
        <v/>
      </c>
      <c r="AX160" s="96" t="n">
        <f aca="false">IF(AND(AO160&gt;0,O160&gt;0),O160*1000/(AO160*0.1),"")</f>
        <v>909.090909090909</v>
      </c>
      <c r="AY160" s="96" t="str">
        <f aca="false">IF(AND(AR160&gt;0,N160&gt;0),N160*1000/(AR160*0.25),"")</f>
        <v/>
      </c>
      <c r="AZ160" s="96" t="str">
        <f aca="false">IF(AND(AQ160&gt;0,Q160&gt;0),Q160*1000/(AQ160*1),"")</f>
        <v/>
      </c>
      <c r="BA160" s="97" t="n">
        <f aca="false">IFERROR(VLOOKUP($I160,'07_Settings'!$A$10:$F$14,6,FALSE()),0.25)</f>
        <v>0.35</v>
      </c>
      <c r="BB160" s="98" t="n">
        <v>1</v>
      </c>
      <c r="BC160" s="98" t="n">
        <v>1</v>
      </c>
      <c r="BD160" s="98" t="n">
        <v>1</v>
      </c>
      <c r="BE160" s="99" t="n">
        <f aca="false">IFERROR(ROUND($S160*BA160*BC160*BD160*BB160,0),0)</f>
        <v>8470</v>
      </c>
      <c r="BF160" s="55" t="str">
        <f aca="false">IF(COUNT(AO160:AU160)&gt;0,"estimated","pending")</f>
        <v>estimated</v>
      </c>
    </row>
    <row r="161" customFormat="false" ht="16.5" hidden="false" customHeight="true" outlineLevel="0" collapsed="false">
      <c r="A161" s="102"/>
      <c r="B161" s="112" t="n">
        <f aca="false">IF($C161="","",COUNTA($C$5:C161))</f>
        <v>157</v>
      </c>
      <c r="C161" s="113" t="s">
        <v>1066</v>
      </c>
      <c r="D161" s="114" t="s">
        <v>279</v>
      </c>
      <c r="E161" s="113" t="s">
        <v>1054</v>
      </c>
      <c r="F161" s="113" t="s">
        <v>1055</v>
      </c>
      <c r="G161" s="114" t="s">
        <v>1056</v>
      </c>
      <c r="H161" s="114" t="n">
        <v>1</v>
      </c>
      <c r="I161" s="114" t="s">
        <v>118</v>
      </c>
      <c r="J161" s="115" t="n">
        <v>11000</v>
      </c>
      <c r="K161" s="115" t="n">
        <v>4600</v>
      </c>
      <c r="L161" s="115" t="n">
        <f aca="false">IF($C161="","",ROUND($J161*0.17,0))</f>
        <v>1870</v>
      </c>
      <c r="M161" s="115" t="n">
        <v>8600</v>
      </c>
      <c r="N161" s="115" t="n">
        <v>3500</v>
      </c>
      <c r="O161" s="115" t="n">
        <v>2200</v>
      </c>
      <c r="P161" s="115" t="n">
        <v>2200</v>
      </c>
      <c r="Q161" s="115" t="n">
        <v>15950</v>
      </c>
      <c r="R161" s="115" t="n">
        <v>7150</v>
      </c>
      <c r="S161" s="115" t="n">
        <f aca="false">IF($C161="","",ROUND($J161*2.2,0))</f>
        <v>24200</v>
      </c>
      <c r="T161" s="115" t="n">
        <v>3850</v>
      </c>
      <c r="U161" s="115" t="n">
        <v>3300</v>
      </c>
      <c r="V161" s="115" t="n">
        <v>2000</v>
      </c>
      <c r="W161" s="115" t="n">
        <v>2400</v>
      </c>
      <c r="X161" s="116" t="s">
        <v>310</v>
      </c>
      <c r="Y161" s="117" t="n">
        <v>0.4</v>
      </c>
      <c r="Z161" s="117" t="n">
        <v>1</v>
      </c>
      <c r="AA161" s="113" t="s">
        <v>1067</v>
      </c>
      <c r="AB161" s="113" t="s">
        <v>1068</v>
      </c>
      <c r="AC161" s="116"/>
      <c r="AD161" s="116"/>
      <c r="AE161" s="116"/>
      <c r="AF161" s="116"/>
      <c r="AG161" s="116"/>
      <c r="AH161" s="118"/>
      <c r="AI161" s="118"/>
      <c r="AJ161" s="118"/>
      <c r="AK161" s="118" t="s">
        <v>1069</v>
      </c>
      <c r="AL161" s="118"/>
      <c r="AM161" s="103"/>
      <c r="AN161" s="102"/>
      <c r="AO161" s="104" t="n">
        <v>5371</v>
      </c>
      <c r="AP161" s="104" t="n">
        <v>4383</v>
      </c>
      <c r="AQ161" s="95"/>
      <c r="AR161" s="95"/>
      <c r="AS161" s="95"/>
      <c r="AT161" s="95"/>
      <c r="AU161" s="95"/>
      <c r="AV161" s="96" t="n">
        <f aca="false">IF(AND(AP161&gt;0,J161&gt;0),J161*1000/(AP161*0.2),"")</f>
        <v>12548.4827743555</v>
      </c>
      <c r="AW161" s="96" t="str">
        <f aca="false">IF(AND(AS161&gt;0,M161&gt;0),M161*1000/(AS161*0.3),"")</f>
        <v/>
      </c>
      <c r="AX161" s="96" t="n">
        <f aca="false">IF(AND(AO161&gt;0,O161&gt;0),O161*1000/(AO161*0.1),"")</f>
        <v>4096.0714950661</v>
      </c>
      <c r="AY161" s="96" t="str">
        <f aca="false">IF(AND(AR161&gt;0,N161&gt;0),N161*1000/(AR161*0.25),"")</f>
        <v/>
      </c>
      <c r="AZ161" s="96" t="str">
        <f aca="false">IF(AND(AQ161&gt;0,Q161&gt;0),Q161*1000/(AQ161*1),"")</f>
        <v/>
      </c>
      <c r="BA161" s="97" t="n">
        <f aca="false">IFERROR(VLOOKUP($I161,'07_Settings'!$A$10:$F$14,6,FALSE()),0.25)</f>
        <v>0.35</v>
      </c>
      <c r="BB161" s="98" t="n">
        <v>1</v>
      </c>
      <c r="BC161" s="98" t="n">
        <v>1</v>
      </c>
      <c r="BD161" s="98" t="n">
        <v>1</v>
      </c>
      <c r="BE161" s="99" t="n">
        <f aca="false">IFERROR(ROUND($S161*BA161*BC161*BD161*BB161,0),0)</f>
        <v>8470</v>
      </c>
      <c r="BF161" s="55" t="str">
        <f aca="false">IF(COUNT(AO161:AU161)&gt;0,"estimated","pending")</f>
        <v>estimated</v>
      </c>
    </row>
    <row r="162" customFormat="false" ht="16.5" hidden="false" customHeight="true" outlineLevel="0" collapsed="false">
      <c r="A162" s="102"/>
      <c r="B162" s="112" t="n">
        <f aca="false">IF($C162="","",COUNTA($C$5:C162))</f>
        <v>158</v>
      </c>
      <c r="C162" s="113" t="s">
        <v>1070</v>
      </c>
      <c r="D162" s="114" t="s">
        <v>279</v>
      </c>
      <c r="E162" s="113" t="s">
        <v>1054</v>
      </c>
      <c r="F162" s="113" t="s">
        <v>1055</v>
      </c>
      <c r="G162" s="114" t="s">
        <v>560</v>
      </c>
      <c r="H162" s="114" t="n">
        <v>2</v>
      </c>
      <c r="I162" s="114" t="s">
        <v>114</v>
      </c>
      <c r="J162" s="115" t="n">
        <v>5200</v>
      </c>
      <c r="K162" s="115" t="n">
        <v>2200</v>
      </c>
      <c r="L162" s="115" t="n">
        <f aca="false">IF($C162="","",ROUND($J162*0.17,0))</f>
        <v>884</v>
      </c>
      <c r="M162" s="115" t="n">
        <v>4050</v>
      </c>
      <c r="N162" s="115" t="n">
        <v>1650</v>
      </c>
      <c r="O162" s="115" t="n">
        <v>1050</v>
      </c>
      <c r="P162" s="115" t="n">
        <v>1050</v>
      </c>
      <c r="Q162" s="115" t="n">
        <v>7550</v>
      </c>
      <c r="R162" s="115" t="n">
        <v>3400</v>
      </c>
      <c r="S162" s="115" t="n">
        <f aca="false">IF($C162="","",ROUND($J162*2.2,0))</f>
        <v>11440</v>
      </c>
      <c r="T162" s="115" t="n">
        <v>1800</v>
      </c>
      <c r="U162" s="115" t="n">
        <v>1550</v>
      </c>
      <c r="V162" s="115" t="n">
        <v>950</v>
      </c>
      <c r="W162" s="115" t="n">
        <v>2400</v>
      </c>
      <c r="X162" s="116" t="s">
        <v>290</v>
      </c>
      <c r="Y162" s="117" t="n">
        <v>0.2</v>
      </c>
      <c r="Z162" s="117" t="n">
        <v>1</v>
      </c>
      <c r="AA162" s="113" t="s">
        <v>1071</v>
      </c>
      <c r="AB162" s="113" t="s">
        <v>1072</v>
      </c>
      <c r="AC162" s="116"/>
      <c r="AD162" s="116" t="s">
        <v>1073</v>
      </c>
      <c r="AE162" s="116"/>
      <c r="AF162" s="116"/>
      <c r="AG162" s="116"/>
      <c r="AH162" s="118"/>
      <c r="AI162" s="118"/>
      <c r="AJ162" s="118"/>
      <c r="AK162" s="120" t="n">
        <v>37897</v>
      </c>
      <c r="AL162" s="118"/>
      <c r="AM162" s="103"/>
      <c r="AN162" s="102"/>
      <c r="AO162" s="104" t="n">
        <v>57300</v>
      </c>
      <c r="AP162" s="104" t="n">
        <v>106000</v>
      </c>
      <c r="AQ162" s="95"/>
      <c r="AR162" s="95"/>
      <c r="AS162" s="104" t="n">
        <v>71500</v>
      </c>
      <c r="AT162" s="95"/>
      <c r="AU162" s="95"/>
      <c r="AV162" s="96" t="n">
        <f aca="false">IF(AND(AP162&gt;0,J162&gt;0),J162*1000/(AP162*0.2),"")</f>
        <v>245.283018867925</v>
      </c>
      <c r="AW162" s="96" t="n">
        <f aca="false">IF(AND(AS162&gt;0,M162&gt;0),M162*1000/(AS162*0.3),"")</f>
        <v>188.811188811189</v>
      </c>
      <c r="AX162" s="96" t="n">
        <f aca="false">IF(AND(AO162&gt;0,O162&gt;0),O162*1000/(AO162*0.1),"")</f>
        <v>183.246073298429</v>
      </c>
      <c r="AY162" s="96" t="str">
        <f aca="false">IF(AND(AR162&gt;0,N162&gt;0),N162*1000/(AR162*0.25),"")</f>
        <v/>
      </c>
      <c r="AZ162" s="96" t="str">
        <f aca="false">IF(AND(AQ162&gt;0,Q162&gt;0),Q162*1000/(AQ162*1),"")</f>
        <v/>
      </c>
      <c r="BA162" s="97" t="n">
        <f aca="false">IFERROR(VLOOKUP($I162,'07_Settings'!$A$10:$F$14,6,FALSE()),0.25)</f>
        <v>0.45</v>
      </c>
      <c r="BB162" s="98" t="n">
        <v>1</v>
      </c>
      <c r="BC162" s="98" t="n">
        <v>1</v>
      </c>
      <c r="BD162" s="98" t="n">
        <v>1</v>
      </c>
      <c r="BE162" s="99" t="n">
        <f aca="false">IFERROR(ROUND($S162*BA162*BC162*BD162*BB162,0),0)</f>
        <v>5148</v>
      </c>
      <c r="BF162" s="55" t="str">
        <f aca="false">IF(COUNT(AO162:AU162)&gt;0,"estimated","pending")</f>
        <v>estimated</v>
      </c>
    </row>
    <row r="163" customFormat="false" ht="16.5" hidden="false" customHeight="true" outlineLevel="0" collapsed="false">
      <c r="A163" s="100"/>
      <c r="B163" s="129" t="n">
        <f aca="false">IF($C163="","",COUNTA($C$5:C163))</f>
        <v>159</v>
      </c>
      <c r="C163" s="130" t="s">
        <v>1074</v>
      </c>
      <c r="D163" s="131" t="s">
        <v>428</v>
      </c>
      <c r="E163" s="130" t="s">
        <v>1054</v>
      </c>
      <c r="F163" s="130" t="s">
        <v>1055</v>
      </c>
      <c r="G163" s="131" t="s">
        <v>1075</v>
      </c>
      <c r="H163" s="131" t="n">
        <v>1</v>
      </c>
      <c r="I163" s="131" t="s">
        <v>122</v>
      </c>
      <c r="J163" s="132" t="n">
        <v>12100</v>
      </c>
      <c r="K163" s="132" t="n">
        <v>5100</v>
      </c>
      <c r="L163" s="133" t="n">
        <f aca="false">IF($C163="","",ROUND($J163*0.17,0))</f>
        <v>2057</v>
      </c>
      <c r="M163" s="132" t="n">
        <v>9450</v>
      </c>
      <c r="N163" s="132" t="n">
        <v>3850</v>
      </c>
      <c r="O163" s="132" t="n">
        <v>2400</v>
      </c>
      <c r="P163" s="132" t="n">
        <v>0</v>
      </c>
      <c r="Q163" s="132" t="n">
        <v>17550</v>
      </c>
      <c r="R163" s="132" t="n">
        <v>7850</v>
      </c>
      <c r="S163" s="133" t="n">
        <f aca="false">IF($C163="","",ROUND($J163*2.2,0))</f>
        <v>26620</v>
      </c>
      <c r="T163" s="132" t="n">
        <v>4250</v>
      </c>
      <c r="U163" s="132" t="n">
        <v>3650</v>
      </c>
      <c r="V163" s="132" t="n">
        <v>2200</v>
      </c>
      <c r="W163" s="132" t="n">
        <v>0</v>
      </c>
      <c r="X163" s="132" t="s">
        <v>310</v>
      </c>
      <c r="Y163" s="134" t="n">
        <v>0.5</v>
      </c>
      <c r="Z163" s="134" t="n">
        <v>1</v>
      </c>
      <c r="AA163" s="130" t="s">
        <v>1076</v>
      </c>
      <c r="AB163" s="130" t="s">
        <v>1077</v>
      </c>
      <c r="AC163" s="132"/>
      <c r="AD163" s="132"/>
      <c r="AE163" s="132"/>
      <c r="AF163" s="132"/>
      <c r="AG163" s="132"/>
      <c r="AH163" s="135"/>
      <c r="AI163" s="135"/>
      <c r="AJ163" s="135"/>
      <c r="AK163" s="135" t="s">
        <v>1078</v>
      </c>
      <c r="AL163" s="135"/>
      <c r="AM163" s="101"/>
      <c r="AN163" s="100"/>
      <c r="AO163" s="95"/>
      <c r="AP163" s="95"/>
      <c r="AQ163" s="95"/>
      <c r="AR163" s="95"/>
      <c r="AS163" s="95"/>
      <c r="AT163" s="95"/>
      <c r="AU163" s="95"/>
      <c r="AV163" s="96" t="str">
        <f aca="false">IF(AND(AP163&gt;0,J163&gt;0),J163*1000/(AP163*0.2),"")</f>
        <v/>
      </c>
      <c r="AW163" s="96" t="str">
        <f aca="false">IF(AND(AS163&gt;0,M163&gt;0),M163*1000/(AS163*0.3),"")</f>
        <v/>
      </c>
      <c r="AX163" s="96" t="str">
        <f aca="false">IF(AND(AO163&gt;0,O163&gt;0),O163*1000/(AO163*0.1),"")</f>
        <v/>
      </c>
      <c r="AY163" s="96" t="str">
        <f aca="false">IF(AND(AR163&gt;0,N163&gt;0),N163*1000/(AR163*0.25),"")</f>
        <v/>
      </c>
      <c r="AZ163" s="96" t="str">
        <f aca="false">IF(AND(AQ163&gt;0,Q163&gt;0),Q163*1000/(AQ163*1),"")</f>
        <v/>
      </c>
      <c r="BA163" s="97" t="n">
        <f aca="false">IFERROR(VLOOKUP($I163,'07_Settings'!$A$10:$F$14,6,FALSE()),0.25)</f>
        <v>0.25</v>
      </c>
      <c r="BB163" s="98" t="n">
        <v>1</v>
      </c>
      <c r="BC163" s="98" t="n">
        <v>1</v>
      </c>
      <c r="BD163" s="98" t="n">
        <v>1</v>
      </c>
      <c r="BE163" s="99" t="n">
        <f aca="false">IFERROR(ROUND($S163*BA163*BC163*BD163*BB163,0),0)</f>
        <v>6655</v>
      </c>
      <c r="BF163" s="55" t="str">
        <f aca="false">IF(COUNT(AO163:AU163)&gt;0,"estimated","pending")</f>
        <v>pending</v>
      </c>
    </row>
    <row r="164" customFormat="false" ht="16.5" hidden="false" customHeight="true" outlineLevel="0" collapsed="false">
      <c r="A164" s="102"/>
      <c r="B164" s="112" t="n">
        <f aca="false">IF($C164="","",COUNTA($C$5:C164))</f>
        <v>160</v>
      </c>
      <c r="C164" s="113" t="s">
        <v>1079</v>
      </c>
      <c r="D164" s="114" t="s">
        <v>279</v>
      </c>
      <c r="E164" s="113" t="s">
        <v>1080</v>
      </c>
      <c r="F164" s="113" t="s">
        <v>337</v>
      </c>
      <c r="G164" s="114" t="s">
        <v>1081</v>
      </c>
      <c r="H164" s="114" t="n">
        <v>5</v>
      </c>
      <c r="I164" s="114" t="s">
        <v>114</v>
      </c>
      <c r="J164" s="115" t="n">
        <v>5700</v>
      </c>
      <c r="K164" s="115" t="n">
        <v>2400</v>
      </c>
      <c r="L164" s="115" t="n">
        <f aca="false">IF($C164="","",ROUND($J164*0.17,0))</f>
        <v>969</v>
      </c>
      <c r="M164" s="115" t="n">
        <v>4450</v>
      </c>
      <c r="N164" s="115" t="n">
        <v>1850</v>
      </c>
      <c r="O164" s="115" t="n">
        <v>1150</v>
      </c>
      <c r="P164" s="115" t="n">
        <v>1150</v>
      </c>
      <c r="Q164" s="115" t="n">
        <v>8300</v>
      </c>
      <c r="R164" s="115" t="n">
        <v>3700</v>
      </c>
      <c r="S164" s="115" t="n">
        <f aca="false">IF($C164="","",ROUND($J164*2.2,0))</f>
        <v>12540</v>
      </c>
      <c r="T164" s="115" t="n">
        <v>2000</v>
      </c>
      <c r="U164" s="115" t="n">
        <v>1700</v>
      </c>
      <c r="V164" s="115" t="n">
        <v>1050</v>
      </c>
      <c r="W164" s="115" t="n">
        <v>2400</v>
      </c>
      <c r="X164" s="116" t="s">
        <v>246</v>
      </c>
      <c r="Y164" s="117" t="n">
        <v>0.25</v>
      </c>
      <c r="Z164" s="117" t="n">
        <v>1</v>
      </c>
      <c r="AA164" s="113" t="s">
        <v>1082</v>
      </c>
      <c r="AB164" s="113" t="s">
        <v>1083</v>
      </c>
      <c r="AC164" s="113" t="s">
        <v>1084</v>
      </c>
      <c r="AD164" s="113" t="s">
        <v>1085</v>
      </c>
      <c r="AE164" s="113" t="s">
        <v>1086</v>
      </c>
      <c r="AF164" s="113" t="s">
        <v>1087</v>
      </c>
      <c r="AG164" s="113"/>
      <c r="AH164" s="118"/>
      <c r="AI164" s="118"/>
      <c r="AJ164" s="118"/>
      <c r="AK164" s="118" t="s">
        <v>1088</v>
      </c>
      <c r="AL164" s="118"/>
      <c r="AM164" s="103"/>
      <c r="AN164" s="102"/>
      <c r="AO164" s="104" t="n">
        <v>82500</v>
      </c>
      <c r="AP164" s="95"/>
      <c r="AQ164" s="104" t="n">
        <v>180028</v>
      </c>
      <c r="AR164" s="104" t="n">
        <v>51900</v>
      </c>
      <c r="AS164" s="95"/>
      <c r="AT164" s="95"/>
      <c r="AU164" s="95"/>
      <c r="AV164" s="96" t="str">
        <f aca="false">IF(AND(AP164&gt;0,J164&gt;0),J164*1000/(AP164*0.2),"")</f>
        <v/>
      </c>
      <c r="AW164" s="96" t="str">
        <f aca="false">IF(AND(AS164&gt;0,M164&gt;0),M164*1000/(AS164*0.3),"")</f>
        <v/>
      </c>
      <c r="AX164" s="96" t="n">
        <f aca="false">IF(AND(AO164&gt;0,O164&gt;0),O164*1000/(AO164*0.1),"")</f>
        <v>139.393939393939</v>
      </c>
      <c r="AY164" s="96" t="n">
        <f aca="false">IF(AND(AR164&gt;0,N164&gt;0),N164*1000/(AR164*0.25),"")</f>
        <v>142.581888246628</v>
      </c>
      <c r="AZ164" s="96" t="n">
        <f aca="false">IF(AND(AQ164&gt;0,Q164&gt;0),Q164*1000/(AQ164*1),"")</f>
        <v>46.1039393872064</v>
      </c>
      <c r="BA164" s="97" t="n">
        <f aca="false">IFERROR(VLOOKUP($I164,'07_Settings'!$A$10:$F$14,6,FALSE()),0.25)</f>
        <v>0.45</v>
      </c>
      <c r="BB164" s="98" t="n">
        <v>1</v>
      </c>
      <c r="BC164" s="98" t="n">
        <v>1</v>
      </c>
      <c r="BD164" s="98" t="n">
        <v>1</v>
      </c>
      <c r="BE164" s="99" t="n">
        <f aca="false">IFERROR(ROUND($S164*BA164*BC164*BD164*BB164,0),0)</f>
        <v>5643</v>
      </c>
      <c r="BF164" s="55" t="str">
        <f aca="false">IF(COUNT(AO164:AU164)&gt;0,"estimated","pending")</f>
        <v>estimated</v>
      </c>
    </row>
    <row r="165" customFormat="false" ht="16.5" hidden="false" customHeight="true" outlineLevel="0" collapsed="false">
      <c r="A165" s="100"/>
      <c r="B165" s="129" t="n">
        <f aca="false">IF($C165="","",COUNTA($C$5:C165))</f>
        <v>161</v>
      </c>
      <c r="C165" s="130" t="s">
        <v>1089</v>
      </c>
      <c r="D165" s="131" t="s">
        <v>526</v>
      </c>
      <c r="E165" s="130" t="s">
        <v>1080</v>
      </c>
      <c r="F165" s="130" t="s">
        <v>337</v>
      </c>
      <c r="G165" s="131" t="s">
        <v>1090</v>
      </c>
      <c r="H165" s="131" t="n">
        <v>5</v>
      </c>
      <c r="I165" s="131" t="s">
        <v>114</v>
      </c>
      <c r="J165" s="132" t="n">
        <v>20700</v>
      </c>
      <c r="K165" s="132" t="n">
        <v>8700</v>
      </c>
      <c r="L165" s="133" t="n">
        <f aca="false">IF($C165="","",ROUND($J165*0.17,0))</f>
        <v>3519</v>
      </c>
      <c r="M165" s="132" t="n">
        <v>16150</v>
      </c>
      <c r="N165" s="132" t="n">
        <v>6600</v>
      </c>
      <c r="O165" s="132" t="n">
        <v>4150</v>
      </c>
      <c r="P165" s="132" t="n">
        <v>0</v>
      </c>
      <c r="Q165" s="132" t="n">
        <v>30000</v>
      </c>
      <c r="R165" s="132" t="n">
        <v>13450</v>
      </c>
      <c r="S165" s="133" t="n">
        <f aca="false">IF($C165="","",ROUND($J165*2.2,0))</f>
        <v>45540</v>
      </c>
      <c r="T165" s="132" t="n">
        <v>7250</v>
      </c>
      <c r="U165" s="132" t="n">
        <v>6200</v>
      </c>
      <c r="V165" s="132" t="n">
        <v>3750</v>
      </c>
      <c r="W165" s="132" t="n">
        <v>0</v>
      </c>
      <c r="X165" s="132" t="s">
        <v>246</v>
      </c>
      <c r="Y165" s="134" t="n">
        <v>0.25</v>
      </c>
      <c r="Z165" s="134" t="n">
        <v>1</v>
      </c>
      <c r="AA165" s="130" t="s">
        <v>1091</v>
      </c>
      <c r="AB165" s="130" t="s">
        <v>1092</v>
      </c>
      <c r="AC165" s="130" t="s">
        <v>1093</v>
      </c>
      <c r="AD165" s="130" t="s">
        <v>1094</v>
      </c>
      <c r="AE165" s="130" t="s">
        <v>1095</v>
      </c>
      <c r="AF165" s="130"/>
      <c r="AG165" s="130"/>
      <c r="AH165" s="135" t="s">
        <v>1096</v>
      </c>
      <c r="AI165" s="135"/>
      <c r="AJ165" s="135"/>
      <c r="AK165" s="135" t="s">
        <v>1097</v>
      </c>
      <c r="AL165" s="135"/>
      <c r="AM165" s="101"/>
      <c r="AN165" s="100"/>
      <c r="AO165" s="104" t="n">
        <v>10300</v>
      </c>
      <c r="AP165" s="95"/>
      <c r="AQ165" s="104" t="n">
        <v>71000</v>
      </c>
      <c r="AR165" s="95"/>
      <c r="AS165" s="95"/>
      <c r="AT165" s="95"/>
      <c r="AU165" s="95"/>
      <c r="AV165" s="96" t="str">
        <f aca="false">IF(AND(AP165&gt;0,J165&gt;0),J165*1000/(AP165*0.2),"")</f>
        <v/>
      </c>
      <c r="AW165" s="96" t="str">
        <f aca="false">IF(AND(AS165&gt;0,M165&gt;0),M165*1000/(AS165*0.3),"")</f>
        <v/>
      </c>
      <c r="AX165" s="96" t="n">
        <f aca="false">IF(AND(AO165&gt;0,O165&gt;0),O165*1000/(AO165*0.1),"")</f>
        <v>4029.12621359223</v>
      </c>
      <c r="AY165" s="96" t="str">
        <f aca="false">IF(AND(AR165&gt;0,N165&gt;0),N165*1000/(AR165*0.25),"")</f>
        <v/>
      </c>
      <c r="AZ165" s="96" t="n">
        <f aca="false">IF(AND(AQ165&gt;0,Q165&gt;0),Q165*1000/(AQ165*1),"")</f>
        <v>422.535211267606</v>
      </c>
      <c r="BA165" s="97" t="n">
        <f aca="false">IFERROR(VLOOKUP($I165,'07_Settings'!$A$10:$F$14,6,FALSE()),0.25)</f>
        <v>0.45</v>
      </c>
      <c r="BB165" s="98" t="n">
        <v>1</v>
      </c>
      <c r="BC165" s="98" t="n">
        <v>1</v>
      </c>
      <c r="BD165" s="98" t="n">
        <v>1</v>
      </c>
      <c r="BE165" s="99" t="n">
        <f aca="false">IFERROR(ROUND($S165*BA165*BC165*BD165*BB165,0),0)</f>
        <v>20493</v>
      </c>
      <c r="BF165" s="55" t="str">
        <f aca="false">IF(COUNT(AO165:AU165)&gt;0,"estimated","pending")</f>
        <v>estimated</v>
      </c>
    </row>
    <row r="166" customFormat="false" ht="16.5" hidden="false" customHeight="true" outlineLevel="0" collapsed="false">
      <c r="A166" s="102"/>
      <c r="B166" s="112" t="n">
        <f aca="false">IF($C166="","",COUNTA($C$5:C166))</f>
        <v>162</v>
      </c>
      <c r="C166" s="118" t="s">
        <v>1098</v>
      </c>
      <c r="D166" s="118" t="s">
        <v>279</v>
      </c>
      <c r="E166" s="118" t="s">
        <v>280</v>
      </c>
      <c r="F166" s="118" t="s">
        <v>314</v>
      </c>
      <c r="G166" s="118" t="s">
        <v>282</v>
      </c>
      <c r="H166" s="114" t="n">
        <v>1</v>
      </c>
      <c r="I166" s="114" t="s">
        <v>114</v>
      </c>
      <c r="J166" s="115" t="n">
        <v>8800</v>
      </c>
      <c r="K166" s="115" t="n">
        <v>3700</v>
      </c>
      <c r="L166" s="115" t="n">
        <f aca="false">IF($C166="","",ROUND($J166*0.17,0))</f>
        <v>1496</v>
      </c>
      <c r="M166" s="115" t="n">
        <v>6850</v>
      </c>
      <c r="N166" s="115" t="n">
        <v>2800</v>
      </c>
      <c r="O166" s="115" t="n">
        <v>1750</v>
      </c>
      <c r="P166" s="115" t="n">
        <v>1750</v>
      </c>
      <c r="Q166" s="115" t="n">
        <v>12750</v>
      </c>
      <c r="R166" s="115" t="n">
        <v>5700</v>
      </c>
      <c r="S166" s="115" t="n">
        <f aca="false">IF($C166="","",ROUND($J166*2.2,0))</f>
        <v>19360</v>
      </c>
      <c r="T166" s="115" t="n">
        <v>3100</v>
      </c>
      <c r="U166" s="115" t="n">
        <v>2650</v>
      </c>
      <c r="V166" s="115" t="n">
        <v>1600</v>
      </c>
      <c r="W166" s="116" t="n">
        <v>1320</v>
      </c>
      <c r="X166" s="116" t="s">
        <v>310</v>
      </c>
      <c r="Y166" s="117" t="n">
        <v>0.3</v>
      </c>
      <c r="Z166" s="117" t="n">
        <v>1</v>
      </c>
      <c r="AA166" s="113" t="s">
        <v>1099</v>
      </c>
      <c r="AB166" s="113" t="s">
        <v>1100</v>
      </c>
      <c r="AC166" s="113"/>
      <c r="AD166" s="113"/>
      <c r="AE166" s="113"/>
      <c r="AF166" s="113"/>
      <c r="AG166" s="113"/>
      <c r="AH166" s="118"/>
      <c r="AI166" s="118"/>
      <c r="AJ166" s="118"/>
      <c r="AK166" s="118" t="s">
        <v>1101</v>
      </c>
      <c r="AL166" s="118"/>
      <c r="AM166" s="103"/>
      <c r="AN166" s="102"/>
      <c r="AO166" s="95"/>
      <c r="AP166" s="95"/>
      <c r="AQ166" s="95"/>
      <c r="AR166" s="95"/>
      <c r="AS166" s="95"/>
      <c r="AT166" s="95"/>
      <c r="AU166" s="95"/>
      <c r="AV166" s="96" t="str">
        <f aca="false">IF(AND(AP166&gt;0,J166&gt;0),J166*1000/(AP166*0.2),"")</f>
        <v/>
      </c>
      <c r="AW166" s="96" t="str">
        <f aca="false">IF(AND(AS166&gt;0,M166&gt;0),M166*1000/(AS166*0.3),"")</f>
        <v/>
      </c>
      <c r="AX166" s="96" t="str">
        <f aca="false">IF(AND(AO166&gt;0,O166&gt;0),O166*1000/(AO166*0.1),"")</f>
        <v/>
      </c>
      <c r="AY166" s="96" t="str">
        <f aca="false">IF(AND(AR166&gt;0,N166&gt;0),N166*1000/(AR166*0.25),"")</f>
        <v/>
      </c>
      <c r="AZ166" s="96" t="str">
        <f aca="false">IF(AND(AQ166&gt;0,Q166&gt;0),Q166*1000/(AQ166*1),"")</f>
        <v/>
      </c>
      <c r="BA166" s="97" t="n">
        <f aca="false">IFERROR(VLOOKUP($I166,'07_Settings'!$A$10:$F$14,6,FALSE()),0.25)</f>
        <v>0.45</v>
      </c>
      <c r="BB166" s="98" t="n">
        <v>1</v>
      </c>
      <c r="BC166" s="98" t="n">
        <v>1</v>
      </c>
      <c r="BD166" s="98" t="n">
        <v>1</v>
      </c>
      <c r="BE166" s="99" t="n">
        <f aca="false">IFERROR(ROUND($S166*BA166*BC166*BD166*BB166,0),0)</f>
        <v>8712</v>
      </c>
      <c r="BF166" s="55" t="str">
        <f aca="false">IF(COUNT(AO166:AU166)&gt;0,"estimated","pending")</f>
        <v>pending</v>
      </c>
    </row>
    <row r="167" customFormat="false" ht="16.5" hidden="false" customHeight="true" outlineLevel="0" collapsed="false">
      <c r="A167" s="102"/>
      <c r="B167" s="112" t="n">
        <f aca="false">IF($C167="","",COUNTA($C$5:C167))</f>
        <v>163</v>
      </c>
      <c r="C167" s="118" t="s">
        <v>1102</v>
      </c>
      <c r="D167" s="118" t="s">
        <v>279</v>
      </c>
      <c r="E167" s="118" t="s">
        <v>280</v>
      </c>
      <c r="F167" s="118" t="s">
        <v>314</v>
      </c>
      <c r="G167" s="118" t="s">
        <v>282</v>
      </c>
      <c r="H167" s="114" t="n">
        <v>1</v>
      </c>
      <c r="I167" s="114" t="s">
        <v>114</v>
      </c>
      <c r="J167" s="115" t="n">
        <v>8800</v>
      </c>
      <c r="K167" s="115" t="n">
        <v>3700</v>
      </c>
      <c r="L167" s="115" t="n">
        <f aca="false">IF($C167="","",ROUND($J167*0.17,0))</f>
        <v>1496</v>
      </c>
      <c r="M167" s="115" t="n">
        <v>6850</v>
      </c>
      <c r="N167" s="115" t="n">
        <v>2800</v>
      </c>
      <c r="O167" s="115" t="n">
        <v>1750</v>
      </c>
      <c r="P167" s="115" t="n">
        <v>1750</v>
      </c>
      <c r="Q167" s="115" t="n">
        <v>12750</v>
      </c>
      <c r="R167" s="115" t="n">
        <v>5700</v>
      </c>
      <c r="S167" s="115" t="n">
        <f aca="false">IF($C167="","",ROUND($J167*2.2,0))</f>
        <v>19360</v>
      </c>
      <c r="T167" s="115" t="n">
        <v>3100</v>
      </c>
      <c r="U167" s="115" t="n">
        <v>2650</v>
      </c>
      <c r="V167" s="115" t="n">
        <v>1600</v>
      </c>
      <c r="W167" s="116" t="n">
        <v>1320</v>
      </c>
      <c r="X167" s="116" t="s">
        <v>310</v>
      </c>
      <c r="Y167" s="117" t="n">
        <v>0.3</v>
      </c>
      <c r="Z167" s="117" t="n">
        <v>1</v>
      </c>
      <c r="AA167" s="113" t="s">
        <v>1103</v>
      </c>
      <c r="AB167" s="113" t="s">
        <v>1104</v>
      </c>
      <c r="AC167" s="113"/>
      <c r="AD167" s="113"/>
      <c r="AE167" s="113"/>
      <c r="AF167" s="113"/>
      <c r="AG167" s="113"/>
      <c r="AH167" s="118"/>
      <c r="AI167" s="118"/>
      <c r="AJ167" s="118"/>
      <c r="AK167" s="118" t="s">
        <v>1105</v>
      </c>
      <c r="AL167" s="118"/>
      <c r="AM167" s="103"/>
      <c r="AN167" s="102"/>
      <c r="AO167" s="104" t="n">
        <v>4125</v>
      </c>
      <c r="AP167" s="95"/>
      <c r="AQ167" s="95"/>
      <c r="AR167" s="95"/>
      <c r="AS167" s="95"/>
      <c r="AT167" s="95"/>
      <c r="AU167" s="95"/>
      <c r="AV167" s="96" t="str">
        <f aca="false">IF(AND(AP167&gt;0,J167&gt;0),J167*1000/(AP167*0.2),"")</f>
        <v/>
      </c>
      <c r="AW167" s="96" t="str">
        <f aca="false">IF(AND(AS167&gt;0,M167&gt;0),M167*1000/(AS167*0.3),"")</f>
        <v/>
      </c>
      <c r="AX167" s="96" t="n">
        <f aca="false">IF(AND(AO167&gt;0,O167&gt;0),O167*1000/(AO167*0.1),"")</f>
        <v>4242.42424242424</v>
      </c>
      <c r="AY167" s="96" t="str">
        <f aca="false">IF(AND(AR167&gt;0,N167&gt;0),N167*1000/(AR167*0.25),"")</f>
        <v/>
      </c>
      <c r="AZ167" s="96" t="str">
        <f aca="false">IF(AND(AQ167&gt;0,Q167&gt;0),Q167*1000/(AQ167*1),"")</f>
        <v/>
      </c>
      <c r="BA167" s="97" t="n">
        <f aca="false">IFERROR(VLOOKUP($I167,'07_Settings'!$A$10:$F$14,6,FALSE()),0.25)</f>
        <v>0.45</v>
      </c>
      <c r="BB167" s="98" t="n">
        <v>1</v>
      </c>
      <c r="BC167" s="98" t="n">
        <v>1</v>
      </c>
      <c r="BD167" s="98" t="n">
        <v>1</v>
      </c>
      <c r="BE167" s="99" t="n">
        <f aca="false">IFERROR(ROUND($S167*BA167*BC167*BD167*BB167,0),0)</f>
        <v>8712</v>
      </c>
      <c r="BF167" s="55" t="str">
        <f aca="false">IF(COUNT(AO167:AU167)&gt;0,"estimated","pending")</f>
        <v>estimated</v>
      </c>
    </row>
    <row r="168" customFormat="false" ht="16.5" hidden="false" customHeight="true" outlineLevel="0" collapsed="false">
      <c r="A168" s="102"/>
      <c r="B168" s="112" t="n">
        <f aca="false">IF($C168="","",COUNTA($C$5:C168))</f>
        <v>164</v>
      </c>
      <c r="C168" s="118" t="s">
        <v>1106</v>
      </c>
      <c r="D168" s="118" t="s">
        <v>279</v>
      </c>
      <c r="E168" s="118" t="s">
        <v>280</v>
      </c>
      <c r="F168" s="118" t="s">
        <v>309</v>
      </c>
      <c r="G168" s="118"/>
      <c r="H168" s="114" t="n">
        <v>2</v>
      </c>
      <c r="I168" s="114" t="s">
        <v>114</v>
      </c>
      <c r="J168" s="115" t="n">
        <v>8800</v>
      </c>
      <c r="K168" s="115" t="n">
        <v>3700</v>
      </c>
      <c r="L168" s="115" t="n">
        <f aca="false">IF($C168="","",ROUND($J168*0.17,0))</f>
        <v>1496</v>
      </c>
      <c r="M168" s="115" t="n">
        <v>6850</v>
      </c>
      <c r="N168" s="115" t="n">
        <v>2800</v>
      </c>
      <c r="O168" s="115" t="n">
        <v>1750</v>
      </c>
      <c r="P168" s="115" t="n">
        <v>1750</v>
      </c>
      <c r="Q168" s="115" t="n">
        <v>12750</v>
      </c>
      <c r="R168" s="115" t="n">
        <v>5700</v>
      </c>
      <c r="S168" s="115" t="n">
        <f aca="false">IF($C168="","",ROUND($J168*2.2,0))</f>
        <v>19360</v>
      </c>
      <c r="T168" s="115" t="n">
        <v>3100</v>
      </c>
      <c r="U168" s="115" t="n">
        <v>2650</v>
      </c>
      <c r="V168" s="115" t="n">
        <v>1600</v>
      </c>
      <c r="W168" s="116" t="n">
        <v>1320</v>
      </c>
      <c r="X168" s="116" t="s">
        <v>290</v>
      </c>
      <c r="Y168" s="117" t="n">
        <v>0.3</v>
      </c>
      <c r="Z168" s="117" t="n">
        <v>1</v>
      </c>
      <c r="AA168" s="113" t="s">
        <v>1107</v>
      </c>
      <c r="AB168" s="113" t="s">
        <v>1108</v>
      </c>
      <c r="AC168" s="113"/>
      <c r="AD168" s="113" t="s">
        <v>1109</v>
      </c>
      <c r="AE168" s="113"/>
      <c r="AF168" s="113"/>
      <c r="AG168" s="113"/>
      <c r="AH168" s="118"/>
      <c r="AI168" s="118"/>
      <c r="AJ168" s="118"/>
      <c r="AK168" s="118"/>
      <c r="AL168" s="118"/>
      <c r="AM168" s="103"/>
      <c r="AN168" s="102"/>
      <c r="AO168" s="95"/>
      <c r="AP168" s="95"/>
      <c r="AQ168" s="95"/>
      <c r="AR168" s="95"/>
      <c r="AS168" s="95"/>
      <c r="AT168" s="95"/>
      <c r="AU168" s="95"/>
      <c r="AV168" s="96" t="str">
        <f aca="false">IF(AND(AP168&gt;0,J168&gt;0),J168*1000/(AP168*0.2),"")</f>
        <v/>
      </c>
      <c r="AW168" s="96" t="str">
        <f aca="false">IF(AND(AS168&gt;0,M168&gt;0),M168*1000/(AS168*0.3),"")</f>
        <v/>
      </c>
      <c r="AX168" s="96" t="str">
        <f aca="false">IF(AND(AO168&gt;0,O168&gt;0),O168*1000/(AO168*0.1),"")</f>
        <v/>
      </c>
      <c r="AY168" s="96" t="str">
        <f aca="false">IF(AND(AR168&gt;0,N168&gt;0),N168*1000/(AR168*0.25),"")</f>
        <v/>
      </c>
      <c r="AZ168" s="96" t="str">
        <f aca="false">IF(AND(AQ168&gt;0,Q168&gt;0),Q168*1000/(AQ168*1),"")</f>
        <v/>
      </c>
      <c r="BA168" s="97" t="n">
        <f aca="false">IFERROR(VLOOKUP($I168,'07_Settings'!$A$10:$F$14,6,FALSE()),0.25)</f>
        <v>0.45</v>
      </c>
      <c r="BB168" s="98" t="n">
        <v>1</v>
      </c>
      <c r="BC168" s="98" t="n">
        <v>1</v>
      </c>
      <c r="BD168" s="98" t="n">
        <v>1</v>
      </c>
      <c r="BE168" s="99" t="n">
        <f aca="false">IFERROR(ROUND($S168*BA168*BC168*BD168*BB168,0),0)</f>
        <v>8712</v>
      </c>
      <c r="BF168" s="55" t="str">
        <f aca="false">IF(COUNT(AO168:AU168)&gt;0,"estimated","pending")</f>
        <v>pending</v>
      </c>
    </row>
    <row r="169" customFormat="false" ht="16.5" hidden="false" customHeight="true" outlineLevel="0" collapsed="false">
      <c r="A169" s="102"/>
      <c r="B169" s="112" t="n">
        <f aca="false">IF($C169="","",COUNTA($C$5:C169))</f>
        <v>165</v>
      </c>
      <c r="C169" s="118" t="s">
        <v>1110</v>
      </c>
      <c r="D169" s="118" t="s">
        <v>279</v>
      </c>
      <c r="E169" s="118" t="s">
        <v>280</v>
      </c>
      <c r="F169" s="118" t="s">
        <v>309</v>
      </c>
      <c r="G169" s="118" t="s">
        <v>282</v>
      </c>
      <c r="H169" s="114" t="n">
        <v>3</v>
      </c>
      <c r="I169" s="114" t="s">
        <v>118</v>
      </c>
      <c r="J169" s="115" t="n">
        <v>11000</v>
      </c>
      <c r="K169" s="115" t="n">
        <v>4600</v>
      </c>
      <c r="L169" s="115" t="n">
        <f aca="false">IF($C169="","",ROUND($J169*0.17,0))</f>
        <v>1870</v>
      </c>
      <c r="M169" s="115" t="n">
        <v>8600</v>
      </c>
      <c r="N169" s="115" t="n">
        <v>3500</v>
      </c>
      <c r="O169" s="115" t="n">
        <v>2200</v>
      </c>
      <c r="P169" s="115" t="n">
        <v>2200</v>
      </c>
      <c r="Q169" s="115" t="n">
        <v>15950</v>
      </c>
      <c r="R169" s="115" t="n">
        <v>7150</v>
      </c>
      <c r="S169" s="115" t="n">
        <f aca="false">IF($C169="","",ROUND($J169*2.2,0))</f>
        <v>24200</v>
      </c>
      <c r="T169" s="115" t="n">
        <v>3850</v>
      </c>
      <c r="U169" s="115" t="n">
        <v>3300</v>
      </c>
      <c r="V169" s="115" t="n">
        <v>2000</v>
      </c>
      <c r="W169" s="116" t="n">
        <v>1650</v>
      </c>
      <c r="X169" s="116" t="s">
        <v>236</v>
      </c>
      <c r="Y169" s="117" t="n">
        <v>0.3</v>
      </c>
      <c r="Z169" s="117" t="n">
        <v>1</v>
      </c>
      <c r="AA169" s="113" t="s">
        <v>1111</v>
      </c>
      <c r="AB169" s="113" t="s">
        <v>1112</v>
      </c>
      <c r="AC169" s="113"/>
      <c r="AD169" s="113" t="s">
        <v>1113</v>
      </c>
      <c r="AE169" s="113" t="s">
        <v>1114</v>
      </c>
      <c r="AF169" s="113"/>
      <c r="AG169" s="113"/>
      <c r="AH169" s="118"/>
      <c r="AI169" s="118"/>
      <c r="AJ169" s="118"/>
      <c r="AK169" s="120" t="n">
        <v>37720</v>
      </c>
      <c r="AL169" s="118"/>
      <c r="AM169" s="103"/>
      <c r="AN169" s="102"/>
      <c r="AO169" s="104" t="n">
        <v>7443</v>
      </c>
      <c r="AP169" s="95"/>
      <c r="AQ169" s="104" t="n">
        <v>18736</v>
      </c>
      <c r="AR169" s="95"/>
      <c r="AS169" s="95"/>
      <c r="AT169" s="95"/>
      <c r="AU169" s="95"/>
      <c r="AV169" s="96" t="str">
        <f aca="false">IF(AND(AP169&gt;0,J169&gt;0),J169*1000/(AP169*0.2),"")</f>
        <v/>
      </c>
      <c r="AW169" s="96" t="str">
        <f aca="false">IF(AND(AS169&gt;0,M169&gt;0),M169*1000/(AS169*0.3),"")</f>
        <v/>
      </c>
      <c r="AX169" s="96" t="n">
        <f aca="false">IF(AND(AO169&gt;0,O169&gt;0),O169*1000/(AO169*0.1),"")</f>
        <v>2955.79739352412</v>
      </c>
      <c r="AY169" s="96" t="str">
        <f aca="false">IF(AND(AR169&gt;0,N169&gt;0),N169*1000/(AR169*0.25),"")</f>
        <v/>
      </c>
      <c r="AZ169" s="96" t="n">
        <f aca="false">IF(AND(AQ169&gt;0,Q169&gt;0),Q169*1000/(AQ169*1),"")</f>
        <v>851.302305721605</v>
      </c>
      <c r="BA169" s="97" t="n">
        <f aca="false">IFERROR(VLOOKUP($I169,'07_Settings'!$A$10:$F$14,6,FALSE()),0.25)</f>
        <v>0.35</v>
      </c>
      <c r="BB169" s="98" t="n">
        <v>1</v>
      </c>
      <c r="BC169" s="98" t="n">
        <v>1</v>
      </c>
      <c r="BD169" s="98" t="n">
        <v>1</v>
      </c>
      <c r="BE169" s="99" t="n">
        <f aca="false">IFERROR(ROUND($S169*BA169*BC169*BD169*BB169,0),0)</f>
        <v>8470</v>
      </c>
      <c r="BF169" s="55" t="str">
        <f aca="false">IF(COUNT(AO169:AU169)&gt;0,"estimated","pending")</f>
        <v>estimated</v>
      </c>
    </row>
    <row r="170" customFormat="false" ht="16.5" hidden="false" customHeight="true" outlineLevel="0" collapsed="false">
      <c r="A170" s="102"/>
      <c r="B170" s="112" t="n">
        <f aca="false">IF($C170="","",COUNTA($C$5:C170))</f>
        <v>166</v>
      </c>
      <c r="C170" s="118" t="s">
        <v>1115</v>
      </c>
      <c r="D170" s="118" t="s">
        <v>279</v>
      </c>
      <c r="E170" s="118" t="s">
        <v>379</v>
      </c>
      <c r="F170" s="118" t="s">
        <v>436</v>
      </c>
      <c r="G170" s="118" t="s">
        <v>1116</v>
      </c>
      <c r="H170" s="114" t="n">
        <v>2</v>
      </c>
      <c r="I170" s="114" t="s">
        <v>114</v>
      </c>
      <c r="J170" s="115" t="n">
        <v>11000</v>
      </c>
      <c r="K170" s="115" t="n">
        <v>4600</v>
      </c>
      <c r="L170" s="115" t="n">
        <f aca="false">IF($C170="","",ROUND($J170*0.17,0))</f>
        <v>1870</v>
      </c>
      <c r="M170" s="115" t="n">
        <v>8600</v>
      </c>
      <c r="N170" s="115" t="n">
        <v>3500</v>
      </c>
      <c r="O170" s="115" t="n">
        <v>2200</v>
      </c>
      <c r="P170" s="115" t="n">
        <v>2200</v>
      </c>
      <c r="Q170" s="115" t="n">
        <v>15950</v>
      </c>
      <c r="R170" s="115" t="n">
        <v>7150</v>
      </c>
      <c r="S170" s="115" t="n">
        <f aca="false">IF($C170="","",ROUND($J170*2.2,0))</f>
        <v>24200</v>
      </c>
      <c r="T170" s="115" t="n">
        <v>3850</v>
      </c>
      <c r="U170" s="115" t="n">
        <v>3300</v>
      </c>
      <c r="V170" s="115" t="n">
        <v>2000</v>
      </c>
      <c r="W170" s="116" t="n">
        <v>1650</v>
      </c>
      <c r="X170" s="116" t="s">
        <v>290</v>
      </c>
      <c r="Y170" s="117" t="n">
        <v>0.75</v>
      </c>
      <c r="Z170" s="117" t="n">
        <v>1</v>
      </c>
      <c r="AA170" s="113" t="s">
        <v>1117</v>
      </c>
      <c r="AB170" s="113" t="s">
        <v>1118</v>
      </c>
      <c r="AC170" s="113"/>
      <c r="AD170" s="113" t="s">
        <v>1119</v>
      </c>
      <c r="AE170" s="113"/>
      <c r="AF170" s="113"/>
      <c r="AG170" s="113"/>
      <c r="AH170" s="118"/>
      <c r="AI170" s="118"/>
      <c r="AJ170" s="118"/>
      <c r="AK170" s="120" t="n">
        <v>38144</v>
      </c>
      <c r="AL170" s="118" t="s">
        <v>393</v>
      </c>
      <c r="AM170" s="103"/>
      <c r="AN170" s="102"/>
      <c r="AO170" s="95"/>
      <c r="AP170" s="95"/>
      <c r="AQ170" s="95"/>
      <c r="AR170" s="95"/>
      <c r="AS170" s="95"/>
      <c r="AT170" s="95"/>
      <c r="AU170" s="95"/>
      <c r="AV170" s="96" t="str">
        <f aca="false">IF(AND(AP170&gt;0,J170&gt;0),J170*1000/(AP170*0.2),"")</f>
        <v/>
      </c>
      <c r="AW170" s="96" t="str">
        <f aca="false">IF(AND(AS170&gt;0,M170&gt;0),M170*1000/(AS170*0.3),"")</f>
        <v/>
      </c>
      <c r="AX170" s="96" t="str">
        <f aca="false">IF(AND(AO170&gt;0,O170&gt;0),O170*1000/(AO170*0.1),"")</f>
        <v/>
      </c>
      <c r="AY170" s="96" t="str">
        <f aca="false">IF(AND(AR170&gt;0,N170&gt;0),N170*1000/(AR170*0.25),"")</f>
        <v/>
      </c>
      <c r="AZ170" s="96" t="str">
        <f aca="false">IF(AND(AQ170&gt;0,Q170&gt;0),Q170*1000/(AQ170*1),"")</f>
        <v/>
      </c>
      <c r="BA170" s="97" t="n">
        <f aca="false">IFERROR(VLOOKUP($I170,'07_Settings'!$A$10:$F$14,6,FALSE()),0.25)</f>
        <v>0.45</v>
      </c>
      <c r="BB170" s="98" t="n">
        <v>1</v>
      </c>
      <c r="BC170" s="98" t="n">
        <v>1</v>
      </c>
      <c r="BD170" s="98" t="n">
        <v>1</v>
      </c>
      <c r="BE170" s="99" t="n">
        <f aca="false">IFERROR(ROUND($S170*BA170*BC170*BD170*BB170,0),0)</f>
        <v>10890</v>
      </c>
      <c r="BF170" s="55" t="str">
        <f aca="false">IF(COUNT(AO170:AU170)&gt;0,"estimated","pending")</f>
        <v>pending</v>
      </c>
    </row>
    <row r="171" customFormat="false" ht="16.5" hidden="false" customHeight="true" outlineLevel="0" collapsed="false">
      <c r="A171" s="102"/>
      <c r="B171" s="112" t="n">
        <f aca="false">IF($C171="","",COUNTA($C$5:C171))</f>
        <v>167</v>
      </c>
      <c r="C171" s="118" t="s">
        <v>1120</v>
      </c>
      <c r="D171" s="118" t="s">
        <v>279</v>
      </c>
      <c r="E171" s="118" t="s">
        <v>559</v>
      </c>
      <c r="F171" s="118" t="s">
        <v>559</v>
      </c>
      <c r="G171" s="118" t="s">
        <v>1121</v>
      </c>
      <c r="H171" s="114" t="n">
        <v>3</v>
      </c>
      <c r="I171" s="114" t="s">
        <v>114</v>
      </c>
      <c r="J171" s="115" t="n">
        <v>11000</v>
      </c>
      <c r="K171" s="115" t="n">
        <v>4600</v>
      </c>
      <c r="L171" s="115" t="n">
        <f aca="false">IF($C171="","",ROUND($J171*0.17,0))</f>
        <v>1870</v>
      </c>
      <c r="M171" s="115" t="n">
        <v>8600</v>
      </c>
      <c r="N171" s="115" t="n">
        <v>3500</v>
      </c>
      <c r="O171" s="115" t="n">
        <v>2200</v>
      </c>
      <c r="P171" s="115" t="n">
        <v>2200</v>
      </c>
      <c r="Q171" s="115" t="n">
        <v>15950</v>
      </c>
      <c r="R171" s="115" t="n">
        <v>7150</v>
      </c>
      <c r="S171" s="115" t="n">
        <f aca="false">IF($C171="","",ROUND($J171*2.2,0))</f>
        <v>24200</v>
      </c>
      <c r="T171" s="115" t="n">
        <v>3850</v>
      </c>
      <c r="U171" s="115" t="n">
        <v>3300</v>
      </c>
      <c r="V171" s="115" t="n">
        <v>2000</v>
      </c>
      <c r="W171" s="116" t="n">
        <v>1650</v>
      </c>
      <c r="X171" s="116" t="s">
        <v>236</v>
      </c>
      <c r="Y171" s="117" t="n">
        <v>0.25</v>
      </c>
      <c r="Z171" s="117" t="n">
        <v>1</v>
      </c>
      <c r="AA171" s="113" t="s">
        <v>1122</v>
      </c>
      <c r="AB171" s="113" t="s">
        <v>1123</v>
      </c>
      <c r="AC171" s="113"/>
      <c r="AD171" s="113" t="s">
        <v>1124</v>
      </c>
      <c r="AE171" s="113" t="s">
        <v>1125</v>
      </c>
      <c r="AF171" s="113"/>
      <c r="AG171" s="113"/>
      <c r="AH171" s="118"/>
      <c r="AI171" s="118"/>
      <c r="AJ171" s="118"/>
      <c r="AK171" s="120" t="n">
        <v>39665</v>
      </c>
      <c r="AL171" s="118"/>
      <c r="AM171" s="103"/>
      <c r="AN171" s="102"/>
      <c r="AO171" s="104" t="n">
        <v>153600</v>
      </c>
      <c r="AP171" s="95"/>
      <c r="AQ171" s="95"/>
      <c r="AR171" s="95"/>
      <c r="AS171" s="104" t="n">
        <v>123300</v>
      </c>
      <c r="AT171" s="95"/>
      <c r="AU171" s="95"/>
      <c r="AV171" s="96" t="str">
        <f aca="false">IF(AND(AP171&gt;0,J171&gt;0),J171*1000/(AP171*0.2),"")</f>
        <v/>
      </c>
      <c r="AW171" s="96" t="n">
        <f aca="false">IF(AND(AS171&gt;0,M171&gt;0),M171*1000/(AS171*0.3),"")</f>
        <v>232.495268991619</v>
      </c>
      <c r="AX171" s="96" t="n">
        <f aca="false">IF(AND(AO171&gt;0,O171&gt;0),O171*1000/(AO171*0.1),"")</f>
        <v>143.229166666667</v>
      </c>
      <c r="AY171" s="96" t="str">
        <f aca="false">IF(AND(AR171&gt;0,N171&gt;0),N171*1000/(AR171*0.25),"")</f>
        <v/>
      </c>
      <c r="AZ171" s="96" t="str">
        <f aca="false">IF(AND(AQ171&gt;0,Q171&gt;0),Q171*1000/(AQ171*1),"")</f>
        <v/>
      </c>
      <c r="BA171" s="97" t="n">
        <f aca="false">IFERROR(VLOOKUP($I171,'07_Settings'!$A$10:$F$14,6,FALSE()),0.25)</f>
        <v>0.45</v>
      </c>
      <c r="BB171" s="98" t="n">
        <v>1</v>
      </c>
      <c r="BC171" s="98" t="n">
        <v>1</v>
      </c>
      <c r="BD171" s="98" t="n">
        <v>1</v>
      </c>
      <c r="BE171" s="99" t="n">
        <f aca="false">IFERROR(ROUND($S171*BA171*BC171*BD171*BB171,0),0)</f>
        <v>10890</v>
      </c>
      <c r="BF171" s="55" t="str">
        <f aca="false">IF(COUNT(AO171:AU171)&gt;0,"estimated","pending")</f>
        <v>estimated</v>
      </c>
    </row>
    <row r="172" customFormat="false" ht="16.5" hidden="false" customHeight="true" outlineLevel="0" collapsed="false">
      <c r="A172" s="102"/>
      <c r="B172" s="112" t="n">
        <f aca="false">IF($C172="","",COUNTA($C$5:C172))</f>
        <v>168</v>
      </c>
      <c r="C172" s="118" t="s">
        <v>1126</v>
      </c>
      <c r="D172" s="118" t="s">
        <v>279</v>
      </c>
      <c r="E172" s="118" t="s">
        <v>721</v>
      </c>
      <c r="F172" s="118" t="s">
        <v>753</v>
      </c>
      <c r="G172" s="118" t="s">
        <v>722</v>
      </c>
      <c r="H172" s="114" t="n">
        <v>5</v>
      </c>
      <c r="I172" s="114" t="s">
        <v>114</v>
      </c>
      <c r="J172" s="115" t="n">
        <v>11000</v>
      </c>
      <c r="K172" s="115" t="n">
        <v>4600</v>
      </c>
      <c r="L172" s="115" t="n">
        <f aca="false">IF($C172="","",ROUND($J172*0.17,0))</f>
        <v>1870</v>
      </c>
      <c r="M172" s="115" t="n">
        <v>8600</v>
      </c>
      <c r="N172" s="115" t="n">
        <v>3500</v>
      </c>
      <c r="O172" s="115" t="n">
        <v>2200</v>
      </c>
      <c r="P172" s="115" t="n">
        <v>2200</v>
      </c>
      <c r="Q172" s="115" t="n">
        <v>15950</v>
      </c>
      <c r="R172" s="115" t="n">
        <v>7150</v>
      </c>
      <c r="S172" s="115" t="n">
        <f aca="false">IF($C172="","",ROUND($J172*2.2,0))</f>
        <v>24200</v>
      </c>
      <c r="T172" s="115" t="n">
        <v>3850</v>
      </c>
      <c r="U172" s="115" t="n">
        <v>3300</v>
      </c>
      <c r="V172" s="115" t="n">
        <v>2000</v>
      </c>
      <c r="W172" s="116" t="n">
        <v>1650</v>
      </c>
      <c r="X172" s="116" t="s">
        <v>246</v>
      </c>
      <c r="Y172" s="117" t="n">
        <v>0.3</v>
      </c>
      <c r="Z172" s="117" t="n">
        <v>1</v>
      </c>
      <c r="AA172" s="113" t="s">
        <v>1127</v>
      </c>
      <c r="AB172" s="113" t="s">
        <v>1128</v>
      </c>
      <c r="AC172" s="113" t="s">
        <v>1129</v>
      </c>
      <c r="AD172" s="113"/>
      <c r="AE172" s="113" t="s">
        <v>1130</v>
      </c>
      <c r="AF172" s="113" t="s">
        <v>1131</v>
      </c>
      <c r="AG172" s="113"/>
      <c r="AH172" s="118" t="s">
        <v>1132</v>
      </c>
      <c r="AI172" s="118"/>
      <c r="AJ172" s="118"/>
      <c r="AK172" s="120" t="n">
        <v>38114</v>
      </c>
      <c r="AL172" s="118" t="s">
        <v>1133</v>
      </c>
      <c r="AM172" s="103"/>
      <c r="AN172" s="102"/>
      <c r="AO172" s="95"/>
      <c r="AP172" s="104" t="n">
        <v>113000</v>
      </c>
      <c r="AQ172" s="95"/>
      <c r="AR172" s="95"/>
      <c r="AS172" s="95"/>
      <c r="AT172" s="95"/>
      <c r="AU172" s="104" t="n">
        <v>885373</v>
      </c>
      <c r="AV172" s="96" t="n">
        <f aca="false">IF(AND(AP172&gt;0,J172&gt;0),J172*1000/(AP172*0.2),"")</f>
        <v>486.725663716814</v>
      </c>
      <c r="AW172" s="96" t="str">
        <f aca="false">IF(AND(AS172&gt;0,M172&gt;0),M172*1000/(AS172*0.3),"")</f>
        <v/>
      </c>
      <c r="AX172" s="96" t="str">
        <f aca="false">IF(AND(AO172&gt;0,O172&gt;0),O172*1000/(AO172*0.1),"")</f>
        <v/>
      </c>
      <c r="AY172" s="96" t="str">
        <f aca="false">IF(AND(AR172&gt;0,N172&gt;0),N172*1000/(AR172*0.25),"")</f>
        <v/>
      </c>
      <c r="AZ172" s="96" t="str">
        <f aca="false">IF(AND(AQ172&gt;0,Q172&gt;0),Q172*1000/(AQ172*1),"")</f>
        <v/>
      </c>
      <c r="BA172" s="97" t="n">
        <f aca="false">IFERROR(VLOOKUP($I172,'07_Settings'!$A$10:$F$14,6,FALSE()),0.25)</f>
        <v>0.45</v>
      </c>
      <c r="BB172" s="98" t="n">
        <v>1</v>
      </c>
      <c r="BC172" s="98" t="n">
        <v>1</v>
      </c>
      <c r="BD172" s="98" t="n">
        <v>1</v>
      </c>
      <c r="BE172" s="99" t="n">
        <f aca="false">IFERROR(ROUND($S172*BA172*BC172*BD172*BB172,0),0)</f>
        <v>10890</v>
      </c>
      <c r="BF172" s="55" t="str">
        <f aca="false">IF(COUNT(AO172:AU172)&gt;0,"estimated","pending")</f>
        <v>estimated</v>
      </c>
    </row>
    <row r="173" customFormat="false" ht="16.5" hidden="false" customHeight="true" outlineLevel="0" collapsed="false">
      <c r="A173" s="102"/>
      <c r="B173" s="112" t="n">
        <f aca="false">IF($C173="","",COUNTA($C$5:C173))</f>
        <v>169</v>
      </c>
      <c r="C173" s="118" t="s">
        <v>1134</v>
      </c>
      <c r="D173" s="118" t="s">
        <v>279</v>
      </c>
      <c r="E173" s="118" t="s">
        <v>721</v>
      </c>
      <c r="F173" s="118" t="s">
        <v>753</v>
      </c>
      <c r="G173" s="118" t="s">
        <v>722</v>
      </c>
      <c r="H173" s="114" t="n">
        <v>3</v>
      </c>
      <c r="I173" s="114" t="s">
        <v>118</v>
      </c>
      <c r="J173" s="115" t="n">
        <v>12650</v>
      </c>
      <c r="K173" s="115" t="n">
        <v>5300</v>
      </c>
      <c r="L173" s="115" t="n">
        <f aca="false">IF($C173="","",ROUND($J173*0.17,0))</f>
        <v>2151</v>
      </c>
      <c r="M173" s="115" t="n">
        <v>9850</v>
      </c>
      <c r="N173" s="115" t="n">
        <v>4050</v>
      </c>
      <c r="O173" s="115" t="n">
        <v>2550</v>
      </c>
      <c r="P173" s="115" t="n">
        <v>2550</v>
      </c>
      <c r="Q173" s="115" t="n">
        <v>18350</v>
      </c>
      <c r="R173" s="115" t="n">
        <v>8200</v>
      </c>
      <c r="S173" s="115" t="n">
        <f aca="false">IF($C173="","",ROUND($J173*2.2,0))</f>
        <v>27830</v>
      </c>
      <c r="T173" s="115" t="n">
        <v>4450</v>
      </c>
      <c r="U173" s="115" t="n">
        <v>3800</v>
      </c>
      <c r="V173" s="115" t="n">
        <v>2300</v>
      </c>
      <c r="W173" s="116" t="n">
        <v>1898</v>
      </c>
      <c r="X173" s="116" t="s">
        <v>236</v>
      </c>
      <c r="Y173" s="117" t="n">
        <v>0.3</v>
      </c>
      <c r="Z173" s="117" t="n">
        <v>1</v>
      </c>
      <c r="AA173" s="113" t="s">
        <v>1135</v>
      </c>
      <c r="AB173" s="113"/>
      <c r="AC173" s="113" t="s">
        <v>1136</v>
      </c>
      <c r="AD173" s="113"/>
      <c r="AE173" s="113"/>
      <c r="AF173" s="113" t="s">
        <v>1137</v>
      </c>
      <c r="AG173" s="113"/>
      <c r="AH173" s="118" t="s">
        <v>1138</v>
      </c>
      <c r="AI173" s="118"/>
      <c r="AJ173" s="118"/>
      <c r="AK173" s="118" t="s">
        <v>1139</v>
      </c>
      <c r="AL173" s="118" t="s">
        <v>726</v>
      </c>
      <c r="AM173" s="103"/>
      <c r="AN173" s="102"/>
      <c r="AO173" s="95"/>
      <c r="AP173" s="104" t="n">
        <v>21000</v>
      </c>
      <c r="AQ173" s="95"/>
      <c r="AR173" s="95"/>
      <c r="AS173" s="95"/>
      <c r="AT173" s="95"/>
      <c r="AU173" s="104" t="n">
        <v>61037</v>
      </c>
      <c r="AV173" s="96" t="n">
        <f aca="false">IF(AND(AP173&gt;0,J173&gt;0),J173*1000/(AP173*0.2),"")</f>
        <v>3011.90476190476</v>
      </c>
      <c r="AW173" s="96" t="str">
        <f aca="false">IF(AND(AS173&gt;0,M173&gt;0),M173*1000/(AS173*0.3),"")</f>
        <v/>
      </c>
      <c r="AX173" s="96" t="str">
        <f aca="false">IF(AND(AO173&gt;0,O173&gt;0),O173*1000/(AO173*0.1),"")</f>
        <v/>
      </c>
      <c r="AY173" s="96" t="str">
        <f aca="false">IF(AND(AR173&gt;0,N173&gt;0),N173*1000/(AR173*0.25),"")</f>
        <v/>
      </c>
      <c r="AZ173" s="96" t="str">
        <f aca="false">IF(AND(AQ173&gt;0,Q173&gt;0),Q173*1000/(AQ173*1),"")</f>
        <v/>
      </c>
      <c r="BA173" s="97" t="n">
        <f aca="false">IFERROR(VLOOKUP($I173,'07_Settings'!$A$10:$F$14,6,FALSE()),0.25)</f>
        <v>0.35</v>
      </c>
      <c r="BB173" s="98" t="n">
        <v>1</v>
      </c>
      <c r="BC173" s="98" t="n">
        <v>1</v>
      </c>
      <c r="BD173" s="98" t="n">
        <v>1</v>
      </c>
      <c r="BE173" s="99" t="n">
        <f aca="false">IFERROR(ROUND($S173*BA173*BC173*BD173*BB173,0),0)</f>
        <v>9741</v>
      </c>
      <c r="BF173" s="55" t="str">
        <f aca="false">IF(COUNT(AO173:AU173)&gt;0,"estimated","pending")</f>
        <v>estimated</v>
      </c>
    </row>
    <row r="174" customFormat="false" ht="16.5" hidden="false" customHeight="true" outlineLevel="0" collapsed="false">
      <c r="A174" s="102"/>
      <c r="B174" s="112" t="n">
        <f aca="false">IF($C174="","",COUNTA($C$5:C174))</f>
        <v>170</v>
      </c>
      <c r="C174" s="118" t="s">
        <v>1140</v>
      </c>
      <c r="D174" s="118" t="s">
        <v>279</v>
      </c>
      <c r="E174" s="118" t="s">
        <v>721</v>
      </c>
      <c r="F174" s="118" t="s">
        <v>753</v>
      </c>
      <c r="G174" s="118" t="s">
        <v>722</v>
      </c>
      <c r="H174" s="114" t="n">
        <v>2</v>
      </c>
      <c r="I174" s="114" t="s">
        <v>114</v>
      </c>
      <c r="J174" s="115" t="n">
        <v>11000</v>
      </c>
      <c r="K174" s="115" t="n">
        <v>4600</v>
      </c>
      <c r="L174" s="115" t="n">
        <f aca="false">IF($C174="","",ROUND($J174*0.17,0))</f>
        <v>1870</v>
      </c>
      <c r="M174" s="115" t="n">
        <v>8600</v>
      </c>
      <c r="N174" s="115" t="n">
        <v>3500</v>
      </c>
      <c r="O174" s="115" t="n">
        <v>2200</v>
      </c>
      <c r="P174" s="115" t="n">
        <v>2200</v>
      </c>
      <c r="Q174" s="115" t="n">
        <v>15950</v>
      </c>
      <c r="R174" s="115" t="n">
        <v>7150</v>
      </c>
      <c r="S174" s="115" t="n">
        <f aca="false">IF($C174="","",ROUND($J174*2.2,0))</f>
        <v>24200</v>
      </c>
      <c r="T174" s="115" t="n">
        <v>3850</v>
      </c>
      <c r="U174" s="115" t="n">
        <v>3300</v>
      </c>
      <c r="V174" s="115" t="n">
        <v>2000</v>
      </c>
      <c r="W174" s="116" t="n">
        <v>1650</v>
      </c>
      <c r="X174" s="116" t="s">
        <v>290</v>
      </c>
      <c r="Y174" s="117" t="n">
        <v>0.3</v>
      </c>
      <c r="Z174" s="117" t="n">
        <v>1</v>
      </c>
      <c r="AA174" s="113" t="s">
        <v>1141</v>
      </c>
      <c r="AB174" s="113"/>
      <c r="AC174" s="113" t="s">
        <v>1142</v>
      </c>
      <c r="AD174" s="113"/>
      <c r="AE174" s="113"/>
      <c r="AF174" s="113"/>
      <c r="AG174" s="113"/>
      <c r="AH174" s="118" t="s">
        <v>1143</v>
      </c>
      <c r="AI174" s="118"/>
      <c r="AJ174" s="118"/>
      <c r="AK174" s="118" t="s">
        <v>1144</v>
      </c>
      <c r="AL174" s="118" t="s">
        <v>1133</v>
      </c>
      <c r="AM174" s="103"/>
      <c r="AN174" s="102"/>
      <c r="AO174" s="95"/>
      <c r="AP174" s="104" t="n">
        <v>6352</v>
      </c>
      <c r="AQ174" s="95"/>
      <c r="AR174" s="95"/>
      <c r="AS174" s="95"/>
      <c r="AT174" s="95"/>
      <c r="AU174" s="95"/>
      <c r="AV174" s="96" t="n">
        <f aca="false">IF(AND(AP174&gt;0,J174&gt;0),J174*1000/(AP174*0.2),"")</f>
        <v>8658.69017632242</v>
      </c>
      <c r="AW174" s="96" t="str">
        <f aca="false">IF(AND(AS174&gt;0,M174&gt;0),M174*1000/(AS174*0.3),"")</f>
        <v/>
      </c>
      <c r="AX174" s="96" t="str">
        <f aca="false">IF(AND(AO174&gt;0,O174&gt;0),O174*1000/(AO174*0.1),"")</f>
        <v/>
      </c>
      <c r="AY174" s="96" t="str">
        <f aca="false">IF(AND(AR174&gt;0,N174&gt;0),N174*1000/(AR174*0.25),"")</f>
        <v/>
      </c>
      <c r="AZ174" s="96" t="str">
        <f aca="false">IF(AND(AQ174&gt;0,Q174&gt;0),Q174*1000/(AQ174*1),"")</f>
        <v/>
      </c>
      <c r="BA174" s="97" t="n">
        <f aca="false">IFERROR(VLOOKUP($I174,'07_Settings'!$A$10:$F$14,6,FALSE()),0.25)</f>
        <v>0.45</v>
      </c>
      <c r="BB174" s="98" t="n">
        <v>1</v>
      </c>
      <c r="BC174" s="98" t="n">
        <v>1</v>
      </c>
      <c r="BD174" s="98" t="n">
        <v>1</v>
      </c>
      <c r="BE174" s="99" t="n">
        <f aca="false">IFERROR(ROUND($S174*BA174*BC174*BD174*BB174,0),0)</f>
        <v>10890</v>
      </c>
      <c r="BF174" s="55" t="str">
        <f aca="false">IF(COUNT(AO174:AU174)&gt;0,"estimated","pending")</f>
        <v>estimated</v>
      </c>
    </row>
    <row r="175" customFormat="false" ht="16.5" hidden="false" customHeight="true" outlineLevel="0" collapsed="false">
      <c r="A175" s="100"/>
      <c r="B175" s="129" t="n">
        <f aca="false">IF($C175="","",COUNTA($C$5:C175))</f>
        <v>171</v>
      </c>
      <c r="C175" s="135" t="s">
        <v>1145</v>
      </c>
      <c r="D175" s="135" t="s">
        <v>428</v>
      </c>
      <c r="E175" s="135" t="s">
        <v>721</v>
      </c>
      <c r="F175" s="135" t="s">
        <v>753</v>
      </c>
      <c r="G175" s="135" t="s">
        <v>722</v>
      </c>
      <c r="H175" s="131" t="n">
        <v>3</v>
      </c>
      <c r="I175" s="131" t="s">
        <v>118</v>
      </c>
      <c r="J175" s="132" t="n">
        <v>11000</v>
      </c>
      <c r="K175" s="132" t="n">
        <v>4600</v>
      </c>
      <c r="L175" s="133" t="n">
        <f aca="false">IF($C175="","",ROUND($J175*0.17,0))</f>
        <v>1870</v>
      </c>
      <c r="M175" s="132" t="n">
        <v>8600</v>
      </c>
      <c r="N175" s="132" t="n">
        <v>3500</v>
      </c>
      <c r="O175" s="132" t="n">
        <v>2200</v>
      </c>
      <c r="P175" s="132" t="n">
        <v>0</v>
      </c>
      <c r="Q175" s="132" t="n">
        <v>15950</v>
      </c>
      <c r="R175" s="132" t="n">
        <v>7150</v>
      </c>
      <c r="S175" s="133" t="n">
        <f aca="false">IF($C175="","",ROUND($J175*2.2,0))</f>
        <v>24200</v>
      </c>
      <c r="T175" s="132" t="n">
        <v>3850</v>
      </c>
      <c r="U175" s="132" t="n">
        <v>3300</v>
      </c>
      <c r="V175" s="132" t="n">
        <v>2000</v>
      </c>
      <c r="W175" s="132" t="n">
        <v>0</v>
      </c>
      <c r="X175" s="132" t="s">
        <v>236</v>
      </c>
      <c r="Y175" s="134" t="n">
        <v>0.3</v>
      </c>
      <c r="Z175" s="134" t="n">
        <v>1</v>
      </c>
      <c r="AA175" s="130" t="s">
        <v>1146</v>
      </c>
      <c r="AB175" s="130"/>
      <c r="AC175" s="130" t="s">
        <v>1147</v>
      </c>
      <c r="AD175" s="130"/>
      <c r="AE175" s="130"/>
      <c r="AF175" s="130" t="s">
        <v>1148</v>
      </c>
      <c r="AG175" s="130"/>
      <c r="AH175" s="135" t="s">
        <v>1149</v>
      </c>
      <c r="AI175" s="135"/>
      <c r="AJ175" s="135"/>
      <c r="AK175" s="135" t="s">
        <v>1150</v>
      </c>
      <c r="AL175" s="135"/>
      <c r="AM175" s="101"/>
      <c r="AN175" s="100"/>
      <c r="AO175" s="104" t="n">
        <v>11300</v>
      </c>
      <c r="AP175" s="104" t="n">
        <v>25000</v>
      </c>
      <c r="AQ175" s="95"/>
      <c r="AR175" s="95"/>
      <c r="AS175" s="95"/>
      <c r="AT175" s="95"/>
      <c r="AU175" s="104" t="n">
        <v>218000</v>
      </c>
      <c r="AV175" s="96" t="n">
        <f aca="false">IF(AND(AP175&gt;0,J175&gt;0),J175*1000/(AP175*0.2),"")</f>
        <v>2200</v>
      </c>
      <c r="AW175" s="96" t="str">
        <f aca="false">IF(AND(AS175&gt;0,M175&gt;0),M175*1000/(AS175*0.3),"")</f>
        <v/>
      </c>
      <c r="AX175" s="96" t="n">
        <f aca="false">IF(AND(AO175&gt;0,O175&gt;0),O175*1000/(AO175*0.1),"")</f>
        <v>1946.90265486726</v>
      </c>
      <c r="AY175" s="96" t="str">
        <f aca="false">IF(AND(AR175&gt;0,N175&gt;0),N175*1000/(AR175*0.25),"")</f>
        <v/>
      </c>
      <c r="AZ175" s="96" t="str">
        <f aca="false">IF(AND(AQ175&gt;0,Q175&gt;0),Q175*1000/(AQ175*1),"")</f>
        <v/>
      </c>
      <c r="BA175" s="97" t="n">
        <f aca="false">IFERROR(VLOOKUP($I175,'07_Settings'!$A$10:$F$14,6,FALSE()),0.25)</f>
        <v>0.35</v>
      </c>
      <c r="BB175" s="98" t="n">
        <v>1</v>
      </c>
      <c r="BC175" s="98" t="n">
        <v>1</v>
      </c>
      <c r="BD175" s="98" t="n">
        <v>1</v>
      </c>
      <c r="BE175" s="99" t="n">
        <f aca="false">IFERROR(ROUND($S175*BA175*BC175*BD175*BB175,0),0)</f>
        <v>8470</v>
      </c>
      <c r="BF175" s="55" t="str">
        <f aca="false">IF(COUNT(AO175:AU175)&gt;0,"estimated","pending")</f>
        <v>estimated</v>
      </c>
    </row>
    <row r="176" customFormat="false" ht="16.5" hidden="false" customHeight="true" outlineLevel="0" collapsed="false">
      <c r="A176" s="102"/>
      <c r="B176" s="112" t="n">
        <f aca="false">IF($C176="","",COUNTA($C$5:C176))</f>
        <v>172</v>
      </c>
      <c r="C176" s="118" t="s">
        <v>1151</v>
      </c>
      <c r="D176" s="118" t="s">
        <v>279</v>
      </c>
      <c r="E176" s="118" t="s">
        <v>855</v>
      </c>
      <c r="F176" s="118" t="s">
        <v>337</v>
      </c>
      <c r="G176" s="118" t="s">
        <v>607</v>
      </c>
      <c r="H176" s="114" t="n">
        <v>2</v>
      </c>
      <c r="I176" s="114" t="s">
        <v>118</v>
      </c>
      <c r="J176" s="115" t="n">
        <v>8000</v>
      </c>
      <c r="K176" s="115" t="n">
        <v>4000</v>
      </c>
      <c r="L176" s="115" t="n">
        <f aca="false">IF($C176="","",ROUND($J176*0.17,0))</f>
        <v>1360</v>
      </c>
      <c r="M176" s="115" t="n">
        <v>6000</v>
      </c>
      <c r="N176" s="115" t="n">
        <v>3000</v>
      </c>
      <c r="O176" s="115" t="n">
        <v>2000</v>
      </c>
      <c r="P176" s="115" t="n">
        <v>2000</v>
      </c>
      <c r="Q176" s="115" t="n">
        <v>6000</v>
      </c>
      <c r="R176" s="115" t="n">
        <v>5000</v>
      </c>
      <c r="S176" s="115" t="n">
        <f aca="false">IF($C176="","",ROUND($J176*2.2,0))</f>
        <v>17600</v>
      </c>
      <c r="T176" s="115" t="n">
        <v>3000</v>
      </c>
      <c r="U176" s="115" t="n">
        <v>2000</v>
      </c>
      <c r="V176" s="115" t="n">
        <v>1500</v>
      </c>
      <c r="W176" s="116" t="n">
        <v>1200</v>
      </c>
      <c r="X176" s="116" t="s">
        <v>290</v>
      </c>
      <c r="Y176" s="117" t="n">
        <v>0.75</v>
      </c>
      <c r="Z176" s="117" t="n">
        <v>1</v>
      </c>
      <c r="AA176" s="113" t="s">
        <v>1152</v>
      </c>
      <c r="AB176" s="113" t="s">
        <v>1153</v>
      </c>
      <c r="AC176" s="113"/>
      <c r="AD176" s="113" t="s">
        <v>1154</v>
      </c>
      <c r="AE176" s="113"/>
      <c r="AF176" s="113"/>
      <c r="AG176" s="113"/>
      <c r="AH176" s="118"/>
      <c r="AI176" s="118"/>
      <c r="AJ176" s="118"/>
      <c r="AK176" s="120" t="n">
        <v>37108</v>
      </c>
      <c r="AL176" s="118" t="s">
        <v>883</v>
      </c>
      <c r="AM176" s="103"/>
      <c r="AN176" s="102"/>
      <c r="AO176" s="104" t="n">
        <v>6185</v>
      </c>
      <c r="AP176" s="95"/>
      <c r="AQ176" s="95"/>
      <c r="AR176" s="95"/>
      <c r="AS176" s="95"/>
      <c r="AT176" s="95"/>
      <c r="AU176" s="95"/>
      <c r="AV176" s="96" t="str">
        <f aca="false">IF(AND(AP176&gt;0,J176&gt;0),J176*1000/(AP176*0.2),"")</f>
        <v/>
      </c>
      <c r="AW176" s="96" t="str">
        <f aca="false">IF(AND(AS176&gt;0,M176&gt;0),M176*1000/(AS176*0.3),"")</f>
        <v/>
      </c>
      <c r="AX176" s="96" t="n">
        <f aca="false">IF(AND(AO176&gt;0,O176&gt;0),O176*1000/(AO176*0.1),"")</f>
        <v>3233.62974939369</v>
      </c>
      <c r="AY176" s="96" t="str">
        <f aca="false">IF(AND(AR176&gt;0,N176&gt;0),N176*1000/(AR176*0.25),"")</f>
        <v/>
      </c>
      <c r="AZ176" s="96" t="str">
        <f aca="false">IF(AND(AQ176&gt;0,Q176&gt;0),Q176*1000/(AQ176*1),"")</f>
        <v/>
      </c>
      <c r="BA176" s="97" t="n">
        <f aca="false">IFERROR(VLOOKUP($I176,'07_Settings'!$A$10:$F$14,6,FALSE()),0.25)</f>
        <v>0.35</v>
      </c>
      <c r="BB176" s="98" t="n">
        <v>1</v>
      </c>
      <c r="BC176" s="98" t="n">
        <v>1</v>
      </c>
      <c r="BD176" s="98" t="n">
        <v>1</v>
      </c>
      <c r="BE176" s="99" t="n">
        <f aca="false">IFERROR(ROUND($S176*BA176*BC176*BD176*BB176,0),0)</f>
        <v>6160</v>
      </c>
      <c r="BF176" s="55" t="str">
        <f aca="false">IF(COUNT(AO176:AU176)&gt;0,"estimated","pending")</f>
        <v>estimated</v>
      </c>
    </row>
    <row r="177" customFormat="false" ht="16.5" hidden="false" customHeight="true" outlineLevel="0" collapsed="false">
      <c r="A177" s="102"/>
      <c r="B177" s="112" t="n">
        <f aca="false">IF($C177="","",COUNTA($C$5:C177))</f>
        <v>173</v>
      </c>
      <c r="C177" s="118" t="s">
        <v>1155</v>
      </c>
      <c r="D177" s="118" t="s">
        <v>279</v>
      </c>
      <c r="E177" s="118" t="s">
        <v>938</v>
      </c>
      <c r="F177" s="118" t="s">
        <v>337</v>
      </c>
      <c r="G177" s="118" t="s">
        <v>1156</v>
      </c>
      <c r="H177" s="114" t="n">
        <v>4</v>
      </c>
      <c r="I177" s="114" t="s">
        <v>118</v>
      </c>
      <c r="J177" s="115" t="n">
        <v>11000</v>
      </c>
      <c r="K177" s="115" t="n">
        <v>4600</v>
      </c>
      <c r="L177" s="115" t="n">
        <f aca="false">IF($C177="","",ROUND($J177*0.17,0))</f>
        <v>1870</v>
      </c>
      <c r="M177" s="115" t="n">
        <v>8600</v>
      </c>
      <c r="N177" s="115" t="n">
        <v>3500</v>
      </c>
      <c r="O177" s="115" t="n">
        <v>2200</v>
      </c>
      <c r="P177" s="115" t="n">
        <v>2200</v>
      </c>
      <c r="Q177" s="115" t="n">
        <v>15950</v>
      </c>
      <c r="R177" s="115" t="n">
        <v>7150</v>
      </c>
      <c r="S177" s="115" t="n">
        <f aca="false">IF($C177="","",ROUND($J177*2.2,0))</f>
        <v>24200</v>
      </c>
      <c r="T177" s="115" t="n">
        <v>3850</v>
      </c>
      <c r="U177" s="115" t="n">
        <v>3300</v>
      </c>
      <c r="V177" s="115" t="n">
        <v>2000</v>
      </c>
      <c r="W177" s="116" t="n">
        <v>1650</v>
      </c>
      <c r="X177" s="116" t="s">
        <v>222</v>
      </c>
      <c r="Y177" s="117" t="n">
        <v>0.75</v>
      </c>
      <c r="Z177" s="117" t="n">
        <v>1</v>
      </c>
      <c r="AA177" s="113" t="s">
        <v>1157</v>
      </c>
      <c r="AB177" s="113" t="s">
        <v>1158</v>
      </c>
      <c r="AC177" s="113" t="s">
        <v>1159</v>
      </c>
      <c r="AD177" s="113" t="s">
        <v>1160</v>
      </c>
      <c r="AE177" s="113" t="s">
        <v>1161</v>
      </c>
      <c r="AF177" s="113"/>
      <c r="AG177" s="113"/>
      <c r="AH177" s="118"/>
      <c r="AI177" s="118"/>
      <c r="AJ177" s="118"/>
      <c r="AK177" s="120" t="n">
        <v>37898</v>
      </c>
      <c r="AL177" s="118" t="s">
        <v>1162</v>
      </c>
      <c r="AM177" s="103"/>
      <c r="AN177" s="102"/>
      <c r="AO177" s="104" t="n">
        <v>6159</v>
      </c>
      <c r="AP177" s="95"/>
      <c r="AQ177" s="95"/>
      <c r="AR177" s="95"/>
      <c r="AS177" s="95"/>
      <c r="AT177" s="95"/>
      <c r="AU177" s="95"/>
      <c r="AV177" s="96" t="str">
        <f aca="false">IF(AND(AP177&gt;0,J177&gt;0),J177*1000/(AP177*0.2),"")</f>
        <v/>
      </c>
      <c r="AW177" s="96" t="str">
        <f aca="false">IF(AND(AS177&gt;0,M177&gt;0),M177*1000/(AS177*0.3),"")</f>
        <v/>
      </c>
      <c r="AX177" s="96" t="n">
        <f aca="false">IF(AND(AO177&gt;0,O177&gt;0),O177*1000/(AO177*0.1),"")</f>
        <v>3572.00844292905</v>
      </c>
      <c r="AY177" s="96" t="str">
        <f aca="false">IF(AND(AR177&gt;0,N177&gt;0),N177*1000/(AR177*0.25),"")</f>
        <v/>
      </c>
      <c r="AZ177" s="96" t="str">
        <f aca="false">IF(AND(AQ177&gt;0,Q177&gt;0),Q177*1000/(AQ177*1),"")</f>
        <v/>
      </c>
      <c r="BA177" s="97" t="n">
        <f aca="false">IFERROR(VLOOKUP($I177,'07_Settings'!$A$10:$F$14,6,FALSE()),0.25)</f>
        <v>0.35</v>
      </c>
      <c r="BB177" s="98" t="n">
        <v>1</v>
      </c>
      <c r="BC177" s="98" t="n">
        <v>1</v>
      </c>
      <c r="BD177" s="98" t="n">
        <v>1</v>
      </c>
      <c r="BE177" s="99" t="n">
        <f aca="false">IFERROR(ROUND($S177*BA177*BC177*BD177*BB177,0),0)</f>
        <v>8470</v>
      </c>
      <c r="BF177" s="55" t="str">
        <f aca="false">IF(COUNT(AO177:AU177)&gt;0,"estimated","pending")</f>
        <v>estimated</v>
      </c>
    </row>
    <row r="178" customFormat="false" ht="16.5" hidden="false" customHeight="true" outlineLevel="0" collapsed="false">
      <c r="A178" s="102"/>
      <c r="B178" s="112" t="n">
        <f aca="false">IF($C178="","",COUNTA($C$5:C178))</f>
        <v>174</v>
      </c>
      <c r="C178" s="118" t="s">
        <v>1163</v>
      </c>
      <c r="D178" s="118" t="s">
        <v>279</v>
      </c>
      <c r="E178" s="118" t="s">
        <v>1054</v>
      </c>
      <c r="F178" s="118" t="s">
        <v>1055</v>
      </c>
      <c r="G178" s="118" t="s">
        <v>210</v>
      </c>
      <c r="H178" s="114" t="n">
        <v>0</v>
      </c>
      <c r="I178" s="114" t="s">
        <v>114</v>
      </c>
      <c r="J178" s="115" t="n">
        <v>12650</v>
      </c>
      <c r="K178" s="115" t="n">
        <v>5300</v>
      </c>
      <c r="L178" s="115" t="n">
        <f aca="false">IF($C178="","",ROUND($J178*0.17,0))</f>
        <v>2151</v>
      </c>
      <c r="M178" s="115" t="n">
        <v>9850</v>
      </c>
      <c r="N178" s="115" t="n">
        <v>4050</v>
      </c>
      <c r="O178" s="115" t="n">
        <v>2550</v>
      </c>
      <c r="P178" s="115" t="n">
        <v>2550</v>
      </c>
      <c r="Q178" s="115" t="n">
        <v>18350</v>
      </c>
      <c r="R178" s="115" t="n">
        <v>8200</v>
      </c>
      <c r="S178" s="115" t="n">
        <f aca="false">IF($C178="","",ROUND($J178*2.2,0))</f>
        <v>27830</v>
      </c>
      <c r="T178" s="115" t="n">
        <v>4450</v>
      </c>
      <c r="U178" s="115" t="n">
        <v>3800</v>
      </c>
      <c r="V178" s="115" t="n">
        <v>2300</v>
      </c>
      <c r="W178" s="116" t="n">
        <v>1898</v>
      </c>
      <c r="X178" s="116" t="s">
        <v>376</v>
      </c>
      <c r="Y178" s="117" t="n">
        <v>0.75</v>
      </c>
      <c r="Z178" s="117" t="n">
        <v>1</v>
      </c>
      <c r="AA178" s="113" t="s">
        <v>1164</v>
      </c>
      <c r="AB178" s="113"/>
      <c r="AC178" s="113"/>
      <c r="AD178" s="113"/>
      <c r="AE178" s="113"/>
      <c r="AF178" s="113"/>
      <c r="AG178" s="113"/>
      <c r="AH178" s="118"/>
      <c r="AI178" s="118"/>
      <c r="AJ178" s="118"/>
      <c r="AK178" s="118" t="s">
        <v>1069</v>
      </c>
      <c r="AL178" s="118"/>
      <c r="AM178" s="103"/>
      <c r="AN178" s="102"/>
      <c r="AO178" s="95"/>
      <c r="AP178" s="95"/>
      <c r="AQ178" s="95"/>
      <c r="AR178" s="95"/>
      <c r="AS178" s="95"/>
      <c r="AT178" s="95"/>
      <c r="AU178" s="95"/>
      <c r="AV178" s="96" t="str">
        <f aca="false">IF(AND(AP178&gt;0,J178&gt;0),J178*1000/(AP178*0.2),"")</f>
        <v/>
      </c>
      <c r="AW178" s="96" t="str">
        <f aca="false">IF(AND(AS178&gt;0,M178&gt;0),M178*1000/(AS178*0.3),"")</f>
        <v/>
      </c>
      <c r="AX178" s="96" t="str">
        <f aca="false">IF(AND(AO178&gt;0,O178&gt;0),O178*1000/(AO178*0.1),"")</f>
        <v/>
      </c>
      <c r="AY178" s="96" t="str">
        <f aca="false">IF(AND(AR178&gt;0,N178&gt;0),N178*1000/(AR178*0.25),"")</f>
        <v/>
      </c>
      <c r="AZ178" s="96" t="str">
        <f aca="false">IF(AND(AQ178&gt;0,Q178&gt;0),Q178*1000/(AQ178*1),"")</f>
        <v/>
      </c>
      <c r="BA178" s="97" t="n">
        <f aca="false">IFERROR(VLOOKUP($I178,'07_Settings'!$A$10:$F$14,6,FALSE()),0.25)</f>
        <v>0.45</v>
      </c>
      <c r="BB178" s="98" t="n">
        <v>1</v>
      </c>
      <c r="BC178" s="98" t="n">
        <v>1</v>
      </c>
      <c r="BD178" s="98" t="n">
        <v>1</v>
      </c>
      <c r="BE178" s="99" t="n">
        <f aca="false">IFERROR(ROUND($S178*BA178*BC178*BD178*BB178,0),0)</f>
        <v>12524</v>
      </c>
      <c r="BF178" s="55" t="str">
        <f aca="false">IF(COUNT(AO178:AU178)&gt;0,"estimated","pending")</f>
        <v>pending</v>
      </c>
    </row>
    <row r="179" customFormat="false" ht="16.5" hidden="false" customHeight="true" outlineLevel="0" collapsed="false">
      <c r="A179" s="102"/>
      <c r="B179" s="112" t="n">
        <f aca="false">IF($C179="","",COUNTA($C$5:C179))</f>
        <v>175</v>
      </c>
      <c r="C179" s="118" t="s">
        <v>1165</v>
      </c>
      <c r="D179" s="118" t="s">
        <v>279</v>
      </c>
      <c r="E179" s="118" t="s">
        <v>1054</v>
      </c>
      <c r="F179" s="118" t="s">
        <v>1055</v>
      </c>
      <c r="G179" s="118" t="s">
        <v>1056</v>
      </c>
      <c r="H179" s="114" t="n">
        <v>2</v>
      </c>
      <c r="I179" s="114" t="s">
        <v>118</v>
      </c>
      <c r="J179" s="115" t="n">
        <v>9700</v>
      </c>
      <c r="K179" s="115" t="n">
        <v>4050</v>
      </c>
      <c r="L179" s="115" t="n">
        <f aca="false">IF($C179="","",ROUND($J179*0.17,0))</f>
        <v>1649</v>
      </c>
      <c r="M179" s="115" t="n">
        <v>7550</v>
      </c>
      <c r="N179" s="115" t="n">
        <v>3100</v>
      </c>
      <c r="O179" s="115" t="n">
        <v>1950</v>
      </c>
      <c r="P179" s="115" t="n">
        <v>1950</v>
      </c>
      <c r="Q179" s="115" t="n">
        <v>14050</v>
      </c>
      <c r="R179" s="115" t="n">
        <v>6300</v>
      </c>
      <c r="S179" s="115" t="n">
        <f aca="false">IF($C179="","",ROUND($J179*2.2,0))</f>
        <v>21340</v>
      </c>
      <c r="T179" s="115" t="n">
        <v>3400</v>
      </c>
      <c r="U179" s="115" t="n">
        <v>2900</v>
      </c>
      <c r="V179" s="115" t="n">
        <v>1750</v>
      </c>
      <c r="W179" s="116" t="n">
        <v>1455</v>
      </c>
      <c r="X179" s="116" t="s">
        <v>290</v>
      </c>
      <c r="Y179" s="117" t="n">
        <v>0.75</v>
      </c>
      <c r="Z179" s="117" t="n">
        <v>1</v>
      </c>
      <c r="AA179" s="113" t="s">
        <v>1166</v>
      </c>
      <c r="AB179" s="113" t="s">
        <v>1167</v>
      </c>
      <c r="AC179" s="113" t="s">
        <v>1168</v>
      </c>
      <c r="AD179" s="113"/>
      <c r="AE179" s="113"/>
      <c r="AF179" s="113"/>
      <c r="AG179" s="113"/>
      <c r="AH179" s="118"/>
      <c r="AI179" s="118"/>
      <c r="AJ179" s="118"/>
      <c r="AK179" s="120" t="n">
        <v>38356</v>
      </c>
      <c r="AL179" s="118"/>
      <c r="AM179" s="103"/>
      <c r="AN179" s="102"/>
      <c r="AO179" s="104" t="n">
        <v>15900</v>
      </c>
      <c r="AP179" s="104" t="n">
        <v>12000</v>
      </c>
      <c r="AQ179" s="95"/>
      <c r="AR179" s="95"/>
      <c r="AS179" s="95"/>
      <c r="AT179" s="95"/>
      <c r="AU179" s="95"/>
      <c r="AV179" s="96" t="n">
        <f aca="false">IF(AND(AP179&gt;0,J179&gt;0),J179*1000/(AP179*0.2),"")</f>
        <v>4041.66666666667</v>
      </c>
      <c r="AW179" s="96" t="str">
        <f aca="false">IF(AND(AS179&gt;0,M179&gt;0),M179*1000/(AS179*0.3),"")</f>
        <v/>
      </c>
      <c r="AX179" s="96" t="n">
        <f aca="false">IF(AND(AO179&gt;0,O179&gt;0),O179*1000/(AO179*0.1),"")</f>
        <v>1226.41509433962</v>
      </c>
      <c r="AY179" s="96" t="str">
        <f aca="false">IF(AND(AR179&gt;0,N179&gt;0),N179*1000/(AR179*0.25),"")</f>
        <v/>
      </c>
      <c r="AZ179" s="96" t="str">
        <f aca="false">IF(AND(AQ179&gt;0,Q179&gt;0),Q179*1000/(AQ179*1),"")</f>
        <v/>
      </c>
      <c r="BA179" s="97" t="n">
        <f aca="false">IFERROR(VLOOKUP($I179,'07_Settings'!$A$10:$F$14,6,FALSE()),0.25)</f>
        <v>0.35</v>
      </c>
      <c r="BB179" s="98" t="n">
        <v>1</v>
      </c>
      <c r="BC179" s="98" t="n">
        <v>1</v>
      </c>
      <c r="BD179" s="98" t="n">
        <v>1</v>
      </c>
      <c r="BE179" s="99" t="n">
        <f aca="false">IFERROR(ROUND($S179*BA179*BC179*BD179*BB179,0),0)</f>
        <v>7469</v>
      </c>
      <c r="BF179" s="55" t="str">
        <f aca="false">IF(COUNT(AO179:AU179)&gt;0,"estimated","pending")</f>
        <v>estimated</v>
      </c>
    </row>
    <row r="180" customFormat="false" ht="16.5" hidden="false" customHeight="true" outlineLevel="0" collapsed="false">
      <c r="A180" s="102"/>
      <c r="B180" s="112" t="n">
        <f aca="false">IF($C180="","",COUNTA($C$5:C180))</f>
        <v>176</v>
      </c>
      <c r="C180" s="118" t="s">
        <v>1169</v>
      </c>
      <c r="D180" s="118" t="s">
        <v>279</v>
      </c>
      <c r="E180" s="118" t="s">
        <v>1170</v>
      </c>
      <c r="F180" s="118" t="s">
        <v>337</v>
      </c>
      <c r="G180" s="118" t="s">
        <v>1171</v>
      </c>
      <c r="H180" s="114" t="n">
        <v>0</v>
      </c>
      <c r="I180" s="114" t="s">
        <v>114</v>
      </c>
      <c r="J180" s="115" t="n">
        <v>11000</v>
      </c>
      <c r="K180" s="115" t="n">
        <v>4600</v>
      </c>
      <c r="L180" s="115" t="n">
        <f aca="false">IF($C180="","",ROUND($J180*0.17,0))</f>
        <v>1870</v>
      </c>
      <c r="M180" s="115" t="n">
        <v>8600</v>
      </c>
      <c r="N180" s="115" t="n">
        <v>3500</v>
      </c>
      <c r="O180" s="115" t="n">
        <v>2200</v>
      </c>
      <c r="P180" s="115" t="n">
        <v>2200</v>
      </c>
      <c r="Q180" s="115" t="n">
        <v>15950</v>
      </c>
      <c r="R180" s="115" t="n">
        <v>7150</v>
      </c>
      <c r="S180" s="115" t="n">
        <f aca="false">IF($C180="","",ROUND($J180*2.2,0))</f>
        <v>24200</v>
      </c>
      <c r="T180" s="115" t="n">
        <v>3850</v>
      </c>
      <c r="U180" s="115" t="n">
        <v>3300</v>
      </c>
      <c r="V180" s="115" t="n">
        <v>2000</v>
      </c>
      <c r="W180" s="116" t="n">
        <v>1650</v>
      </c>
      <c r="X180" s="116" t="s">
        <v>376</v>
      </c>
      <c r="Y180" s="117" t="n">
        <v>0.3</v>
      </c>
      <c r="Z180" s="117" t="n">
        <v>1</v>
      </c>
      <c r="AA180" s="113" t="s">
        <v>1172</v>
      </c>
      <c r="AB180" s="113"/>
      <c r="AC180" s="113"/>
      <c r="AD180" s="113"/>
      <c r="AE180" s="113"/>
      <c r="AF180" s="113"/>
      <c r="AG180" s="113"/>
      <c r="AH180" s="118"/>
      <c r="AI180" s="118"/>
      <c r="AJ180" s="118"/>
      <c r="AK180" s="118" t="s">
        <v>1173</v>
      </c>
      <c r="AL180" s="118"/>
      <c r="AM180" s="103"/>
      <c r="AN180" s="102"/>
      <c r="AO180" s="95"/>
      <c r="AP180" s="95"/>
      <c r="AQ180" s="95"/>
      <c r="AR180" s="95"/>
      <c r="AS180" s="95"/>
      <c r="AT180" s="95"/>
      <c r="AU180" s="95"/>
      <c r="AV180" s="96" t="str">
        <f aca="false">IF(AND(AP180&gt;0,J180&gt;0),J180*1000/(AP180*0.2),"")</f>
        <v/>
      </c>
      <c r="AW180" s="96" t="str">
        <f aca="false">IF(AND(AS180&gt;0,M180&gt;0),M180*1000/(AS180*0.3),"")</f>
        <v/>
      </c>
      <c r="AX180" s="96" t="str">
        <f aca="false">IF(AND(AO180&gt;0,O180&gt;0),O180*1000/(AO180*0.1),"")</f>
        <v/>
      </c>
      <c r="AY180" s="96" t="str">
        <f aca="false">IF(AND(AR180&gt;0,N180&gt;0),N180*1000/(AR180*0.25),"")</f>
        <v/>
      </c>
      <c r="AZ180" s="96" t="str">
        <f aca="false">IF(AND(AQ180&gt;0,Q180&gt;0),Q180*1000/(AQ180*1),"")</f>
        <v/>
      </c>
      <c r="BA180" s="97" t="n">
        <f aca="false">IFERROR(VLOOKUP($I180,'07_Settings'!$A$10:$F$14,6,FALSE()),0.25)</f>
        <v>0.45</v>
      </c>
      <c r="BB180" s="98" t="n">
        <v>1</v>
      </c>
      <c r="BC180" s="98" t="n">
        <v>1</v>
      </c>
      <c r="BD180" s="98" t="n">
        <v>1</v>
      </c>
      <c r="BE180" s="99" t="n">
        <f aca="false">IFERROR(ROUND($S180*BA180*BC180*BD180*BB180,0),0)</f>
        <v>10890</v>
      </c>
      <c r="BF180" s="55" t="str">
        <f aca="false">IF(COUNT(AO180:AU180)&gt;0,"estimated","pending")</f>
        <v>pending</v>
      </c>
    </row>
    <row r="181" customFormat="false" ht="16.5" hidden="false" customHeight="true" outlineLevel="0" collapsed="false">
      <c r="A181" s="102"/>
      <c r="B181" s="112" t="n">
        <f aca="false">IF($C181="","",COUNTA($C$5:C181))</f>
        <v>177</v>
      </c>
      <c r="C181" s="118" t="s">
        <v>1174</v>
      </c>
      <c r="D181" s="118" t="s">
        <v>279</v>
      </c>
      <c r="E181" s="118" t="s">
        <v>1170</v>
      </c>
      <c r="F181" s="118" t="s">
        <v>337</v>
      </c>
      <c r="G181" s="118" t="s">
        <v>1171</v>
      </c>
      <c r="H181" s="114" t="n">
        <v>0</v>
      </c>
      <c r="I181" s="114" t="s">
        <v>114</v>
      </c>
      <c r="J181" s="115" t="n">
        <v>8800</v>
      </c>
      <c r="K181" s="115" t="n">
        <v>3700</v>
      </c>
      <c r="L181" s="115" t="n">
        <f aca="false">IF($C181="","",ROUND($J181*0.17,0))</f>
        <v>1496</v>
      </c>
      <c r="M181" s="115" t="n">
        <v>6850</v>
      </c>
      <c r="N181" s="115" t="n">
        <v>2800</v>
      </c>
      <c r="O181" s="115" t="n">
        <v>1750</v>
      </c>
      <c r="P181" s="115" t="n">
        <v>1750</v>
      </c>
      <c r="Q181" s="115" t="n">
        <v>12750</v>
      </c>
      <c r="R181" s="115" t="n">
        <v>5700</v>
      </c>
      <c r="S181" s="115" t="n">
        <f aca="false">IF($C181="","",ROUND($J181*2.2,0))</f>
        <v>19360</v>
      </c>
      <c r="T181" s="115" t="n">
        <v>3100</v>
      </c>
      <c r="U181" s="115" t="n">
        <v>2650</v>
      </c>
      <c r="V181" s="115" t="n">
        <v>1600</v>
      </c>
      <c r="W181" s="116" t="n">
        <v>1320</v>
      </c>
      <c r="X181" s="116" t="s">
        <v>376</v>
      </c>
      <c r="Y181" s="117" t="n">
        <v>0.3</v>
      </c>
      <c r="Z181" s="117" t="n">
        <v>1</v>
      </c>
      <c r="AA181" s="113" t="s">
        <v>1175</v>
      </c>
      <c r="AB181" s="113"/>
      <c r="AC181" s="113"/>
      <c r="AD181" s="113"/>
      <c r="AE181" s="113"/>
      <c r="AF181" s="113"/>
      <c r="AG181" s="113"/>
      <c r="AH181" s="118"/>
      <c r="AI181" s="118"/>
      <c r="AJ181" s="118"/>
      <c r="AK181" s="118" t="s">
        <v>1176</v>
      </c>
      <c r="AL181" s="118"/>
      <c r="AM181" s="103"/>
      <c r="AN181" s="102"/>
      <c r="AO181" s="95"/>
      <c r="AP181" s="95"/>
      <c r="AQ181" s="95"/>
      <c r="AR181" s="95"/>
      <c r="AS181" s="95"/>
      <c r="AT181" s="95"/>
      <c r="AU181" s="95"/>
      <c r="AV181" s="96" t="str">
        <f aca="false">IF(AND(AP181&gt;0,J181&gt;0),J181*1000/(AP181*0.2),"")</f>
        <v/>
      </c>
      <c r="AW181" s="96" t="str">
        <f aca="false">IF(AND(AS181&gt;0,M181&gt;0),M181*1000/(AS181*0.3),"")</f>
        <v/>
      </c>
      <c r="AX181" s="96" t="str">
        <f aca="false">IF(AND(AO181&gt;0,O181&gt;0),O181*1000/(AO181*0.1),"")</f>
        <v/>
      </c>
      <c r="AY181" s="96" t="str">
        <f aca="false">IF(AND(AR181&gt;0,N181&gt;0),N181*1000/(AR181*0.25),"")</f>
        <v/>
      </c>
      <c r="AZ181" s="96" t="str">
        <f aca="false">IF(AND(AQ181&gt;0,Q181&gt;0),Q181*1000/(AQ181*1),"")</f>
        <v/>
      </c>
      <c r="BA181" s="97" t="n">
        <f aca="false">IFERROR(VLOOKUP($I181,'07_Settings'!$A$10:$F$14,6,FALSE()),0.25)</f>
        <v>0.45</v>
      </c>
      <c r="BB181" s="98" t="n">
        <v>1</v>
      </c>
      <c r="BC181" s="98" t="n">
        <v>1</v>
      </c>
      <c r="BD181" s="98" t="n">
        <v>1</v>
      </c>
      <c r="BE181" s="99" t="n">
        <f aca="false">IFERROR(ROUND($S181*BA181*BC181*BD181*BB181,0),0)</f>
        <v>8712</v>
      </c>
      <c r="BF181" s="55" t="str">
        <f aca="false">IF(COUNT(AO181:AU181)&gt;0,"estimated","pending")</f>
        <v>pending</v>
      </c>
    </row>
    <row r="182" customFormat="false" ht="16.5" hidden="false" customHeight="true" outlineLevel="0" collapsed="false">
      <c r="A182" s="102"/>
      <c r="B182" s="112" t="n">
        <f aca="false">IF($C182="","",COUNTA($C$5:C182))</f>
        <v>178</v>
      </c>
      <c r="C182" s="118" t="s">
        <v>1177</v>
      </c>
      <c r="D182" s="118" t="s">
        <v>279</v>
      </c>
      <c r="E182" s="118" t="s">
        <v>1170</v>
      </c>
      <c r="F182" s="118" t="s">
        <v>337</v>
      </c>
      <c r="G182" s="118" t="s">
        <v>1171</v>
      </c>
      <c r="H182" s="114" t="n">
        <v>0</v>
      </c>
      <c r="I182" s="114" t="s">
        <v>114</v>
      </c>
      <c r="J182" s="115" t="n">
        <v>8800</v>
      </c>
      <c r="K182" s="115" t="n">
        <v>3700</v>
      </c>
      <c r="L182" s="115" t="n">
        <f aca="false">IF($C182="","",ROUND($J182*0.17,0))</f>
        <v>1496</v>
      </c>
      <c r="M182" s="115" t="n">
        <v>6850</v>
      </c>
      <c r="N182" s="115" t="n">
        <v>2800</v>
      </c>
      <c r="O182" s="115" t="n">
        <v>1750</v>
      </c>
      <c r="P182" s="115" t="n">
        <v>1750</v>
      </c>
      <c r="Q182" s="115" t="n">
        <v>12750</v>
      </c>
      <c r="R182" s="115" t="n">
        <v>5700</v>
      </c>
      <c r="S182" s="115" t="n">
        <f aca="false">IF($C182="","",ROUND($J182*2.2,0))</f>
        <v>19360</v>
      </c>
      <c r="T182" s="115" t="n">
        <v>3100</v>
      </c>
      <c r="U182" s="115" t="n">
        <v>2650</v>
      </c>
      <c r="V182" s="115" t="n">
        <v>1600</v>
      </c>
      <c r="W182" s="116" t="n">
        <v>1320</v>
      </c>
      <c r="X182" s="116" t="s">
        <v>376</v>
      </c>
      <c r="Y182" s="117" t="n">
        <v>0.3</v>
      </c>
      <c r="Z182" s="117" t="n">
        <v>1</v>
      </c>
      <c r="AA182" s="113" t="s">
        <v>1178</v>
      </c>
      <c r="AB182" s="113"/>
      <c r="AC182" s="113"/>
      <c r="AD182" s="113"/>
      <c r="AE182" s="113"/>
      <c r="AF182" s="113"/>
      <c r="AG182" s="113"/>
      <c r="AH182" s="118"/>
      <c r="AI182" s="118"/>
      <c r="AJ182" s="118"/>
      <c r="AK182" s="120" t="n">
        <v>36073</v>
      </c>
      <c r="AL182" s="118"/>
      <c r="AM182" s="103"/>
      <c r="AN182" s="102"/>
      <c r="AO182" s="95"/>
      <c r="AP182" s="95"/>
      <c r="AQ182" s="95"/>
      <c r="AR182" s="95"/>
      <c r="AS182" s="95"/>
      <c r="AT182" s="95"/>
      <c r="AU182" s="95"/>
      <c r="AV182" s="96" t="str">
        <f aca="false">IF(AND(AP182&gt;0,J182&gt;0),J182*1000/(AP182*0.2),"")</f>
        <v/>
      </c>
      <c r="AW182" s="96" t="str">
        <f aca="false">IF(AND(AS182&gt;0,M182&gt;0),M182*1000/(AS182*0.3),"")</f>
        <v/>
      </c>
      <c r="AX182" s="96" t="str">
        <f aca="false">IF(AND(AO182&gt;0,O182&gt;0),O182*1000/(AO182*0.1),"")</f>
        <v/>
      </c>
      <c r="AY182" s="96" t="str">
        <f aca="false">IF(AND(AR182&gt;0,N182&gt;0),N182*1000/(AR182*0.25),"")</f>
        <v/>
      </c>
      <c r="AZ182" s="96" t="str">
        <f aca="false">IF(AND(AQ182&gt;0,Q182&gt;0),Q182*1000/(AQ182*1),"")</f>
        <v/>
      </c>
      <c r="BA182" s="97" t="n">
        <f aca="false">IFERROR(VLOOKUP($I182,'07_Settings'!$A$10:$F$14,6,FALSE()),0.25)</f>
        <v>0.45</v>
      </c>
      <c r="BB182" s="98" t="n">
        <v>1</v>
      </c>
      <c r="BC182" s="98" t="n">
        <v>1</v>
      </c>
      <c r="BD182" s="98" t="n">
        <v>1</v>
      </c>
      <c r="BE182" s="99" t="n">
        <f aca="false">IFERROR(ROUND($S182*BA182*BC182*BD182*BB182,0),0)</f>
        <v>8712</v>
      </c>
      <c r="BF182" s="55" t="str">
        <f aca="false">IF(COUNT(AO182:AU182)&gt;0,"estimated","pending")</f>
        <v>pending</v>
      </c>
    </row>
    <row r="183" customFormat="false" ht="16.5" hidden="false" customHeight="true" outlineLevel="0" collapsed="false">
      <c r="A183" s="102"/>
      <c r="B183" s="112" t="n">
        <f aca="false">IF($C183="","",COUNTA($C$5:C183))</f>
        <v>179</v>
      </c>
      <c r="C183" s="118" t="s">
        <v>1179</v>
      </c>
      <c r="D183" s="118" t="s">
        <v>279</v>
      </c>
      <c r="E183" s="118" t="s">
        <v>1170</v>
      </c>
      <c r="F183" s="118" t="s">
        <v>337</v>
      </c>
      <c r="G183" s="118" t="s">
        <v>1171</v>
      </c>
      <c r="H183" s="114" t="n">
        <v>1</v>
      </c>
      <c r="I183" s="114" t="s">
        <v>114</v>
      </c>
      <c r="J183" s="115" t="n">
        <v>8800</v>
      </c>
      <c r="K183" s="115" t="n">
        <v>3700</v>
      </c>
      <c r="L183" s="115" t="n">
        <f aca="false">IF($C183="","",ROUND($J183*0.17,0))</f>
        <v>1496</v>
      </c>
      <c r="M183" s="115" t="n">
        <v>6850</v>
      </c>
      <c r="N183" s="115" t="n">
        <v>2800</v>
      </c>
      <c r="O183" s="115" t="n">
        <v>1750</v>
      </c>
      <c r="P183" s="115" t="n">
        <v>1750</v>
      </c>
      <c r="Q183" s="115" t="n">
        <v>12750</v>
      </c>
      <c r="R183" s="115" t="n">
        <v>5700</v>
      </c>
      <c r="S183" s="115" t="n">
        <f aca="false">IF($C183="","",ROUND($J183*2.2,0))</f>
        <v>19360</v>
      </c>
      <c r="T183" s="115" t="n">
        <v>3100</v>
      </c>
      <c r="U183" s="115" t="n">
        <v>2650</v>
      </c>
      <c r="V183" s="115" t="n">
        <v>1600</v>
      </c>
      <c r="W183" s="116" t="n">
        <v>1320</v>
      </c>
      <c r="X183" s="116" t="s">
        <v>310</v>
      </c>
      <c r="Y183" s="117" t="n">
        <v>0.3</v>
      </c>
      <c r="Z183" s="117" t="n">
        <v>1</v>
      </c>
      <c r="AA183" s="113" t="s">
        <v>1180</v>
      </c>
      <c r="AB183" s="113"/>
      <c r="AC183" s="113"/>
      <c r="AD183" s="113"/>
      <c r="AE183" s="113"/>
      <c r="AF183" s="113"/>
      <c r="AG183" s="113"/>
      <c r="AH183" s="118" t="s">
        <v>1181</v>
      </c>
      <c r="AI183" s="118"/>
      <c r="AJ183" s="118"/>
      <c r="AK183" s="120" t="n">
        <v>37957</v>
      </c>
      <c r="AL183" s="118"/>
      <c r="AM183" s="103"/>
      <c r="AN183" s="102"/>
      <c r="AO183" s="95"/>
      <c r="AP183" s="95"/>
      <c r="AQ183" s="95"/>
      <c r="AR183" s="95"/>
      <c r="AS183" s="95"/>
      <c r="AT183" s="95"/>
      <c r="AU183" s="95"/>
      <c r="AV183" s="96" t="str">
        <f aca="false">IF(AND(AP183&gt;0,J183&gt;0),J183*1000/(AP183*0.2),"")</f>
        <v/>
      </c>
      <c r="AW183" s="96" t="str">
        <f aca="false">IF(AND(AS183&gt;0,M183&gt;0),M183*1000/(AS183*0.3),"")</f>
        <v/>
      </c>
      <c r="AX183" s="96" t="str">
        <f aca="false">IF(AND(AO183&gt;0,O183&gt;0),O183*1000/(AO183*0.1),"")</f>
        <v/>
      </c>
      <c r="AY183" s="96" t="str">
        <f aca="false">IF(AND(AR183&gt;0,N183&gt;0),N183*1000/(AR183*0.25),"")</f>
        <v/>
      </c>
      <c r="AZ183" s="96" t="str">
        <f aca="false">IF(AND(AQ183&gt;0,Q183&gt;0),Q183*1000/(AQ183*1),"")</f>
        <v/>
      </c>
      <c r="BA183" s="97" t="n">
        <f aca="false">IFERROR(VLOOKUP($I183,'07_Settings'!$A$10:$F$14,6,FALSE()),0.25)</f>
        <v>0.45</v>
      </c>
      <c r="BB183" s="98" t="n">
        <v>1</v>
      </c>
      <c r="BC183" s="98" t="n">
        <v>1</v>
      </c>
      <c r="BD183" s="98" t="n">
        <v>1</v>
      </c>
      <c r="BE183" s="99" t="n">
        <f aca="false">IFERROR(ROUND($S183*BA183*BC183*BD183*BB183,0),0)</f>
        <v>8712</v>
      </c>
      <c r="BF183" s="55" t="str">
        <f aca="false">IF(COUNT(AO183:AU183)&gt;0,"estimated","pending")</f>
        <v>pending</v>
      </c>
    </row>
    <row r="184" customFormat="false" ht="16.5" hidden="false" customHeight="true" outlineLevel="0" collapsed="false">
      <c r="A184" s="102"/>
      <c r="B184" s="112" t="n">
        <f aca="false">IF($C184="","",COUNTA($C$5:C184))</f>
        <v>180</v>
      </c>
      <c r="C184" s="118" t="s">
        <v>1182</v>
      </c>
      <c r="D184" s="118" t="s">
        <v>279</v>
      </c>
      <c r="E184" s="118" t="s">
        <v>1170</v>
      </c>
      <c r="F184" s="118" t="s">
        <v>337</v>
      </c>
      <c r="G184" s="118" t="s">
        <v>1171</v>
      </c>
      <c r="H184" s="114" t="n">
        <v>2</v>
      </c>
      <c r="I184" s="114" t="s">
        <v>114</v>
      </c>
      <c r="J184" s="115" t="n">
        <v>8800</v>
      </c>
      <c r="K184" s="115" t="n">
        <v>3700</v>
      </c>
      <c r="L184" s="115" t="n">
        <f aca="false">IF($C184="","",ROUND($J184*0.17,0))</f>
        <v>1496</v>
      </c>
      <c r="M184" s="115" t="n">
        <v>6850</v>
      </c>
      <c r="N184" s="115" t="n">
        <v>2800</v>
      </c>
      <c r="O184" s="115" t="n">
        <v>1750</v>
      </c>
      <c r="P184" s="115" t="n">
        <v>1750</v>
      </c>
      <c r="Q184" s="115" t="n">
        <v>12750</v>
      </c>
      <c r="R184" s="115" t="n">
        <v>5700</v>
      </c>
      <c r="S184" s="115" t="n">
        <f aca="false">IF($C184="","",ROUND($J184*2.2,0))</f>
        <v>19360</v>
      </c>
      <c r="T184" s="115" t="n">
        <v>3100</v>
      </c>
      <c r="U184" s="115" t="n">
        <v>2650</v>
      </c>
      <c r="V184" s="115" t="n">
        <v>1600</v>
      </c>
      <c r="W184" s="116" t="n">
        <v>1320</v>
      </c>
      <c r="X184" s="116" t="s">
        <v>290</v>
      </c>
      <c r="Y184" s="117" t="n">
        <v>0.3</v>
      </c>
      <c r="Z184" s="117" t="n">
        <v>1</v>
      </c>
      <c r="AA184" s="113" t="s">
        <v>1183</v>
      </c>
      <c r="AB184" s="113"/>
      <c r="AC184" s="113"/>
      <c r="AD184" s="113"/>
      <c r="AE184" s="113" t="s">
        <v>1184</v>
      </c>
      <c r="AF184" s="113"/>
      <c r="AG184" s="113"/>
      <c r="AH184" s="118" t="s">
        <v>1185</v>
      </c>
      <c r="AI184" s="118"/>
      <c r="AJ184" s="118"/>
      <c r="AK184" s="120" t="n">
        <v>34376</v>
      </c>
      <c r="AL184" s="118"/>
      <c r="AM184" s="103"/>
      <c r="AN184" s="102"/>
      <c r="AO184" s="95"/>
      <c r="AP184" s="95"/>
      <c r="AQ184" s="95"/>
      <c r="AR184" s="95"/>
      <c r="AS184" s="95"/>
      <c r="AT184" s="95"/>
      <c r="AU184" s="95"/>
      <c r="AV184" s="96" t="str">
        <f aca="false">IF(AND(AP184&gt;0,J184&gt;0),J184*1000/(AP184*0.2),"")</f>
        <v/>
      </c>
      <c r="AW184" s="96" t="str">
        <f aca="false">IF(AND(AS184&gt;0,M184&gt;0),M184*1000/(AS184*0.3),"")</f>
        <v/>
      </c>
      <c r="AX184" s="96" t="str">
        <f aca="false">IF(AND(AO184&gt;0,O184&gt;0),O184*1000/(AO184*0.1),"")</f>
        <v/>
      </c>
      <c r="AY184" s="96" t="str">
        <f aca="false">IF(AND(AR184&gt;0,N184&gt;0),N184*1000/(AR184*0.25),"")</f>
        <v/>
      </c>
      <c r="AZ184" s="96" t="str">
        <f aca="false">IF(AND(AQ184&gt;0,Q184&gt;0),Q184*1000/(AQ184*1),"")</f>
        <v/>
      </c>
      <c r="BA184" s="97" t="n">
        <f aca="false">IFERROR(VLOOKUP($I184,'07_Settings'!$A$10:$F$14,6,FALSE()),0.25)</f>
        <v>0.45</v>
      </c>
      <c r="BB184" s="98" t="n">
        <v>1</v>
      </c>
      <c r="BC184" s="98" t="n">
        <v>1</v>
      </c>
      <c r="BD184" s="98" t="n">
        <v>1</v>
      </c>
      <c r="BE184" s="99" t="n">
        <f aca="false">IFERROR(ROUND($S184*BA184*BC184*BD184*BB184,0),0)</f>
        <v>8712</v>
      </c>
      <c r="BF184" s="55" t="str">
        <f aca="false">IF(COUNT(AO184:AU184)&gt;0,"estimated","pending")</f>
        <v>pending</v>
      </c>
    </row>
    <row r="185" customFormat="false" ht="16.5" hidden="false" customHeight="true" outlineLevel="0" collapsed="false">
      <c r="A185" s="146"/>
      <c r="B185" s="147" t="n">
        <f aca="false">IF($C185="","",COUNTA($C$5:C185))</f>
        <v>181</v>
      </c>
      <c r="C185" s="148" t="s">
        <v>336</v>
      </c>
      <c r="D185" s="149" t="s">
        <v>29</v>
      </c>
      <c r="E185" s="148" t="s">
        <v>325</v>
      </c>
      <c r="F185" s="148" t="s">
        <v>337</v>
      </c>
      <c r="G185" s="149" t="s">
        <v>282</v>
      </c>
      <c r="H185" s="149" t="n">
        <v>1</v>
      </c>
      <c r="I185" s="149" t="s">
        <v>122</v>
      </c>
      <c r="J185" s="150" t="n">
        <v>0</v>
      </c>
      <c r="K185" s="150" t="n">
        <v>0</v>
      </c>
      <c r="L185" s="150" t="n">
        <f aca="false">IF($C185="","",ROUND($J185*0.17,0))</f>
        <v>0</v>
      </c>
      <c r="M185" s="150" t="n">
        <v>0</v>
      </c>
      <c r="N185" s="150" t="n">
        <v>0</v>
      </c>
      <c r="O185" s="150" t="n">
        <v>0</v>
      </c>
      <c r="P185" s="150" t="n">
        <v>0</v>
      </c>
      <c r="Q185" s="150" t="n">
        <v>0</v>
      </c>
      <c r="R185" s="150" t="n">
        <v>0</v>
      </c>
      <c r="S185" s="151" t="n">
        <f aca="false">IF($C185="","",ROUND($J185*2.2,0))</f>
        <v>0</v>
      </c>
      <c r="T185" s="150" t="n">
        <v>0</v>
      </c>
      <c r="U185" s="150" t="n">
        <v>0</v>
      </c>
      <c r="V185" s="150" t="n">
        <v>600</v>
      </c>
      <c r="W185" s="150" t="n">
        <v>0</v>
      </c>
      <c r="X185" s="150" t="s">
        <v>310</v>
      </c>
      <c r="Y185" s="126" t="n">
        <v>0.3</v>
      </c>
      <c r="Z185" s="126" t="n">
        <v>1</v>
      </c>
      <c r="AA185" s="148" t="s">
        <v>338</v>
      </c>
      <c r="AB185" s="148" t="s">
        <v>339</v>
      </c>
      <c r="AC185" s="150"/>
      <c r="AD185" s="150"/>
      <c r="AE185" s="150"/>
      <c r="AF185" s="150"/>
      <c r="AG185" s="150"/>
      <c r="AH185" s="152"/>
      <c r="AI185" s="152"/>
      <c r="AJ185" s="152"/>
      <c r="AK185" s="152" t="s">
        <v>340</v>
      </c>
      <c r="AL185" s="152"/>
      <c r="AM185" s="153"/>
      <c r="AN185" s="146"/>
      <c r="AO185" s="104" t="n">
        <v>1170</v>
      </c>
      <c r="AP185" s="95"/>
      <c r="AQ185" s="95"/>
      <c r="AR185" s="95"/>
      <c r="AS185" s="95"/>
      <c r="AT185" s="95"/>
      <c r="AU185" s="95"/>
      <c r="AV185" s="96" t="str">
        <f aca="false">IF(AND(AP185&gt;0,J185&gt;0),J185*1000/(AP185*0.2),"")</f>
        <v/>
      </c>
      <c r="AW185" s="96" t="str">
        <f aca="false">IF(AND(AS185&gt;0,M185&gt;0),M185*1000/(AS185*0.3),"")</f>
        <v/>
      </c>
      <c r="AX185" s="96" t="str">
        <f aca="false">IF(AND(AO185&gt;0,O185&gt;0),O185*1000/(AO185*0.1),"")</f>
        <v/>
      </c>
      <c r="AY185" s="96" t="str">
        <f aca="false">IF(AND(AR185&gt;0,N185&gt;0),N185*1000/(AR185*0.25),"")</f>
        <v/>
      </c>
      <c r="AZ185" s="96" t="str">
        <f aca="false">IF(AND(AQ185&gt;0,Q185&gt;0),Q185*1000/(AQ185*1),"")</f>
        <v/>
      </c>
      <c r="BA185" s="97" t="n">
        <f aca="false">IFERROR(VLOOKUP($I185,'07_Settings'!$A$10:$F$14,6,FALSE()),0.25)</f>
        <v>0.25</v>
      </c>
      <c r="BB185" s="98" t="n">
        <v>1</v>
      </c>
      <c r="BC185" s="98" t="n">
        <v>1</v>
      </c>
      <c r="BD185" s="98" t="n">
        <v>1</v>
      </c>
      <c r="BE185" s="99" t="n">
        <f aca="false">IFERROR(ROUND($S185*BA185*BC185*BD185*BB185,0),0)</f>
        <v>0</v>
      </c>
      <c r="BF185" s="55" t="str">
        <f aca="false">IF(COUNT(AO185:AU185)&gt;0,"estimated","pending")</f>
        <v>estimated</v>
      </c>
    </row>
    <row r="186" customFormat="false" ht="16.5" hidden="false" customHeight="true" outlineLevel="0" collapsed="false">
      <c r="A186" s="146"/>
      <c r="B186" s="129" t="n">
        <f aca="false">IF($C186="","",COUNTA($C$5:C186))</f>
        <v>182</v>
      </c>
      <c r="C186" s="130" t="s">
        <v>1186</v>
      </c>
      <c r="D186" s="131" t="s">
        <v>428</v>
      </c>
      <c r="E186" s="130" t="s">
        <v>1187</v>
      </c>
      <c r="F186" s="130" t="s">
        <v>1187</v>
      </c>
      <c r="G186" s="131" t="s">
        <v>930</v>
      </c>
      <c r="H186" s="131" t="n">
        <v>2</v>
      </c>
      <c r="I186" s="131" t="s">
        <v>122</v>
      </c>
      <c r="J186" s="132" t="n">
        <v>0</v>
      </c>
      <c r="K186" s="132" t="n">
        <v>0</v>
      </c>
      <c r="L186" s="132" t="n">
        <f aca="false">IF($C186="","",ROUND($J186*0.17,0))</f>
        <v>0</v>
      </c>
      <c r="M186" s="132" t="n">
        <v>0</v>
      </c>
      <c r="N186" s="132" t="n">
        <v>0</v>
      </c>
      <c r="O186" s="132" t="n">
        <v>0</v>
      </c>
      <c r="P186" s="132" t="n">
        <v>0</v>
      </c>
      <c r="Q186" s="132" t="n">
        <v>0</v>
      </c>
      <c r="R186" s="132" t="n">
        <v>0</v>
      </c>
      <c r="S186" s="133" t="n">
        <f aca="false">IF($C186="","",ROUND($J186*2.2,0))</f>
        <v>0</v>
      </c>
      <c r="T186" s="132" t="n">
        <v>0</v>
      </c>
      <c r="U186" s="132" t="n">
        <v>0</v>
      </c>
      <c r="V186" s="132" t="n">
        <v>1200</v>
      </c>
      <c r="W186" s="132" t="n">
        <v>0</v>
      </c>
      <c r="X186" s="132" t="s">
        <v>290</v>
      </c>
      <c r="Y186" s="134" t="n">
        <v>0.3</v>
      </c>
      <c r="Z186" s="134" t="n">
        <v>1</v>
      </c>
      <c r="AA186" s="130" t="s">
        <v>1188</v>
      </c>
      <c r="AB186" s="130" t="s">
        <v>1189</v>
      </c>
      <c r="AC186" s="132"/>
      <c r="AD186" s="132" t="s">
        <v>1190</v>
      </c>
      <c r="AE186" s="132"/>
      <c r="AF186" s="132"/>
      <c r="AG186" s="132"/>
      <c r="AH186" s="135"/>
      <c r="AI186" s="135"/>
      <c r="AJ186" s="135"/>
      <c r="AK186" s="135" t="s">
        <v>1191</v>
      </c>
      <c r="AL186" s="135"/>
      <c r="AM186" s="153"/>
      <c r="AN186" s="146"/>
      <c r="AO186" s="104" t="n">
        <v>5470</v>
      </c>
      <c r="AP186" s="95"/>
      <c r="AQ186" s="95"/>
      <c r="AR186" s="95"/>
      <c r="AS186" s="95"/>
      <c r="AT186" s="95"/>
      <c r="AU186" s="95"/>
      <c r="AV186" s="96" t="str">
        <f aca="false">IF(AND(AP186&gt;0,J186&gt;0),J186*1000/(AP186*0.2),"")</f>
        <v/>
      </c>
      <c r="AW186" s="96" t="str">
        <f aca="false">IF(AND(AS186&gt;0,M186&gt;0),M186*1000/(AS186*0.3),"")</f>
        <v/>
      </c>
      <c r="AX186" s="96" t="str">
        <f aca="false">IF(AND(AO186&gt;0,O186&gt;0),O186*1000/(AO186*0.1),"")</f>
        <v/>
      </c>
      <c r="AY186" s="96" t="str">
        <f aca="false">IF(AND(AR186&gt;0,N186&gt;0),N186*1000/(AR186*0.25),"")</f>
        <v/>
      </c>
      <c r="AZ186" s="96" t="str">
        <f aca="false">IF(AND(AQ186&gt;0,Q186&gt;0),Q186*1000/(AQ186*1),"")</f>
        <v/>
      </c>
      <c r="BA186" s="97" t="n">
        <f aca="false">IFERROR(VLOOKUP($I186,'07_Settings'!$A$10:$F$14,6,FALSE()),0.25)</f>
        <v>0.25</v>
      </c>
      <c r="BB186" s="98" t="n">
        <v>1</v>
      </c>
      <c r="BC186" s="98" t="n">
        <v>1</v>
      </c>
      <c r="BD186" s="98" t="n">
        <v>1</v>
      </c>
      <c r="BE186" s="99" t="n">
        <f aca="false">IFERROR(ROUND($S186*BA186*BC186*BD186*BB186,0),0)</f>
        <v>0</v>
      </c>
      <c r="BF186" s="55" t="str">
        <f aca="false">IF(COUNT(AO186:AU186)&gt;0,"estimated","pending")</f>
        <v>estimated</v>
      </c>
    </row>
    <row r="187" customFormat="false" ht="16.5" hidden="false" customHeight="true" outlineLevel="0" collapsed="false">
      <c r="A187" s="146"/>
      <c r="B187" s="112" t="n">
        <f aca="false">IF($C187="","",COUNTA($C$5:C187))</f>
        <v>183</v>
      </c>
      <c r="C187" s="113" t="s">
        <v>1192</v>
      </c>
      <c r="D187" s="114" t="s">
        <v>279</v>
      </c>
      <c r="E187" s="113" t="s">
        <v>1187</v>
      </c>
      <c r="F187" s="113" t="s">
        <v>1187</v>
      </c>
      <c r="G187" s="114" t="s">
        <v>282</v>
      </c>
      <c r="H187" s="114" t="n">
        <v>2</v>
      </c>
      <c r="I187" s="114" t="s">
        <v>106</v>
      </c>
      <c r="J187" s="115" t="n">
        <v>11000</v>
      </c>
      <c r="K187" s="115" t="n">
        <v>4600</v>
      </c>
      <c r="L187" s="115" t="n">
        <f aca="false">IF($C187="","",ROUND($J187*0.17,0))</f>
        <v>1870</v>
      </c>
      <c r="M187" s="115" t="n">
        <v>8600</v>
      </c>
      <c r="N187" s="115" t="n">
        <v>3500</v>
      </c>
      <c r="O187" s="115" t="n">
        <v>2200</v>
      </c>
      <c r="P187" s="115" t="n">
        <v>2200</v>
      </c>
      <c r="Q187" s="115" t="n">
        <v>15950</v>
      </c>
      <c r="R187" s="115" t="n">
        <v>7150</v>
      </c>
      <c r="S187" s="115" t="n">
        <f aca="false">IF($C187="","",ROUND($J187*2.2,0))</f>
        <v>24200</v>
      </c>
      <c r="T187" s="115" t="n">
        <v>3850</v>
      </c>
      <c r="U187" s="115" t="n">
        <v>3300</v>
      </c>
      <c r="V187" s="115" t="n">
        <v>2000</v>
      </c>
      <c r="W187" s="115" t="n">
        <v>2400</v>
      </c>
      <c r="X187" s="116" t="s">
        <v>290</v>
      </c>
      <c r="Y187" s="117" t="n">
        <v>0.15</v>
      </c>
      <c r="Z187" s="117" t="n">
        <v>1</v>
      </c>
      <c r="AA187" s="113" t="s">
        <v>1193</v>
      </c>
      <c r="AB187" s="113" t="s">
        <v>1194</v>
      </c>
      <c r="AC187" s="113" t="s">
        <v>1195</v>
      </c>
      <c r="AD187" s="113" t="s">
        <v>1196</v>
      </c>
      <c r="AE187" s="113" t="s">
        <v>1197</v>
      </c>
      <c r="AF187" s="113"/>
      <c r="AG187" s="113"/>
      <c r="AH187" s="118"/>
      <c r="AI187" s="118"/>
      <c r="AJ187" s="118"/>
      <c r="AK187" s="118" t="s">
        <v>1198</v>
      </c>
      <c r="AL187" s="118"/>
      <c r="AM187" s="153"/>
      <c r="AN187" s="146"/>
      <c r="AO187" s="104" t="n">
        <v>450600</v>
      </c>
      <c r="AP187" s="104" t="n">
        <v>137000</v>
      </c>
      <c r="AQ187" s="104" t="n">
        <v>2085000</v>
      </c>
      <c r="AR187" s="104" t="n">
        <v>365000</v>
      </c>
      <c r="AS187" s="104" t="n">
        <v>113400</v>
      </c>
      <c r="AT187" s="95"/>
      <c r="AU187" s="95"/>
      <c r="AV187" s="96" t="n">
        <f aca="false">IF(AND(AP187&gt;0,J187&gt;0),J187*1000/(AP187*0.2),"")</f>
        <v>401.459854014599</v>
      </c>
      <c r="AW187" s="96" t="n">
        <f aca="false">IF(AND(AS187&gt;0,M187&gt;0),M187*1000/(AS187*0.3),"")</f>
        <v>252.792475014697</v>
      </c>
      <c r="AX187" s="96" t="n">
        <f aca="false">IF(AND(AO187&gt;0,O187&gt;0),O187*1000/(AO187*0.1),"")</f>
        <v>48.8237905015535</v>
      </c>
      <c r="AY187" s="96" t="n">
        <f aca="false">IF(AND(AR187&gt;0,N187&gt;0),N187*1000/(AR187*0.25),"")</f>
        <v>38.3561643835616</v>
      </c>
      <c r="AZ187" s="96" t="n">
        <f aca="false">IF(AND(AQ187&gt;0,Q187&gt;0),Q187*1000/(AQ187*1),"")</f>
        <v>7.64988009592326</v>
      </c>
      <c r="BA187" s="97" t="n">
        <f aca="false">IFERROR(VLOOKUP($I187,'07_Settings'!$A$10:$F$14,6,FALSE()),0.25)</f>
        <v>0.65</v>
      </c>
      <c r="BB187" s="98" t="n">
        <v>1</v>
      </c>
      <c r="BC187" s="98" t="n">
        <v>1</v>
      </c>
      <c r="BD187" s="98" t="n">
        <v>1</v>
      </c>
      <c r="BE187" s="99" t="n">
        <f aca="false">IFERROR(ROUND($S187*BA187*BC187*BD187*BB187,0),0)</f>
        <v>15730</v>
      </c>
      <c r="BF187" s="55" t="str">
        <f aca="false">IF(COUNT(AO187:AU187)&gt;0,"estimated","pending")</f>
        <v>estimated</v>
      </c>
    </row>
    <row r="188" customFormat="false" ht="16.5" hidden="false" customHeight="true" outlineLevel="0" collapsed="false">
      <c r="A188" s="146"/>
      <c r="B188" s="138" t="n">
        <f aca="false">IF($C188="","",COUNTA($C$5:C188))</f>
        <v>184</v>
      </c>
      <c r="C188" s="139" t="s">
        <v>1199</v>
      </c>
      <c r="D188" s="140" t="s">
        <v>31</v>
      </c>
      <c r="E188" s="139" t="s">
        <v>1187</v>
      </c>
      <c r="F188" s="139" t="s">
        <v>1187</v>
      </c>
      <c r="G188" s="140" t="s">
        <v>1200</v>
      </c>
      <c r="H188" s="140" t="n">
        <v>4</v>
      </c>
      <c r="I188" s="140" t="s">
        <v>118</v>
      </c>
      <c r="J188" s="141" t="n">
        <v>20700</v>
      </c>
      <c r="K188" s="141" t="n">
        <v>8700</v>
      </c>
      <c r="L188" s="142" t="n">
        <f aca="false">IF($C188="","",ROUND($J188*0.17,0))</f>
        <v>3519</v>
      </c>
      <c r="M188" s="141" t="n">
        <v>16150</v>
      </c>
      <c r="N188" s="141" t="n">
        <v>6600</v>
      </c>
      <c r="O188" s="141" t="n">
        <v>4150</v>
      </c>
      <c r="P188" s="141" t="n">
        <v>0</v>
      </c>
      <c r="Q188" s="141" t="n">
        <v>30000</v>
      </c>
      <c r="R188" s="141" t="n">
        <v>13450</v>
      </c>
      <c r="S188" s="142" t="n">
        <f aca="false">IF($C188="","",ROUND($J188*2.2,0))</f>
        <v>45540</v>
      </c>
      <c r="T188" s="141" t="n">
        <v>7250</v>
      </c>
      <c r="U188" s="141" t="n">
        <v>6200</v>
      </c>
      <c r="V188" s="141" t="n">
        <v>3750</v>
      </c>
      <c r="W188" s="141" t="n">
        <v>0</v>
      </c>
      <c r="X188" s="141" t="s">
        <v>222</v>
      </c>
      <c r="Y188" s="143" t="n">
        <v>0.3</v>
      </c>
      <c r="Z188" s="143" t="n">
        <v>1</v>
      </c>
      <c r="AA188" s="139" t="s">
        <v>1201</v>
      </c>
      <c r="AB188" s="139" t="s">
        <v>1202</v>
      </c>
      <c r="AC188" s="139"/>
      <c r="AD188" s="139" t="s">
        <v>1203</v>
      </c>
      <c r="AE188" s="139" t="s">
        <v>1204</v>
      </c>
      <c r="AF188" s="139" t="s">
        <v>1205</v>
      </c>
      <c r="AG188" s="139"/>
      <c r="AH188" s="144"/>
      <c r="AI188" s="144"/>
      <c r="AJ188" s="144"/>
      <c r="AK188" s="145" t="n">
        <v>32152</v>
      </c>
      <c r="AL188" s="144"/>
      <c r="AM188" s="153"/>
      <c r="AN188" s="146"/>
      <c r="AO188" s="104" t="n">
        <v>14000</v>
      </c>
      <c r="AP188" s="95"/>
      <c r="AQ188" s="104" t="n">
        <v>38000</v>
      </c>
      <c r="AR188" s="95"/>
      <c r="AS188" s="95"/>
      <c r="AT188" s="95"/>
      <c r="AU188" s="95"/>
      <c r="AV188" s="96" t="str">
        <f aca="false">IF(AND(AP188&gt;0,J188&gt;0),J188*1000/(AP188*0.2),"")</f>
        <v/>
      </c>
      <c r="AW188" s="96" t="str">
        <f aca="false">IF(AND(AS188&gt;0,M188&gt;0),M188*1000/(AS188*0.3),"")</f>
        <v/>
      </c>
      <c r="AX188" s="96" t="n">
        <f aca="false">IF(AND(AO188&gt;0,O188&gt;0),O188*1000/(AO188*0.1),"")</f>
        <v>2964.28571428571</v>
      </c>
      <c r="AY188" s="96" t="str">
        <f aca="false">IF(AND(AR188&gt;0,N188&gt;0),N188*1000/(AR188*0.25),"")</f>
        <v/>
      </c>
      <c r="AZ188" s="96" t="n">
        <f aca="false">IF(AND(AQ188&gt;0,Q188&gt;0),Q188*1000/(AQ188*1),"")</f>
        <v>789.473684210526</v>
      </c>
      <c r="BA188" s="97" t="n">
        <f aca="false">IFERROR(VLOOKUP($I188,'07_Settings'!$A$10:$F$14,6,FALSE()),0.25)</f>
        <v>0.35</v>
      </c>
      <c r="BB188" s="98" t="n">
        <v>1</v>
      </c>
      <c r="BC188" s="98" t="n">
        <v>1</v>
      </c>
      <c r="BD188" s="98" t="n">
        <v>1</v>
      </c>
      <c r="BE188" s="99" t="n">
        <f aca="false">IFERROR(ROUND($S188*BA188*BC188*BD188*BB188,0),0)</f>
        <v>15939</v>
      </c>
      <c r="BF188" s="55" t="str">
        <f aca="false">IF(COUNT(AO188:AU188)&gt;0,"estimated","pending")</f>
        <v>estimated</v>
      </c>
    </row>
    <row r="189" customFormat="false" ht="16.5" hidden="false" customHeight="true" outlineLevel="0" collapsed="false">
      <c r="A189" s="146"/>
      <c r="B189" s="112" t="n">
        <f aca="false">IF($C189="","",COUNTA($C$5:C189))</f>
        <v>185</v>
      </c>
      <c r="C189" s="113" t="s">
        <v>1206</v>
      </c>
      <c r="D189" s="114" t="s">
        <v>279</v>
      </c>
      <c r="E189" s="113" t="s">
        <v>1187</v>
      </c>
      <c r="F189" s="113" t="s">
        <v>1187</v>
      </c>
      <c r="G189" s="114" t="s">
        <v>930</v>
      </c>
      <c r="H189" s="114" t="n">
        <v>2</v>
      </c>
      <c r="I189" s="114" t="s">
        <v>114</v>
      </c>
      <c r="J189" s="115" t="n">
        <v>11250</v>
      </c>
      <c r="K189" s="115" t="n">
        <v>4500</v>
      </c>
      <c r="L189" s="115" t="n">
        <f aca="false">IF($C189="","",ROUND($J189*0.17,0))</f>
        <v>1913</v>
      </c>
      <c r="M189" s="115" t="n">
        <v>8000</v>
      </c>
      <c r="N189" s="115" t="n">
        <v>3500</v>
      </c>
      <c r="O189" s="115" t="n">
        <v>2000</v>
      </c>
      <c r="P189" s="115" t="n">
        <v>2000</v>
      </c>
      <c r="Q189" s="115" t="n">
        <v>13500</v>
      </c>
      <c r="R189" s="115" t="n">
        <v>6075</v>
      </c>
      <c r="S189" s="115" t="n">
        <f aca="false">IF($C189="","",ROUND($J189*2.2,0))</f>
        <v>24750</v>
      </c>
      <c r="T189" s="115" t="n">
        <v>4638</v>
      </c>
      <c r="U189" s="115" t="n">
        <v>4063</v>
      </c>
      <c r="V189" s="115" t="n">
        <v>2438</v>
      </c>
      <c r="W189" s="115" t="n">
        <v>2400</v>
      </c>
      <c r="X189" s="116" t="s">
        <v>290</v>
      </c>
      <c r="Y189" s="117" t="n">
        <v>0.75</v>
      </c>
      <c r="Z189" s="117" t="n">
        <v>1</v>
      </c>
      <c r="AA189" s="113" t="s">
        <v>1207</v>
      </c>
      <c r="AB189" s="113" t="s">
        <v>1208</v>
      </c>
      <c r="AC189" s="116" t="s">
        <v>1209</v>
      </c>
      <c r="AD189" s="116" t="s">
        <v>1210</v>
      </c>
      <c r="AE189" s="116"/>
      <c r="AF189" s="116"/>
      <c r="AG189" s="116"/>
      <c r="AH189" s="118"/>
      <c r="AI189" s="118"/>
      <c r="AJ189" s="118"/>
      <c r="AK189" s="120" t="n">
        <v>36625</v>
      </c>
      <c r="AL189" s="118"/>
      <c r="AM189" s="153"/>
      <c r="AN189" s="146"/>
      <c r="AO189" s="104" t="n">
        <v>24000</v>
      </c>
      <c r="AP189" s="104" t="n">
        <v>1000</v>
      </c>
      <c r="AQ189" s="104" t="n">
        <v>64000</v>
      </c>
      <c r="AR189" s="95"/>
      <c r="AS189" s="104" t="n">
        <v>3000</v>
      </c>
      <c r="AT189" s="95"/>
      <c r="AU189" s="95"/>
      <c r="AV189" s="96" t="n">
        <f aca="false">IF(AND(AP189&gt;0,J189&gt;0),J189*1000/(AP189*0.2),"")</f>
        <v>56250</v>
      </c>
      <c r="AW189" s="96" t="n">
        <f aca="false">IF(AND(AS189&gt;0,M189&gt;0),M189*1000/(AS189*0.3),"")</f>
        <v>8888.88888888889</v>
      </c>
      <c r="AX189" s="96" t="n">
        <f aca="false">IF(AND(AO189&gt;0,O189&gt;0),O189*1000/(AO189*0.1),"")</f>
        <v>833.333333333333</v>
      </c>
      <c r="AY189" s="96" t="str">
        <f aca="false">IF(AND(AR189&gt;0,N189&gt;0),N189*1000/(AR189*0.25),"")</f>
        <v/>
      </c>
      <c r="AZ189" s="96" t="n">
        <f aca="false">IF(AND(AQ189&gt;0,Q189&gt;0),Q189*1000/(AQ189*1),"")</f>
        <v>210.9375</v>
      </c>
      <c r="BA189" s="97" t="n">
        <f aca="false">IFERROR(VLOOKUP($I189,'07_Settings'!$A$10:$F$14,6,FALSE()),0.25)</f>
        <v>0.45</v>
      </c>
      <c r="BB189" s="98" t="n">
        <v>1</v>
      </c>
      <c r="BC189" s="98" t="n">
        <v>1</v>
      </c>
      <c r="BD189" s="98" t="n">
        <v>1</v>
      </c>
      <c r="BE189" s="99" t="n">
        <f aca="false">IFERROR(ROUND($S189*BA189*BC189*BD189*BB189,0),0)</f>
        <v>11138</v>
      </c>
      <c r="BF189" s="55" t="str">
        <f aca="false">IF(COUNT(AO189:AU189)&gt;0,"estimated","pending")</f>
        <v>estimated</v>
      </c>
    </row>
    <row r="190" customFormat="false" ht="16.5" hidden="false" customHeight="true" outlineLevel="0" collapsed="false">
      <c r="A190" s="146"/>
      <c r="B190" s="129" t="n">
        <f aca="false">IF($C190="","",COUNTA($C$5:C190))</f>
        <v>186</v>
      </c>
      <c r="C190" s="130" t="s">
        <v>1211</v>
      </c>
      <c r="D190" s="131" t="s">
        <v>428</v>
      </c>
      <c r="E190" s="130" t="s">
        <v>280</v>
      </c>
      <c r="F190" s="130" t="s">
        <v>281</v>
      </c>
      <c r="G190" s="131" t="s">
        <v>282</v>
      </c>
      <c r="H190" s="131" t="n">
        <v>3</v>
      </c>
      <c r="I190" s="131" t="s">
        <v>110</v>
      </c>
      <c r="J190" s="132" t="n">
        <v>5700</v>
      </c>
      <c r="K190" s="132" t="n">
        <v>2400</v>
      </c>
      <c r="L190" s="133" t="n">
        <f aca="false">IF($C190="","",ROUND($J190*0.17,0))</f>
        <v>969</v>
      </c>
      <c r="M190" s="132" t="n">
        <v>4450</v>
      </c>
      <c r="N190" s="132" t="n">
        <v>1850</v>
      </c>
      <c r="O190" s="132" t="n">
        <v>1150</v>
      </c>
      <c r="P190" s="132" t="n">
        <v>0</v>
      </c>
      <c r="Q190" s="132" t="n">
        <v>8300</v>
      </c>
      <c r="R190" s="132" t="n">
        <v>3700</v>
      </c>
      <c r="S190" s="133" t="n">
        <f aca="false">IF($C190="","",ROUND($J190*2.2,0))</f>
        <v>12540</v>
      </c>
      <c r="T190" s="132" t="n">
        <v>2000</v>
      </c>
      <c r="U190" s="132" t="n">
        <v>1700</v>
      </c>
      <c r="V190" s="132" t="n">
        <v>1050</v>
      </c>
      <c r="W190" s="132" t="n">
        <v>0</v>
      </c>
      <c r="X190" s="132" t="s">
        <v>236</v>
      </c>
      <c r="Y190" s="134" t="n">
        <v>0.3</v>
      </c>
      <c r="Z190" s="134" t="n">
        <v>1</v>
      </c>
      <c r="AA190" s="130" t="s">
        <v>1212</v>
      </c>
      <c r="AB190" s="130" t="s">
        <v>1213</v>
      </c>
      <c r="AC190" s="132" t="s">
        <v>1214</v>
      </c>
      <c r="AD190" s="132" t="s">
        <v>1215</v>
      </c>
      <c r="AE190" s="132"/>
      <c r="AF190" s="132"/>
      <c r="AG190" s="132"/>
      <c r="AH190" s="135"/>
      <c r="AI190" s="135"/>
      <c r="AJ190" s="135"/>
      <c r="AK190" s="136" t="n">
        <v>33790</v>
      </c>
      <c r="AL190" s="135" t="s">
        <v>1216</v>
      </c>
      <c r="AM190" s="153"/>
      <c r="AN190" s="146"/>
      <c r="AO190" s="104" t="n">
        <v>695000</v>
      </c>
      <c r="AP190" s="104" t="n">
        <v>215000</v>
      </c>
      <c r="AQ190" s="104" t="n">
        <v>267000</v>
      </c>
      <c r="AR190" s="95"/>
      <c r="AS190" s="95"/>
      <c r="AT190" s="95"/>
      <c r="AU190" s="95"/>
      <c r="AV190" s="96" t="n">
        <f aca="false">IF(AND(AP190&gt;0,J190&gt;0),J190*1000/(AP190*0.2),"")</f>
        <v>132.558139534884</v>
      </c>
      <c r="AW190" s="96" t="str">
        <f aca="false">IF(AND(AS190&gt;0,M190&gt;0),M190*1000/(AS190*0.3),"")</f>
        <v/>
      </c>
      <c r="AX190" s="96" t="n">
        <f aca="false">IF(AND(AO190&gt;0,O190&gt;0),O190*1000/(AO190*0.1),"")</f>
        <v>16.5467625899281</v>
      </c>
      <c r="AY190" s="96" t="str">
        <f aca="false">IF(AND(AR190&gt;0,N190&gt;0),N190*1000/(AR190*0.25),"")</f>
        <v/>
      </c>
      <c r="AZ190" s="96" t="n">
        <f aca="false">IF(AND(AQ190&gt;0,Q190&gt;0),Q190*1000/(AQ190*1),"")</f>
        <v>31.0861423220974</v>
      </c>
      <c r="BA190" s="97" t="n">
        <f aca="false">IFERROR(VLOOKUP($I190,'07_Settings'!$A$10:$F$14,6,FALSE()),0.25)</f>
        <v>0.55</v>
      </c>
      <c r="BB190" s="98" t="n">
        <v>1</v>
      </c>
      <c r="BC190" s="98" t="n">
        <v>1</v>
      </c>
      <c r="BD190" s="98" t="n">
        <v>1</v>
      </c>
      <c r="BE190" s="99" t="n">
        <f aca="false">IFERROR(ROUND($S190*BA190*BC190*BD190*BB190,0),0)</f>
        <v>6897</v>
      </c>
      <c r="BF190" s="55" t="str">
        <f aca="false">IF(COUNT(AO190:AU190)&gt;0,"estimated","pending")</f>
        <v>estimated</v>
      </c>
    </row>
    <row r="191" customFormat="false" ht="15.75" hidden="false" customHeight="true" outlineLevel="0" collapsed="false">
      <c r="A191" s="102"/>
      <c r="B191" s="154" t="n">
        <f aca="false">IF($C191="","",COUNTA($C$5:C191))</f>
        <v>187</v>
      </c>
      <c r="C191" s="155" t="s">
        <v>1217</v>
      </c>
      <c r="D191" s="155" t="s">
        <v>279</v>
      </c>
      <c r="E191" s="155" t="s">
        <v>1187</v>
      </c>
      <c r="F191" s="155" t="s">
        <v>1187</v>
      </c>
      <c r="G191" s="155" t="s">
        <v>282</v>
      </c>
      <c r="H191" s="156" t="n">
        <v>2</v>
      </c>
      <c r="I191" s="156" t="s">
        <v>114</v>
      </c>
      <c r="J191" s="155" t="n">
        <v>5700</v>
      </c>
      <c r="K191" s="155" t="n">
        <v>8500</v>
      </c>
      <c r="L191" s="157" t="n">
        <f aca="false">IF($C191="","",ROUND($J191*0.17,0))</f>
        <v>969</v>
      </c>
      <c r="M191" s="155" t="n">
        <v>3500</v>
      </c>
      <c r="N191" s="155" t="n">
        <v>2100</v>
      </c>
      <c r="O191" s="155" t="n">
        <v>13500</v>
      </c>
      <c r="P191" s="155" t="n">
        <v>13500</v>
      </c>
      <c r="Q191" s="155" t="n">
        <v>6300</v>
      </c>
      <c r="R191" s="157" t="n">
        <v>3700</v>
      </c>
      <c r="S191" s="157" t="n">
        <f aca="false">IF($C191="","",ROUND($J191*2.2,0))</f>
        <v>12540</v>
      </c>
      <c r="T191" s="155" t="n">
        <v>18000</v>
      </c>
      <c r="U191" s="155" t="n">
        <v>1710</v>
      </c>
      <c r="V191" s="155" t="n">
        <v>3420</v>
      </c>
      <c r="W191" s="155" t="n">
        <v>1282</v>
      </c>
      <c r="X191" s="155"/>
      <c r="Y191" s="117" t="n">
        <v>0.75</v>
      </c>
      <c r="Z191" s="117" t="n">
        <v>1</v>
      </c>
      <c r="AA191" s="158"/>
      <c r="AB191" s="158"/>
      <c r="AC191" s="155"/>
      <c r="AD191" s="155"/>
      <c r="AE191" s="155"/>
      <c r="AF191" s="155"/>
      <c r="AG191" s="155"/>
      <c r="AH191" s="155"/>
      <c r="AI191" s="155"/>
      <c r="AJ191" s="155"/>
      <c r="AK191" s="155"/>
      <c r="AL191" s="155"/>
      <c r="AM191" s="159"/>
      <c r="AN191" s="102"/>
      <c r="AO191" s="104" t="n">
        <v>31300</v>
      </c>
      <c r="AP191" s="95"/>
      <c r="AQ191" s="104" t="n">
        <v>59574</v>
      </c>
      <c r="AR191" s="95"/>
      <c r="AS191" s="95"/>
      <c r="AT191" s="95"/>
      <c r="AU191" s="95"/>
      <c r="AV191" s="96" t="str">
        <f aca="false">IF(AND(AP191&gt;0,J191&gt;0),J191*1000/(AP191*0.2),"")</f>
        <v/>
      </c>
      <c r="AW191" s="96" t="str">
        <f aca="false">IF(AND(AS191&gt;0,M191&gt;0),M191*1000/(AS191*0.3),"")</f>
        <v/>
      </c>
      <c r="AX191" s="96" t="n">
        <f aca="false">IF(AND(AO191&gt;0,O191&gt;0),O191*1000/(AO191*0.1),"")</f>
        <v>4313.09904153355</v>
      </c>
      <c r="AY191" s="96" t="str">
        <f aca="false">IF(AND(AR191&gt;0,N191&gt;0),N191*1000/(AR191*0.25),"")</f>
        <v/>
      </c>
      <c r="AZ191" s="96" t="n">
        <f aca="false">IF(AND(AQ191&gt;0,Q191&gt;0),Q191*1000/(AQ191*1),"")</f>
        <v>105.750830899386</v>
      </c>
      <c r="BA191" s="97" t="n">
        <f aca="false">IFERROR(VLOOKUP($I191,'07_Settings'!$A$10:$F$14,6,FALSE()),0.25)</f>
        <v>0.45</v>
      </c>
      <c r="BB191" s="98" t="n">
        <v>1</v>
      </c>
      <c r="BC191" s="98" t="n">
        <v>1</v>
      </c>
      <c r="BD191" s="98" t="n">
        <v>1</v>
      </c>
      <c r="BE191" s="99" t="n">
        <f aca="false">IFERROR(ROUND($S191*BA191*BC191*BD191*BB191,0),0)</f>
        <v>5643</v>
      </c>
      <c r="BF191" s="55" t="str">
        <f aca="false">IF(COUNT(AO191:AU191)&gt;0,"estimated","pending")</f>
        <v>estimated</v>
      </c>
    </row>
    <row r="192" customFormat="false" ht="15.75" hidden="false" customHeight="true" outlineLevel="0" collapsed="false">
      <c r="A192" s="146"/>
      <c r="B192" s="129" t="n">
        <f aca="false">IF($C192="","",COUNTA($C$5:C192))</f>
        <v>188</v>
      </c>
      <c r="C192" s="130" t="s">
        <v>1218</v>
      </c>
      <c r="D192" s="131" t="s">
        <v>422</v>
      </c>
      <c r="E192" s="130" t="s">
        <v>280</v>
      </c>
      <c r="F192" s="130" t="s">
        <v>281</v>
      </c>
      <c r="G192" s="131" t="s">
        <v>210</v>
      </c>
      <c r="H192" s="131" t="n">
        <v>1</v>
      </c>
      <c r="I192" s="131" t="s">
        <v>122</v>
      </c>
      <c r="J192" s="132" t="n">
        <v>0</v>
      </c>
      <c r="K192" s="132" t="n">
        <v>0</v>
      </c>
      <c r="L192" s="133" t="n">
        <f aca="false">IF($C192="","",ROUND($J192*0.17,0))</f>
        <v>0</v>
      </c>
      <c r="M192" s="132" t="n">
        <v>0</v>
      </c>
      <c r="N192" s="132" t="n">
        <v>0</v>
      </c>
      <c r="O192" s="132" t="n">
        <v>0</v>
      </c>
      <c r="P192" s="132" t="n">
        <v>0</v>
      </c>
      <c r="Q192" s="132" t="n">
        <v>0</v>
      </c>
      <c r="R192" s="132" t="n">
        <v>0</v>
      </c>
      <c r="S192" s="133" t="n">
        <f aca="false">IF($C192="","",ROUND($J192*2.2,0))</f>
        <v>0</v>
      </c>
      <c r="T192" s="132" t="n">
        <v>0</v>
      </c>
      <c r="U192" s="132" t="n">
        <v>0</v>
      </c>
      <c r="V192" s="132" t="n">
        <v>1200</v>
      </c>
      <c r="W192" s="132" t="n">
        <v>0</v>
      </c>
      <c r="X192" s="132" t="s">
        <v>310</v>
      </c>
      <c r="Y192" s="134" t="n">
        <v>0.3</v>
      </c>
      <c r="Z192" s="134" t="n">
        <v>1</v>
      </c>
      <c r="AA192" s="130" t="s">
        <v>1219</v>
      </c>
      <c r="AB192" s="130" t="s">
        <v>1220</v>
      </c>
      <c r="AC192" s="132"/>
      <c r="AD192" s="132"/>
      <c r="AE192" s="132"/>
      <c r="AF192" s="132"/>
      <c r="AG192" s="132"/>
      <c r="AH192" s="135"/>
      <c r="AI192" s="135"/>
      <c r="AJ192" s="135"/>
      <c r="AK192" s="135" t="s">
        <v>1221</v>
      </c>
      <c r="AL192" s="135" t="s">
        <v>1222</v>
      </c>
      <c r="AM192" s="160"/>
      <c r="AN192" s="146"/>
      <c r="AO192" s="95"/>
      <c r="AP192" s="95"/>
      <c r="AQ192" s="95"/>
      <c r="AR192" s="95"/>
      <c r="AS192" s="95"/>
      <c r="AT192" s="95"/>
      <c r="AU192" s="95"/>
      <c r="AV192" s="96" t="str">
        <f aca="false">IF(AND(AP192&gt;0,J192&gt;0),J192*1000/(AP192*0.2),"")</f>
        <v/>
      </c>
      <c r="AW192" s="96" t="str">
        <f aca="false">IF(AND(AS192&gt;0,M192&gt;0),M192*1000/(AS192*0.3),"")</f>
        <v/>
      </c>
      <c r="AX192" s="96" t="str">
        <f aca="false">IF(AND(AO192&gt;0,O192&gt;0),O192*1000/(AO192*0.1),"")</f>
        <v/>
      </c>
      <c r="AY192" s="96" t="str">
        <f aca="false">IF(AND(AR192&gt;0,N192&gt;0),N192*1000/(AR192*0.25),"")</f>
        <v/>
      </c>
      <c r="AZ192" s="96" t="str">
        <f aca="false">IF(AND(AQ192&gt;0,Q192&gt;0),Q192*1000/(AQ192*1),"")</f>
        <v/>
      </c>
      <c r="BA192" s="97" t="n">
        <f aca="false">IFERROR(VLOOKUP($I192,'07_Settings'!$A$10:$F$14,6,FALSE()),0.25)</f>
        <v>0.25</v>
      </c>
      <c r="BB192" s="98" t="n">
        <v>1</v>
      </c>
      <c r="BC192" s="98" t="n">
        <v>1</v>
      </c>
      <c r="BD192" s="98" t="n">
        <v>1</v>
      </c>
      <c r="BE192" s="99" t="n">
        <f aca="false">IFERROR(ROUND($S192*BA192*BC192*BD192*BB192,0),0)</f>
        <v>0</v>
      </c>
      <c r="BF192" s="55" t="str">
        <f aca="false">IF(COUNT(AO192:AU192)&gt;0,"estimated","pending")</f>
        <v>pending</v>
      </c>
    </row>
    <row r="193" customFormat="false" ht="15.75" hidden="false" customHeight="true" outlineLevel="0" collapsed="false">
      <c r="A193" s="146"/>
      <c r="B193" s="138" t="n">
        <f aca="false">IF($C193="","",COUNTA($C$5:C193))</f>
        <v>189</v>
      </c>
      <c r="C193" s="139" t="s">
        <v>1223</v>
      </c>
      <c r="D193" s="140" t="s">
        <v>31</v>
      </c>
      <c r="E193" s="139" t="s">
        <v>280</v>
      </c>
      <c r="F193" s="139" t="s">
        <v>281</v>
      </c>
      <c r="G193" s="140" t="s">
        <v>1224</v>
      </c>
      <c r="H193" s="140" t="n">
        <v>1</v>
      </c>
      <c r="I193" s="140" t="s">
        <v>122</v>
      </c>
      <c r="J193" s="141" t="n">
        <v>0</v>
      </c>
      <c r="K193" s="141" t="n">
        <v>0</v>
      </c>
      <c r="L193" s="141" t="n">
        <f aca="false">IF($C193="","",ROUND($J193*0.17,0))</f>
        <v>0</v>
      </c>
      <c r="M193" s="141" t="n">
        <v>0</v>
      </c>
      <c r="N193" s="141" t="n">
        <v>0</v>
      </c>
      <c r="O193" s="141" t="n">
        <v>0</v>
      </c>
      <c r="P193" s="141" t="n">
        <v>0</v>
      </c>
      <c r="Q193" s="141" t="n">
        <v>0</v>
      </c>
      <c r="R193" s="141" t="n">
        <v>0</v>
      </c>
      <c r="S193" s="142" t="n">
        <f aca="false">IF($C193="","",ROUND($J193*2.2,0))</f>
        <v>0</v>
      </c>
      <c r="T193" s="141" t="n">
        <v>0</v>
      </c>
      <c r="U193" s="141" t="n">
        <v>0</v>
      </c>
      <c r="V193" s="141" t="n">
        <v>1200</v>
      </c>
      <c r="W193" s="141" t="n">
        <v>0</v>
      </c>
      <c r="X193" s="141" t="s">
        <v>310</v>
      </c>
      <c r="Y193" s="143" t="n">
        <v>0.3</v>
      </c>
      <c r="Z193" s="143" t="n">
        <v>1</v>
      </c>
      <c r="AA193" s="139" t="s">
        <v>1225</v>
      </c>
      <c r="AB193" s="139" t="s">
        <v>1226</v>
      </c>
      <c r="AC193" s="141"/>
      <c r="AD193" s="141"/>
      <c r="AE193" s="141"/>
      <c r="AF193" s="141"/>
      <c r="AG193" s="141"/>
      <c r="AH193" s="144"/>
      <c r="AI193" s="144"/>
      <c r="AJ193" s="144"/>
      <c r="AK193" s="144" t="s">
        <v>1227</v>
      </c>
      <c r="AL193" s="144"/>
      <c r="AM193" s="160"/>
      <c r="AN193" s="146"/>
      <c r="AO193" s="95"/>
      <c r="AP193" s="95"/>
      <c r="AQ193" s="95"/>
      <c r="AR193" s="95"/>
      <c r="AS193" s="95"/>
      <c r="AT193" s="95"/>
      <c r="AU193" s="95"/>
      <c r="AV193" s="96" t="str">
        <f aca="false">IF(AND(AP193&gt;0,J193&gt;0),J193*1000/(AP193*0.2),"")</f>
        <v/>
      </c>
      <c r="AW193" s="96" t="str">
        <f aca="false">IF(AND(AS193&gt;0,M193&gt;0),M193*1000/(AS193*0.3),"")</f>
        <v/>
      </c>
      <c r="AX193" s="96" t="str">
        <f aca="false">IF(AND(AO193&gt;0,O193&gt;0),O193*1000/(AO193*0.1),"")</f>
        <v/>
      </c>
      <c r="AY193" s="96" t="str">
        <f aca="false">IF(AND(AR193&gt;0,N193&gt;0),N193*1000/(AR193*0.25),"")</f>
        <v/>
      </c>
      <c r="AZ193" s="96" t="str">
        <f aca="false">IF(AND(AQ193&gt;0,Q193&gt;0),Q193*1000/(AQ193*1),"")</f>
        <v/>
      </c>
      <c r="BA193" s="97" t="n">
        <f aca="false">IFERROR(VLOOKUP($I193,'07_Settings'!$A$10:$F$14,6,FALSE()),0.25)</f>
        <v>0.25</v>
      </c>
      <c r="BB193" s="98" t="n">
        <v>1</v>
      </c>
      <c r="BC193" s="98" t="n">
        <v>1</v>
      </c>
      <c r="BD193" s="98" t="n">
        <v>1</v>
      </c>
      <c r="BE193" s="99" t="n">
        <f aca="false">IFERROR(ROUND($S193*BA193*BC193*BD193*BB193,0),0)</f>
        <v>0</v>
      </c>
      <c r="BF193" s="55" t="str">
        <f aca="false">IF(COUNT(AO193:AU193)&gt;0,"estimated","pending")</f>
        <v>pending</v>
      </c>
    </row>
    <row r="194" customFormat="false" ht="21.75" hidden="false" customHeight="true" outlineLevel="0" collapsed="false">
      <c r="B194" s="161" t="str">
        <f aca="false">IF($C194="","",COUNTA($C$5:C194))</f>
        <v/>
      </c>
      <c r="H194" s="60"/>
      <c r="I194" s="60"/>
      <c r="L194" s="99" t="str">
        <f aca="false">IF($C194="","",ROUND($J194*0.17,0))</f>
        <v/>
      </c>
      <c r="S194" s="55" t="str">
        <f aca="false">IF($C194="","",ROUND($J194*2.2,0))</f>
        <v/>
      </c>
      <c r="Y194" s="162"/>
      <c r="Z194" s="162"/>
      <c r="AA194" s="61"/>
      <c r="AB194" s="61"/>
      <c r="AV194" s="1" t="str">
        <f aca="false">IF(AND(AP194&gt;0,J194&gt;0),J194*1000/(AP194*0.2),"")</f>
        <v/>
      </c>
      <c r="AW194" s="1" t="str">
        <f aca="false">IF(AND(AS194&gt;0,M194&gt;0),M194*1000/(AS194*0.3),"")</f>
        <v/>
      </c>
      <c r="AX194" s="1" t="str">
        <f aca="false">IF(AND(AO194&gt;0,O194&gt;0),O194*1000/(AO194*0.1),"")</f>
        <v/>
      </c>
      <c r="AY194" s="1" t="str">
        <f aca="false">IF(AND(AR194&gt;0,N194&gt;0),N194*1000/(AR194*0.25),"")</f>
        <v/>
      </c>
      <c r="AZ194" s="1" t="str">
        <f aca="false">IF(AND(AQ194&gt;0,Q194&gt;0),Q194*1000/(AQ194*1),"")</f>
        <v/>
      </c>
      <c r="BA194" s="1" t="n">
        <f aca="false">IFERROR(VLOOKUP($I194,'07_Settings'!$A$10:$F$14,6,FALSE()),0.25)</f>
        <v>0.25</v>
      </c>
      <c r="BE194" s="1" t="n">
        <f aca="false">IFERROR(ROUND($S194*BA194*BC194*BD194*BB194,0),0)</f>
        <v>0</v>
      </c>
      <c r="BF194" s="1" t="str">
        <f aca="false">IF(COUNT(AO194:AU194)&gt;0,"estimated","pending")</f>
        <v>pending</v>
      </c>
    </row>
    <row r="195" customFormat="false" ht="21.75" hidden="false" customHeight="true" outlineLevel="0" collapsed="false">
      <c r="B195" s="161" t="str">
        <f aca="false">IF($C195="","",COUNTA($C$5:C195))</f>
        <v/>
      </c>
      <c r="H195" s="60"/>
      <c r="I195" s="60"/>
      <c r="L195" s="55" t="str">
        <f aca="false">IF($C195="","",ROUND($J195*0.17,0))</f>
        <v/>
      </c>
      <c r="S195" s="55" t="str">
        <f aca="false">IF($C195="","",ROUND($J195*2.2,0))</f>
        <v/>
      </c>
      <c r="Y195" s="162"/>
      <c r="Z195" s="162"/>
      <c r="AA195" s="61"/>
      <c r="AB195" s="61"/>
      <c r="AV195" s="1" t="str">
        <f aca="false">IF(AND(AP195&gt;0,J195&gt;0),J195*1000/(AP195*0.2),"")</f>
        <v/>
      </c>
      <c r="AW195" s="1" t="str">
        <f aca="false">IF(AND(AS195&gt;0,M195&gt;0),M195*1000/(AS195*0.3),"")</f>
        <v/>
      </c>
      <c r="AX195" s="1" t="str">
        <f aca="false">IF(AND(AO195&gt;0,O195&gt;0),O195*1000/(AO195*0.1),"")</f>
        <v/>
      </c>
      <c r="AY195" s="1" t="str">
        <f aca="false">IF(AND(AR195&gt;0,N195&gt;0),N195*1000/(AR195*0.25),"")</f>
        <v/>
      </c>
      <c r="AZ195" s="1" t="str">
        <f aca="false">IF(AND(AQ195&gt;0,Q195&gt;0),Q195*1000/(AQ195*1),"")</f>
        <v/>
      </c>
      <c r="BA195" s="1" t="n">
        <f aca="false">IFERROR(VLOOKUP($I195,'07_Settings'!$A$10:$F$14,6,FALSE()),0.25)</f>
        <v>0.25</v>
      </c>
      <c r="BE195" s="1" t="n">
        <f aca="false">IFERROR(ROUND($S195*BA195*BC195*BD195*BB195,0),0)</f>
        <v>0</v>
      </c>
      <c r="BF195" s="1" t="str">
        <f aca="false">IF(COUNT(AO195:AU195)&gt;0,"estimated","pending")</f>
        <v>pending</v>
      </c>
    </row>
    <row r="196" customFormat="false" ht="21.75" hidden="false" customHeight="true" outlineLevel="0" collapsed="false">
      <c r="B196" s="161" t="str">
        <f aca="false">IF($C196="","",COUNTA($C$5:C196))</f>
        <v/>
      </c>
      <c r="H196" s="60"/>
      <c r="I196" s="60"/>
      <c r="L196" s="55" t="str">
        <f aca="false">IF($C196="","",ROUND($J196*0.17,0))</f>
        <v/>
      </c>
      <c r="S196" s="55" t="str">
        <f aca="false">IF($C196="","",ROUND($J196*2.2,0))</f>
        <v/>
      </c>
      <c r="Y196" s="162"/>
      <c r="Z196" s="162"/>
      <c r="AA196" s="61"/>
      <c r="AB196" s="61"/>
      <c r="AV196" s="1" t="str">
        <f aca="false">IF(AND(AP196&gt;0,J196&gt;0),J196*1000/(AP196*0.2),"")</f>
        <v/>
      </c>
      <c r="AW196" s="1" t="str">
        <f aca="false">IF(AND(AS196&gt;0,M196&gt;0),M196*1000/(AS196*0.3),"")</f>
        <v/>
      </c>
      <c r="AX196" s="1" t="str">
        <f aca="false">IF(AND(AO196&gt;0,O196&gt;0),O196*1000/(AO196*0.1),"")</f>
        <v/>
      </c>
      <c r="AY196" s="1" t="str">
        <f aca="false">IF(AND(AR196&gt;0,N196&gt;0),N196*1000/(AR196*0.25),"")</f>
        <v/>
      </c>
      <c r="AZ196" s="1" t="str">
        <f aca="false">IF(AND(AQ196&gt;0,Q196&gt;0),Q196*1000/(AQ196*1),"")</f>
        <v/>
      </c>
      <c r="BA196" s="1" t="n">
        <f aca="false">IFERROR(VLOOKUP($I196,'07_Settings'!$A$10:$F$14,6,FALSE()),0.25)</f>
        <v>0.25</v>
      </c>
      <c r="BE196" s="1" t="n">
        <f aca="false">IFERROR(ROUND($S196*BA196*BC196*BD196*BB196,0),0)</f>
        <v>0</v>
      </c>
      <c r="BF196" s="1" t="str">
        <f aca="false">IF(COUNT(AO196:AU196)&gt;0,"estimated","pending")</f>
        <v>pending</v>
      </c>
    </row>
    <row r="197" customFormat="false" ht="21.75" hidden="false" customHeight="true" outlineLevel="0" collapsed="false">
      <c r="B197" s="161" t="str">
        <f aca="false">IF($C197="","",COUNTA($C$5:C197))</f>
        <v/>
      </c>
      <c r="H197" s="60"/>
      <c r="I197" s="60"/>
      <c r="L197" s="55" t="str">
        <f aca="false">IF($C197="","",ROUND($J197*0.17,0))</f>
        <v/>
      </c>
      <c r="S197" s="55" t="str">
        <f aca="false">IF($C197="","",ROUND($J197*2.2,0))</f>
        <v/>
      </c>
      <c r="Y197" s="162"/>
      <c r="Z197" s="162"/>
      <c r="AA197" s="61"/>
      <c r="AB197" s="61"/>
      <c r="AV197" s="1" t="str">
        <f aca="false">IF(AND(AP197&gt;0,J197&gt;0),J197*1000/(AP197*0.2),"")</f>
        <v/>
      </c>
      <c r="AW197" s="1" t="str">
        <f aca="false">IF(AND(AS197&gt;0,M197&gt;0),M197*1000/(AS197*0.3),"")</f>
        <v/>
      </c>
      <c r="AX197" s="1" t="str">
        <f aca="false">IF(AND(AO197&gt;0,O197&gt;0),O197*1000/(AO197*0.1),"")</f>
        <v/>
      </c>
      <c r="AY197" s="1" t="str">
        <f aca="false">IF(AND(AR197&gt;0,N197&gt;0),N197*1000/(AR197*0.25),"")</f>
        <v/>
      </c>
      <c r="AZ197" s="1" t="str">
        <f aca="false">IF(AND(AQ197&gt;0,Q197&gt;0),Q197*1000/(AQ197*1),"")</f>
        <v/>
      </c>
      <c r="BA197" s="1" t="n">
        <f aca="false">IFERROR(VLOOKUP($I197,'07_Settings'!$A$10:$F$14,6,FALSE()),0.25)</f>
        <v>0.25</v>
      </c>
      <c r="BE197" s="1" t="n">
        <f aca="false">IFERROR(ROUND($S197*BA197*BC197*BD197*BB197,0),0)</f>
        <v>0</v>
      </c>
      <c r="BF197" s="1" t="str">
        <f aca="false">IF(COUNT(AO197:AU197)&gt;0,"estimated","pending")</f>
        <v>pending</v>
      </c>
    </row>
    <row r="198" customFormat="false" ht="21.75" hidden="false" customHeight="true" outlineLevel="0" collapsed="false">
      <c r="B198" s="161" t="str">
        <f aca="false">IF($C198="","",COUNTA($C$5:C198))</f>
        <v/>
      </c>
      <c r="H198" s="60"/>
      <c r="I198" s="60"/>
      <c r="L198" s="55" t="str">
        <f aca="false">IF($C198="","",ROUND($J198*0.17,0))</f>
        <v/>
      </c>
      <c r="S198" s="55" t="str">
        <f aca="false">IF($C198="","",ROUND($J198*2.2,0))</f>
        <v/>
      </c>
      <c r="Y198" s="162"/>
      <c r="Z198" s="162"/>
      <c r="AA198" s="61"/>
      <c r="AB198" s="61"/>
      <c r="AV198" s="1" t="str">
        <f aca="false">IF(AND(AP198&gt;0,J198&gt;0),J198*1000/(AP198*0.2),"")</f>
        <v/>
      </c>
      <c r="AW198" s="1" t="str">
        <f aca="false">IF(AND(AS198&gt;0,M198&gt;0),M198*1000/(AS198*0.3),"")</f>
        <v/>
      </c>
      <c r="AX198" s="1" t="str">
        <f aca="false">IF(AND(AO198&gt;0,O198&gt;0),O198*1000/(AO198*0.1),"")</f>
        <v/>
      </c>
      <c r="AY198" s="1" t="str">
        <f aca="false">IF(AND(AR198&gt;0,N198&gt;0),N198*1000/(AR198*0.25),"")</f>
        <v/>
      </c>
      <c r="AZ198" s="1" t="str">
        <f aca="false">IF(AND(AQ198&gt;0,Q198&gt;0),Q198*1000/(AQ198*1),"")</f>
        <v/>
      </c>
      <c r="BA198" s="1" t="n">
        <f aca="false">IFERROR(VLOOKUP($I198,'07_Settings'!$A$10:$F$14,6,FALSE()),0.25)</f>
        <v>0.25</v>
      </c>
      <c r="BE198" s="1" t="n">
        <f aca="false">IFERROR(ROUND($S198*BA198*BC198*BD198*BB198,0),0)</f>
        <v>0</v>
      </c>
      <c r="BF198" s="1" t="str">
        <f aca="false">IF(COUNT(AO198:AU198)&gt;0,"estimated","pending")</f>
        <v>pending</v>
      </c>
    </row>
    <row r="199" customFormat="false" ht="21.75" hidden="false" customHeight="true" outlineLevel="0" collapsed="false">
      <c r="B199" s="161" t="str">
        <f aca="false">IF($C199="","",COUNTA($C$5:C199))</f>
        <v/>
      </c>
      <c r="H199" s="60"/>
      <c r="I199" s="60"/>
      <c r="L199" s="55" t="str">
        <f aca="false">IF($C199="","",ROUND($J199*0.17,0))</f>
        <v/>
      </c>
      <c r="S199" s="55" t="str">
        <f aca="false">IF($C199="","",ROUND($J199*2.2,0))</f>
        <v/>
      </c>
      <c r="Y199" s="162"/>
      <c r="Z199" s="162"/>
      <c r="AA199" s="61"/>
      <c r="AB199" s="61"/>
      <c r="AV199" s="1" t="str">
        <f aca="false">IF(AND(AP199&gt;0,J199&gt;0),J199*1000/(AP199*0.2),"")</f>
        <v/>
      </c>
      <c r="AW199" s="1" t="str">
        <f aca="false">IF(AND(AS199&gt;0,M199&gt;0),M199*1000/(AS199*0.3),"")</f>
        <v/>
      </c>
      <c r="AX199" s="1" t="str">
        <f aca="false">IF(AND(AO199&gt;0,O199&gt;0),O199*1000/(AO199*0.1),"")</f>
        <v/>
      </c>
      <c r="AY199" s="1" t="str">
        <f aca="false">IF(AND(AR199&gt;0,N199&gt;0),N199*1000/(AR199*0.25),"")</f>
        <v/>
      </c>
      <c r="AZ199" s="1" t="str">
        <f aca="false">IF(AND(AQ199&gt;0,Q199&gt;0),Q199*1000/(AQ199*1),"")</f>
        <v/>
      </c>
      <c r="BA199" s="1" t="n">
        <f aca="false">IFERROR(VLOOKUP($I199,'07_Settings'!$A$10:$F$14,6,FALSE()),0.25)</f>
        <v>0.25</v>
      </c>
      <c r="BE199" s="1" t="n">
        <f aca="false">IFERROR(ROUND($S199*BA199*BC199*BD199*BB199,0),0)</f>
        <v>0</v>
      </c>
      <c r="BF199" s="1" t="str">
        <f aca="false">IF(COUNT(AO199:AU199)&gt;0,"estimated","pending")</f>
        <v>pending</v>
      </c>
    </row>
    <row r="200" customFormat="false" ht="21.75" hidden="false" customHeight="true" outlineLevel="0" collapsed="false">
      <c r="B200" s="161" t="str">
        <f aca="false">IF($C200="","",COUNTA($C$5:C200))</f>
        <v/>
      </c>
      <c r="H200" s="60"/>
      <c r="I200" s="60"/>
      <c r="L200" s="55" t="str">
        <f aca="false">IF($C200="","",ROUND($J200*0.17,0))</f>
        <v/>
      </c>
      <c r="S200" s="55" t="str">
        <f aca="false">IF($C200="","",ROUND($J200*2.2,0))</f>
        <v/>
      </c>
      <c r="Y200" s="162"/>
      <c r="Z200" s="162"/>
      <c r="AA200" s="61"/>
      <c r="AB200" s="61"/>
      <c r="AV200" s="1" t="str">
        <f aca="false">IF(AND(AP200&gt;0,J200&gt;0),J200*1000/(AP200*0.2),"")</f>
        <v/>
      </c>
      <c r="AW200" s="1" t="str">
        <f aca="false">IF(AND(AS200&gt;0,M200&gt;0),M200*1000/(AS200*0.3),"")</f>
        <v/>
      </c>
      <c r="AX200" s="1" t="str">
        <f aca="false">IF(AND(AO200&gt;0,O200&gt;0),O200*1000/(AO200*0.1),"")</f>
        <v/>
      </c>
      <c r="AY200" s="1" t="str">
        <f aca="false">IF(AND(AR200&gt;0,N200&gt;0),N200*1000/(AR200*0.25),"")</f>
        <v/>
      </c>
      <c r="AZ200" s="1" t="str">
        <f aca="false">IF(AND(AQ200&gt;0,Q200&gt;0),Q200*1000/(AQ200*1),"")</f>
        <v/>
      </c>
      <c r="BA200" s="1" t="n">
        <f aca="false">IFERROR(VLOOKUP($I200,'07_Settings'!$A$10:$F$14,6,FALSE()),0.25)</f>
        <v>0.25</v>
      </c>
      <c r="BE200" s="1" t="n">
        <f aca="false">IFERROR(ROUND($S200*BA200*BC200*BD200*BB200,0),0)</f>
        <v>0</v>
      </c>
      <c r="BF200" s="1" t="str">
        <f aca="false">IF(COUNT(AO200:AU200)&gt;0,"estimated","pending")</f>
        <v>pending</v>
      </c>
    </row>
    <row r="201" customFormat="false" ht="21.75" hidden="false" customHeight="true" outlineLevel="0" collapsed="false">
      <c r="B201" s="161" t="str">
        <f aca="false">IF($C201="","",COUNTA($C$5:C201))</f>
        <v/>
      </c>
      <c r="H201" s="60"/>
      <c r="I201" s="60"/>
      <c r="L201" s="55" t="str">
        <f aca="false">IF($C201="","",ROUND($J201*0.17,0))</f>
        <v/>
      </c>
      <c r="S201" s="55" t="str">
        <f aca="false">IF($C201="","",ROUND($J201*2.2,0))</f>
        <v/>
      </c>
      <c r="Y201" s="162"/>
      <c r="Z201" s="162"/>
      <c r="AA201" s="61"/>
      <c r="AB201" s="61"/>
      <c r="AV201" s="1" t="str">
        <f aca="false">IF(AND(AP201&gt;0,J201&gt;0),J201*1000/(AP201*0.2),"")</f>
        <v/>
      </c>
      <c r="AW201" s="1" t="str">
        <f aca="false">IF(AND(AS201&gt;0,M201&gt;0),M201*1000/(AS201*0.3),"")</f>
        <v/>
      </c>
      <c r="AX201" s="1" t="str">
        <f aca="false">IF(AND(AO201&gt;0,O201&gt;0),O201*1000/(AO201*0.1),"")</f>
        <v/>
      </c>
      <c r="AY201" s="1" t="str">
        <f aca="false">IF(AND(AR201&gt;0,N201&gt;0),N201*1000/(AR201*0.25),"")</f>
        <v/>
      </c>
      <c r="AZ201" s="1" t="str">
        <f aca="false">IF(AND(AQ201&gt;0,Q201&gt;0),Q201*1000/(AQ201*1),"")</f>
        <v/>
      </c>
      <c r="BA201" s="1" t="n">
        <f aca="false">IFERROR(VLOOKUP($I201,'07_Settings'!$A$10:$F$14,6,FALSE()),0.25)</f>
        <v>0.25</v>
      </c>
      <c r="BE201" s="1" t="n">
        <f aca="false">IFERROR(ROUND($S201*BA201*BC201*BD201*BB201,0),0)</f>
        <v>0</v>
      </c>
      <c r="BF201" s="1" t="str">
        <f aca="false">IF(COUNT(AO201:AU201)&gt;0,"estimated","pending")</f>
        <v>pending</v>
      </c>
    </row>
    <row r="202" customFormat="false" ht="21.75" hidden="false" customHeight="true" outlineLevel="0" collapsed="false">
      <c r="B202" s="161" t="str">
        <f aca="false">IF($C202="","",COUNTA($C$5:C202))</f>
        <v/>
      </c>
      <c r="H202" s="60"/>
      <c r="I202" s="60"/>
      <c r="L202" s="55" t="str">
        <f aca="false">IF($C202="","",ROUND($J202*0.17,0))</f>
        <v/>
      </c>
      <c r="S202" s="55" t="str">
        <f aca="false">IF($C202="","",ROUND($J202*2.2,0))</f>
        <v/>
      </c>
      <c r="AA202" s="61"/>
      <c r="AB202" s="61"/>
      <c r="AV202" s="1" t="str">
        <f aca="false">IF(AND(AP202&gt;0,J202&gt;0),J202*1000/(AP202*0.2),"")</f>
        <v/>
      </c>
      <c r="AW202" s="1" t="str">
        <f aca="false">IF(AND(AS202&gt;0,M202&gt;0),M202*1000/(AS202*0.3),"")</f>
        <v/>
      </c>
      <c r="AX202" s="1" t="str">
        <f aca="false">IF(AND(AO202&gt;0,O202&gt;0),O202*1000/(AO202*0.1),"")</f>
        <v/>
      </c>
      <c r="AY202" s="1" t="str">
        <f aca="false">IF(AND(AR202&gt;0,N202&gt;0),N202*1000/(AR202*0.25),"")</f>
        <v/>
      </c>
      <c r="AZ202" s="1" t="str">
        <f aca="false">IF(AND(AQ202&gt;0,Q202&gt;0),Q202*1000/(AQ202*1),"")</f>
        <v/>
      </c>
      <c r="BA202" s="1" t="n">
        <f aca="false">IFERROR(VLOOKUP($I202,'07_Settings'!$A$10:$F$14,6,FALSE()),0.25)</f>
        <v>0.25</v>
      </c>
      <c r="BE202" s="1" t="n">
        <f aca="false">IFERROR(ROUND($S202*BA202*BC202*BD202*BB202,0),0)</f>
        <v>0</v>
      </c>
      <c r="BF202" s="1" t="str">
        <f aca="false">IF(COUNT(AO202:AU202)&gt;0,"estimated","pending")</f>
        <v>pending</v>
      </c>
    </row>
    <row r="203" customFormat="false" ht="21.75" hidden="false" customHeight="true" outlineLevel="0" collapsed="false">
      <c r="B203" s="161" t="str">
        <f aca="false">IF($C203="","",COUNTA($C$5:C203))</f>
        <v/>
      </c>
      <c r="H203" s="60"/>
      <c r="I203" s="60"/>
      <c r="L203" s="55" t="str">
        <f aca="false">IF($C203="","",ROUND($J203*0.17,0))</f>
        <v/>
      </c>
      <c r="S203" s="55" t="str">
        <f aca="false">IF($C203="","",ROUND($J203*2.2,0))</f>
        <v/>
      </c>
      <c r="AA203" s="61"/>
      <c r="AB203" s="61"/>
      <c r="AV203" s="1" t="str">
        <f aca="false">IF(AND(AP203&gt;0,J203&gt;0),J203*1000/(AP203*0.2),"")</f>
        <v/>
      </c>
      <c r="AW203" s="1" t="str">
        <f aca="false">IF(AND(AS203&gt;0,M203&gt;0),M203*1000/(AS203*0.3),"")</f>
        <v/>
      </c>
      <c r="AX203" s="1" t="str">
        <f aca="false">IF(AND(AO203&gt;0,O203&gt;0),O203*1000/(AO203*0.1),"")</f>
        <v/>
      </c>
      <c r="AY203" s="1" t="str">
        <f aca="false">IF(AND(AR203&gt;0,N203&gt;0),N203*1000/(AR203*0.25),"")</f>
        <v/>
      </c>
      <c r="AZ203" s="1" t="str">
        <f aca="false">IF(AND(AQ203&gt;0,Q203&gt;0),Q203*1000/(AQ203*1),"")</f>
        <v/>
      </c>
      <c r="BA203" s="1" t="n">
        <f aca="false">IFERROR(VLOOKUP($I203,'07_Settings'!$A$10:$F$14,6,FALSE()),0.25)</f>
        <v>0.25</v>
      </c>
      <c r="BE203" s="1" t="n">
        <f aca="false">IFERROR(ROUND($S203*BA203*BC203*BD203*BB203,0),0)</f>
        <v>0</v>
      </c>
      <c r="BF203" s="1" t="str">
        <f aca="false">IF(COUNT(AO203:AU203)&gt;0,"estimated","pending")</f>
        <v>pending</v>
      </c>
    </row>
    <row r="204" customFormat="false" ht="21.75" hidden="false" customHeight="true" outlineLevel="0" collapsed="false">
      <c r="B204" s="161" t="str">
        <f aca="false">IF($C204="","",COUNTA($C$5:C204))</f>
        <v/>
      </c>
      <c r="H204" s="60"/>
      <c r="I204" s="60"/>
      <c r="L204" s="55" t="str">
        <f aca="false">IF($C204="","",ROUND($J204*0.17,0))</f>
        <v/>
      </c>
      <c r="S204" s="55" t="str">
        <f aca="false">IF($C204="","",ROUND($J204*2.2,0))</f>
        <v/>
      </c>
      <c r="AA204" s="61"/>
      <c r="AB204" s="61"/>
      <c r="AV204" s="1" t="str">
        <f aca="false">IF(AND(AP204&gt;0,J204&gt;0),J204*1000/(AP204*0.2),"")</f>
        <v/>
      </c>
      <c r="AW204" s="1" t="str">
        <f aca="false">IF(AND(AS204&gt;0,M204&gt;0),M204*1000/(AS204*0.3),"")</f>
        <v/>
      </c>
      <c r="AX204" s="1" t="str">
        <f aca="false">IF(AND(AO204&gt;0,O204&gt;0),O204*1000/(AO204*0.1),"")</f>
        <v/>
      </c>
      <c r="AY204" s="1" t="str">
        <f aca="false">IF(AND(AR204&gt;0,N204&gt;0),N204*1000/(AR204*0.25),"")</f>
        <v/>
      </c>
      <c r="AZ204" s="1" t="str">
        <f aca="false">IF(AND(AQ204&gt;0,Q204&gt;0),Q204*1000/(AQ204*1),"")</f>
        <v/>
      </c>
      <c r="BA204" s="1" t="n">
        <f aca="false">IFERROR(VLOOKUP($I204,'07_Settings'!$A$10:$F$14,6,FALSE()),0.25)</f>
        <v>0.25</v>
      </c>
      <c r="BE204" s="1" t="n">
        <f aca="false">IFERROR(ROUND($S204*BA204*BC204*BD204*BB204,0),0)</f>
        <v>0</v>
      </c>
      <c r="BF204" s="1" t="str">
        <f aca="false">IF(COUNT(AO204:AU204)&gt;0,"estimated","pending")</f>
        <v>pending</v>
      </c>
    </row>
    <row r="205" customFormat="false" ht="21.75" hidden="false" customHeight="true" outlineLevel="0" collapsed="false">
      <c r="B205" s="161" t="str">
        <f aca="false">IF($C205="","",COUNTA($C$5:C205))</f>
        <v/>
      </c>
      <c r="H205" s="60"/>
      <c r="I205" s="60"/>
      <c r="L205" s="55" t="str">
        <f aca="false">IF($C205="","",ROUND($J205*0.17,0))</f>
        <v/>
      </c>
      <c r="S205" s="55" t="str">
        <f aca="false">IF($C205="","",ROUND($J205*2.2,0))</f>
        <v/>
      </c>
      <c r="AA205" s="61"/>
      <c r="AB205" s="61"/>
      <c r="AV205" s="1" t="str">
        <f aca="false">IF(AND(AP205&gt;0,J205&gt;0),J205*1000/(AP205*0.2),"")</f>
        <v/>
      </c>
      <c r="AW205" s="1" t="str">
        <f aca="false">IF(AND(AS205&gt;0,M205&gt;0),M205*1000/(AS205*0.3),"")</f>
        <v/>
      </c>
      <c r="AX205" s="1" t="str">
        <f aca="false">IF(AND(AO205&gt;0,O205&gt;0),O205*1000/(AO205*0.1),"")</f>
        <v/>
      </c>
      <c r="AY205" s="1" t="str">
        <f aca="false">IF(AND(AR205&gt;0,N205&gt;0),N205*1000/(AR205*0.25),"")</f>
        <v/>
      </c>
      <c r="AZ205" s="1" t="str">
        <f aca="false">IF(AND(AQ205&gt;0,Q205&gt;0),Q205*1000/(AQ205*1),"")</f>
        <v/>
      </c>
      <c r="BA205" s="1" t="n">
        <f aca="false">IFERROR(VLOOKUP($I205,'07_Settings'!$A$10:$F$14,6,FALSE()),0.25)</f>
        <v>0.25</v>
      </c>
      <c r="BE205" s="1" t="n">
        <f aca="false">IFERROR(ROUND($S205*BA205*BC205*BD205*BB205,0),0)</f>
        <v>0</v>
      </c>
      <c r="BF205" s="1" t="str">
        <f aca="false">IF(COUNT(AO205:AU205)&gt;0,"estimated","pending")</f>
        <v>pending</v>
      </c>
    </row>
    <row r="206" customFormat="false" ht="21.75" hidden="false" customHeight="true" outlineLevel="0" collapsed="false">
      <c r="B206" s="161" t="str">
        <f aca="false">IF($C206="","",COUNTA($C$5:C206))</f>
        <v/>
      </c>
      <c r="H206" s="60"/>
      <c r="I206" s="60"/>
      <c r="L206" s="55" t="str">
        <f aca="false">IF($C206="","",ROUND($J206*0.17,0))</f>
        <v/>
      </c>
      <c r="S206" s="55" t="str">
        <f aca="false">IF($C206="","",ROUND($J206*2.2,0))</f>
        <v/>
      </c>
      <c r="AA206" s="61"/>
      <c r="AB206" s="61"/>
      <c r="AV206" s="1" t="str">
        <f aca="false">IF(AND(AP206&gt;0,J206&gt;0),J206*1000/(AP206*0.2),"")</f>
        <v/>
      </c>
      <c r="AW206" s="1" t="str">
        <f aca="false">IF(AND(AS206&gt;0,M206&gt;0),M206*1000/(AS206*0.3),"")</f>
        <v/>
      </c>
      <c r="AX206" s="1" t="str">
        <f aca="false">IF(AND(AO206&gt;0,O206&gt;0),O206*1000/(AO206*0.1),"")</f>
        <v/>
      </c>
      <c r="AY206" s="1" t="str">
        <f aca="false">IF(AND(AR206&gt;0,N206&gt;0),N206*1000/(AR206*0.25),"")</f>
        <v/>
      </c>
      <c r="AZ206" s="1" t="str">
        <f aca="false">IF(AND(AQ206&gt;0,Q206&gt;0),Q206*1000/(AQ206*1),"")</f>
        <v/>
      </c>
      <c r="BA206" s="1" t="n">
        <f aca="false">IFERROR(VLOOKUP($I206,'07_Settings'!$A$10:$F$14,6,FALSE()),0.25)</f>
        <v>0.25</v>
      </c>
      <c r="BE206" s="1" t="n">
        <f aca="false">IFERROR(ROUND($S206*BA206*BC206*BD206*BB206,0),0)</f>
        <v>0</v>
      </c>
      <c r="BF206" s="1" t="str">
        <f aca="false">IF(COUNT(AO206:AU206)&gt;0,"estimated","pending")</f>
        <v>pending</v>
      </c>
    </row>
    <row r="207" customFormat="false" ht="21.75" hidden="false" customHeight="true" outlineLevel="0" collapsed="false">
      <c r="B207" s="161" t="str">
        <f aca="false">IF($C207="","",COUNTA($C$5:C207))</f>
        <v/>
      </c>
      <c r="H207" s="60"/>
      <c r="I207" s="60"/>
      <c r="L207" s="55" t="str">
        <f aca="false">IF($C207="","",ROUND($J207*0.17,0))</f>
        <v/>
      </c>
      <c r="S207" s="55" t="str">
        <f aca="false">IF($C207="","",ROUND($J207*2.2,0))</f>
        <v/>
      </c>
      <c r="AA207" s="61"/>
      <c r="AB207" s="61"/>
      <c r="AV207" s="1" t="str">
        <f aca="false">IF(AND(AP207&gt;0,J207&gt;0),J207*1000/(AP207*0.2),"")</f>
        <v/>
      </c>
      <c r="AW207" s="1" t="str">
        <f aca="false">IF(AND(AS207&gt;0,M207&gt;0),M207*1000/(AS207*0.3),"")</f>
        <v/>
      </c>
      <c r="AX207" s="1" t="str">
        <f aca="false">IF(AND(AO207&gt;0,O207&gt;0),O207*1000/(AO207*0.1),"")</f>
        <v/>
      </c>
      <c r="AY207" s="1" t="str">
        <f aca="false">IF(AND(AR207&gt;0,N207&gt;0),N207*1000/(AR207*0.25),"")</f>
        <v/>
      </c>
      <c r="AZ207" s="1" t="str">
        <f aca="false">IF(AND(AQ207&gt;0,Q207&gt;0),Q207*1000/(AQ207*1),"")</f>
        <v/>
      </c>
      <c r="BA207" s="1" t="n">
        <f aca="false">IFERROR(VLOOKUP($I207,'07_Settings'!$A$10:$F$14,6,FALSE()),0.25)</f>
        <v>0.25</v>
      </c>
      <c r="BE207" s="1" t="n">
        <f aca="false">IFERROR(ROUND($S207*BA207*BC207*BD207*BB207,0),0)</f>
        <v>0</v>
      </c>
      <c r="BF207" s="1" t="str">
        <f aca="false">IF(COUNT(AO207:AU207)&gt;0,"estimated","pending")</f>
        <v>pending</v>
      </c>
    </row>
    <row r="208" customFormat="false" ht="21.75" hidden="false" customHeight="true" outlineLevel="0" collapsed="false">
      <c r="B208" s="161" t="str">
        <f aca="false">IF($C208="","",COUNTA($C$5:C208))</f>
        <v/>
      </c>
      <c r="H208" s="60"/>
      <c r="I208" s="60"/>
      <c r="L208" s="55" t="str">
        <f aca="false">IF($C208="","",ROUND($J208*0.17,0))</f>
        <v/>
      </c>
      <c r="S208" s="55" t="str">
        <f aca="false">IF($C208="","",ROUND($J208*2.2,0))</f>
        <v/>
      </c>
      <c r="AA208" s="61"/>
      <c r="AB208" s="61"/>
      <c r="AV208" s="1" t="str">
        <f aca="false">IF(AND(AP208&gt;0,J208&gt;0),J208*1000/(AP208*0.2),"")</f>
        <v/>
      </c>
      <c r="AW208" s="1" t="str">
        <f aca="false">IF(AND(AS208&gt;0,M208&gt;0),M208*1000/(AS208*0.3),"")</f>
        <v/>
      </c>
      <c r="AX208" s="1" t="str">
        <f aca="false">IF(AND(AO208&gt;0,O208&gt;0),O208*1000/(AO208*0.1),"")</f>
        <v/>
      </c>
      <c r="AY208" s="1" t="str">
        <f aca="false">IF(AND(AR208&gt;0,N208&gt;0),N208*1000/(AR208*0.25),"")</f>
        <v/>
      </c>
      <c r="AZ208" s="1" t="str">
        <f aca="false">IF(AND(AQ208&gt;0,Q208&gt;0),Q208*1000/(AQ208*1),"")</f>
        <v/>
      </c>
      <c r="BA208" s="1" t="n">
        <f aca="false">IFERROR(VLOOKUP($I208,'07_Settings'!$A$10:$F$14,6,FALSE()),0.25)</f>
        <v>0.25</v>
      </c>
      <c r="BE208" s="1" t="n">
        <f aca="false">IFERROR(ROUND($S208*BA208*BC208*BD208*BB208,0),0)</f>
        <v>0</v>
      </c>
      <c r="BF208" s="1" t="str">
        <f aca="false">IF(COUNT(AO208:AU208)&gt;0,"estimated","pending")</f>
        <v>pending</v>
      </c>
    </row>
    <row r="209" customFormat="false" ht="21.75" hidden="false" customHeight="true" outlineLevel="0" collapsed="false">
      <c r="B209" s="161" t="str">
        <f aca="false">IF($C209="","",COUNTA($C$5:C209))</f>
        <v/>
      </c>
      <c r="H209" s="60"/>
      <c r="I209" s="60"/>
      <c r="L209" s="55" t="str">
        <f aca="false">IF($C209="","",ROUND($J209*0.17,0))</f>
        <v/>
      </c>
      <c r="S209" s="55" t="str">
        <f aca="false">IF($C209="","",ROUND($J209*2.2,0))</f>
        <v/>
      </c>
      <c r="AA209" s="61"/>
      <c r="AB209" s="61"/>
      <c r="AV209" s="1" t="str">
        <f aca="false">IF(AND(AP209&gt;0,J209&gt;0),J209*1000/(AP209*0.2),"")</f>
        <v/>
      </c>
      <c r="AW209" s="1" t="str">
        <f aca="false">IF(AND(AS209&gt;0,M209&gt;0),M209*1000/(AS209*0.3),"")</f>
        <v/>
      </c>
      <c r="AX209" s="1" t="str">
        <f aca="false">IF(AND(AO209&gt;0,O209&gt;0),O209*1000/(AO209*0.1),"")</f>
        <v/>
      </c>
      <c r="AY209" s="1" t="str">
        <f aca="false">IF(AND(AR209&gt;0,N209&gt;0),N209*1000/(AR209*0.25),"")</f>
        <v/>
      </c>
      <c r="AZ209" s="1" t="str">
        <f aca="false">IF(AND(AQ209&gt;0,Q209&gt;0),Q209*1000/(AQ209*1),"")</f>
        <v/>
      </c>
      <c r="BA209" s="1" t="n">
        <f aca="false">IFERROR(VLOOKUP($I209,'07_Settings'!$A$10:$F$14,6,FALSE()),0.25)</f>
        <v>0.25</v>
      </c>
      <c r="BE209" s="1" t="n">
        <f aca="false">IFERROR(ROUND($S209*BA209*BC209*BD209*BB209,0),0)</f>
        <v>0</v>
      </c>
      <c r="BF209" s="1" t="str">
        <f aca="false">IF(COUNT(AO209:AU209)&gt;0,"estimated","pending")</f>
        <v>pending</v>
      </c>
    </row>
    <row r="210" customFormat="false" ht="21.75" hidden="false" customHeight="true" outlineLevel="0" collapsed="false">
      <c r="B210" s="161" t="str">
        <f aca="false">IF($C210="","",COUNTA($C$5:C210))</f>
        <v/>
      </c>
      <c r="H210" s="60"/>
      <c r="I210" s="60"/>
      <c r="L210" s="55" t="str">
        <f aca="false">IF($C210="","",ROUND($J210*0.17,0))</f>
        <v/>
      </c>
      <c r="S210" s="55" t="str">
        <f aca="false">IF($C210="","",ROUND($J210*2.2,0))</f>
        <v/>
      </c>
      <c r="AA210" s="61"/>
      <c r="AB210" s="61"/>
      <c r="AV210" s="1" t="str">
        <f aca="false">IF(AND(AP210&gt;0,J210&gt;0),J210*1000/(AP210*0.2),"")</f>
        <v/>
      </c>
      <c r="AW210" s="1" t="str">
        <f aca="false">IF(AND(AS210&gt;0,M210&gt;0),M210*1000/(AS210*0.3),"")</f>
        <v/>
      </c>
      <c r="AX210" s="1" t="str">
        <f aca="false">IF(AND(AO210&gt;0,O210&gt;0),O210*1000/(AO210*0.1),"")</f>
        <v/>
      </c>
      <c r="AY210" s="1" t="str">
        <f aca="false">IF(AND(AR210&gt;0,N210&gt;0),N210*1000/(AR210*0.25),"")</f>
        <v/>
      </c>
      <c r="AZ210" s="1" t="str">
        <f aca="false">IF(AND(AQ210&gt;0,Q210&gt;0),Q210*1000/(AQ210*1),"")</f>
        <v/>
      </c>
      <c r="BA210" s="1" t="n">
        <f aca="false">IFERROR(VLOOKUP($I210,'07_Settings'!$A$10:$F$14,6,FALSE()),0.25)</f>
        <v>0.25</v>
      </c>
      <c r="BE210" s="1" t="n">
        <f aca="false">IFERROR(ROUND($S210*BA210*BC210*BD210*BB210,0),0)</f>
        <v>0</v>
      </c>
      <c r="BF210" s="1" t="str">
        <f aca="false">IF(COUNT(AO210:AU210)&gt;0,"estimated","pending")</f>
        <v>pending</v>
      </c>
    </row>
    <row r="211" customFormat="false" ht="21.75" hidden="false" customHeight="true" outlineLevel="0" collapsed="false">
      <c r="B211" s="161" t="str">
        <f aca="false">IF($C211="","",COUNTA($C$5:C211))</f>
        <v/>
      </c>
      <c r="H211" s="60"/>
      <c r="I211" s="60"/>
      <c r="L211" s="55" t="str">
        <f aca="false">IF($C211="","",ROUND($J211*0.17,0))</f>
        <v/>
      </c>
      <c r="S211" s="55" t="str">
        <f aca="false">IF($C211="","",ROUND($J211*2.2,0))</f>
        <v/>
      </c>
      <c r="AA211" s="61"/>
      <c r="AB211" s="61"/>
      <c r="AV211" s="1" t="str">
        <f aca="false">IF(AND(AP211&gt;0,J211&gt;0),J211*1000/(AP211*0.2),"")</f>
        <v/>
      </c>
      <c r="AW211" s="1" t="str">
        <f aca="false">IF(AND(AS211&gt;0,M211&gt;0),M211*1000/(AS211*0.3),"")</f>
        <v/>
      </c>
      <c r="AX211" s="1" t="str">
        <f aca="false">IF(AND(AO211&gt;0,O211&gt;0),O211*1000/(AO211*0.1),"")</f>
        <v/>
      </c>
      <c r="AY211" s="1" t="str">
        <f aca="false">IF(AND(AR211&gt;0,N211&gt;0),N211*1000/(AR211*0.25),"")</f>
        <v/>
      </c>
      <c r="AZ211" s="1" t="str">
        <f aca="false">IF(AND(AQ211&gt;0,Q211&gt;0),Q211*1000/(AQ211*1),"")</f>
        <v/>
      </c>
      <c r="BA211" s="1" t="n">
        <f aca="false">IFERROR(VLOOKUP($I211,'07_Settings'!$A$10:$F$14,6,FALSE()),0.25)</f>
        <v>0.25</v>
      </c>
      <c r="BE211" s="1" t="n">
        <f aca="false">IFERROR(ROUND($S211*BA211*BC211*BD211*BB211,0),0)</f>
        <v>0</v>
      </c>
      <c r="BF211" s="1" t="str">
        <f aca="false">IF(COUNT(AO211:AU211)&gt;0,"estimated","pending")</f>
        <v>pending</v>
      </c>
    </row>
    <row r="212" customFormat="false" ht="21.75" hidden="false" customHeight="true" outlineLevel="0" collapsed="false">
      <c r="B212" s="161" t="str">
        <f aca="false">IF($C212="","",COUNTA($C$5:C212))</f>
        <v/>
      </c>
      <c r="H212" s="60"/>
      <c r="I212" s="60"/>
      <c r="L212" s="55" t="str">
        <f aca="false">IF($C212="","",ROUND($J212*0.17,0))</f>
        <v/>
      </c>
      <c r="S212" s="55" t="str">
        <f aca="false">IF($C212="","",ROUND($J212*2.2,0))</f>
        <v/>
      </c>
      <c r="AA212" s="61"/>
      <c r="AB212" s="61"/>
      <c r="AV212" s="1" t="str">
        <f aca="false">IF(AND(AP212&gt;0,J212&gt;0),J212*1000/(AP212*0.2),"")</f>
        <v/>
      </c>
      <c r="AW212" s="1" t="str">
        <f aca="false">IF(AND(AS212&gt;0,M212&gt;0),M212*1000/(AS212*0.3),"")</f>
        <v/>
      </c>
      <c r="AX212" s="1" t="str">
        <f aca="false">IF(AND(AO212&gt;0,O212&gt;0),O212*1000/(AO212*0.1),"")</f>
        <v/>
      </c>
      <c r="AY212" s="1" t="str">
        <f aca="false">IF(AND(AR212&gt;0,N212&gt;0),N212*1000/(AR212*0.25),"")</f>
        <v/>
      </c>
      <c r="AZ212" s="1" t="str">
        <f aca="false">IF(AND(AQ212&gt;0,Q212&gt;0),Q212*1000/(AQ212*1),"")</f>
        <v/>
      </c>
      <c r="BA212" s="1" t="n">
        <f aca="false">IFERROR(VLOOKUP($I212,'07_Settings'!$A$10:$F$14,6,FALSE()),0.25)</f>
        <v>0.25</v>
      </c>
      <c r="BE212" s="1" t="n">
        <f aca="false">IFERROR(ROUND($S212*BA212*BC212*BD212*BB212,0),0)</f>
        <v>0</v>
      </c>
      <c r="BF212" s="1" t="str">
        <f aca="false">IF(COUNT(AO212:AU212)&gt;0,"estimated","pending")</f>
        <v>pending</v>
      </c>
    </row>
    <row r="213" customFormat="false" ht="21.75" hidden="false" customHeight="true" outlineLevel="0" collapsed="false">
      <c r="B213" s="161" t="str">
        <f aca="false">IF($C213="","",COUNTA($C$5:C213))</f>
        <v/>
      </c>
      <c r="H213" s="60"/>
      <c r="I213" s="60"/>
      <c r="L213" s="55" t="str">
        <f aca="false">IF($C213="","",ROUND($J213*0.17,0))</f>
        <v/>
      </c>
      <c r="S213" s="55" t="str">
        <f aca="false">IF($C213="","",ROUND($J213*2.2,0))</f>
        <v/>
      </c>
      <c r="AA213" s="61"/>
      <c r="AB213" s="61"/>
      <c r="AV213" s="1" t="str">
        <f aca="false">IF(AND(AP213&gt;0,J213&gt;0),J213*1000/(AP213*0.2),"")</f>
        <v/>
      </c>
      <c r="AW213" s="1" t="str">
        <f aca="false">IF(AND(AS213&gt;0,M213&gt;0),M213*1000/(AS213*0.3),"")</f>
        <v/>
      </c>
      <c r="AX213" s="1" t="str">
        <f aca="false">IF(AND(AO213&gt;0,O213&gt;0),O213*1000/(AO213*0.1),"")</f>
        <v/>
      </c>
      <c r="AY213" s="1" t="str">
        <f aca="false">IF(AND(AR213&gt;0,N213&gt;0),N213*1000/(AR213*0.25),"")</f>
        <v/>
      </c>
      <c r="AZ213" s="1" t="str">
        <f aca="false">IF(AND(AQ213&gt;0,Q213&gt;0),Q213*1000/(AQ213*1),"")</f>
        <v/>
      </c>
      <c r="BA213" s="1" t="n">
        <f aca="false">IFERROR(VLOOKUP($I213,'07_Settings'!$A$10:$F$14,6,FALSE()),0.25)</f>
        <v>0.25</v>
      </c>
      <c r="BE213" s="1" t="n">
        <f aca="false">IFERROR(ROUND($S213*BA213*BC213*BD213*BB213,0),0)</f>
        <v>0</v>
      </c>
      <c r="BF213" s="1" t="str">
        <f aca="false">IF(COUNT(AO213:AU213)&gt;0,"estimated","pending")</f>
        <v>pending</v>
      </c>
    </row>
    <row r="214" customFormat="false" ht="15.75" hidden="false" customHeight="true" outlineLevel="0" collapsed="false">
      <c r="B214" s="161" t="str">
        <f aca="false">IF($C214="","",COUNTA($C$5:C214))</f>
        <v/>
      </c>
      <c r="H214" s="60"/>
      <c r="I214" s="60"/>
      <c r="L214" s="55" t="str">
        <f aca="false">IF($C214="","",ROUND($J214*0.17,0))</f>
        <v/>
      </c>
      <c r="S214" s="55" t="str">
        <f aca="false">IF($C214="","",ROUND($J214*2.2,0))</f>
        <v/>
      </c>
      <c r="AA214" s="61"/>
      <c r="AB214" s="61"/>
    </row>
    <row r="215" customFormat="false" ht="15.75" hidden="false" customHeight="true" outlineLevel="0" collapsed="false">
      <c r="B215" s="161" t="str">
        <f aca="false">IF($C215="","",COUNTA($C$5:C215))</f>
        <v/>
      </c>
      <c r="H215" s="60"/>
      <c r="I215" s="60"/>
      <c r="L215" s="55" t="str">
        <f aca="false">IF($C215="","",ROUND($J215*0.17,0))</f>
        <v/>
      </c>
      <c r="S215" s="55" t="str">
        <f aca="false">IF($C215="","",ROUND($J215*2.2,0))</f>
        <v/>
      </c>
      <c r="AA215" s="61"/>
      <c r="AB215" s="61"/>
    </row>
    <row r="216" customFormat="false" ht="15.75" hidden="false" customHeight="true" outlineLevel="0" collapsed="false">
      <c r="B216" s="161" t="str">
        <f aca="false">IF($C216="","",COUNTA($C$5:C216))</f>
        <v/>
      </c>
      <c r="H216" s="60"/>
      <c r="I216" s="60"/>
      <c r="L216" s="55" t="str">
        <f aca="false">IF($C216="","",ROUND($J216*0.17,0))</f>
        <v/>
      </c>
      <c r="S216" s="55" t="str">
        <f aca="false">IF($C216="","",ROUND($J216*2.2,0))</f>
        <v/>
      </c>
      <c r="AA216" s="61"/>
      <c r="AB216" s="61"/>
    </row>
    <row r="217" customFormat="false" ht="15.75" hidden="false" customHeight="true" outlineLevel="0" collapsed="false">
      <c r="B217" s="161" t="str">
        <f aca="false">IF($C217="","",COUNTA($C$5:C217))</f>
        <v/>
      </c>
      <c r="H217" s="60"/>
      <c r="I217" s="60"/>
      <c r="L217" s="55" t="str">
        <f aca="false">IF($C217="","",ROUND($J217*0.17,0))</f>
        <v/>
      </c>
      <c r="S217" s="55" t="str">
        <f aca="false">IF($C217="","",ROUND($J217*2.2,0))</f>
        <v/>
      </c>
      <c r="AA217" s="61"/>
      <c r="AB217" s="61"/>
    </row>
    <row r="218" customFormat="false" ht="15.75" hidden="false" customHeight="true" outlineLevel="0" collapsed="false">
      <c r="B218" s="161" t="str">
        <f aca="false">IF($C218="","",COUNTA($C$5:C218))</f>
        <v/>
      </c>
      <c r="H218" s="60"/>
      <c r="I218" s="60"/>
      <c r="L218" s="55" t="str">
        <f aca="false">IF($C218="","",ROUND($J218*0.17,0))</f>
        <v/>
      </c>
      <c r="S218" s="55" t="str">
        <f aca="false">IF($C218="","",ROUND($J218*2.2,0))</f>
        <v/>
      </c>
      <c r="AA218" s="61"/>
      <c r="AB218" s="61"/>
    </row>
    <row r="219" customFormat="false" ht="15.75" hidden="false" customHeight="true" outlineLevel="0" collapsed="false">
      <c r="B219" s="161" t="str">
        <f aca="false">IF($C219="","",COUNTA($C$5:C219))</f>
        <v/>
      </c>
      <c r="H219" s="60"/>
      <c r="I219" s="60"/>
      <c r="L219" s="55" t="str">
        <f aca="false">IF($C219="","",ROUND($J219*0.17,0))</f>
        <v/>
      </c>
      <c r="S219" s="55" t="str">
        <f aca="false">IF($C219="","",ROUND($J219*2.2,0))</f>
        <v/>
      </c>
      <c r="AA219" s="61"/>
      <c r="AB219" s="61"/>
    </row>
    <row r="220" customFormat="false" ht="15.75" hidden="false" customHeight="true" outlineLevel="0" collapsed="false">
      <c r="B220" s="161" t="str">
        <f aca="false">IF($C220="","",COUNTA($C$5:C220))</f>
        <v/>
      </c>
      <c r="H220" s="60"/>
      <c r="I220" s="60"/>
      <c r="L220" s="55" t="str">
        <f aca="false">IF($C220="","",ROUND($J220*0.17,0))</f>
        <v/>
      </c>
      <c r="S220" s="55" t="str">
        <f aca="false">IF($C220="","",ROUND($J220*2.2,0))</f>
        <v/>
      </c>
      <c r="AA220" s="61"/>
      <c r="AB220" s="61"/>
    </row>
    <row r="221" customFormat="false" ht="15.75" hidden="false" customHeight="true" outlineLevel="0" collapsed="false">
      <c r="B221" s="161" t="str">
        <f aca="false">IF($C221="","",COUNTA($C$5:C221))</f>
        <v/>
      </c>
      <c r="H221" s="60"/>
      <c r="I221" s="60"/>
      <c r="L221" s="55" t="str">
        <f aca="false">IF($C221="","",ROUND($J221*0.17,0))</f>
        <v/>
      </c>
      <c r="S221" s="55" t="str">
        <f aca="false">IF($C221="","",ROUND($J221*2.2,0))</f>
        <v/>
      </c>
      <c r="AA221" s="61"/>
      <c r="AB221" s="61"/>
    </row>
    <row r="222" customFormat="false" ht="15.75" hidden="false" customHeight="true" outlineLevel="0" collapsed="false">
      <c r="B222" s="161" t="str">
        <f aca="false">IF($C222="","",COUNTA($C$5:C222))</f>
        <v/>
      </c>
      <c r="H222" s="60"/>
      <c r="I222" s="60"/>
      <c r="L222" s="55" t="str">
        <f aca="false">IF($C222="","",ROUND($J222*0.17,0))</f>
        <v/>
      </c>
      <c r="S222" s="55" t="str">
        <f aca="false">IF($C222="","",ROUND($J222*2.2,0))</f>
        <v/>
      </c>
      <c r="AA222" s="61"/>
      <c r="AB222" s="61"/>
    </row>
    <row r="223" customFormat="false" ht="15.75" hidden="false" customHeight="true" outlineLevel="0" collapsed="false">
      <c r="B223" s="161" t="str">
        <f aca="false">IF($C223="","",COUNTA($C$5:C223))</f>
        <v/>
      </c>
      <c r="H223" s="60"/>
      <c r="I223" s="60"/>
      <c r="L223" s="55" t="str">
        <f aca="false">IF($C223="","",ROUND($J223*0.17,0))</f>
        <v/>
      </c>
      <c r="S223" s="55" t="str">
        <f aca="false">IF($C223="","",ROUND($J223*2.2,0))</f>
        <v/>
      </c>
      <c r="AA223" s="61"/>
      <c r="AB223" s="61"/>
    </row>
    <row r="224" customFormat="false" ht="15.75" hidden="false" customHeight="true" outlineLevel="0" collapsed="false">
      <c r="B224" s="161" t="str">
        <f aca="false">IF($C224="","",COUNTA($C$5:C224))</f>
        <v/>
      </c>
      <c r="H224" s="60"/>
      <c r="I224" s="60"/>
      <c r="L224" s="55" t="str">
        <f aca="false">IF($C224="","",ROUND($J224*0.17,0))</f>
        <v/>
      </c>
      <c r="S224" s="55" t="str">
        <f aca="false">IF($C224="","",ROUND($J224*2.2,0))</f>
        <v/>
      </c>
      <c r="AA224" s="61"/>
      <c r="AB224" s="61"/>
    </row>
    <row r="225" customFormat="false" ht="15.75" hidden="false" customHeight="true" outlineLevel="0" collapsed="false">
      <c r="B225" s="161" t="str">
        <f aca="false">IF($C225="","",COUNTA($C$5:C225))</f>
        <v/>
      </c>
      <c r="H225" s="60"/>
      <c r="I225" s="60"/>
      <c r="L225" s="55" t="str">
        <f aca="false">IF($C225="","",ROUND($J225*0.17,0))</f>
        <v/>
      </c>
      <c r="S225" s="55" t="str">
        <f aca="false">IF($C225="","",ROUND($J225*2.2,0))</f>
        <v/>
      </c>
      <c r="AA225" s="61"/>
      <c r="AB225" s="61"/>
    </row>
    <row r="226" customFormat="false" ht="15.75" hidden="false" customHeight="true" outlineLevel="0" collapsed="false">
      <c r="B226" s="161" t="str">
        <f aca="false">IF($C226="","",COUNTA($C$5:C226))</f>
        <v/>
      </c>
      <c r="H226" s="60"/>
      <c r="I226" s="60"/>
      <c r="L226" s="55" t="str">
        <f aca="false">IF($C226="","",ROUND($J226*0.17,0))</f>
        <v/>
      </c>
      <c r="S226" s="55" t="str">
        <f aca="false">IF($C226="","",ROUND($J226*2.2,0))</f>
        <v/>
      </c>
      <c r="AA226" s="61"/>
      <c r="AB226" s="61"/>
    </row>
    <row r="227" customFormat="false" ht="15.75" hidden="false" customHeight="true" outlineLevel="0" collapsed="false">
      <c r="B227" s="161" t="str">
        <f aca="false">IF($C227="","",COUNTA($C$5:C227))</f>
        <v/>
      </c>
      <c r="H227" s="60"/>
      <c r="I227" s="60"/>
      <c r="L227" s="55" t="str">
        <f aca="false">IF($C227="","",ROUND($J227*0.17,0))</f>
        <v/>
      </c>
      <c r="S227" s="55" t="str">
        <f aca="false">IF($C227="","",ROUND($J227*2.2,0))</f>
        <v/>
      </c>
      <c r="AA227" s="61"/>
      <c r="AB227" s="61"/>
    </row>
    <row r="228" customFormat="false" ht="15.75" hidden="false" customHeight="true" outlineLevel="0" collapsed="false">
      <c r="B228" s="161" t="str">
        <f aca="false">IF($C228="","",COUNTA($C$5:C228))</f>
        <v/>
      </c>
      <c r="H228" s="60"/>
      <c r="I228" s="60"/>
      <c r="L228" s="55" t="str">
        <f aca="false">IF($C228="","",ROUND($J228*0.17,0))</f>
        <v/>
      </c>
      <c r="S228" s="55" t="str">
        <f aca="false">IF($C228="","",ROUND($J228*2.2,0))</f>
        <v/>
      </c>
      <c r="AA228" s="61"/>
      <c r="AB228" s="61"/>
    </row>
    <row r="229" customFormat="false" ht="15.75" hidden="false" customHeight="true" outlineLevel="0" collapsed="false">
      <c r="B229" s="161" t="str">
        <f aca="false">IF($C229="","",COUNTA($C$5:C229))</f>
        <v/>
      </c>
      <c r="H229" s="60"/>
      <c r="I229" s="60"/>
      <c r="L229" s="55" t="str">
        <f aca="false">IF($C229="","",ROUND($J229*0.17,0))</f>
        <v/>
      </c>
      <c r="S229" s="55" t="str">
        <f aca="false">IF($C229="","",ROUND($J229*2.2,0))</f>
        <v/>
      </c>
      <c r="AA229" s="61"/>
      <c r="AB229" s="61"/>
    </row>
    <row r="230" customFormat="false" ht="15.75" hidden="false" customHeight="true" outlineLevel="0" collapsed="false">
      <c r="B230" s="161" t="str">
        <f aca="false">IF($C230="","",COUNTA($C$5:C230))</f>
        <v/>
      </c>
      <c r="H230" s="60"/>
      <c r="I230" s="60"/>
      <c r="L230" s="55" t="str">
        <f aca="false">IF($C230="","",ROUND($J230*0.17,0))</f>
        <v/>
      </c>
      <c r="S230" s="55" t="str">
        <f aca="false">IF($C230="","",ROUND($J230*2.2,0))</f>
        <v/>
      </c>
      <c r="AA230" s="61"/>
      <c r="AB230" s="61"/>
    </row>
    <row r="231" customFormat="false" ht="15.75" hidden="false" customHeight="true" outlineLevel="0" collapsed="false">
      <c r="B231" s="161" t="str">
        <f aca="false">IF($C231="","",COUNTA($C$5:C231))</f>
        <v/>
      </c>
      <c r="H231" s="60"/>
      <c r="I231" s="60"/>
      <c r="L231" s="55" t="str">
        <f aca="false">IF($C231="","",ROUND($J231*0.17,0))</f>
        <v/>
      </c>
      <c r="S231" s="55" t="str">
        <f aca="false">IF($C231="","",ROUND($J231*2.2,0))</f>
        <v/>
      </c>
      <c r="AA231" s="61"/>
      <c r="AB231" s="61"/>
    </row>
    <row r="232" customFormat="false" ht="15.75" hidden="false" customHeight="true" outlineLevel="0" collapsed="false">
      <c r="B232" s="161" t="str">
        <f aca="false">IF($C232="","",COUNTA($C$5:C232))</f>
        <v/>
      </c>
      <c r="H232" s="60"/>
      <c r="I232" s="60"/>
      <c r="L232" s="55" t="str">
        <f aca="false">IF($C232="","",ROUND($J232*0.17,0))</f>
        <v/>
      </c>
      <c r="S232" s="55" t="str">
        <f aca="false">IF($C232="","",ROUND($J232*2.2,0))</f>
        <v/>
      </c>
      <c r="AA232" s="61"/>
      <c r="AB232" s="61"/>
    </row>
    <row r="233" customFormat="false" ht="15.75" hidden="false" customHeight="true" outlineLevel="0" collapsed="false">
      <c r="B233" s="161" t="str">
        <f aca="false">IF($C233="","",COUNTA($C$5:C233))</f>
        <v/>
      </c>
      <c r="H233" s="60"/>
      <c r="I233" s="60"/>
      <c r="L233" s="55" t="str">
        <f aca="false">IF($C233="","",ROUND($J233*0.17,0))</f>
        <v/>
      </c>
      <c r="S233" s="55" t="str">
        <f aca="false">IF($C233="","",ROUND($J233*2.2,0))</f>
        <v/>
      </c>
      <c r="AA233" s="61"/>
      <c r="AB233" s="61"/>
    </row>
    <row r="234" customFormat="false" ht="15.75" hidden="false" customHeight="true" outlineLevel="0" collapsed="false">
      <c r="B234" s="161" t="str">
        <f aca="false">IF($C234="","",COUNTA($C$5:C234))</f>
        <v/>
      </c>
      <c r="H234" s="60"/>
      <c r="I234" s="60"/>
      <c r="L234" s="55" t="str">
        <f aca="false">IF($C234="","",ROUND($J234*0.17,0))</f>
        <v/>
      </c>
      <c r="S234" s="55" t="str">
        <f aca="false">IF($C234="","",ROUND($J234*2.2,0))</f>
        <v/>
      </c>
      <c r="AA234" s="61"/>
      <c r="AB234" s="61"/>
    </row>
    <row r="235" customFormat="false" ht="15.75" hidden="false" customHeight="true" outlineLevel="0" collapsed="false">
      <c r="B235" s="161" t="str">
        <f aca="false">IF($C235="","",COUNTA($C$5:C235))</f>
        <v/>
      </c>
      <c r="H235" s="60"/>
      <c r="I235" s="60"/>
      <c r="L235" s="55" t="str">
        <f aca="false">IF($C235="","",ROUND($J235*0.17,0))</f>
        <v/>
      </c>
      <c r="S235" s="55" t="str">
        <f aca="false">IF($C235="","",ROUND($J235*2.2,0))</f>
        <v/>
      </c>
      <c r="AA235" s="61"/>
      <c r="AB235" s="61"/>
    </row>
    <row r="236" customFormat="false" ht="15.75" hidden="false" customHeight="true" outlineLevel="0" collapsed="false">
      <c r="B236" s="161" t="str">
        <f aca="false">IF($C236="","",COUNTA($C$5:C236))</f>
        <v/>
      </c>
      <c r="H236" s="60"/>
      <c r="I236" s="60"/>
      <c r="L236" s="55" t="str">
        <f aca="false">IF($C236="","",ROUND($J236*0.17,0))</f>
        <v/>
      </c>
      <c r="S236" s="55" t="str">
        <f aca="false">IF($C236="","",ROUND($J236*2.2,0))</f>
        <v/>
      </c>
      <c r="AA236" s="61"/>
      <c r="AB236" s="61"/>
    </row>
    <row r="237" customFormat="false" ht="15.75" hidden="false" customHeight="true" outlineLevel="0" collapsed="false">
      <c r="B237" s="161" t="str">
        <f aca="false">IF($C237="","",COUNTA($C$5:C237))</f>
        <v/>
      </c>
      <c r="H237" s="60"/>
      <c r="I237" s="60"/>
      <c r="L237" s="55" t="str">
        <f aca="false">IF($C237="","",ROUND($J237*0.17,0))</f>
        <v/>
      </c>
      <c r="S237" s="55" t="str">
        <f aca="false">IF($C237="","",ROUND($J237*2.2,0))</f>
        <v/>
      </c>
      <c r="AA237" s="61"/>
      <c r="AB237" s="61"/>
    </row>
    <row r="238" customFormat="false" ht="15.75" hidden="false" customHeight="true" outlineLevel="0" collapsed="false">
      <c r="B238" s="161" t="str">
        <f aca="false">IF($C238="","",COUNTA($C$5:C238))</f>
        <v/>
      </c>
      <c r="H238" s="60"/>
      <c r="I238" s="60"/>
      <c r="L238" s="55" t="str">
        <f aca="false">IF($C238="","",ROUND($J238*0.17,0))</f>
        <v/>
      </c>
      <c r="S238" s="55" t="str">
        <f aca="false">IF($C238="","",ROUND($J238*2.2,0))</f>
        <v/>
      </c>
      <c r="AA238" s="61"/>
      <c r="AB238" s="61"/>
    </row>
    <row r="239" customFormat="false" ht="15.75" hidden="false" customHeight="true" outlineLevel="0" collapsed="false">
      <c r="B239" s="161" t="str">
        <f aca="false">IF($C239="","",COUNTA($C$5:C239))</f>
        <v/>
      </c>
      <c r="H239" s="60"/>
      <c r="I239" s="60"/>
      <c r="L239" s="55" t="str">
        <f aca="false">IF($C239="","",ROUND($J239*0.17,0))</f>
        <v/>
      </c>
      <c r="S239" s="55" t="str">
        <f aca="false">IF($C239="","",ROUND($J239*2.2,0))</f>
        <v/>
      </c>
      <c r="AA239" s="61"/>
      <c r="AB239" s="61"/>
    </row>
    <row r="240" customFormat="false" ht="15.75" hidden="false" customHeight="true" outlineLevel="0" collapsed="false">
      <c r="B240" s="161" t="str">
        <f aca="false">IF($C240="","",COUNTA($C$5:C240))</f>
        <v/>
      </c>
      <c r="H240" s="60"/>
      <c r="I240" s="60"/>
      <c r="L240" s="55" t="str">
        <f aca="false">IF($C240="","",ROUND($J240*0.17,0))</f>
        <v/>
      </c>
      <c r="S240" s="55" t="str">
        <f aca="false">IF($C240="","",ROUND($J240*2.2,0))</f>
        <v/>
      </c>
      <c r="AA240" s="61"/>
      <c r="AB240" s="61"/>
    </row>
    <row r="241" customFormat="false" ht="15.75" hidden="false" customHeight="true" outlineLevel="0" collapsed="false">
      <c r="B241" s="161" t="str">
        <f aca="false">IF($C241="","",COUNTA($C$5:C241))</f>
        <v/>
      </c>
      <c r="H241" s="60"/>
      <c r="I241" s="60"/>
      <c r="L241" s="55" t="str">
        <f aca="false">IF($C241="","",ROUND($J241*0.17,0))</f>
        <v/>
      </c>
      <c r="S241" s="55" t="str">
        <f aca="false">IF($C241="","",ROUND($J241*2.2,0))</f>
        <v/>
      </c>
      <c r="AA241" s="61"/>
      <c r="AB241" s="61"/>
    </row>
    <row r="242" customFormat="false" ht="15.75" hidden="false" customHeight="true" outlineLevel="0" collapsed="false">
      <c r="B242" s="161" t="str">
        <f aca="false">IF($C242="","",COUNTA($C$5:C242))</f>
        <v/>
      </c>
      <c r="H242" s="60"/>
      <c r="I242" s="60"/>
      <c r="L242" s="55" t="str">
        <f aca="false">IF($C242="","",ROUND($J242*0.17,0))</f>
        <v/>
      </c>
      <c r="S242" s="55" t="str">
        <f aca="false">IF($C242="","",ROUND($J242*2.2,0))</f>
        <v/>
      </c>
      <c r="AA242" s="61"/>
      <c r="AB242" s="61"/>
    </row>
    <row r="243" customFormat="false" ht="15.75" hidden="false" customHeight="true" outlineLevel="0" collapsed="false">
      <c r="B243" s="161" t="str">
        <f aca="false">IF($C243="","",COUNTA($C$5:C243))</f>
        <v/>
      </c>
      <c r="H243" s="60"/>
      <c r="I243" s="60"/>
      <c r="L243" s="55" t="str">
        <f aca="false">IF($C243="","",ROUND($J243*0.17,0))</f>
        <v/>
      </c>
      <c r="S243" s="55" t="str">
        <f aca="false">IF($C243="","",ROUND($J243*2.2,0))</f>
        <v/>
      </c>
      <c r="AA243" s="61"/>
      <c r="AB243" s="61"/>
    </row>
    <row r="244" customFormat="false" ht="15.75" hidden="false" customHeight="true" outlineLevel="0" collapsed="false">
      <c r="B244" s="161" t="str">
        <f aca="false">IF($C244="","",COUNTA($C$5:C244))</f>
        <v/>
      </c>
      <c r="H244" s="60"/>
      <c r="I244" s="60"/>
      <c r="L244" s="55" t="str">
        <f aca="false">IF($C244="","",ROUND($J244*0.17,0))</f>
        <v/>
      </c>
      <c r="S244" s="55" t="str">
        <f aca="false">IF($C244="","",ROUND($J244*2.2,0))</f>
        <v/>
      </c>
      <c r="AA244" s="61"/>
      <c r="AB244" s="61"/>
    </row>
    <row r="245" customFormat="false" ht="15.75" hidden="false" customHeight="true" outlineLevel="0" collapsed="false">
      <c r="B245" s="161" t="str">
        <f aca="false">IF($C245="","",COUNTA($C$5:C245))</f>
        <v/>
      </c>
      <c r="H245" s="60"/>
      <c r="I245" s="60"/>
      <c r="L245" s="55" t="str">
        <f aca="false">IF($C245="","",ROUND($J245*0.17,0))</f>
        <v/>
      </c>
      <c r="S245" s="55" t="str">
        <f aca="false">IF($C245="","",ROUND($J245*2.2,0))</f>
        <v/>
      </c>
      <c r="AA245" s="61"/>
      <c r="AB245" s="61"/>
    </row>
    <row r="246" customFormat="false" ht="15.75" hidden="false" customHeight="true" outlineLevel="0" collapsed="false">
      <c r="B246" s="161" t="str">
        <f aca="false">IF($C246="","",COUNTA($C$5:C246))</f>
        <v/>
      </c>
      <c r="H246" s="60"/>
      <c r="I246" s="60"/>
      <c r="L246" s="55" t="str">
        <f aca="false">IF($C246="","",ROUND($J246*0.17,0))</f>
        <v/>
      </c>
      <c r="S246" s="55" t="str">
        <f aca="false">IF($C246="","",ROUND($J246*2.2,0))</f>
        <v/>
      </c>
      <c r="AA246" s="61"/>
      <c r="AB246" s="61"/>
    </row>
    <row r="247" customFormat="false" ht="15.75" hidden="false" customHeight="true" outlineLevel="0" collapsed="false">
      <c r="B247" s="161" t="str">
        <f aca="false">IF($C247="","",COUNTA($C$5:C247))</f>
        <v/>
      </c>
      <c r="H247" s="60"/>
      <c r="I247" s="60"/>
      <c r="L247" s="55" t="str">
        <f aca="false">IF($C247="","",ROUND($J247*0.17,0))</f>
        <v/>
      </c>
      <c r="S247" s="55" t="str">
        <f aca="false">IF($C247="","",ROUND($J247*2.2,0))</f>
        <v/>
      </c>
      <c r="AA247" s="61"/>
      <c r="AB247" s="61"/>
    </row>
    <row r="248" customFormat="false" ht="15.75" hidden="false" customHeight="true" outlineLevel="0" collapsed="false">
      <c r="B248" s="161" t="str">
        <f aca="false">IF($C248="","",COUNTA($C$5:C248))</f>
        <v/>
      </c>
      <c r="H248" s="60"/>
      <c r="I248" s="60"/>
      <c r="L248" s="55" t="str">
        <f aca="false">IF($C248="","",ROUND($J248*0.17,0))</f>
        <v/>
      </c>
      <c r="S248" s="55" t="str">
        <f aca="false">IF($C248="","",ROUND($J248*2.2,0))</f>
        <v/>
      </c>
      <c r="AA248" s="61"/>
      <c r="AB248" s="61"/>
    </row>
    <row r="249" customFormat="false" ht="15.75" hidden="false" customHeight="true" outlineLevel="0" collapsed="false">
      <c r="B249" s="161" t="str">
        <f aca="false">IF($C249="","",COUNTA($C$5:C249))</f>
        <v/>
      </c>
      <c r="H249" s="60"/>
      <c r="I249" s="60"/>
      <c r="L249" s="55" t="str">
        <f aca="false">IF($C249="","",ROUND($J249*0.17,0))</f>
        <v/>
      </c>
      <c r="S249" s="55" t="str">
        <f aca="false">IF($C249="","",ROUND($J249*2.2,0))</f>
        <v/>
      </c>
      <c r="AA249" s="61"/>
      <c r="AB249" s="61"/>
    </row>
    <row r="250" customFormat="false" ht="15.75" hidden="false" customHeight="true" outlineLevel="0" collapsed="false">
      <c r="B250" s="161" t="str">
        <f aca="false">IF($C250="","",COUNTA($C$5:C250))</f>
        <v/>
      </c>
      <c r="H250" s="60"/>
      <c r="I250" s="60"/>
      <c r="L250" s="55" t="str">
        <f aca="false">IF($C250="","",ROUND($J250*0.17,0))</f>
        <v/>
      </c>
      <c r="S250" s="55" t="str">
        <f aca="false">IF($C250="","",ROUND($J250*2.2,0))</f>
        <v/>
      </c>
      <c r="AA250" s="61"/>
      <c r="AB250" s="61"/>
    </row>
    <row r="251" customFormat="false" ht="15.75" hidden="false" customHeight="true" outlineLevel="0" collapsed="false">
      <c r="B251" s="161" t="str">
        <f aca="false">IF($C251="","",COUNTA($C$5:C251))</f>
        <v/>
      </c>
      <c r="H251" s="60"/>
      <c r="I251" s="60"/>
      <c r="L251" s="55" t="str">
        <f aca="false">IF($C251="","",ROUND($J251*0.17,0))</f>
        <v/>
      </c>
      <c r="S251" s="55" t="str">
        <f aca="false">IF($C251="","",ROUND($J251*2.2,0))</f>
        <v/>
      </c>
      <c r="AA251" s="61"/>
      <c r="AB251" s="61"/>
    </row>
    <row r="252" customFormat="false" ht="15.75" hidden="false" customHeight="true" outlineLevel="0" collapsed="false">
      <c r="B252" s="161" t="str">
        <f aca="false">IF($C252="","",COUNTA($C$5:C252))</f>
        <v/>
      </c>
      <c r="H252" s="60"/>
      <c r="I252" s="60"/>
      <c r="L252" s="55" t="str">
        <f aca="false">IF($C252="","",ROUND($J252*0.17,0))</f>
        <v/>
      </c>
      <c r="S252" s="55" t="str">
        <f aca="false">IF($C252="","",ROUND($J252*2.2,0))</f>
        <v/>
      </c>
      <c r="AA252" s="61"/>
      <c r="AB252" s="61"/>
    </row>
    <row r="253" customFormat="false" ht="15.75" hidden="false" customHeight="true" outlineLevel="0" collapsed="false">
      <c r="B253" s="161" t="str">
        <f aca="false">IF($C253="","",COUNTA($C$5:C253))</f>
        <v/>
      </c>
      <c r="H253" s="60"/>
      <c r="I253" s="60"/>
      <c r="L253" s="55" t="str">
        <f aca="false">IF($C253="","",ROUND($J253*0.17,0))</f>
        <v/>
      </c>
      <c r="S253" s="55" t="str">
        <f aca="false">IF($C253="","",ROUND($J253*2.2,0))</f>
        <v/>
      </c>
      <c r="AA253" s="61"/>
      <c r="AB253" s="61"/>
    </row>
    <row r="254" customFormat="false" ht="15.75" hidden="false" customHeight="true" outlineLevel="0" collapsed="false">
      <c r="B254" s="161" t="str">
        <f aca="false">IF($C254="","",COUNTA($C$5:C254))</f>
        <v/>
      </c>
      <c r="H254" s="60"/>
      <c r="I254" s="60"/>
      <c r="L254" s="55" t="str">
        <f aca="false">IF($C254="","",ROUND($J254*0.17,0))</f>
        <v/>
      </c>
      <c r="S254" s="55" t="str">
        <f aca="false">IF($C254="","",ROUND($J254*2.2,0))</f>
        <v/>
      </c>
      <c r="AA254" s="61"/>
      <c r="AB254" s="61"/>
    </row>
    <row r="255" customFormat="false" ht="15.75" hidden="false" customHeight="true" outlineLevel="0" collapsed="false">
      <c r="B255" s="161" t="str">
        <f aca="false">IF($C255="","",COUNTA($C$5:C255))</f>
        <v/>
      </c>
      <c r="H255" s="60"/>
      <c r="I255" s="60"/>
      <c r="L255" s="55" t="str">
        <f aca="false">IF($C255="","",ROUND($J255*0.17,0))</f>
        <v/>
      </c>
      <c r="S255" s="55" t="str">
        <f aca="false">IF($C255="","",ROUND($J255*2.2,0))</f>
        <v/>
      </c>
      <c r="AA255" s="61"/>
      <c r="AB255" s="61"/>
    </row>
    <row r="256" customFormat="false" ht="15.75" hidden="false" customHeight="true" outlineLevel="0" collapsed="false">
      <c r="B256" s="161" t="str">
        <f aca="false">IF($C256="","",COUNTA($C$5:C256))</f>
        <v/>
      </c>
      <c r="H256" s="60"/>
      <c r="I256" s="60"/>
      <c r="L256" s="55" t="str">
        <f aca="false">IF($C256="","",ROUND($J256*0.17,0))</f>
        <v/>
      </c>
      <c r="S256" s="55" t="str">
        <f aca="false">IF($C256="","",ROUND($J256*2.2,0))</f>
        <v/>
      </c>
      <c r="AA256" s="61"/>
      <c r="AB256" s="61"/>
    </row>
    <row r="257" customFormat="false" ht="15.75" hidden="false" customHeight="true" outlineLevel="0" collapsed="false">
      <c r="B257" s="161" t="str">
        <f aca="false">IF($C257="","",COUNTA($C$5:C257))</f>
        <v/>
      </c>
      <c r="H257" s="60"/>
      <c r="I257" s="60"/>
      <c r="L257" s="55" t="str">
        <f aca="false">IF($C257="","",ROUND($J257*0.17,0))</f>
        <v/>
      </c>
      <c r="S257" s="55" t="str">
        <f aca="false">IF($C257="","",ROUND($J257*2.2,0))</f>
        <v/>
      </c>
      <c r="AA257" s="61"/>
      <c r="AB257" s="61"/>
    </row>
    <row r="258" customFormat="false" ht="15.75" hidden="false" customHeight="true" outlineLevel="0" collapsed="false">
      <c r="B258" s="161" t="str">
        <f aca="false">IF($C258="","",COUNTA($C$5:C258))</f>
        <v/>
      </c>
      <c r="H258" s="60"/>
      <c r="I258" s="60"/>
      <c r="L258" s="55" t="str">
        <f aca="false">IF($C258="","",ROUND($J258*0.17,0))</f>
        <v/>
      </c>
      <c r="S258" s="55" t="str">
        <f aca="false">IF($C258="","",ROUND($J258*2.2,0))</f>
        <v/>
      </c>
      <c r="AA258" s="61"/>
      <c r="AB258" s="61"/>
    </row>
    <row r="259" customFormat="false" ht="15.75" hidden="false" customHeight="true" outlineLevel="0" collapsed="false">
      <c r="B259" s="161" t="str">
        <f aca="false">IF($C259="","",COUNTA($C$5:C259))</f>
        <v/>
      </c>
      <c r="H259" s="60"/>
      <c r="I259" s="60"/>
      <c r="L259" s="55" t="str">
        <f aca="false">IF($C259="","",ROUND($J259*0.17,0))</f>
        <v/>
      </c>
      <c r="S259" s="55" t="str">
        <f aca="false">IF($C259="","",ROUND($J259*2.2,0))</f>
        <v/>
      </c>
      <c r="AA259" s="61"/>
      <c r="AB259" s="61"/>
    </row>
    <row r="260" customFormat="false" ht="15.75" hidden="false" customHeight="true" outlineLevel="0" collapsed="false">
      <c r="B260" s="161" t="str">
        <f aca="false">IF($C260="","",COUNTA($C$5:C260))</f>
        <v/>
      </c>
      <c r="H260" s="60"/>
      <c r="I260" s="60"/>
      <c r="L260" s="55" t="str">
        <f aca="false">IF($C260="","",ROUND($J260*0.17,0))</f>
        <v/>
      </c>
      <c r="S260" s="55" t="str">
        <f aca="false">IF($C260="","",ROUND($J260*2.2,0))</f>
        <v/>
      </c>
      <c r="AA260" s="61"/>
      <c r="AB260" s="61"/>
    </row>
    <row r="261" customFormat="false" ht="15.75" hidden="false" customHeight="true" outlineLevel="0" collapsed="false">
      <c r="B261" s="161" t="str">
        <f aca="false">IF($C261="","",COUNTA($C$5:C261))</f>
        <v/>
      </c>
      <c r="H261" s="60"/>
      <c r="I261" s="60"/>
      <c r="L261" s="55" t="str">
        <f aca="false">IF($C261="","",ROUND($J261*0.17,0))</f>
        <v/>
      </c>
      <c r="S261" s="55" t="str">
        <f aca="false">IF($C261="","",ROUND($J261*2.2,0))</f>
        <v/>
      </c>
      <c r="AA261" s="61"/>
      <c r="AB261" s="61"/>
    </row>
    <row r="262" customFormat="false" ht="15.75" hidden="false" customHeight="true" outlineLevel="0" collapsed="false">
      <c r="B262" s="161" t="str">
        <f aca="false">IF($C262="","",COUNTA($C$5:C262))</f>
        <v/>
      </c>
      <c r="H262" s="60"/>
      <c r="I262" s="60"/>
      <c r="L262" s="55" t="str">
        <f aca="false">IF($C262="","",ROUND($J262*0.17,0))</f>
        <v/>
      </c>
      <c r="S262" s="55" t="str">
        <f aca="false">IF($C262="","",ROUND($J262*2.2,0))</f>
        <v/>
      </c>
      <c r="AA262" s="61"/>
      <c r="AB262" s="61"/>
    </row>
    <row r="263" customFormat="false" ht="15.75" hidden="false" customHeight="true" outlineLevel="0" collapsed="false">
      <c r="B263" s="161" t="str">
        <f aca="false">IF($C263="","",COUNTA($C$5:C263))</f>
        <v/>
      </c>
      <c r="H263" s="60"/>
      <c r="I263" s="60"/>
      <c r="L263" s="55" t="str">
        <f aca="false">IF($C263="","",ROUND($J263*0.17,0))</f>
        <v/>
      </c>
      <c r="S263" s="55" t="str">
        <f aca="false">IF($C263="","",ROUND($J263*2.2,0))</f>
        <v/>
      </c>
      <c r="AA263" s="61"/>
      <c r="AB263" s="61"/>
    </row>
    <row r="264" customFormat="false" ht="15.75" hidden="false" customHeight="true" outlineLevel="0" collapsed="false">
      <c r="B264" s="161" t="str">
        <f aca="false">IF($C264="","",COUNTA($C$5:C264))</f>
        <v/>
      </c>
      <c r="H264" s="60"/>
      <c r="I264" s="60"/>
      <c r="L264" s="55" t="str">
        <f aca="false">IF($C264="","",ROUND($J264*0.17,0))</f>
        <v/>
      </c>
      <c r="S264" s="55" t="str">
        <f aca="false">IF($C264="","",ROUND($J264*2.2,0))</f>
        <v/>
      </c>
      <c r="AA264" s="61"/>
      <c r="AB264" s="61"/>
    </row>
    <row r="265" customFormat="false" ht="15.75" hidden="false" customHeight="true" outlineLevel="0" collapsed="false">
      <c r="B265" s="161" t="str">
        <f aca="false">IF($C265="","",COUNTA($C$5:C265))</f>
        <v/>
      </c>
      <c r="H265" s="60"/>
      <c r="I265" s="60"/>
      <c r="L265" s="55" t="str">
        <f aca="false">IF($C265="","",ROUND($J265*0.17,0))</f>
        <v/>
      </c>
      <c r="S265" s="55" t="str">
        <f aca="false">IF($C265="","",ROUND($J265*2.2,0))</f>
        <v/>
      </c>
      <c r="AA265" s="61"/>
      <c r="AB265" s="61"/>
    </row>
    <row r="266" customFormat="false" ht="15.75" hidden="false" customHeight="true" outlineLevel="0" collapsed="false">
      <c r="B266" s="161" t="str">
        <f aca="false">IF($C266="","",COUNTA($C$5:C266))</f>
        <v/>
      </c>
      <c r="H266" s="60"/>
      <c r="I266" s="60"/>
      <c r="L266" s="55" t="str">
        <f aca="false">IF($C266="","",ROUND($J266*0.17,0))</f>
        <v/>
      </c>
      <c r="S266" s="55" t="str">
        <f aca="false">IF($C266="","",ROUND($J266*2.2,0))</f>
        <v/>
      </c>
      <c r="AA266" s="61"/>
      <c r="AB266" s="61"/>
    </row>
    <row r="267" customFormat="false" ht="15.75" hidden="false" customHeight="true" outlineLevel="0" collapsed="false">
      <c r="B267" s="161" t="str">
        <f aca="false">IF($C267="","",COUNTA($C$5:C267))</f>
        <v/>
      </c>
      <c r="H267" s="60"/>
      <c r="I267" s="60"/>
      <c r="L267" s="55" t="str">
        <f aca="false">IF($C267="","",ROUND($J267*0.17,0))</f>
        <v/>
      </c>
      <c r="S267" s="55" t="str">
        <f aca="false">IF($C267="","",ROUND($J267*2.2,0))</f>
        <v/>
      </c>
      <c r="AA267" s="61"/>
      <c r="AB267" s="61"/>
    </row>
    <row r="268" customFormat="false" ht="15.75" hidden="false" customHeight="true" outlineLevel="0" collapsed="false">
      <c r="B268" s="161" t="str">
        <f aca="false">IF($C268="","",COUNTA($C$5:C268))</f>
        <v/>
      </c>
      <c r="H268" s="60"/>
      <c r="I268" s="60"/>
      <c r="L268" s="55" t="str">
        <f aca="false">IF($C268="","",ROUND($J268*0.17,0))</f>
        <v/>
      </c>
      <c r="S268" s="55" t="str">
        <f aca="false">IF($C268="","",ROUND($J268*2.2,0))</f>
        <v/>
      </c>
      <c r="AA268" s="61"/>
      <c r="AB268" s="61"/>
    </row>
    <row r="269" customFormat="false" ht="15.75" hidden="false" customHeight="true" outlineLevel="0" collapsed="false">
      <c r="B269" s="161" t="str">
        <f aca="false">IF($C269="","",COUNTA($C$5:C269))</f>
        <v/>
      </c>
      <c r="H269" s="60"/>
      <c r="I269" s="60"/>
      <c r="L269" s="55" t="str">
        <f aca="false">IF($C269="","",ROUND($J269*0.17,0))</f>
        <v/>
      </c>
      <c r="S269" s="55" t="str">
        <f aca="false">IF($C269="","",ROUND($J269*2.2,0))</f>
        <v/>
      </c>
      <c r="AA269" s="61"/>
      <c r="AB269" s="61"/>
    </row>
    <row r="270" customFormat="false" ht="15.75" hidden="false" customHeight="true" outlineLevel="0" collapsed="false">
      <c r="B270" s="161" t="str">
        <f aca="false">IF($C270="","",COUNTA($C$5:C270))</f>
        <v/>
      </c>
      <c r="H270" s="60"/>
      <c r="I270" s="60"/>
      <c r="L270" s="55" t="str">
        <f aca="false">IF($C270="","",ROUND($J270*0.17,0))</f>
        <v/>
      </c>
      <c r="S270" s="55" t="str">
        <f aca="false">IF($C270="","",ROUND($J270*2.2,0))</f>
        <v/>
      </c>
      <c r="AA270" s="61"/>
      <c r="AB270" s="61"/>
    </row>
    <row r="271" customFormat="false" ht="15.75" hidden="false" customHeight="true" outlineLevel="0" collapsed="false">
      <c r="B271" s="161" t="str">
        <f aca="false">IF($C271="","",COUNTA($C$5:C271))</f>
        <v/>
      </c>
      <c r="H271" s="60"/>
      <c r="I271" s="60"/>
      <c r="L271" s="55" t="str">
        <f aca="false">IF($C271="","",ROUND($J271*0.17,0))</f>
        <v/>
      </c>
      <c r="S271" s="55" t="str">
        <f aca="false">IF($C271="","",ROUND($J271*2.2,0))</f>
        <v/>
      </c>
      <c r="AA271" s="61"/>
      <c r="AB271" s="61"/>
    </row>
    <row r="272" customFormat="false" ht="15.75" hidden="false" customHeight="true" outlineLevel="0" collapsed="false">
      <c r="B272" s="161" t="str">
        <f aca="false">IF($C272="","",COUNTA($C$5:C272))</f>
        <v/>
      </c>
      <c r="H272" s="60"/>
      <c r="I272" s="60"/>
      <c r="L272" s="55" t="str">
        <f aca="false">IF($C272="","",ROUND($J272*0.17,0))</f>
        <v/>
      </c>
      <c r="S272" s="55" t="str">
        <f aca="false">IF($C272="","",ROUND($J272*2.2,0))</f>
        <v/>
      </c>
      <c r="AA272" s="61"/>
      <c r="AB272" s="61"/>
    </row>
    <row r="273" customFormat="false" ht="15.75" hidden="false" customHeight="true" outlineLevel="0" collapsed="false">
      <c r="B273" s="161" t="str">
        <f aca="false">IF($C273="","",COUNTA($C$5:C273))</f>
        <v/>
      </c>
      <c r="H273" s="60"/>
      <c r="I273" s="60"/>
      <c r="L273" s="55" t="str">
        <f aca="false">IF($C273="","",ROUND($J273*0.17,0))</f>
        <v/>
      </c>
      <c r="S273" s="55" t="str">
        <f aca="false">IF($C273="","",ROUND($J273*2.2,0))</f>
        <v/>
      </c>
      <c r="AA273" s="61"/>
      <c r="AB273" s="61"/>
    </row>
    <row r="274" customFormat="false" ht="15.75" hidden="false" customHeight="true" outlineLevel="0" collapsed="false">
      <c r="B274" s="161" t="str">
        <f aca="false">IF($C274="","",COUNTA($C$5:C274))</f>
        <v/>
      </c>
      <c r="H274" s="60"/>
      <c r="I274" s="60"/>
      <c r="L274" s="55" t="str">
        <f aca="false">IF($C274="","",ROUND($J274*0.17,0))</f>
        <v/>
      </c>
      <c r="S274" s="55" t="str">
        <f aca="false">IF($C274="","",ROUND($J274*2.2,0))</f>
        <v/>
      </c>
      <c r="AA274" s="61"/>
      <c r="AB274" s="61"/>
    </row>
    <row r="275" customFormat="false" ht="15.75" hidden="false" customHeight="true" outlineLevel="0" collapsed="false">
      <c r="B275" s="161" t="str">
        <f aca="false">IF($C275="","",COUNTA($C$5:C275))</f>
        <v/>
      </c>
      <c r="H275" s="60"/>
      <c r="I275" s="60"/>
      <c r="L275" s="55" t="str">
        <f aca="false">IF($C275="","",ROUND($J275*0.17,0))</f>
        <v/>
      </c>
      <c r="S275" s="55" t="str">
        <f aca="false">IF($C275="","",ROUND($J275*2.2,0))</f>
        <v/>
      </c>
      <c r="AA275" s="61"/>
      <c r="AB275" s="61"/>
    </row>
    <row r="276" customFormat="false" ht="15.75" hidden="false" customHeight="true" outlineLevel="0" collapsed="false">
      <c r="B276" s="161" t="str">
        <f aca="false">IF($C276="","",COUNTA($C$5:C276))</f>
        <v/>
      </c>
      <c r="H276" s="60"/>
      <c r="I276" s="60"/>
      <c r="L276" s="55" t="str">
        <f aca="false">IF($C276="","",ROUND($J276*0.17,0))</f>
        <v/>
      </c>
      <c r="S276" s="55" t="str">
        <f aca="false">IF($C276="","",ROUND($J276*2.2,0))</f>
        <v/>
      </c>
      <c r="AA276" s="61"/>
      <c r="AB276" s="61"/>
    </row>
    <row r="277" customFormat="false" ht="15.75" hidden="false" customHeight="true" outlineLevel="0" collapsed="false">
      <c r="B277" s="161" t="str">
        <f aca="false">IF($C277="","",COUNTA($C$5:C277))</f>
        <v/>
      </c>
      <c r="H277" s="60"/>
      <c r="I277" s="60"/>
      <c r="L277" s="55" t="str">
        <f aca="false">IF($C277="","",ROUND($J277*0.17,0))</f>
        <v/>
      </c>
      <c r="S277" s="55" t="str">
        <f aca="false">IF($C277="","",ROUND($J277*2.2,0))</f>
        <v/>
      </c>
      <c r="AA277" s="61"/>
      <c r="AB277" s="61"/>
    </row>
    <row r="278" customFormat="false" ht="15.75" hidden="false" customHeight="true" outlineLevel="0" collapsed="false">
      <c r="B278" s="161" t="str">
        <f aca="false">IF($C278="","",COUNTA($C$5:C278))</f>
        <v/>
      </c>
      <c r="H278" s="60"/>
      <c r="I278" s="60"/>
      <c r="L278" s="55" t="str">
        <f aca="false">IF($C278="","",ROUND($J278*0.17,0))</f>
        <v/>
      </c>
      <c r="S278" s="55" t="str">
        <f aca="false">IF($C278="","",ROUND($J278*2.2,0))</f>
        <v/>
      </c>
      <c r="AA278" s="61"/>
      <c r="AB278" s="61"/>
    </row>
    <row r="279" customFormat="false" ht="15.75" hidden="false" customHeight="true" outlineLevel="0" collapsed="false">
      <c r="B279" s="161" t="str">
        <f aca="false">IF($C279="","",COUNTA($C$5:C279))</f>
        <v/>
      </c>
      <c r="H279" s="60"/>
      <c r="I279" s="60"/>
      <c r="L279" s="55" t="str">
        <f aca="false">IF($C279="","",ROUND($J279*0.17,0))</f>
        <v/>
      </c>
      <c r="S279" s="55" t="str">
        <f aca="false">IF($C279="","",ROUND($J279*2.2,0))</f>
        <v/>
      </c>
      <c r="AA279" s="61"/>
      <c r="AB279" s="61"/>
    </row>
    <row r="280" customFormat="false" ht="15.75" hidden="false" customHeight="true" outlineLevel="0" collapsed="false">
      <c r="B280" s="161" t="str">
        <f aca="false">IF($C280="","",COUNTA($C$5:C280))</f>
        <v/>
      </c>
      <c r="H280" s="60"/>
      <c r="I280" s="60"/>
      <c r="L280" s="55" t="str">
        <f aca="false">IF($C280="","",ROUND($J280*0.17,0))</f>
        <v/>
      </c>
      <c r="S280" s="55" t="str">
        <f aca="false">IF($C280="","",ROUND($J280*2.2,0))</f>
        <v/>
      </c>
      <c r="AA280" s="61"/>
      <c r="AB280" s="61"/>
    </row>
    <row r="281" customFormat="false" ht="15.75" hidden="false" customHeight="true" outlineLevel="0" collapsed="false">
      <c r="B281" s="161" t="str">
        <f aca="false">IF($C281="","",COUNTA($C$5:C281))</f>
        <v/>
      </c>
      <c r="H281" s="60"/>
      <c r="I281" s="60"/>
      <c r="L281" s="55" t="str">
        <f aca="false">IF($C281="","",ROUND($J281*0.17,0))</f>
        <v/>
      </c>
      <c r="S281" s="55" t="str">
        <f aca="false">IF($C281="","",ROUND($J281*2.2,0))</f>
        <v/>
      </c>
      <c r="AA281" s="61"/>
      <c r="AB281" s="61"/>
    </row>
    <row r="282" customFormat="false" ht="15.75" hidden="false" customHeight="true" outlineLevel="0" collapsed="false">
      <c r="B282" s="161" t="str">
        <f aca="false">IF($C282="","",COUNTA($C$5:C282))</f>
        <v/>
      </c>
      <c r="H282" s="60"/>
      <c r="I282" s="60"/>
      <c r="L282" s="55" t="str">
        <f aca="false">IF($C282="","",ROUND($J282*0.17,0))</f>
        <v/>
      </c>
      <c r="S282" s="55" t="str">
        <f aca="false">IF($C282="","",ROUND($J282*2.2,0))</f>
        <v/>
      </c>
      <c r="AA282" s="61"/>
      <c r="AB282" s="61"/>
    </row>
    <row r="283" customFormat="false" ht="15.75" hidden="false" customHeight="true" outlineLevel="0" collapsed="false">
      <c r="B283" s="161" t="str">
        <f aca="false">IF($C283="","",COUNTA($C$5:C283))</f>
        <v/>
      </c>
      <c r="H283" s="60"/>
      <c r="I283" s="60"/>
      <c r="L283" s="55" t="str">
        <f aca="false">IF($C283="","",ROUND($J283*0.17,0))</f>
        <v/>
      </c>
      <c r="S283" s="55" t="str">
        <f aca="false">IF($C283="","",ROUND($J283*2.2,0))</f>
        <v/>
      </c>
      <c r="AA283" s="61"/>
      <c r="AB283" s="61"/>
    </row>
    <row r="284" customFormat="false" ht="15.75" hidden="false" customHeight="true" outlineLevel="0" collapsed="false">
      <c r="B284" s="161" t="str">
        <f aca="false">IF($C284="","",COUNTA($C$5:C284))</f>
        <v/>
      </c>
      <c r="H284" s="60"/>
      <c r="I284" s="60"/>
      <c r="L284" s="55" t="str">
        <f aca="false">IF($C284="","",ROUND($J284*0.17,0))</f>
        <v/>
      </c>
      <c r="S284" s="55" t="str">
        <f aca="false">IF($C284="","",ROUND($J284*2.2,0))</f>
        <v/>
      </c>
      <c r="AA284" s="61"/>
      <c r="AB284" s="61"/>
    </row>
    <row r="285" customFormat="false" ht="15.75" hidden="false" customHeight="true" outlineLevel="0" collapsed="false">
      <c r="B285" s="161" t="str">
        <f aca="false">IF($C285="","",COUNTA($C$5:C285))</f>
        <v/>
      </c>
      <c r="H285" s="60"/>
      <c r="I285" s="60"/>
      <c r="L285" s="55" t="str">
        <f aca="false">IF($C285="","",ROUND($J285*0.17,0))</f>
        <v/>
      </c>
      <c r="S285" s="55" t="str">
        <f aca="false">IF($C285="","",ROUND($J285*2.2,0))</f>
        <v/>
      </c>
      <c r="AA285" s="61"/>
      <c r="AB285" s="61"/>
    </row>
    <row r="286" customFormat="false" ht="15.75" hidden="false" customHeight="true" outlineLevel="0" collapsed="false">
      <c r="B286" s="161" t="str">
        <f aca="false">IF($C286="","",COUNTA($C$5:C286))</f>
        <v/>
      </c>
      <c r="H286" s="60"/>
      <c r="I286" s="60"/>
      <c r="L286" s="55" t="str">
        <f aca="false">IF($C286="","",ROUND($J286*0.17,0))</f>
        <v/>
      </c>
      <c r="S286" s="55" t="str">
        <f aca="false">IF($C286="","",ROUND($J286*2.2,0))</f>
        <v/>
      </c>
      <c r="AA286" s="61"/>
      <c r="AB286" s="61"/>
    </row>
    <row r="287" customFormat="false" ht="15.75" hidden="false" customHeight="true" outlineLevel="0" collapsed="false">
      <c r="B287" s="161" t="str">
        <f aca="false">IF($C287="","",COUNTA($C$5:C287))</f>
        <v/>
      </c>
      <c r="H287" s="60"/>
      <c r="I287" s="60"/>
      <c r="L287" s="55" t="str">
        <f aca="false">IF($C287="","",ROUND($J287*0.17,0))</f>
        <v/>
      </c>
      <c r="S287" s="55" t="str">
        <f aca="false">IF($C287="","",ROUND($J287*2.2,0))</f>
        <v/>
      </c>
      <c r="AA287" s="61"/>
      <c r="AB287" s="61"/>
    </row>
    <row r="288" customFormat="false" ht="15.75" hidden="false" customHeight="true" outlineLevel="0" collapsed="false">
      <c r="B288" s="161" t="str">
        <f aca="false">IF($C288="","",COUNTA($C$5:C288))</f>
        <v/>
      </c>
      <c r="H288" s="60"/>
      <c r="I288" s="60"/>
      <c r="L288" s="55" t="str">
        <f aca="false">IF($C288="","",ROUND($J288*0.17,0))</f>
        <v/>
      </c>
      <c r="S288" s="55" t="str">
        <f aca="false">IF($C288="","",ROUND($J288*2.2,0))</f>
        <v/>
      </c>
      <c r="AA288" s="61"/>
      <c r="AB288" s="61"/>
    </row>
    <row r="289" customFormat="false" ht="15.75" hidden="false" customHeight="true" outlineLevel="0" collapsed="false">
      <c r="B289" s="161" t="str">
        <f aca="false">IF($C289="","",COUNTA($C$5:C289))</f>
        <v/>
      </c>
      <c r="H289" s="60"/>
      <c r="I289" s="60"/>
      <c r="L289" s="55" t="str">
        <f aca="false">IF($C289="","",ROUND($J289*0.17,0))</f>
        <v/>
      </c>
      <c r="S289" s="55" t="str">
        <f aca="false">IF($C289="","",ROUND($J289*2.2,0))</f>
        <v/>
      </c>
      <c r="AA289" s="61"/>
      <c r="AB289" s="61"/>
    </row>
    <row r="290" customFormat="false" ht="15.75" hidden="false" customHeight="true" outlineLevel="0" collapsed="false">
      <c r="B290" s="161" t="str">
        <f aca="false">IF($C290="","",COUNTA($C$5:C290))</f>
        <v/>
      </c>
      <c r="H290" s="60"/>
      <c r="I290" s="60"/>
      <c r="L290" s="55" t="str">
        <f aca="false">IF($C290="","",ROUND($J290*0.17,0))</f>
        <v/>
      </c>
      <c r="S290" s="55" t="str">
        <f aca="false">IF($C290="","",ROUND($J290*2.2,0))</f>
        <v/>
      </c>
      <c r="AA290" s="61"/>
      <c r="AB290" s="61"/>
    </row>
    <row r="291" customFormat="false" ht="15.75" hidden="false" customHeight="true" outlineLevel="0" collapsed="false">
      <c r="B291" s="161" t="str">
        <f aca="false">IF($C291="","",COUNTA($C$5:C291))</f>
        <v/>
      </c>
      <c r="H291" s="60"/>
      <c r="I291" s="60"/>
      <c r="L291" s="55" t="str">
        <f aca="false">IF($C291="","",ROUND($J291*0.17,0))</f>
        <v/>
      </c>
      <c r="S291" s="55" t="str">
        <f aca="false">IF($C291="","",ROUND($J291*2.2,0))</f>
        <v/>
      </c>
      <c r="AA291" s="61"/>
      <c r="AB291" s="61"/>
    </row>
    <row r="292" customFormat="false" ht="15.75" hidden="false" customHeight="true" outlineLevel="0" collapsed="false">
      <c r="B292" s="161" t="str">
        <f aca="false">IF($C292="","",COUNTA($C$5:C292))</f>
        <v/>
      </c>
      <c r="H292" s="60"/>
      <c r="I292" s="60"/>
      <c r="L292" s="55" t="str">
        <f aca="false">IF($C292="","",ROUND($J292*0.17,0))</f>
        <v/>
      </c>
      <c r="S292" s="55" t="str">
        <f aca="false">IF($C292="","",ROUND($J292*2.2,0))</f>
        <v/>
      </c>
      <c r="AA292" s="61"/>
      <c r="AB292" s="61"/>
    </row>
    <row r="293" customFormat="false" ht="15.75" hidden="false" customHeight="true" outlineLevel="0" collapsed="false">
      <c r="B293" s="161" t="str">
        <f aca="false">IF($C293="","",COUNTA($C$5:C293))</f>
        <v/>
      </c>
      <c r="H293" s="60"/>
      <c r="I293" s="60"/>
      <c r="L293" s="55" t="str">
        <f aca="false">IF($C293="","",ROUND($J293*0.17,0))</f>
        <v/>
      </c>
      <c r="S293" s="55" t="str">
        <f aca="false">IF($C293="","",ROUND($J293*2.2,0))</f>
        <v/>
      </c>
      <c r="AA293" s="61"/>
      <c r="AB293" s="61"/>
    </row>
    <row r="294" customFormat="false" ht="15.75" hidden="false" customHeight="true" outlineLevel="0" collapsed="false">
      <c r="B294" s="161" t="str">
        <f aca="false">IF($C294="","",COUNTA($C$5:C294))</f>
        <v/>
      </c>
      <c r="H294" s="60"/>
      <c r="I294" s="60"/>
      <c r="L294" s="55" t="str">
        <f aca="false">IF($C294="","",ROUND($J294*0.17,0))</f>
        <v/>
      </c>
      <c r="S294" s="55" t="str">
        <f aca="false">IF($C294="","",ROUND($J294*2.2,0))</f>
        <v/>
      </c>
      <c r="AA294" s="61"/>
      <c r="AB294" s="61"/>
    </row>
    <row r="295" customFormat="false" ht="15.75" hidden="false" customHeight="true" outlineLevel="0" collapsed="false">
      <c r="B295" s="161" t="str">
        <f aca="false">IF($C295="","",COUNTA($C$5:C295))</f>
        <v/>
      </c>
      <c r="H295" s="60"/>
      <c r="I295" s="60"/>
      <c r="L295" s="55" t="str">
        <f aca="false">IF($C295="","",ROUND($J295*0.17,0))</f>
        <v/>
      </c>
      <c r="S295" s="55" t="str">
        <f aca="false">IF($C295="","",ROUND($J295*2.2,0))</f>
        <v/>
      </c>
      <c r="AA295" s="61"/>
      <c r="AB295" s="61"/>
    </row>
    <row r="296" customFormat="false" ht="15.75" hidden="false" customHeight="true" outlineLevel="0" collapsed="false">
      <c r="B296" s="161" t="str">
        <f aca="false">IF($C296="","",COUNTA($C$5:C296))</f>
        <v/>
      </c>
      <c r="H296" s="60"/>
      <c r="I296" s="60"/>
      <c r="L296" s="55" t="str">
        <f aca="false">IF($C296="","",ROUND($J296*0.17,0))</f>
        <v/>
      </c>
      <c r="S296" s="55" t="str">
        <f aca="false">IF($C296="","",ROUND($J296*2.2,0))</f>
        <v/>
      </c>
      <c r="AA296" s="61"/>
      <c r="AB296" s="61"/>
    </row>
    <row r="297" customFormat="false" ht="15.75" hidden="false" customHeight="true" outlineLevel="0" collapsed="false">
      <c r="B297" s="161" t="str">
        <f aca="false">IF($C297="","",COUNTA($C$5:C297))</f>
        <v/>
      </c>
      <c r="H297" s="60"/>
      <c r="I297" s="60"/>
      <c r="L297" s="55" t="str">
        <f aca="false">IF($C297="","",ROUND($J297*0.17,0))</f>
        <v/>
      </c>
      <c r="S297" s="55" t="str">
        <f aca="false">IF($C297="","",ROUND($J297*2.2,0))</f>
        <v/>
      </c>
      <c r="AA297" s="61"/>
      <c r="AB297" s="61"/>
    </row>
    <row r="298" customFormat="false" ht="15.75" hidden="false" customHeight="true" outlineLevel="0" collapsed="false">
      <c r="B298" s="161" t="str">
        <f aca="false">IF($C298="","",COUNTA($C$5:C298))</f>
        <v/>
      </c>
      <c r="H298" s="60"/>
      <c r="I298" s="60"/>
      <c r="L298" s="55" t="str">
        <f aca="false">IF($C298="","",ROUND($J298*0.17,0))</f>
        <v/>
      </c>
      <c r="S298" s="55" t="str">
        <f aca="false">IF($C298="","",ROUND($J298*2.2,0))</f>
        <v/>
      </c>
      <c r="AA298" s="61"/>
      <c r="AB298" s="61"/>
    </row>
    <row r="299" customFormat="false" ht="15.75" hidden="false" customHeight="true" outlineLevel="0" collapsed="false">
      <c r="B299" s="161" t="str">
        <f aca="false">IF($C299="","",COUNTA($C$5:C299))</f>
        <v/>
      </c>
      <c r="H299" s="60"/>
      <c r="I299" s="60"/>
      <c r="L299" s="55" t="str">
        <f aca="false">IF($C299="","",ROUND($J299*0.17,0))</f>
        <v/>
      </c>
      <c r="S299" s="55" t="str">
        <f aca="false">IF($C299="","",ROUND($J299*2.2,0))</f>
        <v/>
      </c>
      <c r="AA299" s="61"/>
      <c r="AB299" s="61"/>
    </row>
    <row r="300" customFormat="false" ht="15.75" hidden="false" customHeight="true" outlineLevel="0" collapsed="false">
      <c r="B300" s="161" t="str">
        <f aca="false">IF($C300="","",COUNTA($C$5:C300))</f>
        <v/>
      </c>
      <c r="H300" s="60"/>
      <c r="I300" s="60"/>
      <c r="L300" s="55" t="str">
        <f aca="false">IF($C300="","",ROUND($J300*0.17,0))</f>
        <v/>
      </c>
      <c r="S300" s="55" t="str">
        <f aca="false">IF($C300="","",ROUND($J300*2.2,0))</f>
        <v/>
      </c>
      <c r="AA300" s="61"/>
      <c r="AB300" s="61"/>
    </row>
    <row r="301" customFormat="false" ht="15.75" hidden="false" customHeight="true" outlineLevel="0" collapsed="false">
      <c r="B301" s="161" t="str">
        <f aca="false">IF($C301="","",COUNTA($C$5:C301))</f>
        <v/>
      </c>
      <c r="H301" s="60"/>
      <c r="I301" s="60"/>
      <c r="L301" s="55" t="str">
        <f aca="false">IF($C301="","",ROUND($J301*0.17,0))</f>
        <v/>
      </c>
      <c r="S301" s="55" t="str">
        <f aca="false">IF($C301="","",ROUND($J301*2.2,0))</f>
        <v/>
      </c>
      <c r="AA301" s="61"/>
      <c r="AB301" s="61"/>
    </row>
    <row r="302" customFormat="false" ht="15.75" hidden="false" customHeight="true" outlineLevel="0" collapsed="false">
      <c r="B302" s="161" t="str">
        <f aca="false">IF($C302="","",COUNTA($C$5:C302))</f>
        <v/>
      </c>
      <c r="H302" s="60"/>
      <c r="I302" s="60"/>
      <c r="L302" s="55" t="str">
        <f aca="false">IF($C302="","",ROUND($J302*0.17,0))</f>
        <v/>
      </c>
      <c r="S302" s="55" t="str">
        <f aca="false">IF($C302="","",ROUND($J302*2.2,0))</f>
        <v/>
      </c>
      <c r="AA302" s="61"/>
      <c r="AB302" s="61"/>
    </row>
    <row r="303" customFormat="false" ht="15.75" hidden="false" customHeight="true" outlineLevel="0" collapsed="false">
      <c r="B303" s="161" t="str">
        <f aca="false">IF($C303="","",COUNTA($C$5:C303))</f>
        <v/>
      </c>
      <c r="H303" s="60"/>
      <c r="I303" s="60"/>
      <c r="L303" s="55" t="str">
        <f aca="false">IF($C303="","",ROUND($J303*0.17,0))</f>
        <v/>
      </c>
      <c r="S303" s="55" t="str">
        <f aca="false">IF($C303="","",ROUND($J303*2.2,0))</f>
        <v/>
      </c>
      <c r="AA303" s="61"/>
      <c r="AB303" s="61"/>
    </row>
    <row r="304" customFormat="false" ht="15.75" hidden="false" customHeight="true" outlineLevel="0" collapsed="false">
      <c r="B304" s="161" t="str">
        <f aca="false">IF($C304="","",COUNTA($C$5:C304))</f>
        <v/>
      </c>
      <c r="H304" s="60"/>
      <c r="I304" s="60"/>
      <c r="L304" s="55" t="str">
        <f aca="false">IF($C304="","",ROUND($J304*0.17,0))</f>
        <v/>
      </c>
      <c r="S304" s="55" t="str">
        <f aca="false">IF($C304="","",ROUND($J304*2.2,0))</f>
        <v/>
      </c>
      <c r="AA304" s="61"/>
      <c r="AB304" s="61"/>
    </row>
    <row r="305" customFormat="false" ht="15.75" hidden="false" customHeight="true" outlineLevel="0" collapsed="false">
      <c r="B305" s="161" t="str">
        <f aca="false">IF($C305="","",COUNTA($C$5:C305))</f>
        <v/>
      </c>
      <c r="H305" s="60"/>
      <c r="I305" s="60"/>
      <c r="L305" s="55" t="str">
        <f aca="false">IF($C305="","",ROUND($J305*0.17,0))</f>
        <v/>
      </c>
      <c r="S305" s="55" t="str">
        <f aca="false">IF($C305="","",ROUND($J305*2.2,0))</f>
        <v/>
      </c>
      <c r="AA305" s="61"/>
      <c r="AB305" s="61"/>
    </row>
    <row r="306" customFormat="false" ht="15.75" hidden="false" customHeight="true" outlineLevel="0" collapsed="false">
      <c r="B306" s="161" t="str">
        <f aca="false">IF($C306="","",COUNTA($C$5:C306))</f>
        <v/>
      </c>
      <c r="H306" s="60"/>
      <c r="I306" s="60"/>
      <c r="L306" s="55" t="str">
        <f aca="false">IF($C306="","",ROUND($J306*0.17,0))</f>
        <v/>
      </c>
      <c r="S306" s="55" t="str">
        <f aca="false">IF($C306="","",ROUND($J306*2.2,0))</f>
        <v/>
      </c>
      <c r="AA306" s="61"/>
      <c r="AB306" s="61"/>
    </row>
    <row r="307" customFormat="false" ht="15.75" hidden="false" customHeight="true" outlineLevel="0" collapsed="false">
      <c r="B307" s="161" t="str">
        <f aca="false">IF($C307="","",COUNTA($C$5:C307))</f>
        <v/>
      </c>
      <c r="H307" s="60"/>
      <c r="I307" s="60"/>
      <c r="L307" s="55" t="str">
        <f aca="false">IF($C307="","",ROUND($J307*0.17,0))</f>
        <v/>
      </c>
      <c r="S307" s="55" t="str">
        <f aca="false">IF($C307="","",ROUND($J307*2.2,0))</f>
        <v/>
      </c>
      <c r="AA307" s="61"/>
      <c r="AB307" s="61"/>
    </row>
    <row r="308" customFormat="false" ht="15.75" hidden="false" customHeight="true" outlineLevel="0" collapsed="false">
      <c r="B308" s="161" t="str">
        <f aca="false">IF($C308="","",COUNTA($C$5:C308))</f>
        <v/>
      </c>
      <c r="H308" s="60"/>
      <c r="I308" s="60"/>
      <c r="L308" s="55" t="str">
        <f aca="false">IF($C308="","",ROUND($J308*0.17,0))</f>
        <v/>
      </c>
      <c r="S308" s="55" t="str">
        <f aca="false">IF($C308="","",ROUND($J308*2.2,0))</f>
        <v/>
      </c>
      <c r="AA308" s="61"/>
      <c r="AB308" s="61"/>
    </row>
    <row r="309" customFormat="false" ht="15.75" hidden="false" customHeight="true" outlineLevel="0" collapsed="false">
      <c r="B309" s="161" t="str">
        <f aca="false">IF($C309="","",COUNTA($C$5:C309))</f>
        <v/>
      </c>
      <c r="H309" s="60"/>
      <c r="I309" s="60"/>
      <c r="L309" s="55" t="str">
        <f aca="false">IF($C309="","",ROUND($J309*0.17,0))</f>
        <v/>
      </c>
      <c r="S309" s="55" t="str">
        <f aca="false">IF($C309="","",ROUND($J309*2.2,0))</f>
        <v/>
      </c>
      <c r="AA309" s="61"/>
      <c r="AB309" s="61"/>
    </row>
    <row r="310" customFormat="false" ht="15.75" hidden="false" customHeight="true" outlineLevel="0" collapsed="false">
      <c r="B310" s="161" t="str">
        <f aca="false">IF($C310="","",COUNTA($C$5:C310))</f>
        <v/>
      </c>
      <c r="H310" s="60"/>
      <c r="I310" s="60"/>
      <c r="L310" s="55" t="str">
        <f aca="false">IF($C310="","",ROUND($J310*0.17,0))</f>
        <v/>
      </c>
      <c r="S310" s="55" t="str">
        <f aca="false">IF($C310="","",ROUND($J310*2.2,0))</f>
        <v/>
      </c>
      <c r="AA310" s="61"/>
      <c r="AB310" s="61"/>
    </row>
    <row r="311" customFormat="false" ht="15.75" hidden="false" customHeight="true" outlineLevel="0" collapsed="false">
      <c r="B311" s="161" t="str">
        <f aca="false">IF($C311="","",COUNTA($C$5:C311))</f>
        <v/>
      </c>
      <c r="H311" s="60"/>
      <c r="I311" s="60"/>
      <c r="L311" s="55" t="str">
        <f aca="false">IF($C311="","",ROUND($J311*0.17,0))</f>
        <v/>
      </c>
      <c r="S311" s="55" t="str">
        <f aca="false">IF($C311="","",ROUND($J311*2.2,0))</f>
        <v/>
      </c>
      <c r="AA311" s="61"/>
      <c r="AB311" s="61"/>
    </row>
    <row r="312" customFormat="false" ht="15.75" hidden="false" customHeight="true" outlineLevel="0" collapsed="false">
      <c r="B312" s="161" t="str">
        <f aca="false">IF($C312="","",COUNTA($C$5:C312))</f>
        <v/>
      </c>
      <c r="H312" s="60"/>
      <c r="I312" s="60"/>
      <c r="L312" s="55" t="str">
        <f aca="false">IF($C312="","",ROUND($J312*0.17,0))</f>
        <v/>
      </c>
      <c r="S312" s="55" t="str">
        <f aca="false">IF($C312="","",ROUND($J312*2.2,0))</f>
        <v/>
      </c>
      <c r="AA312" s="61"/>
      <c r="AB312" s="61"/>
    </row>
    <row r="313" customFormat="false" ht="15.75" hidden="false" customHeight="true" outlineLevel="0" collapsed="false">
      <c r="B313" s="161" t="str">
        <f aca="false">IF($C313="","",COUNTA($C$5:C313))</f>
        <v/>
      </c>
      <c r="H313" s="60"/>
      <c r="I313" s="60"/>
      <c r="L313" s="55" t="str">
        <f aca="false">IF($C313="","",ROUND($J313*0.17,0))</f>
        <v/>
      </c>
      <c r="S313" s="55" t="str">
        <f aca="false">IF($C313="","",ROUND($J313*2.2,0))</f>
        <v/>
      </c>
      <c r="AA313" s="61"/>
      <c r="AB313" s="61"/>
    </row>
    <row r="314" customFormat="false" ht="15.75" hidden="false" customHeight="true" outlineLevel="0" collapsed="false">
      <c r="B314" s="161" t="str">
        <f aca="false">IF($C314="","",COUNTA($C$5:C314))</f>
        <v/>
      </c>
      <c r="H314" s="60"/>
      <c r="I314" s="60"/>
      <c r="L314" s="55" t="str">
        <f aca="false">IF($C314="","",ROUND($J314*0.17,0))</f>
        <v/>
      </c>
      <c r="S314" s="55" t="str">
        <f aca="false">IF($C314="","",ROUND($J314*2.2,0))</f>
        <v/>
      </c>
      <c r="AA314" s="61"/>
      <c r="AB314" s="61"/>
    </row>
    <row r="315" customFormat="false" ht="15.75" hidden="false" customHeight="true" outlineLevel="0" collapsed="false">
      <c r="B315" s="161" t="str">
        <f aca="false">IF($C315="","",COUNTA($C$5:C315))</f>
        <v/>
      </c>
      <c r="H315" s="60"/>
      <c r="I315" s="60"/>
      <c r="L315" s="55" t="str">
        <f aca="false">IF($C315="","",ROUND($J315*0.17,0))</f>
        <v/>
      </c>
      <c r="S315" s="55" t="str">
        <f aca="false">IF($C315="","",ROUND($J315*2.2,0))</f>
        <v/>
      </c>
      <c r="AA315" s="61"/>
      <c r="AB315" s="61"/>
    </row>
    <row r="316" customFormat="false" ht="15.75" hidden="false" customHeight="true" outlineLevel="0" collapsed="false">
      <c r="B316" s="161" t="str">
        <f aca="false">IF($C316="","",COUNTA($C$5:C316))</f>
        <v/>
      </c>
      <c r="H316" s="60"/>
      <c r="I316" s="60"/>
      <c r="L316" s="55" t="str">
        <f aca="false">IF($C316="","",ROUND($J316*0.17,0))</f>
        <v/>
      </c>
      <c r="S316" s="55" t="str">
        <f aca="false">IF($C316="","",ROUND($J316*2.2,0))</f>
        <v/>
      </c>
      <c r="AA316" s="61"/>
      <c r="AB316" s="61"/>
    </row>
    <row r="317" customFormat="false" ht="15.75" hidden="false" customHeight="true" outlineLevel="0" collapsed="false">
      <c r="B317" s="161" t="str">
        <f aca="false">IF($C317="","",COUNTA($C$5:C317))</f>
        <v/>
      </c>
      <c r="H317" s="60"/>
      <c r="I317" s="60"/>
      <c r="L317" s="55" t="str">
        <f aca="false">IF($C317="","",ROUND($J317*0.17,0))</f>
        <v/>
      </c>
      <c r="S317" s="55" t="str">
        <f aca="false">IF($C317="","",ROUND($J317*2.2,0))</f>
        <v/>
      </c>
      <c r="AA317" s="61"/>
      <c r="AB317" s="61"/>
    </row>
    <row r="318" customFormat="false" ht="15.75" hidden="false" customHeight="true" outlineLevel="0" collapsed="false">
      <c r="B318" s="161" t="str">
        <f aca="false">IF($C318="","",COUNTA($C$5:C318))</f>
        <v/>
      </c>
      <c r="H318" s="60"/>
      <c r="I318" s="60"/>
      <c r="L318" s="55" t="str">
        <f aca="false">IF($C318="","",ROUND($J318*0.17,0))</f>
        <v/>
      </c>
      <c r="S318" s="55" t="str">
        <f aca="false">IF($C318="","",ROUND($J318*2.2,0))</f>
        <v/>
      </c>
      <c r="AA318" s="61"/>
      <c r="AB318" s="61"/>
    </row>
    <row r="319" customFormat="false" ht="15.75" hidden="false" customHeight="true" outlineLevel="0" collapsed="false">
      <c r="B319" s="161" t="str">
        <f aca="false">IF($C319="","",COUNTA($C$5:C319))</f>
        <v/>
      </c>
      <c r="H319" s="60"/>
      <c r="I319" s="60"/>
      <c r="L319" s="55" t="str">
        <f aca="false">IF($C319="","",ROUND($J319*0.17,0))</f>
        <v/>
      </c>
      <c r="S319" s="55" t="str">
        <f aca="false">IF($C319="","",ROUND($J319*2.2,0))</f>
        <v/>
      </c>
      <c r="AA319" s="61"/>
      <c r="AB319" s="61"/>
    </row>
    <row r="320" customFormat="false" ht="15.75" hidden="false" customHeight="true" outlineLevel="0" collapsed="false">
      <c r="B320" s="161" t="str">
        <f aca="false">IF($C320="","",COUNTA($C$5:C320))</f>
        <v/>
      </c>
      <c r="H320" s="60"/>
      <c r="I320" s="60"/>
      <c r="L320" s="55" t="str">
        <f aca="false">IF($C320="","",ROUND($J320*0.17,0))</f>
        <v/>
      </c>
      <c r="S320" s="55" t="str">
        <f aca="false">IF($C320="","",ROUND($J320*2.2,0))</f>
        <v/>
      </c>
      <c r="AA320" s="61"/>
      <c r="AB320" s="61"/>
    </row>
    <row r="321" customFormat="false" ht="15.75" hidden="false" customHeight="true" outlineLevel="0" collapsed="false">
      <c r="B321" s="161" t="str">
        <f aca="false">IF($C321="","",COUNTA($C$5:C321))</f>
        <v/>
      </c>
      <c r="H321" s="60"/>
      <c r="I321" s="60"/>
      <c r="L321" s="55" t="str">
        <f aca="false">IF($C321="","",ROUND($J321*0.17,0))</f>
        <v/>
      </c>
      <c r="S321" s="55" t="str">
        <f aca="false">IF($C321="","",ROUND($J321*2.2,0))</f>
        <v/>
      </c>
      <c r="AA321" s="61"/>
      <c r="AB321" s="61"/>
    </row>
    <row r="322" customFormat="false" ht="15.75" hidden="false" customHeight="true" outlineLevel="0" collapsed="false">
      <c r="B322" s="161" t="str">
        <f aca="false">IF($C322="","",COUNTA($C$5:C322))</f>
        <v/>
      </c>
      <c r="H322" s="60"/>
      <c r="I322" s="60"/>
      <c r="L322" s="55" t="str">
        <f aca="false">IF($C322="","",ROUND($J322*0.17,0))</f>
        <v/>
      </c>
      <c r="S322" s="55" t="str">
        <f aca="false">IF($C322="","",ROUND($J322*2.2,0))</f>
        <v/>
      </c>
      <c r="AA322" s="61"/>
      <c r="AB322" s="61"/>
    </row>
    <row r="323" customFormat="false" ht="15.75" hidden="false" customHeight="true" outlineLevel="0" collapsed="false">
      <c r="B323" s="161" t="str">
        <f aca="false">IF($C323="","",COUNTA($C$5:C323))</f>
        <v/>
      </c>
      <c r="H323" s="60"/>
      <c r="I323" s="60"/>
      <c r="L323" s="55" t="str">
        <f aca="false">IF($C323="","",ROUND($J323*0.17,0))</f>
        <v/>
      </c>
      <c r="S323" s="55" t="str">
        <f aca="false">IF($C323="","",ROUND($J323*2.2,0))</f>
        <v/>
      </c>
      <c r="AA323" s="61"/>
      <c r="AB323" s="61"/>
    </row>
    <row r="324" customFormat="false" ht="15.75" hidden="false" customHeight="true" outlineLevel="0" collapsed="false">
      <c r="B324" s="161" t="str">
        <f aca="false">IF($C324="","",COUNTA($C$5:C324))</f>
        <v/>
      </c>
      <c r="H324" s="60"/>
      <c r="I324" s="60"/>
      <c r="L324" s="55" t="str">
        <f aca="false">IF($C324="","",ROUND($J324*0.17,0))</f>
        <v/>
      </c>
      <c r="S324" s="55" t="str">
        <f aca="false">IF($C324="","",ROUND($J324*2.2,0))</f>
        <v/>
      </c>
      <c r="AA324" s="61"/>
      <c r="AB324" s="61"/>
    </row>
    <row r="325" customFormat="false" ht="15.75" hidden="false" customHeight="true" outlineLevel="0" collapsed="false">
      <c r="B325" s="161" t="str">
        <f aca="false">IF($C325="","",COUNTA($C$5:C325))</f>
        <v/>
      </c>
      <c r="H325" s="60"/>
      <c r="I325" s="60"/>
      <c r="L325" s="55" t="str">
        <f aca="false">IF($C325="","",ROUND($J325*0.17,0))</f>
        <v/>
      </c>
      <c r="S325" s="55" t="str">
        <f aca="false">IF($C325="","",ROUND($J325*2.2,0))</f>
        <v/>
      </c>
      <c r="AA325" s="61"/>
      <c r="AB325" s="61"/>
    </row>
    <row r="326" customFormat="false" ht="15.75" hidden="false" customHeight="true" outlineLevel="0" collapsed="false">
      <c r="B326" s="161" t="str">
        <f aca="false">IF($C326="","",COUNTA($C$5:C326))</f>
        <v/>
      </c>
      <c r="H326" s="60"/>
      <c r="I326" s="60"/>
      <c r="L326" s="55" t="str">
        <f aca="false">IF($C326="","",ROUND($J326*0.17,0))</f>
        <v/>
      </c>
      <c r="S326" s="55" t="str">
        <f aca="false">IF($C326="","",ROUND($J326*2.2,0))</f>
        <v/>
      </c>
      <c r="AA326" s="61"/>
      <c r="AB326" s="61"/>
    </row>
    <row r="327" customFormat="false" ht="15.75" hidden="false" customHeight="true" outlineLevel="0" collapsed="false">
      <c r="B327" s="161" t="str">
        <f aca="false">IF($C327="","",COUNTA($C$5:C327))</f>
        <v/>
      </c>
      <c r="H327" s="60"/>
      <c r="I327" s="60"/>
      <c r="L327" s="55" t="str">
        <f aca="false">IF($C327="","",ROUND($J327*0.17,0))</f>
        <v/>
      </c>
      <c r="S327" s="55" t="str">
        <f aca="false">IF($C327="","",ROUND($J327*2.2,0))</f>
        <v/>
      </c>
      <c r="AA327" s="61"/>
      <c r="AB327" s="61"/>
    </row>
    <row r="328" customFormat="false" ht="15.75" hidden="false" customHeight="true" outlineLevel="0" collapsed="false">
      <c r="B328" s="161" t="str">
        <f aca="false">IF($C328="","",COUNTA($C$5:C328))</f>
        <v/>
      </c>
      <c r="H328" s="60"/>
      <c r="I328" s="60"/>
      <c r="L328" s="55" t="str">
        <f aca="false">IF($C328="","",ROUND($J328*0.17,0))</f>
        <v/>
      </c>
      <c r="S328" s="55" t="str">
        <f aca="false">IF($C328="","",ROUND($J328*2.2,0))</f>
        <v/>
      </c>
      <c r="AA328" s="61"/>
      <c r="AB328" s="61"/>
    </row>
    <row r="329" customFormat="false" ht="15.75" hidden="false" customHeight="true" outlineLevel="0" collapsed="false">
      <c r="B329" s="161" t="str">
        <f aca="false">IF($C329="","",COUNTA($C$5:C329))</f>
        <v/>
      </c>
      <c r="H329" s="60"/>
      <c r="I329" s="60"/>
      <c r="L329" s="55" t="str">
        <f aca="false">IF($C329="","",ROUND($J329*0.17,0))</f>
        <v/>
      </c>
      <c r="S329" s="55" t="str">
        <f aca="false">IF($C329="","",ROUND($J329*2.2,0))</f>
        <v/>
      </c>
      <c r="AA329" s="61"/>
      <c r="AB329" s="61"/>
    </row>
    <row r="330" customFormat="false" ht="15.75" hidden="false" customHeight="true" outlineLevel="0" collapsed="false">
      <c r="B330" s="161" t="str">
        <f aca="false">IF($C330="","",COUNTA($C$5:C330))</f>
        <v/>
      </c>
      <c r="H330" s="60"/>
      <c r="I330" s="60"/>
      <c r="L330" s="55" t="str">
        <f aca="false">IF($C330="","",ROUND($J330*0.17,0))</f>
        <v/>
      </c>
      <c r="S330" s="55" t="str">
        <f aca="false">IF($C330="","",ROUND($J330*2.2,0))</f>
        <v/>
      </c>
      <c r="AA330" s="61"/>
      <c r="AB330" s="61"/>
    </row>
    <row r="331" customFormat="false" ht="15.75" hidden="false" customHeight="true" outlineLevel="0" collapsed="false">
      <c r="B331" s="161" t="str">
        <f aca="false">IF($C331="","",COUNTA($C$5:C331))</f>
        <v/>
      </c>
      <c r="H331" s="60"/>
      <c r="I331" s="60"/>
      <c r="L331" s="55" t="str">
        <f aca="false">IF($C331="","",ROUND($J331*0.17,0))</f>
        <v/>
      </c>
      <c r="S331" s="55" t="str">
        <f aca="false">IF($C331="","",ROUND($J331*2.2,0))</f>
        <v/>
      </c>
      <c r="AA331" s="61"/>
      <c r="AB331" s="61"/>
    </row>
    <row r="332" customFormat="false" ht="15.75" hidden="false" customHeight="true" outlineLevel="0" collapsed="false">
      <c r="B332" s="161" t="str">
        <f aca="false">IF($C332="","",COUNTA($C$5:C332))</f>
        <v/>
      </c>
      <c r="H332" s="60"/>
      <c r="I332" s="60"/>
      <c r="L332" s="55" t="str">
        <f aca="false">IF($C332="","",ROUND($J332*0.17,0))</f>
        <v/>
      </c>
      <c r="S332" s="55" t="str">
        <f aca="false">IF($C332="","",ROUND($J332*2.2,0))</f>
        <v/>
      </c>
      <c r="AA332" s="61"/>
      <c r="AB332" s="61"/>
    </row>
    <row r="333" customFormat="false" ht="15.75" hidden="false" customHeight="true" outlineLevel="0" collapsed="false">
      <c r="B333" s="161" t="str">
        <f aca="false">IF($C333="","",COUNTA($C$5:C333))</f>
        <v/>
      </c>
      <c r="H333" s="60"/>
      <c r="I333" s="60"/>
      <c r="L333" s="55" t="str">
        <f aca="false">IF($C333="","",ROUND($J333*0.17,0))</f>
        <v/>
      </c>
      <c r="S333" s="55" t="str">
        <f aca="false">IF($C333="","",ROUND($J333*2.2,0))</f>
        <v/>
      </c>
      <c r="AA333" s="61"/>
      <c r="AB333" s="61"/>
    </row>
    <row r="334" customFormat="false" ht="15.75" hidden="false" customHeight="true" outlineLevel="0" collapsed="false">
      <c r="B334" s="161" t="str">
        <f aca="false">IF($C334="","",COUNTA($C$5:C334))</f>
        <v/>
      </c>
      <c r="H334" s="60"/>
      <c r="I334" s="60"/>
      <c r="L334" s="55" t="str">
        <f aca="false">IF($C334="","",ROUND($J334*0.17,0))</f>
        <v/>
      </c>
      <c r="S334" s="55" t="str">
        <f aca="false">IF($C334="","",ROUND($J334*2.2,0))</f>
        <v/>
      </c>
      <c r="AA334" s="61"/>
      <c r="AB334" s="61"/>
    </row>
    <row r="335" customFormat="false" ht="15.75" hidden="false" customHeight="true" outlineLevel="0" collapsed="false">
      <c r="B335" s="161" t="str">
        <f aca="false">IF($C335="","",COUNTA($C$5:C335))</f>
        <v/>
      </c>
      <c r="H335" s="60"/>
      <c r="I335" s="60"/>
      <c r="L335" s="55" t="str">
        <f aca="false">IF($C335="","",ROUND($J335*0.17,0))</f>
        <v/>
      </c>
      <c r="S335" s="55" t="str">
        <f aca="false">IF($C335="","",ROUND($J335*2.2,0))</f>
        <v/>
      </c>
      <c r="AA335" s="61"/>
      <c r="AB335" s="61"/>
    </row>
    <row r="336" customFormat="false" ht="15.75" hidden="false" customHeight="true" outlineLevel="0" collapsed="false">
      <c r="B336" s="161" t="str">
        <f aca="false">IF($C336="","",COUNTA($C$5:C336))</f>
        <v/>
      </c>
      <c r="H336" s="60"/>
      <c r="I336" s="60"/>
      <c r="L336" s="55" t="str">
        <f aca="false">IF($C336="","",ROUND($J336*0.17,0))</f>
        <v/>
      </c>
      <c r="S336" s="55" t="str">
        <f aca="false">IF($C336="","",ROUND($J336*2.2,0))</f>
        <v/>
      </c>
      <c r="AA336" s="61"/>
      <c r="AB336" s="61"/>
    </row>
    <row r="337" customFormat="false" ht="15.75" hidden="false" customHeight="true" outlineLevel="0" collapsed="false">
      <c r="B337" s="161" t="str">
        <f aca="false">IF($C337="","",COUNTA($C$5:C337))</f>
        <v/>
      </c>
      <c r="H337" s="60"/>
      <c r="I337" s="60"/>
      <c r="L337" s="55" t="str">
        <f aca="false">IF($C337="","",ROUND($J337*0.17,0))</f>
        <v/>
      </c>
      <c r="S337" s="55" t="str">
        <f aca="false">IF($C337="","",ROUND($J337*2.2,0))</f>
        <v/>
      </c>
      <c r="AA337" s="61"/>
      <c r="AB337" s="61"/>
    </row>
    <row r="338" customFormat="false" ht="15.75" hidden="false" customHeight="true" outlineLevel="0" collapsed="false">
      <c r="B338" s="161" t="str">
        <f aca="false">IF($C338="","",COUNTA($C$5:C338))</f>
        <v/>
      </c>
      <c r="H338" s="60"/>
      <c r="I338" s="60"/>
      <c r="L338" s="55" t="str">
        <f aca="false">IF($C338="","",ROUND($J338*0.17,0))</f>
        <v/>
      </c>
      <c r="S338" s="55" t="str">
        <f aca="false">IF($C338="","",ROUND($J338*2.2,0))</f>
        <v/>
      </c>
      <c r="AA338" s="61"/>
      <c r="AB338" s="61"/>
    </row>
    <row r="339" customFormat="false" ht="15.75" hidden="false" customHeight="true" outlineLevel="0" collapsed="false">
      <c r="B339" s="161" t="str">
        <f aca="false">IF($C339="","",COUNTA($C$5:C339))</f>
        <v/>
      </c>
      <c r="H339" s="60"/>
      <c r="I339" s="60"/>
      <c r="L339" s="55" t="str">
        <f aca="false">IF($C339="","",ROUND($J339*0.17,0))</f>
        <v/>
      </c>
      <c r="S339" s="55" t="str">
        <f aca="false">IF($C339="","",ROUND($J339*2.2,0))</f>
        <v/>
      </c>
      <c r="AA339" s="61"/>
      <c r="AB339" s="61"/>
    </row>
    <row r="340" customFormat="false" ht="15.75" hidden="false" customHeight="true" outlineLevel="0" collapsed="false">
      <c r="B340" s="161" t="str">
        <f aca="false">IF($C340="","",COUNTA($C$5:C340))</f>
        <v/>
      </c>
      <c r="H340" s="60"/>
      <c r="I340" s="60"/>
      <c r="L340" s="55" t="str">
        <f aca="false">IF($C340="","",ROUND($J340*0.17,0))</f>
        <v/>
      </c>
      <c r="S340" s="55" t="str">
        <f aca="false">IF($C340="","",ROUND($J340*2.2,0))</f>
        <v/>
      </c>
      <c r="AA340" s="61"/>
      <c r="AB340" s="61"/>
    </row>
    <row r="341" customFormat="false" ht="15.75" hidden="false" customHeight="true" outlineLevel="0" collapsed="false">
      <c r="B341" s="161" t="str">
        <f aca="false">IF($C341="","",COUNTA($C$5:C341))</f>
        <v/>
      </c>
      <c r="H341" s="60"/>
      <c r="I341" s="60"/>
      <c r="L341" s="55" t="str">
        <f aca="false">IF($C341="","",ROUND($J341*0.17,0))</f>
        <v/>
      </c>
      <c r="S341" s="55" t="str">
        <f aca="false">IF($C341="","",ROUND($J341*2.2,0))</f>
        <v/>
      </c>
      <c r="AA341" s="61"/>
      <c r="AB341" s="61"/>
    </row>
    <row r="342" customFormat="false" ht="15.75" hidden="false" customHeight="true" outlineLevel="0" collapsed="false">
      <c r="B342" s="161" t="str">
        <f aca="false">IF($C342="","",COUNTA($C$5:C342))</f>
        <v/>
      </c>
      <c r="H342" s="60"/>
      <c r="I342" s="60"/>
      <c r="L342" s="55" t="str">
        <f aca="false">IF($C342="","",ROUND($J342*0.17,0))</f>
        <v/>
      </c>
      <c r="S342" s="55" t="str">
        <f aca="false">IF($C342="","",ROUND($J342*2.2,0))</f>
        <v/>
      </c>
      <c r="AA342" s="61"/>
      <c r="AB342" s="61"/>
    </row>
    <row r="343" customFormat="false" ht="15.75" hidden="false" customHeight="true" outlineLevel="0" collapsed="false">
      <c r="B343" s="161" t="str">
        <f aca="false">IF($C343="","",COUNTA($C$5:C343))</f>
        <v/>
      </c>
      <c r="H343" s="60"/>
      <c r="I343" s="60"/>
      <c r="L343" s="55" t="str">
        <f aca="false">IF($C343="","",ROUND($J343*0.17,0))</f>
        <v/>
      </c>
      <c r="S343" s="55" t="str">
        <f aca="false">IF($C343="","",ROUND($J343*2.2,0))</f>
        <v/>
      </c>
      <c r="AA343" s="61"/>
      <c r="AB343" s="61"/>
    </row>
    <row r="344" customFormat="false" ht="15.75" hidden="false" customHeight="true" outlineLevel="0" collapsed="false">
      <c r="B344" s="161" t="str">
        <f aca="false">IF($C344="","",COUNTA($C$5:C344))</f>
        <v/>
      </c>
      <c r="H344" s="60"/>
      <c r="I344" s="60"/>
      <c r="L344" s="55" t="str">
        <f aca="false">IF($C344="","",ROUND($J344*0.17,0))</f>
        <v/>
      </c>
      <c r="S344" s="55" t="str">
        <f aca="false">IF($C344="","",ROUND($J344*2.2,0))</f>
        <v/>
      </c>
      <c r="AA344" s="61"/>
      <c r="AB344" s="61"/>
    </row>
    <row r="345" customFormat="false" ht="15.75" hidden="false" customHeight="true" outlineLevel="0" collapsed="false">
      <c r="B345" s="161" t="str">
        <f aca="false">IF($C345="","",COUNTA($C$5:C345))</f>
        <v/>
      </c>
      <c r="H345" s="60"/>
      <c r="I345" s="60"/>
      <c r="L345" s="55" t="str">
        <f aca="false">IF($C345="","",ROUND($J345*0.17,0))</f>
        <v/>
      </c>
      <c r="S345" s="55" t="str">
        <f aca="false">IF($C345="","",ROUND($J345*2.2,0))</f>
        <v/>
      </c>
      <c r="AA345" s="61"/>
      <c r="AB345" s="61"/>
    </row>
    <row r="346" customFormat="false" ht="15.75" hidden="false" customHeight="true" outlineLevel="0" collapsed="false">
      <c r="B346" s="161" t="str">
        <f aca="false">IF($C346="","",COUNTA($C$5:C346))</f>
        <v/>
      </c>
      <c r="H346" s="60"/>
      <c r="I346" s="60"/>
      <c r="L346" s="55" t="str">
        <f aca="false">IF($C346="","",ROUND($J346*0.17,0))</f>
        <v/>
      </c>
      <c r="S346" s="55" t="str">
        <f aca="false">IF($C346="","",ROUND($J346*2.2,0))</f>
        <v/>
      </c>
      <c r="AA346" s="61"/>
      <c r="AB346" s="61"/>
    </row>
    <row r="347" customFormat="false" ht="15.75" hidden="false" customHeight="true" outlineLevel="0" collapsed="false">
      <c r="B347" s="161" t="str">
        <f aca="false">IF($C347="","",COUNTA($C$5:C347))</f>
        <v/>
      </c>
      <c r="H347" s="60"/>
      <c r="I347" s="60"/>
      <c r="L347" s="55" t="str">
        <f aca="false">IF($C347="","",ROUND($J347*0.17,0))</f>
        <v/>
      </c>
      <c r="S347" s="55" t="str">
        <f aca="false">IF($C347="","",ROUND($J347*2.2,0))</f>
        <v/>
      </c>
      <c r="AA347" s="61"/>
      <c r="AB347" s="61"/>
    </row>
    <row r="348" customFormat="false" ht="15.75" hidden="false" customHeight="true" outlineLevel="0" collapsed="false">
      <c r="B348" s="161" t="str">
        <f aca="false">IF($C348="","",COUNTA($C$5:C348))</f>
        <v/>
      </c>
      <c r="H348" s="60"/>
      <c r="I348" s="60"/>
      <c r="L348" s="55" t="str">
        <f aca="false">IF($C348="","",ROUND($J348*0.17,0))</f>
        <v/>
      </c>
      <c r="S348" s="55" t="str">
        <f aca="false">IF($C348="","",ROUND($J348*2.2,0))</f>
        <v/>
      </c>
      <c r="AA348" s="61"/>
      <c r="AB348" s="61"/>
    </row>
    <row r="349" customFormat="false" ht="15.75" hidden="false" customHeight="true" outlineLevel="0" collapsed="false">
      <c r="B349" s="161" t="str">
        <f aca="false">IF($C349="","",COUNTA($C$5:C349))</f>
        <v/>
      </c>
      <c r="H349" s="60"/>
      <c r="I349" s="60"/>
      <c r="L349" s="55" t="str">
        <f aca="false">IF($C349="","",ROUND($J349*0.17,0))</f>
        <v/>
      </c>
      <c r="S349" s="55" t="str">
        <f aca="false">IF($C349="","",ROUND($J349*2.2,0))</f>
        <v/>
      </c>
      <c r="AA349" s="61"/>
      <c r="AB349" s="61"/>
    </row>
    <row r="350" customFormat="false" ht="15.75" hidden="false" customHeight="true" outlineLevel="0" collapsed="false">
      <c r="B350" s="161" t="str">
        <f aca="false">IF($C350="","",COUNTA($C$5:C350))</f>
        <v/>
      </c>
      <c r="H350" s="60"/>
      <c r="I350" s="60"/>
      <c r="L350" s="55" t="str">
        <f aca="false">IF($C350="","",ROUND($J350*0.17,0))</f>
        <v/>
      </c>
      <c r="S350" s="55" t="str">
        <f aca="false">IF($C350="","",ROUND($J350*2.2,0))</f>
        <v/>
      </c>
      <c r="AA350" s="61"/>
      <c r="AB350" s="61"/>
    </row>
    <row r="351" customFormat="false" ht="15.75" hidden="false" customHeight="true" outlineLevel="0" collapsed="false">
      <c r="B351" s="161" t="str">
        <f aca="false">IF($C351="","",COUNTA($C$5:C351))</f>
        <v/>
      </c>
      <c r="H351" s="60"/>
      <c r="I351" s="60"/>
      <c r="L351" s="55" t="str">
        <f aca="false">IF($C351="","",ROUND($J351*0.17,0))</f>
        <v/>
      </c>
      <c r="S351" s="55" t="str">
        <f aca="false">IF($C351="","",ROUND($J351*2.2,0))</f>
        <v/>
      </c>
      <c r="AA351" s="61"/>
      <c r="AB351" s="61"/>
    </row>
    <row r="352" customFormat="false" ht="15.75" hidden="false" customHeight="true" outlineLevel="0" collapsed="false">
      <c r="B352" s="161" t="str">
        <f aca="false">IF($C352="","",COUNTA($C$5:C352))</f>
        <v/>
      </c>
      <c r="H352" s="60"/>
      <c r="I352" s="60"/>
      <c r="L352" s="55" t="str">
        <f aca="false">IF($C352="","",ROUND($J352*0.17,0))</f>
        <v/>
      </c>
      <c r="S352" s="55" t="str">
        <f aca="false">IF($C352="","",ROUND($J352*2.2,0))</f>
        <v/>
      </c>
      <c r="AA352" s="61"/>
      <c r="AB352" s="61"/>
    </row>
    <row r="353" customFormat="false" ht="15.75" hidden="false" customHeight="true" outlineLevel="0" collapsed="false">
      <c r="B353" s="161" t="str">
        <f aca="false">IF($C353="","",COUNTA($C$5:C353))</f>
        <v/>
      </c>
      <c r="H353" s="60"/>
      <c r="I353" s="60"/>
      <c r="L353" s="55" t="str">
        <f aca="false">IF($C353="","",ROUND($J353*0.17,0))</f>
        <v/>
      </c>
      <c r="S353" s="55" t="str">
        <f aca="false">IF($C353="","",ROUND($J353*2.2,0))</f>
        <v/>
      </c>
      <c r="AA353" s="61"/>
      <c r="AB353" s="61"/>
    </row>
    <row r="354" customFormat="false" ht="15.75" hidden="false" customHeight="true" outlineLevel="0" collapsed="false">
      <c r="B354" s="161" t="str">
        <f aca="false">IF($C354="","",COUNTA($C$5:C354))</f>
        <v/>
      </c>
      <c r="H354" s="60"/>
      <c r="I354" s="60"/>
      <c r="L354" s="55" t="str">
        <f aca="false">IF($C354="","",ROUND($J354*0.17,0))</f>
        <v/>
      </c>
      <c r="S354" s="55" t="str">
        <f aca="false">IF($C354="","",ROUND($J354*2.2,0))</f>
        <v/>
      </c>
      <c r="AA354" s="61"/>
      <c r="AB354" s="61"/>
    </row>
    <row r="355" customFormat="false" ht="15.75" hidden="false" customHeight="true" outlineLevel="0" collapsed="false">
      <c r="B355" s="161" t="str">
        <f aca="false">IF($C355="","",COUNTA($C$5:C355))</f>
        <v/>
      </c>
      <c r="H355" s="60"/>
      <c r="I355" s="60"/>
      <c r="L355" s="55" t="str">
        <f aca="false">IF($C355="","",ROUND($J355*0.17,0))</f>
        <v/>
      </c>
      <c r="S355" s="55" t="str">
        <f aca="false">IF($C355="","",ROUND($J355*2.2,0))</f>
        <v/>
      </c>
      <c r="AA355" s="61"/>
      <c r="AB355" s="61"/>
    </row>
    <row r="356" customFormat="false" ht="15.75" hidden="false" customHeight="true" outlineLevel="0" collapsed="false">
      <c r="B356" s="161" t="str">
        <f aca="false">IF($C356="","",COUNTA($C$5:C356))</f>
        <v/>
      </c>
      <c r="H356" s="60"/>
      <c r="I356" s="60"/>
      <c r="L356" s="55" t="str">
        <f aca="false">IF($C356="","",ROUND($J356*0.17,0))</f>
        <v/>
      </c>
      <c r="S356" s="55" t="str">
        <f aca="false">IF($C356="","",ROUND($J356*2.2,0))</f>
        <v/>
      </c>
      <c r="AA356" s="61"/>
      <c r="AB356" s="61"/>
    </row>
    <row r="357" customFormat="false" ht="15.75" hidden="false" customHeight="true" outlineLevel="0" collapsed="false">
      <c r="B357" s="161" t="str">
        <f aca="false">IF($C357="","",COUNTA($C$5:C357))</f>
        <v/>
      </c>
      <c r="H357" s="60"/>
      <c r="I357" s="60"/>
      <c r="L357" s="55" t="str">
        <f aca="false">IF($C357="","",ROUND($J357*0.17,0))</f>
        <v/>
      </c>
      <c r="S357" s="55" t="str">
        <f aca="false">IF($C357="","",ROUND($J357*2.2,0))</f>
        <v/>
      </c>
      <c r="AA357" s="61"/>
      <c r="AB357" s="61"/>
    </row>
    <row r="358" customFormat="false" ht="15.75" hidden="false" customHeight="true" outlineLevel="0" collapsed="false">
      <c r="B358" s="161" t="str">
        <f aca="false">IF($C358="","",COUNTA($C$5:C358))</f>
        <v/>
      </c>
      <c r="H358" s="60"/>
      <c r="I358" s="60"/>
      <c r="L358" s="55" t="str">
        <f aca="false">IF($C358="","",ROUND($J358*0.17,0))</f>
        <v/>
      </c>
      <c r="S358" s="55" t="str">
        <f aca="false">IF($C358="","",ROUND($J358*2.2,0))</f>
        <v/>
      </c>
      <c r="AA358" s="61"/>
      <c r="AB358" s="61"/>
    </row>
    <row r="359" customFormat="false" ht="15.75" hidden="false" customHeight="true" outlineLevel="0" collapsed="false">
      <c r="B359" s="161" t="str">
        <f aca="false">IF($C359="","",COUNTA($C$5:C359))</f>
        <v/>
      </c>
      <c r="H359" s="60"/>
      <c r="I359" s="60"/>
      <c r="L359" s="55" t="str">
        <f aca="false">IF($C359="","",ROUND($J359*0.17,0))</f>
        <v/>
      </c>
      <c r="S359" s="55" t="str">
        <f aca="false">IF($C359="","",ROUND($J359*2.2,0))</f>
        <v/>
      </c>
      <c r="AA359" s="61"/>
      <c r="AB359" s="61"/>
    </row>
    <row r="360" customFormat="false" ht="15.75" hidden="false" customHeight="true" outlineLevel="0" collapsed="false">
      <c r="B360" s="161" t="str">
        <f aca="false">IF($C360="","",COUNTA($C$5:C360))</f>
        <v/>
      </c>
      <c r="H360" s="60"/>
      <c r="I360" s="60"/>
      <c r="L360" s="55" t="str">
        <f aca="false">IF($C360="","",ROUND($J360*0.17,0))</f>
        <v/>
      </c>
      <c r="S360" s="55" t="str">
        <f aca="false">IF($C360="","",ROUND($J360*2.2,0))</f>
        <v/>
      </c>
      <c r="AA360" s="61"/>
      <c r="AB360" s="61"/>
    </row>
    <row r="361" customFormat="false" ht="15.75" hidden="false" customHeight="true" outlineLevel="0" collapsed="false">
      <c r="B361" s="161" t="str">
        <f aca="false">IF($C361="","",COUNTA($C$5:C361))</f>
        <v/>
      </c>
      <c r="H361" s="60"/>
      <c r="I361" s="60"/>
      <c r="L361" s="55" t="str">
        <f aca="false">IF($C361="","",ROUND($J361*0.17,0))</f>
        <v/>
      </c>
      <c r="S361" s="55" t="str">
        <f aca="false">IF($C361="","",ROUND($J361*2.2,0))</f>
        <v/>
      </c>
      <c r="AA361" s="61"/>
      <c r="AB361" s="61"/>
    </row>
    <row r="362" customFormat="false" ht="15.75" hidden="false" customHeight="true" outlineLevel="0" collapsed="false">
      <c r="B362" s="161" t="str">
        <f aca="false">IF($C362="","",COUNTA($C$5:C362))</f>
        <v/>
      </c>
      <c r="H362" s="60"/>
      <c r="I362" s="60"/>
      <c r="L362" s="55" t="str">
        <f aca="false">IF($C362="","",ROUND($J362*0.17,0))</f>
        <v/>
      </c>
      <c r="S362" s="55" t="str">
        <f aca="false">IF($C362="","",ROUND($J362*2.2,0))</f>
        <v/>
      </c>
      <c r="AA362" s="61"/>
      <c r="AB362" s="61"/>
    </row>
    <row r="363" customFormat="false" ht="15.75" hidden="false" customHeight="true" outlineLevel="0" collapsed="false">
      <c r="B363" s="161" t="str">
        <f aca="false">IF($C363="","",COUNTA($C$5:C363))</f>
        <v/>
      </c>
      <c r="H363" s="60"/>
      <c r="I363" s="60"/>
      <c r="L363" s="55" t="str">
        <f aca="false">IF($C363="","",ROUND($J363*0.17,0))</f>
        <v/>
      </c>
      <c r="S363" s="55" t="str">
        <f aca="false">IF($C363="","",ROUND($J363*2.2,0))</f>
        <v/>
      </c>
      <c r="AA363" s="61"/>
      <c r="AB363" s="61"/>
    </row>
    <row r="364" customFormat="false" ht="15.75" hidden="false" customHeight="true" outlineLevel="0" collapsed="false">
      <c r="B364" s="161" t="str">
        <f aca="false">IF($C364="","",COUNTA($C$5:C364))</f>
        <v/>
      </c>
      <c r="H364" s="60"/>
      <c r="I364" s="60"/>
      <c r="L364" s="55" t="str">
        <f aca="false">IF($C364="","",ROUND($J364*0.17,0))</f>
        <v/>
      </c>
      <c r="S364" s="55" t="str">
        <f aca="false">IF($C364="","",ROUND($J364*2.2,0))</f>
        <v/>
      </c>
      <c r="AA364" s="61"/>
      <c r="AB364" s="61"/>
    </row>
    <row r="365" customFormat="false" ht="15.75" hidden="false" customHeight="true" outlineLevel="0" collapsed="false">
      <c r="B365" s="161" t="str">
        <f aca="false">IF($C365="","",COUNTA($C$5:C365))</f>
        <v/>
      </c>
      <c r="H365" s="60"/>
      <c r="I365" s="60"/>
      <c r="L365" s="55" t="str">
        <f aca="false">IF($C365="","",ROUND($J365*0.17,0))</f>
        <v/>
      </c>
      <c r="S365" s="55" t="str">
        <f aca="false">IF($C365="","",ROUND($J365*2.2,0))</f>
        <v/>
      </c>
      <c r="AA365" s="61"/>
      <c r="AB365" s="61"/>
    </row>
    <row r="366" customFormat="false" ht="15.75" hidden="false" customHeight="true" outlineLevel="0" collapsed="false">
      <c r="B366" s="161" t="str">
        <f aca="false">IF($C366="","",COUNTA($C$5:C366))</f>
        <v/>
      </c>
      <c r="H366" s="60"/>
      <c r="I366" s="60"/>
      <c r="L366" s="55" t="str">
        <f aca="false">IF($C366="","",ROUND($J366*0.17,0))</f>
        <v/>
      </c>
      <c r="S366" s="55" t="str">
        <f aca="false">IF($C366="","",ROUND($J366*2.2,0))</f>
        <v/>
      </c>
      <c r="AA366" s="61"/>
      <c r="AB366" s="61"/>
    </row>
    <row r="367" customFormat="false" ht="15.75" hidden="false" customHeight="true" outlineLevel="0" collapsed="false">
      <c r="B367" s="161" t="str">
        <f aca="false">IF($C367="","",COUNTA($C$5:C367))</f>
        <v/>
      </c>
      <c r="H367" s="60"/>
      <c r="I367" s="60"/>
      <c r="L367" s="55" t="str">
        <f aca="false">IF($C367="","",ROUND($J367*0.17,0))</f>
        <v/>
      </c>
      <c r="S367" s="55" t="str">
        <f aca="false">IF($C367="","",ROUND($J367*2.2,0))</f>
        <v/>
      </c>
      <c r="AA367" s="61"/>
      <c r="AB367" s="61"/>
    </row>
    <row r="368" customFormat="false" ht="15.75" hidden="false" customHeight="true" outlineLevel="0" collapsed="false">
      <c r="B368" s="161" t="str">
        <f aca="false">IF($C368="","",COUNTA($C$5:C368))</f>
        <v/>
      </c>
      <c r="H368" s="60"/>
      <c r="I368" s="60"/>
      <c r="L368" s="55" t="str">
        <f aca="false">IF($C368="","",ROUND($J368*0.17,0))</f>
        <v/>
      </c>
      <c r="S368" s="55" t="str">
        <f aca="false">IF($C368="","",ROUND($J368*2.2,0))</f>
        <v/>
      </c>
      <c r="AA368" s="61"/>
      <c r="AB368" s="61"/>
    </row>
    <row r="369" customFormat="false" ht="15.75" hidden="false" customHeight="true" outlineLevel="0" collapsed="false">
      <c r="B369" s="161" t="str">
        <f aca="false">IF($C369="","",COUNTA($C$5:C369))</f>
        <v/>
      </c>
      <c r="H369" s="60"/>
      <c r="I369" s="60"/>
      <c r="L369" s="55" t="str">
        <f aca="false">IF($C369="","",ROUND($J369*0.17,0))</f>
        <v/>
      </c>
      <c r="S369" s="55" t="str">
        <f aca="false">IF($C369="","",ROUND($J369*2.2,0))</f>
        <v/>
      </c>
      <c r="AA369" s="61"/>
      <c r="AB369" s="61"/>
    </row>
    <row r="370" customFormat="false" ht="15.75" hidden="false" customHeight="true" outlineLevel="0" collapsed="false">
      <c r="B370" s="161" t="str">
        <f aca="false">IF($C370="","",COUNTA($C$5:C370))</f>
        <v/>
      </c>
      <c r="H370" s="60"/>
      <c r="I370" s="60"/>
      <c r="L370" s="55" t="str">
        <f aca="false">IF($C370="","",ROUND($J370*0.17,0))</f>
        <v/>
      </c>
      <c r="S370" s="55" t="str">
        <f aca="false">IF($C370="","",ROUND($J370*2.2,0))</f>
        <v/>
      </c>
      <c r="AA370" s="61"/>
      <c r="AB370" s="61"/>
    </row>
    <row r="371" customFormat="false" ht="15.75" hidden="false" customHeight="true" outlineLevel="0" collapsed="false">
      <c r="B371" s="161" t="str">
        <f aca="false">IF($C371="","",COUNTA($C$5:C371))</f>
        <v/>
      </c>
      <c r="H371" s="60"/>
      <c r="I371" s="60"/>
      <c r="L371" s="55" t="str">
        <f aca="false">IF($C371="","",ROUND($J371*0.17,0))</f>
        <v/>
      </c>
      <c r="S371" s="55" t="str">
        <f aca="false">IF($C371="","",ROUND($J371*2.2,0))</f>
        <v/>
      </c>
      <c r="AA371" s="61"/>
      <c r="AB371" s="61"/>
    </row>
    <row r="372" customFormat="false" ht="15.75" hidden="false" customHeight="true" outlineLevel="0" collapsed="false">
      <c r="B372" s="161" t="str">
        <f aca="false">IF($C372="","",COUNTA($C$5:C372))</f>
        <v/>
      </c>
      <c r="H372" s="60"/>
      <c r="I372" s="60"/>
      <c r="L372" s="55" t="str">
        <f aca="false">IF($C372="","",ROUND($J372*0.17,0))</f>
        <v/>
      </c>
      <c r="S372" s="55" t="str">
        <f aca="false">IF($C372="","",ROUND($J372*2.2,0))</f>
        <v/>
      </c>
      <c r="AA372" s="61"/>
      <c r="AB372" s="61"/>
    </row>
    <row r="373" customFormat="false" ht="15.75" hidden="false" customHeight="true" outlineLevel="0" collapsed="false">
      <c r="B373" s="161" t="str">
        <f aca="false">IF($C373="","",COUNTA($C$5:C373))</f>
        <v/>
      </c>
      <c r="H373" s="60"/>
      <c r="I373" s="60"/>
      <c r="L373" s="55" t="str">
        <f aca="false">IF($C373="","",ROUND($J373*0.17,0))</f>
        <v/>
      </c>
      <c r="S373" s="55" t="str">
        <f aca="false">IF($C373="","",ROUND($J373*2.2,0))</f>
        <v/>
      </c>
      <c r="AA373" s="61"/>
      <c r="AB373" s="61"/>
    </row>
    <row r="374" customFormat="false" ht="15.75" hidden="false" customHeight="true" outlineLevel="0" collapsed="false">
      <c r="B374" s="161" t="str">
        <f aca="false">IF($C374="","",COUNTA($C$5:C374))</f>
        <v/>
      </c>
      <c r="H374" s="60"/>
      <c r="I374" s="60"/>
      <c r="L374" s="55" t="str">
        <f aca="false">IF($C374="","",ROUND($J374*0.17,0))</f>
        <v/>
      </c>
      <c r="S374" s="55" t="str">
        <f aca="false">IF($C374="","",ROUND($J374*2.2,0))</f>
        <v/>
      </c>
      <c r="AA374" s="61"/>
      <c r="AB374" s="61"/>
    </row>
    <row r="375" customFormat="false" ht="15.75" hidden="false" customHeight="true" outlineLevel="0" collapsed="false">
      <c r="B375" s="161" t="str">
        <f aca="false">IF($C375="","",COUNTA($C$5:C375))</f>
        <v/>
      </c>
      <c r="H375" s="60"/>
      <c r="I375" s="60"/>
      <c r="L375" s="55" t="str">
        <f aca="false">IF($C375="","",ROUND($J375*0.17,0))</f>
        <v/>
      </c>
      <c r="S375" s="55" t="str">
        <f aca="false">IF($C375="","",ROUND($J375*2.2,0))</f>
        <v/>
      </c>
      <c r="AA375" s="61"/>
      <c r="AB375" s="61"/>
    </row>
    <row r="376" customFormat="false" ht="15.75" hidden="false" customHeight="true" outlineLevel="0" collapsed="false">
      <c r="B376" s="161" t="str">
        <f aca="false">IF($C376="","",COUNTA($C$5:C376))</f>
        <v/>
      </c>
      <c r="H376" s="60"/>
      <c r="I376" s="60"/>
      <c r="L376" s="55" t="str">
        <f aca="false">IF($C376="","",ROUND($J376*0.17,0))</f>
        <v/>
      </c>
      <c r="S376" s="55" t="str">
        <f aca="false">IF($C376="","",ROUND($J376*2.2,0))</f>
        <v/>
      </c>
      <c r="AA376" s="61"/>
      <c r="AB376" s="61"/>
    </row>
    <row r="377" customFormat="false" ht="15.75" hidden="false" customHeight="true" outlineLevel="0" collapsed="false">
      <c r="B377" s="161" t="str">
        <f aca="false">IF($C377="","",COUNTA($C$5:C377))</f>
        <v/>
      </c>
      <c r="H377" s="60"/>
      <c r="I377" s="60"/>
      <c r="L377" s="55" t="str">
        <f aca="false">IF($C377="","",ROUND($J377*0.17,0))</f>
        <v/>
      </c>
      <c r="S377" s="55" t="str">
        <f aca="false">IF($C377="","",ROUND($J377*2.2,0))</f>
        <v/>
      </c>
      <c r="AA377" s="61"/>
      <c r="AB377" s="61"/>
    </row>
    <row r="378" customFormat="false" ht="15.75" hidden="false" customHeight="true" outlineLevel="0" collapsed="false">
      <c r="B378" s="161" t="str">
        <f aca="false">IF($C378="","",COUNTA($C$5:C378))</f>
        <v/>
      </c>
      <c r="H378" s="60"/>
      <c r="I378" s="60"/>
      <c r="L378" s="55" t="str">
        <f aca="false">IF($C378="","",ROUND($J378*0.17,0))</f>
        <v/>
      </c>
      <c r="S378" s="55" t="str">
        <f aca="false">IF($C378="","",ROUND($J378*2.2,0))</f>
        <v/>
      </c>
      <c r="AA378" s="61"/>
      <c r="AB378" s="61"/>
    </row>
    <row r="379" customFormat="false" ht="15.75" hidden="false" customHeight="true" outlineLevel="0" collapsed="false">
      <c r="B379" s="161" t="str">
        <f aca="false">IF($C379="","",COUNTA($C$5:C379))</f>
        <v/>
      </c>
      <c r="H379" s="60"/>
      <c r="I379" s="60"/>
      <c r="L379" s="55" t="str">
        <f aca="false">IF($C379="","",ROUND($J379*0.17,0))</f>
        <v/>
      </c>
      <c r="S379" s="55" t="str">
        <f aca="false">IF($C379="","",ROUND($J379*2.2,0))</f>
        <v/>
      </c>
      <c r="AA379" s="61"/>
      <c r="AB379" s="61"/>
    </row>
    <row r="380" customFormat="false" ht="15.75" hidden="false" customHeight="true" outlineLevel="0" collapsed="false">
      <c r="B380" s="161" t="str">
        <f aca="false">IF($C380="","",COUNTA($C$5:C380))</f>
        <v/>
      </c>
      <c r="H380" s="60"/>
      <c r="I380" s="60"/>
      <c r="L380" s="55" t="str">
        <f aca="false">IF($C380="","",ROUND($J380*0.17,0))</f>
        <v/>
      </c>
      <c r="S380" s="55" t="str">
        <f aca="false">IF($C380="","",ROUND($J380*2.2,0))</f>
        <v/>
      </c>
      <c r="AA380" s="61"/>
      <c r="AB380" s="61"/>
    </row>
    <row r="381" customFormat="false" ht="15.75" hidden="false" customHeight="true" outlineLevel="0" collapsed="false">
      <c r="B381" s="161" t="str">
        <f aca="false">IF($C381="","",COUNTA($C$5:C381))</f>
        <v/>
      </c>
      <c r="H381" s="60"/>
      <c r="I381" s="60"/>
      <c r="L381" s="55" t="str">
        <f aca="false">IF($C381="","",ROUND($J381*0.17,0))</f>
        <v/>
      </c>
      <c r="S381" s="55" t="str">
        <f aca="false">IF($C381="","",ROUND($J381*2.2,0))</f>
        <v/>
      </c>
      <c r="AA381" s="61"/>
      <c r="AB381" s="61"/>
    </row>
    <row r="382" customFormat="false" ht="15.75" hidden="false" customHeight="true" outlineLevel="0" collapsed="false">
      <c r="B382" s="161" t="str">
        <f aca="false">IF($C382="","",COUNTA($C$5:C382))</f>
        <v/>
      </c>
      <c r="H382" s="60"/>
      <c r="I382" s="60"/>
      <c r="L382" s="55" t="str">
        <f aca="false">IF($C382="","",ROUND($J382*0.17,0))</f>
        <v/>
      </c>
      <c r="S382" s="55" t="str">
        <f aca="false">IF($C382="","",ROUND($J382*2.2,0))</f>
        <v/>
      </c>
      <c r="AA382" s="61"/>
      <c r="AB382" s="61"/>
    </row>
    <row r="383" customFormat="false" ht="15.75" hidden="false" customHeight="true" outlineLevel="0" collapsed="false">
      <c r="B383" s="161" t="str">
        <f aca="false">IF($C383="","",COUNTA($C$5:C383))</f>
        <v/>
      </c>
      <c r="H383" s="60"/>
      <c r="I383" s="60"/>
      <c r="L383" s="55" t="str">
        <f aca="false">IF($C383="","",ROUND($J383*0.17,0))</f>
        <v/>
      </c>
      <c r="S383" s="55" t="str">
        <f aca="false">IF($C383="","",ROUND($J383*2.2,0))</f>
        <v/>
      </c>
      <c r="AA383" s="61"/>
      <c r="AB383" s="61"/>
    </row>
    <row r="384" customFormat="false" ht="15.75" hidden="false" customHeight="true" outlineLevel="0" collapsed="false">
      <c r="B384" s="161" t="str">
        <f aca="false">IF($C384="","",COUNTA($C$5:C384))</f>
        <v/>
      </c>
      <c r="H384" s="60"/>
      <c r="I384" s="60"/>
      <c r="L384" s="55" t="str">
        <f aca="false">IF($C384="","",ROUND($J384*0.17,0))</f>
        <v/>
      </c>
      <c r="S384" s="55" t="str">
        <f aca="false">IF($C384="","",ROUND($J384*2.2,0))</f>
        <v/>
      </c>
      <c r="AA384" s="61"/>
      <c r="AB384" s="61"/>
    </row>
    <row r="385" customFormat="false" ht="15.75" hidden="false" customHeight="true" outlineLevel="0" collapsed="false">
      <c r="B385" s="161" t="str">
        <f aca="false">IF($C385="","",COUNTA($C$5:C385))</f>
        <v/>
      </c>
      <c r="H385" s="60"/>
      <c r="I385" s="60"/>
      <c r="L385" s="55" t="str">
        <f aca="false">IF($C385="","",ROUND($J385*0.17,0))</f>
        <v/>
      </c>
      <c r="S385" s="55" t="str">
        <f aca="false">IF($C385="","",ROUND($J385*2.2,0))</f>
        <v/>
      </c>
      <c r="AA385" s="61"/>
      <c r="AB385" s="61"/>
    </row>
    <row r="386" customFormat="false" ht="15.75" hidden="false" customHeight="true" outlineLevel="0" collapsed="false">
      <c r="B386" s="161" t="str">
        <f aca="false">IF($C386="","",COUNTA($C$5:C386))</f>
        <v/>
      </c>
      <c r="H386" s="60"/>
      <c r="I386" s="60"/>
      <c r="L386" s="55" t="str">
        <f aca="false">IF($C386="","",ROUND($J386*0.17,0))</f>
        <v/>
      </c>
      <c r="S386" s="55" t="str">
        <f aca="false">IF($C386="","",ROUND($J386*2.2,0))</f>
        <v/>
      </c>
      <c r="AA386" s="61"/>
      <c r="AB386" s="61"/>
    </row>
    <row r="387" customFormat="false" ht="15.75" hidden="false" customHeight="true" outlineLevel="0" collapsed="false">
      <c r="B387" s="161" t="str">
        <f aca="false">IF($C387="","",COUNTA($C$5:C387))</f>
        <v/>
      </c>
      <c r="H387" s="60"/>
      <c r="I387" s="60"/>
      <c r="L387" s="55" t="str">
        <f aca="false">IF($C387="","",ROUND($J387*0.17,0))</f>
        <v/>
      </c>
      <c r="S387" s="55" t="str">
        <f aca="false">IF($C387="","",ROUND($J387*2.2,0))</f>
        <v/>
      </c>
      <c r="AA387" s="61"/>
      <c r="AB387" s="61"/>
    </row>
    <row r="388" customFormat="false" ht="15.75" hidden="false" customHeight="true" outlineLevel="0" collapsed="false">
      <c r="B388" s="161" t="str">
        <f aca="false">IF($C388="","",COUNTA($C$5:C388))</f>
        <v/>
      </c>
      <c r="H388" s="60"/>
      <c r="I388" s="60"/>
      <c r="L388" s="55" t="str">
        <f aca="false">IF($C388="","",ROUND($J388*0.17,0))</f>
        <v/>
      </c>
      <c r="S388" s="55" t="str">
        <f aca="false">IF($C388="","",ROUND($J388*2.2,0))</f>
        <v/>
      </c>
      <c r="AA388" s="61"/>
      <c r="AB388" s="61"/>
    </row>
    <row r="389" customFormat="false" ht="15.75" hidden="false" customHeight="true" outlineLevel="0" collapsed="false">
      <c r="B389" s="161" t="str">
        <f aca="false">IF($C389="","",COUNTA($C$5:C389))</f>
        <v/>
      </c>
      <c r="H389" s="60"/>
      <c r="I389" s="60"/>
      <c r="L389" s="55" t="str">
        <f aca="false">IF($C389="","",ROUND($J389*0.17,0))</f>
        <v/>
      </c>
      <c r="S389" s="55" t="str">
        <f aca="false">IF($C389="","",ROUND($J389*2.2,0))</f>
        <v/>
      </c>
      <c r="AA389" s="61"/>
      <c r="AB389" s="61"/>
    </row>
    <row r="390" customFormat="false" ht="15.75" hidden="false" customHeight="true" outlineLevel="0" collapsed="false">
      <c r="B390" s="161" t="str">
        <f aca="false">IF($C390="","",COUNTA($C$5:C390))</f>
        <v/>
      </c>
      <c r="H390" s="60"/>
      <c r="I390" s="60"/>
      <c r="L390" s="55" t="str">
        <f aca="false">IF($C390="","",ROUND($J390*0.17,0))</f>
        <v/>
      </c>
      <c r="S390" s="55" t="str">
        <f aca="false">IF($C390="","",ROUND($J390*2.2,0))</f>
        <v/>
      </c>
      <c r="AA390" s="61"/>
      <c r="AB390" s="61"/>
    </row>
    <row r="391" customFormat="false" ht="15.75" hidden="false" customHeight="true" outlineLevel="0" collapsed="false">
      <c r="B391" s="161" t="str">
        <f aca="false">IF($C391="","",COUNTA($C$5:C391))</f>
        <v/>
      </c>
      <c r="H391" s="60"/>
      <c r="I391" s="60"/>
      <c r="L391" s="55" t="str">
        <f aca="false">IF($C391="","",ROUND($J391*0.17,0))</f>
        <v/>
      </c>
      <c r="S391" s="55" t="str">
        <f aca="false">IF($C391="","",ROUND($J391*2.2,0))</f>
        <v/>
      </c>
      <c r="AA391" s="61"/>
      <c r="AB391" s="61"/>
    </row>
    <row r="392" customFormat="false" ht="15.75" hidden="false" customHeight="true" outlineLevel="0" collapsed="false">
      <c r="B392" s="161" t="str">
        <f aca="false">IF($C392="","",COUNTA($C$5:C392))</f>
        <v/>
      </c>
      <c r="H392" s="60"/>
      <c r="I392" s="60"/>
      <c r="L392" s="55" t="str">
        <f aca="false">IF($C392="","",ROUND($J392*0.17,0))</f>
        <v/>
      </c>
      <c r="S392" s="55" t="str">
        <f aca="false">IF($C392="","",ROUND($J392*2.2,0))</f>
        <v/>
      </c>
      <c r="AA392" s="61"/>
      <c r="AB392" s="61"/>
    </row>
    <row r="393" customFormat="false" ht="15.75" hidden="false" customHeight="true" outlineLevel="0" collapsed="false">
      <c r="B393" s="161" t="str">
        <f aca="false">IF($C393="","",COUNTA($C$5:C393))</f>
        <v/>
      </c>
      <c r="H393" s="60"/>
      <c r="I393" s="60"/>
      <c r="L393" s="55" t="str">
        <f aca="false">IF($C393="","",ROUND($J393*0.17,0))</f>
        <v/>
      </c>
      <c r="S393" s="55" t="str">
        <f aca="false">IF($C393="","",ROUND($J393*2.2,0))</f>
        <v/>
      </c>
      <c r="AA393" s="61"/>
      <c r="AB393" s="61"/>
    </row>
    <row r="394" customFormat="false" ht="15.75" hidden="false" customHeight="true" outlineLevel="0" collapsed="false">
      <c r="B394" s="161" t="str">
        <f aca="false">IF($C394="","",COUNTA($C$5:C394))</f>
        <v/>
      </c>
      <c r="H394" s="60"/>
      <c r="I394" s="60"/>
      <c r="L394" s="55" t="str">
        <f aca="false">IF($C394="","",ROUND($J394*0.17,0))</f>
        <v/>
      </c>
      <c r="S394" s="55" t="str">
        <f aca="false">IF($C394="","",ROUND($J394*2.2,0))</f>
        <v/>
      </c>
    </row>
    <row r="395" customFormat="false" ht="15.75" hidden="false" customHeight="true" outlineLevel="0" collapsed="false">
      <c r="B395" s="161" t="str">
        <f aca="false">IF($C395="","",COUNTA($C$5:C395))</f>
        <v/>
      </c>
      <c r="H395" s="60"/>
      <c r="I395" s="60"/>
      <c r="L395" s="55" t="str">
        <f aca="false">IF($C395="","",ROUND($J395*0.17,0))</f>
        <v/>
      </c>
      <c r="S395" s="55" t="str">
        <f aca="false">IF($C395="","",ROUND($J395*2.2,0))</f>
        <v/>
      </c>
    </row>
    <row r="396" customFormat="false" ht="15.75" hidden="false" customHeight="true" outlineLevel="0" collapsed="false">
      <c r="B396" s="161" t="str">
        <f aca="false">IF($C396="","",COUNTA($C$5:C396))</f>
        <v/>
      </c>
      <c r="H396" s="60"/>
      <c r="I396" s="60"/>
      <c r="L396" s="55" t="str">
        <f aca="false">IF($C396="","",ROUND($J396*0.17,0))</f>
        <v/>
      </c>
      <c r="S396" s="55" t="str">
        <f aca="false">IF($C396="","",ROUND($J396*2.2,0))</f>
        <v/>
      </c>
    </row>
    <row r="397" customFormat="false" ht="15.75" hidden="false" customHeight="true" outlineLevel="0" collapsed="false">
      <c r="B397" s="161" t="str">
        <f aca="false">IF($C397="","",COUNTA($C$5:C397))</f>
        <v/>
      </c>
      <c r="H397" s="60"/>
      <c r="I397" s="60"/>
      <c r="L397" s="55" t="str">
        <f aca="false">IF($C397="","",ROUND($J397*0.17,0))</f>
        <v/>
      </c>
      <c r="S397" s="55" t="str">
        <f aca="false">IF($C397="","",ROUND($J397*2.2,0))</f>
        <v/>
      </c>
    </row>
    <row r="398" customFormat="false" ht="15.75" hidden="false" customHeight="true" outlineLevel="0" collapsed="false">
      <c r="B398" s="161" t="str">
        <f aca="false">IF($C398="","",COUNTA($C$5:C398))</f>
        <v/>
      </c>
      <c r="H398" s="60"/>
      <c r="I398" s="60"/>
      <c r="L398" s="55" t="str">
        <f aca="false">IF($C398="","",ROUND($J398*0.17,0))</f>
        <v/>
      </c>
      <c r="S398" s="55" t="str">
        <f aca="false">IF($C398="","",ROUND($J398*2.2,0))</f>
        <v/>
      </c>
    </row>
    <row r="399" customFormat="false" ht="15.75" hidden="false" customHeight="true" outlineLevel="0" collapsed="false">
      <c r="B399" s="161" t="str">
        <f aca="false">IF($C399="","",COUNTA($C$5:C399))</f>
        <v/>
      </c>
      <c r="H399" s="60"/>
      <c r="I399" s="60"/>
      <c r="L399" s="55" t="str">
        <f aca="false">IF($C399="","",ROUND($J399*0.17,0))</f>
        <v/>
      </c>
      <c r="S399" s="55" t="str">
        <f aca="false">IF($C399="","",ROUND($J399*2.2,0))</f>
        <v/>
      </c>
    </row>
    <row r="400" customFormat="false" ht="15.75" hidden="false" customHeight="true" outlineLevel="0" collapsed="false">
      <c r="B400" s="161" t="str">
        <f aca="false">IF($C400="","",COUNTA($C$5:C400))</f>
        <v/>
      </c>
      <c r="H400" s="60"/>
      <c r="I400" s="60"/>
      <c r="L400" s="55" t="str">
        <f aca="false">IF($C400="","",ROUND($J400*0.17,0))</f>
        <v/>
      </c>
      <c r="S400" s="55" t="str">
        <f aca="false">IF($C400="","",ROUND($J400*2.2,0))</f>
        <v/>
      </c>
    </row>
    <row r="401" customFormat="false" ht="15.75" hidden="false" customHeight="true" outlineLevel="0" collapsed="false">
      <c r="B401" s="161" t="str">
        <f aca="false">IF($C401="","",COUNTA($C$5:C401))</f>
        <v/>
      </c>
      <c r="H401" s="60"/>
      <c r="I401" s="60"/>
      <c r="L401" s="55" t="str">
        <f aca="false">IF($C401="","",ROUND($J401*0.17,0))</f>
        <v/>
      </c>
      <c r="S401" s="55" t="str">
        <f aca="false">IF($C401="","",ROUND($J401*2.2,0))</f>
        <v/>
      </c>
    </row>
    <row r="402" customFormat="false" ht="15.75" hidden="false" customHeight="true" outlineLevel="0" collapsed="false">
      <c r="B402" s="161" t="str">
        <f aca="false">IF($C402="","",COUNTA($C$5:C402))</f>
        <v/>
      </c>
      <c r="H402" s="60"/>
      <c r="I402" s="60"/>
      <c r="L402" s="55" t="str">
        <f aca="false">IF($C402="","",ROUND($J402*0.17,0))</f>
        <v/>
      </c>
      <c r="S402" s="55" t="str">
        <f aca="false">IF($C402="","",ROUND($J402*2.2,0))</f>
        <v/>
      </c>
    </row>
    <row r="403" customFormat="false" ht="15.75" hidden="false" customHeight="true" outlineLevel="0" collapsed="false">
      <c r="B403" s="161" t="str">
        <f aca="false">IF($C403="","",COUNTA($C$5:C403))</f>
        <v/>
      </c>
      <c r="H403" s="60"/>
      <c r="I403" s="60"/>
      <c r="L403" s="55" t="str">
        <f aca="false">IF($C403="","",ROUND($J403*0.17,0))</f>
        <v/>
      </c>
      <c r="S403" s="55" t="str">
        <f aca="false">IF($C403="","",ROUND($J403*2.2,0))</f>
        <v/>
      </c>
    </row>
    <row r="404" customFormat="false" ht="15.75" hidden="false" customHeight="true" outlineLevel="0" collapsed="false">
      <c r="B404" s="161" t="str">
        <f aca="false">IF($C404="","",COUNTA($C$5:C404))</f>
        <v/>
      </c>
      <c r="H404" s="60"/>
      <c r="I404" s="60"/>
      <c r="L404" s="55" t="str">
        <f aca="false">IF($C404="","",ROUND($J404*0.17,0))</f>
        <v/>
      </c>
      <c r="S404" s="55" t="str">
        <f aca="false">IF($C404="","",ROUND($J404*2.2,0))</f>
        <v/>
      </c>
    </row>
    <row r="405" customFormat="false" ht="15.75" hidden="false" customHeight="true" outlineLevel="0" collapsed="false">
      <c r="B405" s="161" t="str">
        <f aca="false">IF($C405="","",COUNTA($C$5:C405))</f>
        <v/>
      </c>
      <c r="H405" s="60"/>
      <c r="I405" s="60"/>
      <c r="L405" s="55" t="str">
        <f aca="false">IF($C405="","",ROUND($J405*0.17,0))</f>
        <v/>
      </c>
      <c r="S405" s="55" t="str">
        <f aca="false">IF($C405="","",ROUND($J405*2.2,0))</f>
        <v/>
      </c>
    </row>
    <row r="406" customFormat="false" ht="15.75" hidden="false" customHeight="true" outlineLevel="0" collapsed="false">
      <c r="B406" s="161" t="str">
        <f aca="false">IF($C406="","",COUNTA($C$5:C406))</f>
        <v/>
      </c>
      <c r="H406" s="60"/>
      <c r="I406" s="60"/>
      <c r="L406" s="55" t="str">
        <f aca="false">IF($C406="","",ROUND($J406*0.17,0))</f>
        <v/>
      </c>
      <c r="S406" s="55" t="str">
        <f aca="false">IF($C406="","",ROUND($J406*2.2,0))</f>
        <v/>
      </c>
    </row>
    <row r="407" customFormat="false" ht="15.75" hidden="false" customHeight="true" outlineLevel="0" collapsed="false">
      <c r="B407" s="161" t="str">
        <f aca="false">IF($C407="","",COUNTA($C$5:C407))</f>
        <v/>
      </c>
      <c r="H407" s="60"/>
      <c r="I407" s="60"/>
      <c r="L407" s="55" t="str">
        <f aca="false">IF($C407="","",ROUND($J407*0.17,0))</f>
        <v/>
      </c>
      <c r="S407" s="55" t="str">
        <f aca="false">IF($C407="","",ROUND($J407*2.2,0))</f>
        <v/>
      </c>
    </row>
    <row r="408" customFormat="false" ht="15.75" hidden="false" customHeight="true" outlineLevel="0" collapsed="false">
      <c r="B408" s="161" t="str">
        <f aca="false">IF($C408="","",COUNTA($C$5:C408))</f>
        <v/>
      </c>
      <c r="H408" s="60"/>
      <c r="I408" s="60"/>
      <c r="L408" s="55" t="str">
        <f aca="false">IF($C408="","",ROUND($J408*0.17,0))</f>
        <v/>
      </c>
      <c r="S408" s="55" t="str">
        <f aca="false">IF($C408="","",ROUND($J408*2.2,0))</f>
        <v/>
      </c>
    </row>
    <row r="409" customFormat="false" ht="15.75" hidden="false" customHeight="true" outlineLevel="0" collapsed="false">
      <c r="B409" s="161" t="str">
        <f aca="false">IF($C409="","",COUNTA($C$5:C409))</f>
        <v/>
      </c>
      <c r="H409" s="60"/>
      <c r="I409" s="60"/>
      <c r="L409" s="55" t="str">
        <f aca="false">IF($C409="","",ROUND($J409*0.17,0))</f>
        <v/>
      </c>
      <c r="S409" s="55" t="str">
        <f aca="false">IF($C409="","",ROUND($J409*2.2,0))</f>
        <v/>
      </c>
    </row>
    <row r="410" customFormat="false" ht="15.75" hidden="false" customHeight="true" outlineLevel="0" collapsed="false">
      <c r="B410" s="161" t="str">
        <f aca="false">IF($C410="","",COUNTA($C$5:C410))</f>
        <v/>
      </c>
      <c r="H410" s="60"/>
      <c r="I410" s="60"/>
      <c r="L410" s="55" t="str">
        <f aca="false">IF($C410="","",ROUND($J410*0.17,0))</f>
        <v/>
      </c>
      <c r="S410" s="55" t="str">
        <f aca="false">IF($C410="","",ROUND($J410*2.2,0))</f>
        <v/>
      </c>
    </row>
    <row r="411" customFormat="false" ht="15.75" hidden="false" customHeight="true" outlineLevel="0" collapsed="false">
      <c r="B411" s="161" t="str">
        <f aca="false">IF($C411="","",COUNTA($C$5:C411))</f>
        <v/>
      </c>
      <c r="H411" s="60"/>
      <c r="I411" s="60"/>
      <c r="L411" s="55" t="str">
        <f aca="false">IF($C411="","",ROUND($J411*0.17,0))</f>
        <v/>
      </c>
      <c r="S411" s="55" t="str">
        <f aca="false">IF($C411="","",ROUND($J411*2.2,0))</f>
        <v/>
      </c>
    </row>
    <row r="412" customFormat="false" ht="15.75" hidden="false" customHeight="true" outlineLevel="0" collapsed="false">
      <c r="B412" s="161" t="str">
        <f aca="false">IF($C412="","",COUNTA($C$5:C412))</f>
        <v/>
      </c>
      <c r="H412" s="60"/>
      <c r="I412" s="60"/>
      <c r="L412" s="55" t="str">
        <f aca="false">IF($C412="","",ROUND($J412*0.17,0))</f>
        <v/>
      </c>
      <c r="S412" s="55" t="str">
        <f aca="false">IF($C412="","",ROUND($J412*2.2,0))</f>
        <v/>
      </c>
    </row>
    <row r="413" customFormat="false" ht="15.75" hidden="false" customHeight="true" outlineLevel="0" collapsed="false">
      <c r="B413" s="161" t="str">
        <f aca="false">IF($C413="","",COUNTA($C$5:C413))</f>
        <v/>
      </c>
      <c r="H413" s="60"/>
      <c r="I413" s="60"/>
      <c r="L413" s="55" t="str">
        <f aca="false">IF($C413="","",ROUND($J413*0.17,0))</f>
        <v/>
      </c>
      <c r="S413" s="55" t="str">
        <f aca="false">IF($C413="","",ROUND($J413*2.2,0))</f>
        <v/>
      </c>
    </row>
    <row r="414" customFormat="false" ht="15.75" hidden="false" customHeight="true" outlineLevel="0" collapsed="false">
      <c r="B414" s="161" t="str">
        <f aca="false">IF($C414="","",COUNTA($C$5:C414))</f>
        <v/>
      </c>
      <c r="H414" s="60"/>
      <c r="I414" s="60"/>
      <c r="L414" s="55" t="str">
        <f aca="false">IF($C414="","",ROUND($J414*0.17,0))</f>
        <v/>
      </c>
      <c r="S414" s="55" t="str">
        <f aca="false">IF($C414="","",ROUND($J414*2.2,0))</f>
        <v/>
      </c>
    </row>
    <row r="415" customFormat="false" ht="15.75" hidden="false" customHeight="true" outlineLevel="0" collapsed="false">
      <c r="B415" s="161" t="str">
        <f aca="false">IF($C415="","",COUNTA($C$5:C415))</f>
        <v/>
      </c>
      <c r="H415" s="60"/>
      <c r="I415" s="60"/>
      <c r="L415" s="55" t="str">
        <f aca="false">IF($C415="","",ROUND($J415*0.17,0))</f>
        <v/>
      </c>
      <c r="S415" s="55" t="str">
        <f aca="false">IF($C415="","",ROUND($J415*2.2,0))</f>
        <v/>
      </c>
    </row>
    <row r="416" customFormat="false" ht="15.75" hidden="false" customHeight="true" outlineLevel="0" collapsed="false">
      <c r="B416" s="161" t="str">
        <f aca="false">IF($C416="","",COUNTA($C$5:C416))</f>
        <v/>
      </c>
      <c r="H416" s="60"/>
      <c r="I416" s="60"/>
      <c r="L416" s="55" t="str">
        <f aca="false">IF($C416="","",ROUND($J416*0.17,0))</f>
        <v/>
      </c>
      <c r="S416" s="55" t="str">
        <f aca="false">IF($C416="","",ROUND($J416*2.2,0))</f>
        <v/>
      </c>
    </row>
    <row r="417" customFormat="false" ht="15.75" hidden="false" customHeight="true" outlineLevel="0" collapsed="false">
      <c r="B417" s="161" t="str">
        <f aca="false">IF($C417="","",COUNTA($C$5:C417))</f>
        <v/>
      </c>
      <c r="H417" s="60"/>
      <c r="I417" s="60"/>
      <c r="L417" s="55" t="str">
        <f aca="false">IF($C417="","",ROUND($J417*0.17,0))</f>
        <v/>
      </c>
      <c r="S417" s="55" t="str">
        <f aca="false">IF($C417="","",ROUND($J417*2.2,0))</f>
        <v/>
      </c>
    </row>
    <row r="418" customFormat="false" ht="15.75" hidden="false" customHeight="true" outlineLevel="0" collapsed="false">
      <c r="B418" s="161" t="str">
        <f aca="false">IF($C418="","",COUNTA($C$5:C418))</f>
        <v/>
      </c>
      <c r="H418" s="60"/>
      <c r="I418" s="60"/>
      <c r="L418" s="55" t="str">
        <f aca="false">IF($C418="","",ROUND($J418*0.17,0))</f>
        <v/>
      </c>
      <c r="S418" s="55" t="str">
        <f aca="false">IF($C418="","",ROUND($J418*2.2,0))</f>
        <v/>
      </c>
    </row>
    <row r="419" customFormat="false" ht="15.75" hidden="false" customHeight="true" outlineLevel="0" collapsed="false">
      <c r="B419" s="161" t="str">
        <f aca="false">IF($C419="","",COUNTA($C$5:C419))</f>
        <v/>
      </c>
      <c r="H419" s="60"/>
      <c r="I419" s="60"/>
      <c r="L419" s="55" t="str">
        <f aca="false">IF($C419="","",ROUND($J419*0.17,0))</f>
        <v/>
      </c>
      <c r="S419" s="55" t="str">
        <f aca="false">IF($C419="","",ROUND($J419*2.2,0))</f>
        <v/>
      </c>
    </row>
    <row r="420" customFormat="false" ht="15.75" hidden="false" customHeight="true" outlineLevel="0" collapsed="false">
      <c r="B420" s="161" t="str">
        <f aca="false">IF($C420="","",COUNTA($C$5:C420))</f>
        <v/>
      </c>
      <c r="H420" s="60"/>
      <c r="I420" s="60"/>
      <c r="L420" s="55" t="str">
        <f aca="false">IF($C420="","",ROUND($J420*0.17,0))</f>
        <v/>
      </c>
      <c r="S420" s="55" t="str">
        <f aca="false">IF($C420="","",ROUND($J420*2.2,0))</f>
        <v/>
      </c>
    </row>
    <row r="421" customFormat="false" ht="15.75" hidden="false" customHeight="true" outlineLevel="0" collapsed="false">
      <c r="B421" s="161" t="str">
        <f aca="false">IF($C421="","",COUNTA($C$5:C421))</f>
        <v/>
      </c>
      <c r="H421" s="60"/>
      <c r="I421" s="60"/>
      <c r="L421" s="55" t="str">
        <f aca="false">IF($C421="","",ROUND($J421*0.17,0))</f>
        <v/>
      </c>
      <c r="S421" s="55" t="str">
        <f aca="false">IF($C421="","",ROUND($J421*2.2,0))</f>
        <v/>
      </c>
    </row>
    <row r="422" customFormat="false" ht="15.75" hidden="false" customHeight="true" outlineLevel="0" collapsed="false">
      <c r="B422" s="161" t="str">
        <f aca="false">IF($C422="","",COUNTA($C$5:C422))</f>
        <v/>
      </c>
      <c r="H422" s="60"/>
      <c r="I422" s="60"/>
      <c r="L422" s="55" t="str">
        <f aca="false">IF($C422="","",ROUND($J422*0.17,0))</f>
        <v/>
      </c>
      <c r="S422" s="55" t="str">
        <f aca="false">IF($C422="","",ROUND($J422*2.2,0))</f>
        <v/>
      </c>
    </row>
    <row r="423" customFormat="false" ht="15.75" hidden="false" customHeight="true" outlineLevel="0" collapsed="false">
      <c r="B423" s="161" t="str">
        <f aca="false">IF($C423="","",COUNTA($C$5:C423))</f>
        <v/>
      </c>
      <c r="H423" s="60"/>
      <c r="I423" s="60"/>
      <c r="L423" s="55" t="str">
        <f aca="false">IF($C423="","",ROUND($J423*0.17,0))</f>
        <v/>
      </c>
      <c r="S423" s="55" t="str">
        <f aca="false">IF($C423="","",ROUND($J423*2.2,0))</f>
        <v/>
      </c>
    </row>
    <row r="424" customFormat="false" ht="15.75" hidden="false" customHeight="true" outlineLevel="0" collapsed="false">
      <c r="B424" s="161" t="str">
        <f aca="false">IF($C424="","",COUNTA($C$5:C424))</f>
        <v/>
      </c>
      <c r="H424" s="60"/>
      <c r="I424" s="60"/>
      <c r="L424" s="55" t="str">
        <f aca="false">IF($C424="","",ROUND($J424*0.17,0))</f>
        <v/>
      </c>
      <c r="S424" s="55" t="str">
        <f aca="false">IF($C424="","",ROUND($J424*2.2,0))</f>
        <v/>
      </c>
    </row>
    <row r="425" customFormat="false" ht="15.75" hidden="false" customHeight="true" outlineLevel="0" collapsed="false">
      <c r="B425" s="161" t="str">
        <f aca="false">IF($C425="","",COUNTA($C$5:C425))</f>
        <v/>
      </c>
      <c r="H425" s="60"/>
      <c r="I425" s="60"/>
      <c r="L425" s="55" t="str">
        <f aca="false">IF($C425="","",ROUND($J425*0.17,0))</f>
        <v/>
      </c>
      <c r="S425" s="55" t="str">
        <f aca="false">IF($C425="","",ROUND($J425*2.2,0))</f>
        <v/>
      </c>
    </row>
    <row r="426" customFormat="false" ht="15.75" hidden="false" customHeight="true" outlineLevel="0" collapsed="false">
      <c r="B426" s="161" t="str">
        <f aca="false">IF($C426="","",COUNTA($C$5:C426))</f>
        <v/>
      </c>
      <c r="H426" s="60"/>
      <c r="I426" s="60"/>
      <c r="L426" s="55" t="str">
        <f aca="false">IF($C426="","",ROUND($J426*0.17,0))</f>
        <v/>
      </c>
      <c r="S426" s="55" t="str">
        <f aca="false">IF($C426="","",ROUND($J426*2.2,0))</f>
        <v/>
      </c>
    </row>
    <row r="427" customFormat="false" ht="15.75" hidden="false" customHeight="true" outlineLevel="0" collapsed="false">
      <c r="B427" s="161" t="str">
        <f aca="false">IF($C427="","",COUNTA($C$5:C427))</f>
        <v/>
      </c>
      <c r="H427" s="60"/>
      <c r="I427" s="60"/>
      <c r="L427" s="55" t="str">
        <f aca="false">IF($C427="","",ROUND($J427*0.17,0))</f>
        <v/>
      </c>
      <c r="S427" s="55" t="str">
        <f aca="false">IF($C427="","",ROUND($J427*2.2,0))</f>
        <v/>
      </c>
    </row>
    <row r="428" customFormat="false" ht="15.75" hidden="false" customHeight="true" outlineLevel="0" collapsed="false">
      <c r="B428" s="161" t="str">
        <f aca="false">IF($C428="","",COUNTA($C$5:C428))</f>
        <v/>
      </c>
      <c r="H428" s="60"/>
      <c r="I428" s="60"/>
      <c r="L428" s="55" t="str">
        <f aca="false">IF($C428="","",ROUND($J428*0.17,0))</f>
        <v/>
      </c>
      <c r="S428" s="55" t="str">
        <f aca="false">IF($C428="","",ROUND($J428*2.2,0))</f>
        <v/>
      </c>
    </row>
    <row r="429" customFormat="false" ht="15.75" hidden="false" customHeight="true" outlineLevel="0" collapsed="false">
      <c r="B429" s="161" t="str">
        <f aca="false">IF($C429="","",COUNTA($C$5:C429))</f>
        <v/>
      </c>
      <c r="H429" s="60"/>
      <c r="I429" s="60"/>
      <c r="L429" s="55" t="str">
        <f aca="false">IF($C429="","",ROUND($J429*0.17,0))</f>
        <v/>
      </c>
      <c r="S429" s="55" t="str">
        <f aca="false">IF($C429="","",ROUND($J429*2.2,0))</f>
        <v/>
      </c>
    </row>
    <row r="430" customFormat="false" ht="15.75" hidden="false" customHeight="true" outlineLevel="0" collapsed="false">
      <c r="B430" s="161" t="str">
        <f aca="false">IF($C430="","",COUNTA($C$5:C430))</f>
        <v/>
      </c>
      <c r="H430" s="60"/>
      <c r="I430" s="60"/>
      <c r="L430" s="55" t="str">
        <f aca="false">IF($C430="","",ROUND($J430*0.17,0))</f>
        <v/>
      </c>
      <c r="S430" s="55" t="str">
        <f aca="false">IF($C430="","",ROUND($J430*2.2,0))</f>
        <v/>
      </c>
    </row>
    <row r="431" customFormat="false" ht="15.75" hidden="false" customHeight="true" outlineLevel="0" collapsed="false">
      <c r="B431" s="161" t="str">
        <f aca="false">IF($C431="","",COUNTA($C$5:C431))</f>
        <v/>
      </c>
      <c r="H431" s="60"/>
      <c r="I431" s="60"/>
      <c r="L431" s="55" t="str">
        <f aca="false">IF($C431="","",ROUND($J431*0.17,0))</f>
        <v/>
      </c>
      <c r="S431" s="55" t="str">
        <f aca="false">IF($C431="","",ROUND($J431*2.2,0))</f>
        <v/>
      </c>
    </row>
    <row r="432" customFormat="false" ht="15.75" hidden="false" customHeight="true" outlineLevel="0" collapsed="false">
      <c r="B432" s="161" t="str">
        <f aca="false">IF($C432="","",COUNTA($C$5:C432))</f>
        <v/>
      </c>
      <c r="H432" s="60"/>
      <c r="I432" s="60"/>
      <c r="L432" s="55" t="str">
        <f aca="false">IF($C432="","",ROUND($J432*0.17,0))</f>
        <v/>
      </c>
      <c r="S432" s="55" t="str">
        <f aca="false">IF($C432="","",ROUND($J432*2.2,0))</f>
        <v/>
      </c>
    </row>
    <row r="433" customFormat="false" ht="15.75" hidden="false" customHeight="true" outlineLevel="0" collapsed="false">
      <c r="B433" s="161" t="str">
        <f aca="false">IF($C433="","",COUNTA($C$5:C433))</f>
        <v/>
      </c>
      <c r="H433" s="60"/>
      <c r="I433" s="60"/>
      <c r="L433" s="55" t="str">
        <f aca="false">IF($C433="","",ROUND($J433*0.17,0))</f>
        <v/>
      </c>
      <c r="S433" s="55" t="str">
        <f aca="false">IF($C433="","",ROUND($J433*2.2,0))</f>
        <v/>
      </c>
    </row>
    <row r="434" customFormat="false" ht="15.75" hidden="false" customHeight="true" outlineLevel="0" collapsed="false">
      <c r="B434" s="161" t="str">
        <f aca="false">IF($C434="","",COUNTA($C$5:C434))</f>
        <v/>
      </c>
      <c r="H434" s="60"/>
      <c r="I434" s="60"/>
      <c r="L434" s="55" t="str">
        <f aca="false">IF($C434="","",ROUND($J434*0.17,0))</f>
        <v/>
      </c>
      <c r="S434" s="55" t="str">
        <f aca="false">IF($C434="","",ROUND($J434*2.2,0))</f>
        <v/>
      </c>
    </row>
    <row r="435" customFormat="false" ht="15.75" hidden="false" customHeight="true" outlineLevel="0" collapsed="false">
      <c r="B435" s="161" t="str">
        <f aca="false">IF($C435="","",COUNTA($C$5:C435))</f>
        <v/>
      </c>
      <c r="H435" s="60"/>
      <c r="I435" s="60"/>
      <c r="L435" s="55" t="str">
        <f aca="false">IF($C435="","",ROUND($J435*0.17,0))</f>
        <v/>
      </c>
      <c r="S435" s="55" t="str">
        <f aca="false">IF($C435="","",ROUND($J435*2.2,0))</f>
        <v/>
      </c>
    </row>
    <row r="436" customFormat="false" ht="15.75" hidden="false" customHeight="true" outlineLevel="0" collapsed="false">
      <c r="B436" s="161" t="str">
        <f aca="false">IF($C436="","",COUNTA($C$5:C436))</f>
        <v/>
      </c>
      <c r="H436" s="60"/>
      <c r="I436" s="60"/>
      <c r="L436" s="55" t="str">
        <f aca="false">IF($C436="","",ROUND($J436*0.17,0))</f>
        <v/>
      </c>
      <c r="S436" s="55" t="str">
        <f aca="false">IF($C436="","",ROUND($J436*2.2,0))</f>
        <v/>
      </c>
    </row>
    <row r="437" customFormat="false" ht="15.75" hidden="false" customHeight="true" outlineLevel="0" collapsed="false">
      <c r="B437" s="161" t="str">
        <f aca="false">IF($C437="","",COUNTA($C$5:C437))</f>
        <v/>
      </c>
      <c r="H437" s="60"/>
      <c r="I437" s="60"/>
      <c r="L437" s="55" t="str">
        <f aca="false">IF($C437="","",ROUND($J437*0.17,0))</f>
        <v/>
      </c>
      <c r="S437" s="55" t="str">
        <f aca="false">IF($C437="","",ROUND($J437*2.2,0))</f>
        <v/>
      </c>
    </row>
    <row r="438" customFormat="false" ht="15.75" hidden="false" customHeight="true" outlineLevel="0" collapsed="false">
      <c r="B438" s="161" t="str">
        <f aca="false">IF($C438="","",COUNTA($C$5:C438))</f>
        <v/>
      </c>
      <c r="H438" s="60"/>
      <c r="I438" s="60"/>
      <c r="L438" s="55" t="str">
        <f aca="false">IF($C438="","",ROUND($J438*0.17,0))</f>
        <v/>
      </c>
      <c r="S438" s="55" t="str">
        <f aca="false">IF($C438="","",ROUND($J438*2.2,0))</f>
        <v/>
      </c>
    </row>
    <row r="439" customFormat="false" ht="15.75" hidden="false" customHeight="true" outlineLevel="0" collapsed="false">
      <c r="B439" s="161" t="str">
        <f aca="false">IF($C439="","",COUNTA($C$5:C439))</f>
        <v/>
      </c>
      <c r="H439" s="60"/>
      <c r="I439" s="60"/>
      <c r="L439" s="55" t="str">
        <f aca="false">IF($C439="","",ROUND($J439*0.17,0))</f>
        <v/>
      </c>
      <c r="S439" s="55" t="str">
        <f aca="false">IF($C439="","",ROUND($J439*2.2,0))</f>
        <v/>
      </c>
    </row>
    <row r="440" customFormat="false" ht="15.75" hidden="false" customHeight="true" outlineLevel="0" collapsed="false">
      <c r="B440" s="161" t="str">
        <f aca="false">IF($C440="","",COUNTA($C$5:C440))</f>
        <v/>
      </c>
      <c r="H440" s="60"/>
      <c r="I440" s="60"/>
      <c r="L440" s="55" t="str">
        <f aca="false">IF($C440="","",ROUND($J440*0.17,0))</f>
        <v/>
      </c>
      <c r="S440" s="55" t="str">
        <f aca="false">IF($C440="","",ROUND($J440*2.2,0))</f>
        <v/>
      </c>
    </row>
    <row r="441" customFormat="false" ht="15.75" hidden="false" customHeight="true" outlineLevel="0" collapsed="false">
      <c r="B441" s="161" t="str">
        <f aca="false">IF($C441="","",COUNTA($C$5:C441))</f>
        <v/>
      </c>
      <c r="H441" s="60"/>
      <c r="I441" s="60"/>
      <c r="L441" s="55" t="str">
        <f aca="false">IF($C441="","",ROUND($J441*0.17,0))</f>
        <v/>
      </c>
      <c r="S441" s="55" t="str">
        <f aca="false">IF($C441="","",ROUND($J441*2.2,0))</f>
        <v/>
      </c>
    </row>
    <row r="442" customFormat="false" ht="15.75" hidden="false" customHeight="true" outlineLevel="0" collapsed="false">
      <c r="B442" s="161" t="str">
        <f aca="false">IF($C442="","",COUNTA($C$5:C442))</f>
        <v/>
      </c>
      <c r="H442" s="60"/>
      <c r="I442" s="60"/>
      <c r="L442" s="55" t="str">
        <f aca="false">IF($C442="","",ROUND($J442*0.17,0))</f>
        <v/>
      </c>
      <c r="S442" s="55" t="str">
        <f aca="false">IF($C442="","",ROUND($J442*2.2,0))</f>
        <v/>
      </c>
    </row>
    <row r="443" customFormat="false" ht="15.75" hidden="false" customHeight="true" outlineLevel="0" collapsed="false">
      <c r="B443" s="161" t="str">
        <f aca="false">IF($C443="","",COUNTA($C$5:C443))</f>
        <v/>
      </c>
      <c r="H443" s="60"/>
      <c r="I443" s="60"/>
      <c r="L443" s="55" t="str">
        <f aca="false">IF($C443="","",ROUND($J443*0.17,0))</f>
        <v/>
      </c>
      <c r="S443" s="55" t="str">
        <f aca="false">IF($C443="","",ROUND($J443*2.2,0))</f>
        <v/>
      </c>
    </row>
    <row r="444" customFormat="false" ht="15.75" hidden="false" customHeight="true" outlineLevel="0" collapsed="false">
      <c r="B444" s="161" t="str">
        <f aca="false">IF($C444="","",COUNTA($C$5:C444))</f>
        <v/>
      </c>
      <c r="H444" s="60"/>
      <c r="I444" s="60"/>
      <c r="L444" s="55" t="str">
        <f aca="false">IF($C444="","",ROUND($J444*0.17,0))</f>
        <v/>
      </c>
      <c r="S444" s="55" t="str">
        <f aca="false">IF($C444="","",ROUND($J444*2.2,0))</f>
        <v/>
      </c>
    </row>
    <row r="445" customFormat="false" ht="15.75" hidden="false" customHeight="true" outlineLevel="0" collapsed="false">
      <c r="B445" s="161" t="str">
        <f aca="false">IF($C445="","",COUNTA($C$5:C445))</f>
        <v/>
      </c>
      <c r="H445" s="60"/>
      <c r="I445" s="60"/>
      <c r="L445" s="55" t="str">
        <f aca="false">IF($C445="","",ROUND($J445*0.17,0))</f>
        <v/>
      </c>
      <c r="S445" s="55" t="str">
        <f aca="false">IF($C445="","",ROUND($J445*2.2,0))</f>
        <v/>
      </c>
    </row>
    <row r="446" customFormat="false" ht="15.75" hidden="false" customHeight="true" outlineLevel="0" collapsed="false">
      <c r="B446" s="161" t="str">
        <f aca="false">IF($C446="","",COUNTA($C$5:C446))</f>
        <v/>
      </c>
      <c r="H446" s="60"/>
      <c r="I446" s="60"/>
      <c r="L446" s="55" t="str">
        <f aca="false">IF($C446="","",ROUND($J446*0.17,0))</f>
        <v/>
      </c>
      <c r="S446" s="55" t="str">
        <f aca="false">IF($C446="","",ROUND($J446*2.2,0))</f>
        <v/>
      </c>
    </row>
    <row r="447" customFormat="false" ht="15.75" hidden="false" customHeight="true" outlineLevel="0" collapsed="false">
      <c r="B447" s="161" t="str">
        <f aca="false">IF($C447="","",COUNTA($C$5:C447))</f>
        <v/>
      </c>
      <c r="H447" s="60"/>
      <c r="I447" s="60"/>
      <c r="L447" s="55" t="str">
        <f aca="false">IF($C447="","",ROUND($J447*0.17,0))</f>
        <v/>
      </c>
      <c r="S447" s="55" t="str">
        <f aca="false">IF($C447="","",ROUND($J447*2.2,0))</f>
        <v/>
      </c>
    </row>
    <row r="448" customFormat="false" ht="15.75" hidden="false" customHeight="true" outlineLevel="0" collapsed="false">
      <c r="B448" s="161" t="str">
        <f aca="false">IF($C448="","",COUNTA($C$5:C448))</f>
        <v/>
      </c>
      <c r="H448" s="60"/>
      <c r="I448" s="60"/>
      <c r="L448" s="55" t="str">
        <f aca="false">IF($C448="","",ROUND($J448*0.17,0))</f>
        <v/>
      </c>
      <c r="S448" s="55" t="str">
        <f aca="false">IF($C448="","",ROUND($J448*2.2,0))</f>
        <v/>
      </c>
    </row>
    <row r="449" customFormat="false" ht="15.75" hidden="false" customHeight="true" outlineLevel="0" collapsed="false">
      <c r="B449" s="161" t="str">
        <f aca="false">IF($C449="","",COUNTA($C$5:C449))</f>
        <v/>
      </c>
      <c r="H449" s="60"/>
      <c r="I449" s="60"/>
      <c r="L449" s="55" t="str">
        <f aca="false">IF($C449="","",ROUND($J449*0.17,0))</f>
        <v/>
      </c>
      <c r="S449" s="55" t="str">
        <f aca="false">IF($C449="","",ROUND($J449*2.2,0))</f>
        <v/>
      </c>
    </row>
    <row r="450" customFormat="false" ht="15.75" hidden="false" customHeight="true" outlineLevel="0" collapsed="false">
      <c r="B450" s="161" t="str">
        <f aca="false">IF($C450="","",COUNTA($C$5:C450))</f>
        <v/>
      </c>
      <c r="H450" s="60"/>
      <c r="I450" s="60"/>
      <c r="L450" s="55" t="str">
        <f aca="false">IF($C450="","",ROUND($J450*0.17,0))</f>
        <v/>
      </c>
      <c r="S450" s="55" t="str">
        <f aca="false">IF($C450="","",ROUND($J450*2.2,0))</f>
        <v/>
      </c>
    </row>
    <row r="451" customFormat="false" ht="15.75" hidden="false" customHeight="true" outlineLevel="0" collapsed="false">
      <c r="B451" s="161" t="str">
        <f aca="false">IF($C451="","",COUNTA($C$5:C451))</f>
        <v/>
      </c>
      <c r="H451" s="60"/>
      <c r="I451" s="60"/>
      <c r="L451" s="55" t="str">
        <f aca="false">IF($C451="","",ROUND($J451*0.17,0))</f>
        <v/>
      </c>
      <c r="S451" s="55" t="str">
        <f aca="false">IF($C451="","",ROUND($J451*2.2,0))</f>
        <v/>
      </c>
    </row>
    <row r="452" customFormat="false" ht="15.75" hidden="false" customHeight="true" outlineLevel="0" collapsed="false">
      <c r="B452" s="161" t="str">
        <f aca="false">IF($C452="","",COUNTA($C$5:C452))</f>
        <v/>
      </c>
      <c r="H452" s="60"/>
      <c r="I452" s="60"/>
      <c r="L452" s="55" t="str">
        <f aca="false">IF($C452="","",ROUND($J452*0.17,0))</f>
        <v/>
      </c>
      <c r="S452" s="55" t="str">
        <f aca="false">IF($C452="","",ROUND($J452*2.2,0))</f>
        <v/>
      </c>
    </row>
    <row r="453" customFormat="false" ht="15.75" hidden="false" customHeight="true" outlineLevel="0" collapsed="false">
      <c r="B453" s="161" t="str">
        <f aca="false">IF($C453="","",COUNTA($C$5:C453))</f>
        <v/>
      </c>
      <c r="H453" s="60"/>
      <c r="I453" s="60"/>
      <c r="L453" s="55" t="str">
        <f aca="false">IF($C453="","",ROUND($J453*0.17,0))</f>
        <v/>
      </c>
      <c r="S453" s="55" t="str">
        <f aca="false">IF($C453="","",ROUND($J453*2.2,0))</f>
        <v/>
      </c>
    </row>
    <row r="454" customFormat="false" ht="15.75" hidden="false" customHeight="true" outlineLevel="0" collapsed="false">
      <c r="B454" s="161" t="str">
        <f aca="false">IF($C454="","",COUNTA($C$5:C454))</f>
        <v/>
      </c>
      <c r="H454" s="60"/>
      <c r="I454" s="60"/>
      <c r="L454" s="55" t="str">
        <f aca="false">IF($C454="","",ROUND($J454*0.17,0))</f>
        <v/>
      </c>
      <c r="S454" s="55" t="str">
        <f aca="false">IF($C454="","",ROUND($J454*2.2,0))</f>
        <v/>
      </c>
    </row>
    <row r="455" customFormat="false" ht="15.75" hidden="false" customHeight="true" outlineLevel="0" collapsed="false">
      <c r="B455" s="161" t="str">
        <f aca="false">IF($C455="","",COUNTA($C$5:C455))</f>
        <v/>
      </c>
      <c r="H455" s="60"/>
      <c r="I455" s="60"/>
      <c r="L455" s="55" t="str">
        <f aca="false">IF($C455="","",ROUND($J455*0.17,0))</f>
        <v/>
      </c>
      <c r="S455" s="55" t="str">
        <f aca="false">IF($C455="","",ROUND($J455*2.2,0))</f>
        <v/>
      </c>
    </row>
    <row r="456" customFormat="false" ht="15.75" hidden="false" customHeight="true" outlineLevel="0" collapsed="false">
      <c r="B456" s="161" t="str">
        <f aca="false">IF($C456="","",COUNTA($C$5:C456))</f>
        <v/>
      </c>
      <c r="H456" s="60"/>
      <c r="I456" s="60"/>
      <c r="L456" s="55" t="str">
        <f aca="false">IF($C456="","",ROUND($J456*0.17,0))</f>
        <v/>
      </c>
      <c r="S456" s="55" t="str">
        <f aca="false">IF($C456="","",ROUND($J456*2.2,0))</f>
        <v/>
      </c>
    </row>
    <row r="457" customFormat="false" ht="15.75" hidden="false" customHeight="true" outlineLevel="0" collapsed="false">
      <c r="B457" s="161" t="str">
        <f aca="false">IF($C457="","",COUNTA($C$5:C457))</f>
        <v/>
      </c>
      <c r="H457" s="60"/>
      <c r="I457" s="60"/>
      <c r="L457" s="55" t="str">
        <f aca="false">IF($C457="","",ROUND($J457*0.17,0))</f>
        <v/>
      </c>
      <c r="S457" s="55" t="str">
        <f aca="false">IF($C457="","",ROUND($J457*2.2,0))</f>
        <v/>
      </c>
    </row>
    <row r="458" customFormat="false" ht="15.75" hidden="false" customHeight="true" outlineLevel="0" collapsed="false">
      <c r="B458" s="161" t="str">
        <f aca="false">IF($C458="","",COUNTA($C$5:C458))</f>
        <v/>
      </c>
      <c r="H458" s="60"/>
      <c r="I458" s="60"/>
      <c r="L458" s="55" t="str">
        <f aca="false">IF($C458="","",ROUND($J458*0.17,0))</f>
        <v/>
      </c>
      <c r="S458" s="55" t="str">
        <f aca="false">IF($C458="","",ROUND($J458*2.2,0))</f>
        <v/>
      </c>
    </row>
    <row r="459" customFormat="false" ht="15.75" hidden="false" customHeight="true" outlineLevel="0" collapsed="false">
      <c r="B459" s="161" t="str">
        <f aca="false">IF($C459="","",COUNTA($C$5:C459))</f>
        <v/>
      </c>
      <c r="H459" s="60"/>
      <c r="I459" s="60"/>
      <c r="L459" s="55" t="str">
        <f aca="false">IF($C459="","",ROUND($J459*0.17,0))</f>
        <v/>
      </c>
      <c r="S459" s="55" t="str">
        <f aca="false">IF($C459="","",ROUND($J459*2.2,0))</f>
        <v/>
      </c>
    </row>
    <row r="460" customFormat="false" ht="15.75" hidden="false" customHeight="true" outlineLevel="0" collapsed="false">
      <c r="B460" s="161" t="str">
        <f aca="false">IF($C460="","",COUNTA($C$5:C460))</f>
        <v/>
      </c>
      <c r="H460" s="60"/>
      <c r="I460" s="60"/>
      <c r="L460" s="55" t="str">
        <f aca="false">IF($C460="","",ROUND($J460*0.17,0))</f>
        <v/>
      </c>
      <c r="S460" s="55" t="str">
        <f aca="false">IF($C460="","",ROUND($J460*2.2,0))</f>
        <v/>
      </c>
    </row>
    <row r="461" customFormat="false" ht="15.75" hidden="false" customHeight="true" outlineLevel="0" collapsed="false">
      <c r="B461" s="161" t="str">
        <f aca="false">IF($C461="","",COUNTA($C$5:C461))</f>
        <v/>
      </c>
      <c r="H461" s="60"/>
      <c r="I461" s="60"/>
      <c r="L461" s="55" t="str">
        <f aca="false">IF($C461="","",ROUND($J461*0.17,0))</f>
        <v/>
      </c>
      <c r="S461" s="55" t="str">
        <f aca="false">IF($C461="","",ROUND($J461*2.2,0))</f>
        <v/>
      </c>
    </row>
    <row r="462" customFormat="false" ht="15.75" hidden="false" customHeight="true" outlineLevel="0" collapsed="false">
      <c r="B462" s="161" t="str">
        <f aca="false">IF($C462="","",COUNTA($C$5:C462))</f>
        <v/>
      </c>
      <c r="H462" s="60"/>
      <c r="I462" s="60"/>
      <c r="L462" s="55" t="str">
        <f aca="false">IF($C462="","",ROUND($J462*0.17,0))</f>
        <v/>
      </c>
      <c r="S462" s="55" t="str">
        <f aca="false">IF($C462="","",ROUND($J462*2.2,0))</f>
        <v/>
      </c>
    </row>
    <row r="463" customFormat="false" ht="15.75" hidden="false" customHeight="true" outlineLevel="0" collapsed="false">
      <c r="B463" s="161" t="str">
        <f aca="false">IF($C463="","",COUNTA($C$5:C463))</f>
        <v/>
      </c>
      <c r="H463" s="60"/>
      <c r="I463" s="60"/>
      <c r="L463" s="55" t="str">
        <f aca="false">IF($C463="","",ROUND($J463*0.17,0))</f>
        <v/>
      </c>
      <c r="S463" s="55" t="str">
        <f aca="false">IF($C463="","",ROUND($J463*2.2,0))</f>
        <v/>
      </c>
    </row>
    <row r="464" customFormat="false" ht="15.75" hidden="false" customHeight="true" outlineLevel="0" collapsed="false">
      <c r="B464" s="161" t="str">
        <f aca="false">IF($C464="","",COUNTA($C$5:C464))</f>
        <v/>
      </c>
      <c r="H464" s="60"/>
      <c r="I464" s="60"/>
      <c r="L464" s="55" t="str">
        <f aca="false">IF($C464="","",ROUND($J464*0.17,0))</f>
        <v/>
      </c>
      <c r="S464" s="55" t="str">
        <f aca="false">IF($C464="","",ROUND($J464*2.2,0))</f>
        <v/>
      </c>
    </row>
    <row r="465" customFormat="false" ht="15.75" hidden="false" customHeight="true" outlineLevel="0" collapsed="false">
      <c r="B465" s="161" t="str">
        <f aca="false">IF($C465="","",COUNTA($C$5:C465))</f>
        <v/>
      </c>
      <c r="H465" s="60"/>
      <c r="I465" s="60"/>
      <c r="L465" s="55" t="str">
        <f aca="false">IF($C465="","",ROUND($J465*0.17,0))</f>
        <v/>
      </c>
      <c r="S465" s="55" t="str">
        <f aca="false">IF($C465="","",ROUND($J465*2.2,0))</f>
        <v/>
      </c>
    </row>
    <row r="466" customFormat="false" ht="15.75" hidden="false" customHeight="true" outlineLevel="0" collapsed="false">
      <c r="B466" s="161" t="str">
        <f aca="false">IF($C466="","",COUNTA($C$5:C466))</f>
        <v/>
      </c>
      <c r="H466" s="60"/>
      <c r="I466" s="60"/>
      <c r="L466" s="55" t="str">
        <f aca="false">IF($C466="","",ROUND($J466*0.17,0))</f>
        <v/>
      </c>
      <c r="S466" s="55" t="str">
        <f aca="false">IF($C466="","",ROUND($J466*2.2,0))</f>
        <v/>
      </c>
    </row>
    <row r="467" customFormat="false" ht="15.75" hidden="false" customHeight="true" outlineLevel="0" collapsed="false">
      <c r="B467" s="161" t="str">
        <f aca="false">IF($C467="","",COUNTA($C$5:C467))</f>
        <v/>
      </c>
      <c r="H467" s="60"/>
      <c r="I467" s="60"/>
      <c r="L467" s="55" t="str">
        <f aca="false">IF($C467="","",ROUND($J467*0.17,0))</f>
        <v/>
      </c>
      <c r="S467" s="55" t="str">
        <f aca="false">IF($C467="","",ROUND($J467*2.2,0))</f>
        <v/>
      </c>
    </row>
    <row r="468" customFormat="false" ht="15.75" hidden="false" customHeight="true" outlineLevel="0" collapsed="false">
      <c r="B468" s="161" t="str">
        <f aca="false">IF($C468="","",COUNTA($C$5:C468))</f>
        <v/>
      </c>
      <c r="H468" s="60"/>
      <c r="I468" s="60"/>
      <c r="L468" s="55" t="str">
        <f aca="false">IF($C468="","",ROUND($J468*0.17,0))</f>
        <v/>
      </c>
      <c r="S468" s="55" t="str">
        <f aca="false">IF($C468="","",ROUND($J468*2.2,0))</f>
        <v/>
      </c>
    </row>
    <row r="469" customFormat="false" ht="15.75" hidden="false" customHeight="true" outlineLevel="0" collapsed="false">
      <c r="B469" s="161" t="str">
        <f aca="false">IF($C469="","",COUNTA($C$5:C469))</f>
        <v/>
      </c>
      <c r="H469" s="60"/>
      <c r="I469" s="60"/>
      <c r="L469" s="55" t="str">
        <f aca="false">IF($C469="","",ROUND($J469*0.17,0))</f>
        <v/>
      </c>
      <c r="S469" s="55" t="str">
        <f aca="false">IF($C469="","",ROUND($J469*2.2,0))</f>
        <v/>
      </c>
    </row>
    <row r="470" customFormat="false" ht="15.75" hidden="false" customHeight="true" outlineLevel="0" collapsed="false">
      <c r="B470" s="161" t="str">
        <f aca="false">IF($C470="","",COUNTA($C$5:C470))</f>
        <v/>
      </c>
      <c r="H470" s="60"/>
      <c r="I470" s="60"/>
      <c r="L470" s="55" t="str">
        <f aca="false">IF($C470="","",ROUND($J470*0.17,0))</f>
        <v/>
      </c>
      <c r="S470" s="55" t="str">
        <f aca="false">IF($C470="","",ROUND($J470*2.2,0))</f>
        <v/>
      </c>
    </row>
    <row r="471" customFormat="false" ht="15.75" hidden="false" customHeight="true" outlineLevel="0" collapsed="false">
      <c r="B471" s="161" t="str">
        <f aca="false">IF($C471="","",COUNTA($C$5:C471))</f>
        <v/>
      </c>
      <c r="H471" s="60"/>
      <c r="I471" s="60"/>
      <c r="L471" s="55" t="str">
        <f aca="false">IF($C471="","",ROUND($J471*0.17,0))</f>
        <v/>
      </c>
      <c r="S471" s="55" t="str">
        <f aca="false">IF($C471="","",ROUND($J471*2.2,0))</f>
        <v/>
      </c>
    </row>
    <row r="472" customFormat="false" ht="15.75" hidden="false" customHeight="true" outlineLevel="0" collapsed="false">
      <c r="B472" s="161" t="str">
        <f aca="false">IF($C472="","",COUNTA($C$5:C472))</f>
        <v/>
      </c>
      <c r="H472" s="60"/>
      <c r="I472" s="60"/>
      <c r="L472" s="55" t="str">
        <f aca="false">IF($C472="","",ROUND($J472*0.17,0))</f>
        <v/>
      </c>
      <c r="S472" s="55" t="str">
        <f aca="false">IF($C472="","",ROUND($J472*2.2,0))</f>
        <v/>
      </c>
    </row>
    <row r="473" customFormat="false" ht="15.75" hidden="false" customHeight="true" outlineLevel="0" collapsed="false">
      <c r="B473" s="161" t="str">
        <f aca="false">IF($C473="","",COUNTA($C$5:C473))</f>
        <v/>
      </c>
      <c r="H473" s="60"/>
      <c r="I473" s="60"/>
      <c r="L473" s="55" t="str">
        <f aca="false">IF($C473="","",ROUND($J473*0.17,0))</f>
        <v/>
      </c>
      <c r="S473" s="55" t="str">
        <f aca="false">IF($C473="","",ROUND($J473*2.2,0))</f>
        <v/>
      </c>
    </row>
    <row r="474" customFormat="false" ht="15.75" hidden="false" customHeight="true" outlineLevel="0" collapsed="false">
      <c r="B474" s="161" t="str">
        <f aca="false">IF($C474="","",COUNTA($C$5:C474))</f>
        <v/>
      </c>
      <c r="H474" s="60"/>
      <c r="I474" s="60"/>
      <c r="L474" s="55" t="str">
        <f aca="false">IF($C474="","",ROUND($J474*0.17,0))</f>
        <v/>
      </c>
      <c r="S474" s="55" t="str">
        <f aca="false">IF($C474="","",ROUND($J474*2.2,0))</f>
        <v/>
      </c>
    </row>
    <row r="475" customFormat="false" ht="15.75" hidden="false" customHeight="true" outlineLevel="0" collapsed="false">
      <c r="B475" s="161" t="str">
        <f aca="false">IF($C475="","",COUNTA($C$5:C475))</f>
        <v/>
      </c>
      <c r="H475" s="60"/>
      <c r="I475" s="60"/>
      <c r="L475" s="55" t="str">
        <f aca="false">IF($C475="","",ROUND($J475*0.17,0))</f>
        <v/>
      </c>
      <c r="S475" s="55" t="str">
        <f aca="false">IF($C475="","",ROUND($J475*2.2,0))</f>
        <v/>
      </c>
    </row>
    <row r="476" customFormat="false" ht="15.75" hidden="false" customHeight="true" outlineLevel="0" collapsed="false">
      <c r="B476" s="161" t="str">
        <f aca="false">IF($C476="","",COUNTA($C$5:C476))</f>
        <v/>
      </c>
      <c r="H476" s="60"/>
      <c r="I476" s="60"/>
      <c r="L476" s="55" t="str">
        <f aca="false">IF($C476="","",ROUND($J476*0.17,0))</f>
        <v/>
      </c>
      <c r="S476" s="55" t="str">
        <f aca="false">IF($C476="","",ROUND($J476*2.2,0))</f>
        <v/>
      </c>
    </row>
    <row r="477" customFormat="false" ht="15.75" hidden="false" customHeight="true" outlineLevel="0" collapsed="false">
      <c r="B477" s="161" t="str">
        <f aca="false">IF($C477="","",COUNTA($C$5:C477))</f>
        <v/>
      </c>
      <c r="H477" s="60"/>
      <c r="I477" s="60"/>
      <c r="L477" s="55" t="str">
        <f aca="false">IF($C477="","",ROUND($J477*0.17,0))</f>
        <v/>
      </c>
      <c r="S477" s="55" t="str">
        <f aca="false">IF($C477="","",ROUND($J477*2.2,0))</f>
        <v/>
      </c>
    </row>
    <row r="478" customFormat="false" ht="15.75" hidden="false" customHeight="true" outlineLevel="0" collapsed="false">
      <c r="B478" s="161" t="str">
        <f aca="false">IF($C478="","",COUNTA($C$5:C478))</f>
        <v/>
      </c>
      <c r="H478" s="60"/>
      <c r="I478" s="60"/>
      <c r="L478" s="55" t="str">
        <f aca="false">IF($C478="","",ROUND($J478*0.17,0))</f>
        <v/>
      </c>
      <c r="S478" s="55" t="str">
        <f aca="false">IF($C478="","",ROUND($J478*2.2,0))</f>
        <v/>
      </c>
    </row>
    <row r="479" customFormat="false" ht="15.75" hidden="false" customHeight="true" outlineLevel="0" collapsed="false">
      <c r="B479" s="161" t="str">
        <f aca="false">IF($C479="","",COUNTA($C$5:C479))</f>
        <v/>
      </c>
      <c r="H479" s="60"/>
      <c r="I479" s="60"/>
      <c r="L479" s="55" t="str">
        <f aca="false">IF($C479="","",ROUND($J479*0.17,0))</f>
        <v/>
      </c>
      <c r="S479" s="55" t="str">
        <f aca="false">IF($C479="","",ROUND($J479*2.2,0))</f>
        <v/>
      </c>
    </row>
    <row r="480" customFormat="false" ht="15.75" hidden="false" customHeight="true" outlineLevel="0" collapsed="false">
      <c r="B480" s="161" t="str">
        <f aca="false">IF($C480="","",COUNTA($C$5:C480))</f>
        <v/>
      </c>
      <c r="H480" s="60"/>
      <c r="I480" s="60"/>
      <c r="L480" s="55" t="str">
        <f aca="false">IF($C480="","",ROUND($J480*0.17,0))</f>
        <v/>
      </c>
      <c r="S480" s="55" t="str">
        <f aca="false">IF($C480="","",ROUND($J480*2.2,0))</f>
        <v/>
      </c>
    </row>
    <row r="481" customFormat="false" ht="15.75" hidden="false" customHeight="true" outlineLevel="0" collapsed="false">
      <c r="B481" s="161" t="str">
        <f aca="false">IF($C481="","",COUNTA($C$5:C481))</f>
        <v/>
      </c>
      <c r="H481" s="60"/>
      <c r="I481" s="60"/>
      <c r="L481" s="55" t="str">
        <f aca="false">IF($C481="","",ROUND($J481*0.17,0))</f>
        <v/>
      </c>
      <c r="S481" s="55" t="str">
        <f aca="false">IF($C481="","",ROUND($J481*2.2,0))</f>
        <v/>
      </c>
    </row>
    <row r="482" customFormat="false" ht="15.75" hidden="false" customHeight="true" outlineLevel="0" collapsed="false">
      <c r="B482" s="161" t="str">
        <f aca="false">IF($C482="","",COUNTA($C$5:C482))</f>
        <v/>
      </c>
      <c r="H482" s="60"/>
      <c r="I482" s="60"/>
      <c r="L482" s="55" t="str">
        <f aca="false">IF($C482="","",ROUND($J482*0.17,0))</f>
        <v/>
      </c>
      <c r="S482" s="55" t="str">
        <f aca="false">IF($C482="","",ROUND($J482*2.2,0))</f>
        <v/>
      </c>
    </row>
    <row r="483" customFormat="false" ht="15.75" hidden="false" customHeight="true" outlineLevel="0" collapsed="false">
      <c r="B483" s="161" t="str">
        <f aca="false">IF($C483="","",COUNTA($C$5:C483))</f>
        <v/>
      </c>
      <c r="H483" s="60"/>
      <c r="I483" s="60"/>
      <c r="L483" s="55" t="str">
        <f aca="false">IF($C483="","",ROUND($J483*0.17,0))</f>
        <v/>
      </c>
      <c r="S483" s="55" t="str">
        <f aca="false">IF($C483="","",ROUND($J483*2.2,0))</f>
        <v/>
      </c>
    </row>
    <row r="484" customFormat="false" ht="15.75" hidden="false" customHeight="true" outlineLevel="0" collapsed="false">
      <c r="B484" s="161" t="str">
        <f aca="false">IF($C484="","",COUNTA($C$5:C484))</f>
        <v/>
      </c>
      <c r="H484" s="60"/>
      <c r="I484" s="60"/>
      <c r="L484" s="55" t="str">
        <f aca="false">IF($C484="","",ROUND($J484*0.17,0))</f>
        <v/>
      </c>
      <c r="S484" s="55" t="str">
        <f aca="false">IF($C484="","",ROUND($J484*2.2,0))</f>
        <v/>
      </c>
    </row>
    <row r="485" customFormat="false" ht="15.75" hidden="false" customHeight="true" outlineLevel="0" collapsed="false">
      <c r="B485" s="161" t="str">
        <f aca="false">IF($C485="","",COUNTA($C$5:C485))</f>
        <v/>
      </c>
      <c r="H485" s="60"/>
      <c r="I485" s="60"/>
      <c r="L485" s="55" t="str">
        <f aca="false">IF($C485="","",ROUND($J485*0.17,0))</f>
        <v/>
      </c>
      <c r="S485" s="55" t="str">
        <f aca="false">IF($C485="","",ROUND($J485*2.2,0))</f>
        <v/>
      </c>
    </row>
    <row r="486" customFormat="false" ht="15.75" hidden="false" customHeight="true" outlineLevel="0" collapsed="false">
      <c r="B486" s="161" t="str">
        <f aca="false">IF($C486="","",COUNTA($C$5:C486))</f>
        <v/>
      </c>
      <c r="H486" s="60"/>
      <c r="I486" s="60"/>
      <c r="L486" s="55" t="str">
        <f aca="false">IF($C486="","",ROUND($J486*0.17,0))</f>
        <v/>
      </c>
      <c r="S486" s="55" t="str">
        <f aca="false">IF($C486="","",ROUND($J486*2.2,0))</f>
        <v/>
      </c>
    </row>
    <row r="487" customFormat="false" ht="15.75" hidden="false" customHeight="true" outlineLevel="0" collapsed="false">
      <c r="B487" s="161" t="str">
        <f aca="false">IF($C487="","",COUNTA($C$5:C487))</f>
        <v/>
      </c>
      <c r="H487" s="60"/>
      <c r="I487" s="60"/>
      <c r="L487" s="55" t="str">
        <f aca="false">IF($C487="","",ROUND($J487*0.17,0))</f>
        <v/>
      </c>
      <c r="S487" s="55" t="str">
        <f aca="false">IF($C487="","",ROUND($J487*2.2,0))</f>
        <v/>
      </c>
    </row>
    <row r="488" customFormat="false" ht="15.75" hidden="false" customHeight="true" outlineLevel="0" collapsed="false">
      <c r="B488" s="161" t="str">
        <f aca="false">IF($C488="","",COUNTA($C$5:C488))</f>
        <v/>
      </c>
      <c r="H488" s="60"/>
      <c r="I488" s="60"/>
      <c r="L488" s="55" t="str">
        <f aca="false">IF($C488="","",ROUND($J488*0.17,0))</f>
        <v/>
      </c>
      <c r="S488" s="55" t="str">
        <f aca="false">IF($C488="","",ROUND($J488*2.2,0))</f>
        <v/>
      </c>
    </row>
    <row r="489" customFormat="false" ht="15.75" hidden="false" customHeight="true" outlineLevel="0" collapsed="false">
      <c r="B489" s="161" t="str">
        <f aca="false">IF($C489="","",COUNTA($C$5:C489))</f>
        <v/>
      </c>
      <c r="H489" s="60"/>
      <c r="I489" s="60"/>
      <c r="L489" s="55" t="str">
        <f aca="false">IF($C489="","",ROUND($J489*0.17,0))</f>
        <v/>
      </c>
      <c r="S489" s="55" t="str">
        <f aca="false">IF($C489="","",ROUND($J489*2.2,0))</f>
        <v/>
      </c>
    </row>
    <row r="490" customFormat="false" ht="15.75" hidden="false" customHeight="true" outlineLevel="0" collapsed="false">
      <c r="B490" s="161" t="str">
        <f aca="false">IF($C490="","",COUNTA($C$5:C490))</f>
        <v/>
      </c>
      <c r="H490" s="60"/>
      <c r="I490" s="60"/>
      <c r="L490" s="55" t="str">
        <f aca="false">IF($C490="","",ROUND($J490*0.17,0))</f>
        <v/>
      </c>
      <c r="S490" s="55" t="str">
        <f aca="false">IF($C490="","",ROUND($J490*2.2,0))</f>
        <v/>
      </c>
    </row>
    <row r="491" customFormat="false" ht="15.75" hidden="false" customHeight="true" outlineLevel="0" collapsed="false">
      <c r="B491" s="161" t="str">
        <f aca="false">IF($C491="","",COUNTA($C$5:C491))</f>
        <v/>
      </c>
      <c r="H491" s="60"/>
      <c r="I491" s="60"/>
      <c r="L491" s="55" t="str">
        <f aca="false">IF($C491="","",ROUND($J491*0.17,0))</f>
        <v/>
      </c>
      <c r="S491" s="55" t="str">
        <f aca="false">IF($C491="","",ROUND($J491*2.2,0))</f>
        <v/>
      </c>
    </row>
    <row r="492" customFormat="false" ht="15.75" hidden="false" customHeight="true" outlineLevel="0" collapsed="false">
      <c r="B492" s="161" t="str">
        <f aca="false">IF($C492="","",COUNTA($C$5:C492))</f>
        <v/>
      </c>
      <c r="H492" s="60"/>
      <c r="I492" s="60"/>
      <c r="L492" s="55" t="str">
        <f aca="false">IF($C492="","",ROUND($J492*0.17,0))</f>
        <v/>
      </c>
      <c r="S492" s="55" t="str">
        <f aca="false">IF($C492="","",ROUND($J492*2.2,0))</f>
        <v/>
      </c>
    </row>
    <row r="493" customFormat="false" ht="15.75" hidden="false" customHeight="true" outlineLevel="0" collapsed="false">
      <c r="B493" s="161" t="str">
        <f aca="false">IF($C493="","",COUNTA($C$5:C493))</f>
        <v/>
      </c>
      <c r="H493" s="60"/>
      <c r="I493" s="60"/>
      <c r="L493" s="55" t="str">
        <f aca="false">IF($C493="","",ROUND($J493*0.17,0))</f>
        <v/>
      </c>
      <c r="S493" s="55" t="str">
        <f aca="false">IF($C493="","",ROUND($J493*2.2,0))</f>
        <v/>
      </c>
    </row>
    <row r="494" customFormat="false" ht="15.75" hidden="false" customHeight="true" outlineLevel="0" collapsed="false">
      <c r="B494" s="161" t="str">
        <f aca="false">IF($C494="","",COUNTA($C$5:C494))</f>
        <v/>
      </c>
      <c r="H494" s="60"/>
      <c r="I494" s="60"/>
      <c r="L494" s="55" t="str">
        <f aca="false">IF($C494="","",ROUND($J494*0.17,0))</f>
        <v/>
      </c>
      <c r="S494" s="55" t="str">
        <f aca="false">IF($C494="","",ROUND($J494*2.2,0))</f>
        <v/>
      </c>
    </row>
    <row r="495" customFormat="false" ht="15.75" hidden="false" customHeight="true" outlineLevel="0" collapsed="false">
      <c r="B495" s="161" t="str">
        <f aca="false">IF($C495="","",COUNTA($C$5:C495))</f>
        <v/>
      </c>
      <c r="H495" s="60"/>
      <c r="I495" s="60"/>
      <c r="L495" s="55" t="str">
        <f aca="false">IF($C495="","",ROUND($J495*0.17,0))</f>
        <v/>
      </c>
      <c r="S495" s="55" t="str">
        <f aca="false">IF($C495="","",ROUND($J495*2.2,0))</f>
        <v/>
      </c>
    </row>
    <row r="496" customFormat="false" ht="15.75" hidden="false" customHeight="true" outlineLevel="0" collapsed="false">
      <c r="B496" s="161" t="str">
        <f aca="false">IF($C496="","",COUNTA($C$5:C496))</f>
        <v/>
      </c>
      <c r="H496" s="60"/>
      <c r="I496" s="60"/>
      <c r="L496" s="55" t="str">
        <f aca="false">IF($C496="","",ROUND($J496*0.17,0))</f>
        <v/>
      </c>
      <c r="S496" s="55" t="str">
        <f aca="false">IF($C496="","",ROUND($J496*2.2,0))</f>
        <v/>
      </c>
    </row>
    <row r="497" customFormat="false" ht="15.75" hidden="false" customHeight="true" outlineLevel="0" collapsed="false">
      <c r="B497" s="161" t="str">
        <f aca="false">IF($C497="","",COUNTA($C$5:C497))</f>
        <v/>
      </c>
      <c r="H497" s="60"/>
      <c r="I497" s="60"/>
      <c r="L497" s="55" t="str">
        <f aca="false">IF($C497="","",ROUND($J497*0.17,0))</f>
        <v/>
      </c>
      <c r="S497" s="55" t="str">
        <f aca="false">IF($C497="","",ROUND($J497*2.2,0))</f>
        <v/>
      </c>
    </row>
    <row r="498" customFormat="false" ht="15.75" hidden="false" customHeight="true" outlineLevel="0" collapsed="false">
      <c r="B498" s="161" t="str">
        <f aca="false">IF($C498="","",COUNTA($C$5:C498))</f>
        <v/>
      </c>
      <c r="H498" s="60"/>
      <c r="I498" s="60"/>
      <c r="L498" s="55" t="str">
        <f aca="false">IF($C498="","",ROUND($J498*0.17,0))</f>
        <v/>
      </c>
      <c r="S498" s="55" t="str">
        <f aca="false">IF($C498="","",ROUND($J498*2.2,0))</f>
        <v/>
      </c>
    </row>
    <row r="499" customFormat="false" ht="15.75" hidden="false" customHeight="true" outlineLevel="0" collapsed="false">
      <c r="B499" s="161" t="str">
        <f aca="false">IF($C499="","",COUNTA($C$5:C499))</f>
        <v/>
      </c>
      <c r="H499" s="60"/>
      <c r="I499" s="60"/>
      <c r="L499" s="55" t="str">
        <f aca="false">IF($C499="","",ROUND($J499*0.17,0))</f>
        <v/>
      </c>
      <c r="S499" s="55" t="str">
        <f aca="false">IF($C499="","",ROUND($J499*2.2,0))</f>
        <v/>
      </c>
    </row>
    <row r="500" customFormat="false" ht="15.75" hidden="false" customHeight="true" outlineLevel="0" collapsed="false">
      <c r="B500" s="161" t="str">
        <f aca="false">IF($C500="","",COUNTA($C$5:C500))</f>
        <v/>
      </c>
      <c r="H500" s="60"/>
      <c r="I500" s="60"/>
      <c r="L500" s="55" t="str">
        <f aca="false">IF($C500="","",ROUND($J500*0.17,0))</f>
        <v/>
      </c>
      <c r="S500" s="55" t="str">
        <f aca="false">IF($C500="","",ROUND($J500*2.2,0))</f>
        <v/>
      </c>
    </row>
    <row r="501" customFormat="false" ht="15.75" hidden="false" customHeight="true" outlineLevel="0" collapsed="false">
      <c r="B501" s="60"/>
      <c r="H501" s="60"/>
      <c r="I501" s="60"/>
    </row>
    <row r="502" customFormat="false" ht="15.75" hidden="false" customHeight="true" outlineLevel="0" collapsed="false">
      <c r="B502" s="60"/>
      <c r="H502" s="60"/>
      <c r="I502" s="60"/>
    </row>
    <row r="503" customFormat="false" ht="15.75" hidden="false" customHeight="true" outlineLevel="0" collapsed="false">
      <c r="B503" s="60"/>
      <c r="H503" s="60"/>
      <c r="I503" s="60"/>
    </row>
    <row r="504" customFormat="false" ht="15.75" hidden="false" customHeight="true" outlineLevel="0" collapsed="false">
      <c r="B504" s="60"/>
      <c r="H504" s="60"/>
      <c r="I504" s="60"/>
    </row>
    <row r="505" customFormat="false" ht="15.75" hidden="false" customHeight="true" outlineLevel="0" collapsed="false">
      <c r="B505" s="60"/>
      <c r="H505" s="60"/>
      <c r="I505" s="60"/>
    </row>
    <row r="506" customFormat="false" ht="15.75" hidden="false" customHeight="true" outlineLevel="0" collapsed="false">
      <c r="B506" s="60"/>
      <c r="H506" s="60"/>
      <c r="I506" s="60"/>
    </row>
    <row r="507" customFormat="false" ht="15.75" hidden="false" customHeight="true" outlineLevel="0" collapsed="false">
      <c r="B507" s="60"/>
      <c r="H507" s="60"/>
      <c r="I507" s="60"/>
    </row>
    <row r="508" customFormat="false" ht="15.75" hidden="false" customHeight="true" outlineLevel="0" collapsed="false">
      <c r="B508" s="60"/>
      <c r="H508" s="60"/>
      <c r="I508" s="60"/>
    </row>
    <row r="509" customFormat="false" ht="15.75" hidden="false" customHeight="true" outlineLevel="0" collapsed="false">
      <c r="B509" s="60"/>
      <c r="H509" s="60"/>
      <c r="I509" s="60"/>
    </row>
    <row r="510" customFormat="false" ht="15.75" hidden="false" customHeight="true" outlineLevel="0" collapsed="false">
      <c r="B510" s="60"/>
      <c r="H510" s="60"/>
      <c r="I510" s="60"/>
    </row>
    <row r="511" customFormat="false" ht="15.75" hidden="false" customHeight="true" outlineLevel="0" collapsed="false">
      <c r="B511" s="60"/>
      <c r="H511" s="60"/>
      <c r="I511" s="60"/>
    </row>
    <row r="512" customFormat="false" ht="15.75" hidden="false" customHeight="true" outlineLevel="0" collapsed="false">
      <c r="B512" s="60"/>
      <c r="H512" s="60"/>
      <c r="I512" s="60"/>
    </row>
    <row r="513" customFormat="false" ht="15.75" hidden="false" customHeight="true" outlineLevel="0" collapsed="false">
      <c r="B513" s="60"/>
      <c r="H513" s="60"/>
      <c r="I513" s="60"/>
    </row>
    <row r="514" customFormat="false" ht="15.75" hidden="false" customHeight="true" outlineLevel="0" collapsed="false">
      <c r="B514" s="60"/>
      <c r="H514" s="60"/>
      <c r="I514" s="60"/>
    </row>
    <row r="515" customFormat="false" ht="15.75" hidden="false" customHeight="true" outlineLevel="0" collapsed="false">
      <c r="B515" s="60"/>
      <c r="H515" s="60"/>
      <c r="I515" s="60"/>
    </row>
    <row r="516" customFormat="false" ht="15.75" hidden="false" customHeight="true" outlineLevel="0" collapsed="false">
      <c r="B516" s="60"/>
      <c r="H516" s="60"/>
      <c r="I516" s="60"/>
    </row>
    <row r="517" customFormat="false" ht="15.75" hidden="false" customHeight="true" outlineLevel="0" collapsed="false">
      <c r="B517" s="60"/>
      <c r="H517" s="60"/>
      <c r="I517" s="60"/>
    </row>
    <row r="518" customFormat="false" ht="15.75" hidden="false" customHeight="true" outlineLevel="0" collapsed="false">
      <c r="B518" s="60"/>
      <c r="H518" s="60"/>
      <c r="I518" s="60"/>
    </row>
    <row r="519" customFormat="false" ht="15.75" hidden="false" customHeight="true" outlineLevel="0" collapsed="false">
      <c r="B519" s="60"/>
      <c r="H519" s="60"/>
      <c r="I519" s="60"/>
    </row>
    <row r="520" customFormat="false" ht="15.75" hidden="false" customHeight="true" outlineLevel="0" collapsed="false">
      <c r="B520" s="60"/>
      <c r="H520" s="60"/>
      <c r="I520" s="60"/>
    </row>
    <row r="521" customFormat="false" ht="15.75" hidden="false" customHeight="true" outlineLevel="0" collapsed="false">
      <c r="B521" s="60"/>
      <c r="H521" s="60"/>
      <c r="I521" s="60"/>
    </row>
    <row r="522" customFormat="false" ht="15.75" hidden="false" customHeight="true" outlineLevel="0" collapsed="false">
      <c r="B522" s="60"/>
      <c r="H522" s="60"/>
      <c r="I522" s="60"/>
    </row>
    <row r="523" customFormat="false" ht="15.75" hidden="false" customHeight="true" outlineLevel="0" collapsed="false">
      <c r="B523" s="60"/>
      <c r="H523" s="60"/>
      <c r="I523" s="60"/>
    </row>
    <row r="524" customFormat="false" ht="15.75" hidden="false" customHeight="true" outlineLevel="0" collapsed="false">
      <c r="B524" s="60"/>
      <c r="H524" s="60"/>
      <c r="I524" s="60"/>
    </row>
    <row r="525" customFormat="false" ht="15.75" hidden="false" customHeight="true" outlineLevel="0" collapsed="false">
      <c r="B525" s="60"/>
      <c r="H525" s="60"/>
      <c r="I525" s="60"/>
    </row>
    <row r="526" customFormat="false" ht="15.75" hidden="false" customHeight="true" outlineLevel="0" collapsed="false">
      <c r="B526" s="60"/>
      <c r="H526" s="60"/>
      <c r="I526" s="60"/>
    </row>
    <row r="527" customFormat="false" ht="15.75" hidden="false" customHeight="true" outlineLevel="0" collapsed="false">
      <c r="B527" s="60"/>
      <c r="H527" s="60"/>
      <c r="I527" s="60"/>
    </row>
    <row r="528" customFormat="false" ht="15.75" hidden="false" customHeight="true" outlineLevel="0" collapsed="false">
      <c r="B528" s="60"/>
      <c r="H528" s="60"/>
      <c r="I528" s="60"/>
    </row>
    <row r="529" customFormat="false" ht="15.75" hidden="false" customHeight="true" outlineLevel="0" collapsed="false">
      <c r="B529" s="60"/>
      <c r="H529" s="60"/>
      <c r="I529" s="60"/>
    </row>
    <row r="530" customFormat="false" ht="15.75" hidden="false" customHeight="true" outlineLevel="0" collapsed="false">
      <c r="B530" s="60"/>
      <c r="H530" s="60"/>
      <c r="I530" s="60"/>
    </row>
    <row r="531" customFormat="false" ht="15.75" hidden="false" customHeight="true" outlineLevel="0" collapsed="false">
      <c r="B531" s="60"/>
      <c r="H531" s="60"/>
      <c r="I531" s="60"/>
    </row>
    <row r="532" customFormat="false" ht="15.75" hidden="false" customHeight="true" outlineLevel="0" collapsed="false">
      <c r="B532" s="60"/>
      <c r="H532" s="60"/>
      <c r="I532" s="60"/>
    </row>
    <row r="533" customFormat="false" ht="15.75" hidden="false" customHeight="true" outlineLevel="0" collapsed="false">
      <c r="B533" s="60"/>
      <c r="H533" s="60"/>
      <c r="I533" s="60"/>
    </row>
    <row r="534" customFormat="false" ht="15.75" hidden="false" customHeight="true" outlineLevel="0" collapsed="false">
      <c r="B534" s="60"/>
      <c r="H534" s="60"/>
      <c r="I534" s="60"/>
    </row>
    <row r="535" customFormat="false" ht="15.75" hidden="false" customHeight="true" outlineLevel="0" collapsed="false">
      <c r="B535" s="60"/>
      <c r="H535" s="60"/>
      <c r="I535" s="60"/>
    </row>
    <row r="536" customFormat="false" ht="15.75" hidden="false" customHeight="true" outlineLevel="0" collapsed="false">
      <c r="B536" s="60"/>
      <c r="H536" s="60"/>
      <c r="I536" s="60"/>
    </row>
    <row r="537" customFormat="false" ht="15.75" hidden="false" customHeight="true" outlineLevel="0" collapsed="false">
      <c r="B537" s="60"/>
      <c r="H537" s="60"/>
      <c r="I537" s="60"/>
    </row>
    <row r="538" customFormat="false" ht="15.75" hidden="false" customHeight="true" outlineLevel="0" collapsed="false">
      <c r="B538" s="60"/>
      <c r="H538" s="60"/>
      <c r="I538" s="60"/>
    </row>
    <row r="539" customFormat="false" ht="15.75" hidden="false" customHeight="true" outlineLevel="0" collapsed="false">
      <c r="B539" s="60"/>
      <c r="H539" s="60"/>
      <c r="I539" s="60"/>
    </row>
    <row r="540" customFormat="false" ht="15.75" hidden="false" customHeight="true" outlineLevel="0" collapsed="false">
      <c r="B540" s="60"/>
      <c r="H540" s="60"/>
      <c r="I540" s="60"/>
    </row>
    <row r="541" customFormat="false" ht="15.75" hidden="false" customHeight="true" outlineLevel="0" collapsed="false">
      <c r="B541" s="60"/>
      <c r="H541" s="60"/>
      <c r="I541" s="60"/>
    </row>
    <row r="542" customFormat="false" ht="15.75" hidden="false" customHeight="true" outlineLevel="0" collapsed="false">
      <c r="B542" s="60"/>
      <c r="H542" s="60"/>
      <c r="I542" s="60"/>
    </row>
    <row r="543" customFormat="false" ht="15.75" hidden="false" customHeight="true" outlineLevel="0" collapsed="false">
      <c r="B543" s="60"/>
      <c r="H543" s="60"/>
      <c r="I543" s="60"/>
    </row>
    <row r="544" customFormat="false" ht="15.75" hidden="false" customHeight="true" outlineLevel="0" collapsed="false">
      <c r="B544" s="60"/>
      <c r="H544" s="60"/>
      <c r="I544" s="60"/>
    </row>
    <row r="545" customFormat="false" ht="15.75" hidden="false" customHeight="true" outlineLevel="0" collapsed="false">
      <c r="B545" s="60"/>
      <c r="H545" s="60"/>
      <c r="I545" s="60"/>
    </row>
    <row r="546" customFormat="false" ht="15.75" hidden="false" customHeight="true" outlineLevel="0" collapsed="false">
      <c r="B546" s="60"/>
      <c r="H546" s="60"/>
      <c r="I546" s="60"/>
    </row>
    <row r="547" customFormat="false" ht="15.75" hidden="false" customHeight="true" outlineLevel="0" collapsed="false">
      <c r="B547" s="60"/>
      <c r="H547" s="60"/>
      <c r="I547" s="60"/>
    </row>
    <row r="548" customFormat="false" ht="15.75" hidden="false" customHeight="true" outlineLevel="0" collapsed="false">
      <c r="B548" s="60"/>
      <c r="H548" s="60"/>
      <c r="I548" s="60"/>
    </row>
    <row r="549" customFormat="false" ht="15.75" hidden="false" customHeight="true" outlineLevel="0" collapsed="false">
      <c r="B549" s="60"/>
      <c r="H549" s="60"/>
      <c r="I549" s="60"/>
    </row>
    <row r="550" customFormat="false" ht="15.75" hidden="false" customHeight="true" outlineLevel="0" collapsed="false">
      <c r="B550" s="60"/>
      <c r="H550" s="60"/>
      <c r="I550" s="60"/>
    </row>
    <row r="551" customFormat="false" ht="15.75" hidden="false" customHeight="true" outlineLevel="0" collapsed="false">
      <c r="B551" s="60"/>
      <c r="H551" s="60"/>
      <c r="I551" s="60"/>
    </row>
    <row r="552" customFormat="false" ht="15.75" hidden="false" customHeight="true" outlineLevel="0" collapsed="false">
      <c r="B552" s="60"/>
      <c r="H552" s="60"/>
      <c r="I552" s="60"/>
    </row>
    <row r="553" customFormat="false" ht="15.75" hidden="false" customHeight="true" outlineLevel="0" collapsed="false">
      <c r="B553" s="60"/>
      <c r="H553" s="60"/>
      <c r="I553" s="60"/>
    </row>
    <row r="554" customFormat="false" ht="15.75" hidden="false" customHeight="true" outlineLevel="0" collapsed="false">
      <c r="B554" s="60"/>
      <c r="H554" s="60"/>
      <c r="I554" s="60"/>
    </row>
    <row r="555" customFormat="false" ht="15.75" hidden="false" customHeight="true" outlineLevel="0" collapsed="false">
      <c r="B555" s="60"/>
      <c r="H555" s="60"/>
      <c r="I555" s="60"/>
    </row>
    <row r="556" customFormat="false" ht="15.75" hidden="false" customHeight="true" outlineLevel="0" collapsed="false">
      <c r="B556" s="60"/>
      <c r="H556" s="60"/>
      <c r="I556" s="60"/>
    </row>
    <row r="557" customFormat="false" ht="15.75" hidden="false" customHeight="true" outlineLevel="0" collapsed="false">
      <c r="B557" s="60"/>
      <c r="H557" s="60"/>
      <c r="I557" s="60"/>
    </row>
    <row r="558" customFormat="false" ht="15.75" hidden="false" customHeight="true" outlineLevel="0" collapsed="false">
      <c r="B558" s="60"/>
      <c r="H558" s="60"/>
      <c r="I558" s="60"/>
    </row>
    <row r="559" customFormat="false" ht="15.75" hidden="false" customHeight="true" outlineLevel="0" collapsed="false">
      <c r="B559" s="60"/>
      <c r="H559" s="60"/>
      <c r="I559" s="60"/>
    </row>
    <row r="560" customFormat="false" ht="15.75" hidden="false" customHeight="true" outlineLevel="0" collapsed="false">
      <c r="B560" s="60"/>
      <c r="H560" s="60"/>
      <c r="I560" s="60"/>
    </row>
    <row r="561" customFormat="false" ht="15.75" hidden="false" customHeight="true" outlineLevel="0" collapsed="false">
      <c r="B561" s="60"/>
      <c r="H561" s="60"/>
      <c r="I561" s="60"/>
    </row>
    <row r="562" customFormat="false" ht="15.75" hidden="false" customHeight="true" outlineLevel="0" collapsed="false">
      <c r="B562" s="60"/>
      <c r="H562" s="60"/>
      <c r="I562" s="60"/>
    </row>
    <row r="563" customFormat="false" ht="15.75" hidden="false" customHeight="true" outlineLevel="0" collapsed="false">
      <c r="B563" s="60"/>
      <c r="H563" s="60"/>
      <c r="I563" s="60"/>
    </row>
    <row r="564" customFormat="false" ht="15.75" hidden="false" customHeight="true" outlineLevel="0" collapsed="false">
      <c r="B564" s="60"/>
      <c r="H564" s="60"/>
      <c r="I564" s="60"/>
    </row>
    <row r="565" customFormat="false" ht="15.75" hidden="false" customHeight="true" outlineLevel="0" collapsed="false">
      <c r="B565" s="60"/>
      <c r="H565" s="60"/>
      <c r="I565" s="60"/>
    </row>
    <row r="566" customFormat="false" ht="15.75" hidden="false" customHeight="true" outlineLevel="0" collapsed="false">
      <c r="B566" s="60"/>
      <c r="H566" s="60"/>
      <c r="I566" s="60"/>
    </row>
    <row r="567" customFormat="false" ht="15.75" hidden="false" customHeight="true" outlineLevel="0" collapsed="false">
      <c r="B567" s="60"/>
      <c r="H567" s="60"/>
      <c r="I567" s="60"/>
    </row>
    <row r="568" customFormat="false" ht="15.75" hidden="false" customHeight="true" outlineLevel="0" collapsed="false">
      <c r="B568" s="60"/>
      <c r="H568" s="60"/>
      <c r="I568" s="60"/>
    </row>
    <row r="569" customFormat="false" ht="15.75" hidden="false" customHeight="true" outlineLevel="0" collapsed="false">
      <c r="B569" s="60"/>
      <c r="H569" s="60"/>
      <c r="I569" s="60"/>
    </row>
    <row r="570" customFormat="false" ht="15.75" hidden="false" customHeight="true" outlineLevel="0" collapsed="false">
      <c r="B570" s="60"/>
      <c r="H570" s="60"/>
      <c r="I570" s="60"/>
    </row>
    <row r="571" customFormat="false" ht="15.75" hidden="false" customHeight="true" outlineLevel="0" collapsed="false">
      <c r="B571" s="60"/>
      <c r="H571" s="60"/>
      <c r="I571" s="60"/>
    </row>
    <row r="572" customFormat="false" ht="15.75" hidden="false" customHeight="true" outlineLevel="0" collapsed="false">
      <c r="B572" s="60"/>
      <c r="H572" s="60"/>
      <c r="I572" s="60"/>
    </row>
    <row r="573" customFormat="false" ht="15.75" hidden="false" customHeight="true" outlineLevel="0" collapsed="false">
      <c r="B573" s="60"/>
      <c r="H573" s="60"/>
      <c r="I573" s="60"/>
    </row>
    <row r="574" customFormat="false" ht="15.75" hidden="false" customHeight="true" outlineLevel="0" collapsed="false">
      <c r="B574" s="60"/>
      <c r="H574" s="60"/>
      <c r="I574" s="60"/>
    </row>
    <row r="575" customFormat="false" ht="15.75" hidden="false" customHeight="true" outlineLevel="0" collapsed="false">
      <c r="B575" s="60"/>
      <c r="H575" s="60"/>
      <c r="I575" s="60"/>
    </row>
    <row r="576" customFormat="false" ht="15.75" hidden="false" customHeight="true" outlineLevel="0" collapsed="false">
      <c r="B576" s="60"/>
      <c r="H576" s="60"/>
      <c r="I576" s="60"/>
    </row>
    <row r="577" customFormat="false" ht="15.75" hidden="false" customHeight="true" outlineLevel="0" collapsed="false">
      <c r="B577" s="60"/>
      <c r="H577" s="60"/>
      <c r="I577" s="60"/>
    </row>
    <row r="578" customFormat="false" ht="15.75" hidden="false" customHeight="true" outlineLevel="0" collapsed="false">
      <c r="B578" s="60"/>
      <c r="H578" s="60"/>
      <c r="I578" s="60"/>
    </row>
    <row r="579" customFormat="false" ht="15.75" hidden="false" customHeight="true" outlineLevel="0" collapsed="false">
      <c r="B579" s="60"/>
      <c r="H579" s="60"/>
      <c r="I579" s="60"/>
    </row>
    <row r="580" customFormat="false" ht="15.75" hidden="false" customHeight="true" outlineLevel="0" collapsed="false">
      <c r="B580" s="60"/>
      <c r="H580" s="60"/>
      <c r="I580" s="60"/>
    </row>
    <row r="581" customFormat="false" ht="15.75" hidden="false" customHeight="true" outlineLevel="0" collapsed="false">
      <c r="B581" s="60"/>
      <c r="H581" s="60"/>
      <c r="I581" s="60"/>
    </row>
    <row r="582" customFormat="false" ht="15.75" hidden="false" customHeight="true" outlineLevel="0" collapsed="false">
      <c r="B582" s="60"/>
      <c r="H582" s="60"/>
      <c r="I582" s="60"/>
    </row>
    <row r="583" customFormat="false" ht="15.75" hidden="false" customHeight="true" outlineLevel="0" collapsed="false">
      <c r="B583" s="60"/>
      <c r="H583" s="60"/>
      <c r="I583" s="60"/>
    </row>
    <row r="584" customFormat="false" ht="15.75" hidden="false" customHeight="true" outlineLevel="0" collapsed="false">
      <c r="B584" s="60"/>
      <c r="H584" s="60"/>
      <c r="I584" s="60"/>
    </row>
    <row r="585" customFormat="false" ht="15.75" hidden="false" customHeight="true" outlineLevel="0" collapsed="false">
      <c r="B585" s="60"/>
      <c r="H585" s="60"/>
      <c r="I585" s="60"/>
    </row>
    <row r="586" customFormat="false" ht="15.75" hidden="false" customHeight="true" outlineLevel="0" collapsed="false">
      <c r="B586" s="60"/>
      <c r="H586" s="60"/>
      <c r="I586" s="60"/>
    </row>
    <row r="587" customFormat="false" ht="15.75" hidden="false" customHeight="true" outlineLevel="0" collapsed="false">
      <c r="B587" s="60"/>
      <c r="H587" s="60"/>
      <c r="I587" s="60"/>
    </row>
    <row r="588" customFormat="false" ht="15.75" hidden="false" customHeight="true" outlineLevel="0" collapsed="false">
      <c r="B588" s="60"/>
      <c r="H588" s="60"/>
      <c r="I588" s="60"/>
    </row>
    <row r="589" customFormat="false" ht="15.75" hidden="false" customHeight="true" outlineLevel="0" collapsed="false">
      <c r="B589" s="60"/>
      <c r="H589" s="60"/>
      <c r="I589" s="60"/>
    </row>
    <row r="590" customFormat="false" ht="15.75" hidden="false" customHeight="true" outlineLevel="0" collapsed="false">
      <c r="B590" s="60"/>
      <c r="H590" s="60"/>
      <c r="I590" s="60"/>
    </row>
    <row r="591" customFormat="false" ht="15.75" hidden="false" customHeight="true" outlineLevel="0" collapsed="false">
      <c r="B591" s="60"/>
      <c r="H591" s="60"/>
      <c r="I591" s="60"/>
    </row>
    <row r="592" customFormat="false" ht="15.75" hidden="false" customHeight="true" outlineLevel="0" collapsed="false">
      <c r="B592" s="60"/>
      <c r="H592" s="60"/>
      <c r="I592" s="60"/>
    </row>
    <row r="593" customFormat="false" ht="15.75" hidden="false" customHeight="true" outlineLevel="0" collapsed="false">
      <c r="B593" s="60"/>
      <c r="H593" s="60"/>
      <c r="I593" s="60"/>
    </row>
    <row r="594" customFormat="false" ht="15.75" hidden="false" customHeight="true" outlineLevel="0" collapsed="false">
      <c r="B594" s="60"/>
      <c r="H594" s="60"/>
      <c r="I594" s="60"/>
    </row>
    <row r="595" customFormat="false" ht="15.75" hidden="false" customHeight="true" outlineLevel="0" collapsed="false">
      <c r="B595" s="60"/>
      <c r="H595" s="60"/>
      <c r="I595" s="60"/>
    </row>
    <row r="596" customFormat="false" ht="15.75" hidden="false" customHeight="true" outlineLevel="0" collapsed="false">
      <c r="B596" s="60"/>
      <c r="H596" s="60"/>
      <c r="I596" s="60"/>
    </row>
    <row r="597" customFormat="false" ht="15.75" hidden="false" customHeight="true" outlineLevel="0" collapsed="false">
      <c r="B597" s="60"/>
      <c r="H597" s="60"/>
      <c r="I597" s="60"/>
    </row>
    <row r="598" customFormat="false" ht="15.75" hidden="false" customHeight="true" outlineLevel="0" collapsed="false">
      <c r="B598" s="60"/>
      <c r="H598" s="60"/>
      <c r="I598" s="60"/>
    </row>
    <row r="599" customFormat="false" ht="15.75" hidden="false" customHeight="true" outlineLevel="0" collapsed="false">
      <c r="B599" s="60"/>
      <c r="H599" s="60"/>
      <c r="I599" s="60"/>
    </row>
    <row r="600" customFormat="false" ht="15.75" hidden="false" customHeight="true" outlineLevel="0" collapsed="false">
      <c r="B600" s="60"/>
      <c r="H600" s="60"/>
      <c r="I600" s="60"/>
    </row>
    <row r="601" customFormat="false" ht="15.75" hidden="false" customHeight="true" outlineLevel="0" collapsed="false">
      <c r="B601" s="60"/>
      <c r="H601" s="60"/>
      <c r="I601" s="60"/>
    </row>
    <row r="602" customFormat="false" ht="15.75" hidden="false" customHeight="true" outlineLevel="0" collapsed="false">
      <c r="B602" s="60"/>
      <c r="H602" s="60"/>
      <c r="I602" s="60"/>
    </row>
    <row r="603" customFormat="false" ht="15.75" hidden="false" customHeight="true" outlineLevel="0" collapsed="false">
      <c r="B603" s="60"/>
      <c r="H603" s="60"/>
      <c r="I603" s="60"/>
    </row>
    <row r="604" customFormat="false" ht="15.75" hidden="false" customHeight="true" outlineLevel="0" collapsed="false">
      <c r="B604" s="60"/>
      <c r="H604" s="60"/>
      <c r="I604" s="60"/>
    </row>
    <row r="605" customFormat="false" ht="15.75" hidden="false" customHeight="true" outlineLevel="0" collapsed="false">
      <c r="B605" s="60"/>
      <c r="H605" s="60"/>
      <c r="I605" s="60"/>
    </row>
    <row r="606" customFormat="false" ht="15.75" hidden="false" customHeight="true" outlineLevel="0" collapsed="false">
      <c r="B606" s="60"/>
      <c r="H606" s="60"/>
      <c r="I606" s="60"/>
    </row>
    <row r="607" customFormat="false" ht="15.75" hidden="false" customHeight="true" outlineLevel="0" collapsed="false">
      <c r="B607" s="60"/>
      <c r="H607" s="60"/>
      <c r="I607" s="60"/>
    </row>
    <row r="608" customFormat="false" ht="15.75" hidden="false" customHeight="true" outlineLevel="0" collapsed="false">
      <c r="B608" s="60"/>
      <c r="H608" s="60"/>
      <c r="I608" s="60"/>
    </row>
    <row r="609" customFormat="false" ht="15.75" hidden="false" customHeight="true" outlineLevel="0" collapsed="false">
      <c r="B609" s="60"/>
      <c r="H609" s="60"/>
      <c r="I609" s="60"/>
    </row>
    <row r="610" customFormat="false" ht="15.75" hidden="false" customHeight="true" outlineLevel="0" collapsed="false">
      <c r="B610" s="60"/>
      <c r="H610" s="60"/>
      <c r="I610" s="60"/>
    </row>
    <row r="611" customFormat="false" ht="15.75" hidden="false" customHeight="true" outlineLevel="0" collapsed="false">
      <c r="B611" s="60"/>
      <c r="H611" s="60"/>
      <c r="I611" s="60"/>
    </row>
    <row r="612" customFormat="false" ht="15.75" hidden="false" customHeight="true" outlineLevel="0" collapsed="false">
      <c r="B612" s="60"/>
      <c r="H612" s="60"/>
      <c r="I612" s="60"/>
    </row>
    <row r="613" customFormat="false" ht="15.75" hidden="false" customHeight="true" outlineLevel="0" collapsed="false">
      <c r="B613" s="60"/>
      <c r="H613" s="60"/>
      <c r="I613" s="60"/>
    </row>
    <row r="614" customFormat="false" ht="15.75" hidden="false" customHeight="true" outlineLevel="0" collapsed="false">
      <c r="B614" s="60"/>
      <c r="H614" s="60"/>
      <c r="I614" s="60"/>
    </row>
    <row r="615" customFormat="false" ht="15.75" hidden="false" customHeight="true" outlineLevel="0" collapsed="false">
      <c r="B615" s="60"/>
      <c r="H615" s="60"/>
      <c r="I615" s="60"/>
    </row>
    <row r="616" customFormat="false" ht="15.75" hidden="false" customHeight="true" outlineLevel="0" collapsed="false">
      <c r="B616" s="60"/>
      <c r="H616" s="60"/>
      <c r="I616" s="60"/>
    </row>
    <row r="617" customFormat="false" ht="15.75" hidden="false" customHeight="true" outlineLevel="0" collapsed="false">
      <c r="B617" s="60"/>
      <c r="H617" s="60"/>
      <c r="I617" s="60"/>
    </row>
    <row r="618" customFormat="false" ht="15.75" hidden="false" customHeight="true" outlineLevel="0" collapsed="false">
      <c r="B618" s="60"/>
      <c r="H618" s="60"/>
      <c r="I618" s="60"/>
    </row>
    <row r="619" customFormat="false" ht="15.75" hidden="false" customHeight="true" outlineLevel="0" collapsed="false">
      <c r="B619" s="60"/>
      <c r="H619" s="60"/>
      <c r="I619" s="60"/>
    </row>
    <row r="620" customFormat="false" ht="15.75" hidden="false" customHeight="true" outlineLevel="0" collapsed="false">
      <c r="B620" s="60"/>
      <c r="H620" s="60"/>
      <c r="I620" s="60"/>
    </row>
    <row r="621" customFormat="false" ht="15.75" hidden="false" customHeight="true" outlineLevel="0" collapsed="false">
      <c r="B621" s="60"/>
      <c r="H621" s="60"/>
      <c r="I621" s="60"/>
    </row>
    <row r="622" customFormat="false" ht="15.75" hidden="false" customHeight="true" outlineLevel="0" collapsed="false">
      <c r="B622" s="60"/>
      <c r="H622" s="60"/>
      <c r="I622" s="60"/>
    </row>
    <row r="623" customFormat="false" ht="15.75" hidden="false" customHeight="true" outlineLevel="0" collapsed="false">
      <c r="B623" s="60"/>
      <c r="H623" s="60"/>
      <c r="I623" s="60"/>
    </row>
    <row r="624" customFormat="false" ht="15.75" hidden="false" customHeight="true" outlineLevel="0" collapsed="false">
      <c r="B624" s="60"/>
      <c r="H624" s="60"/>
      <c r="I624" s="60"/>
    </row>
    <row r="625" customFormat="false" ht="15.75" hidden="false" customHeight="true" outlineLevel="0" collapsed="false">
      <c r="B625" s="60"/>
      <c r="H625" s="60"/>
      <c r="I625" s="60"/>
    </row>
    <row r="626" customFormat="false" ht="15.75" hidden="false" customHeight="true" outlineLevel="0" collapsed="false">
      <c r="B626" s="60"/>
      <c r="H626" s="60"/>
      <c r="I626" s="60"/>
    </row>
    <row r="627" customFormat="false" ht="15.75" hidden="false" customHeight="true" outlineLevel="0" collapsed="false">
      <c r="B627" s="60"/>
      <c r="H627" s="60"/>
      <c r="I627" s="60"/>
    </row>
    <row r="628" customFormat="false" ht="15.75" hidden="false" customHeight="true" outlineLevel="0" collapsed="false">
      <c r="B628" s="60"/>
      <c r="H628" s="60"/>
      <c r="I628" s="60"/>
    </row>
    <row r="629" customFormat="false" ht="15.75" hidden="false" customHeight="true" outlineLevel="0" collapsed="false">
      <c r="B629" s="60"/>
      <c r="H629" s="60"/>
      <c r="I629" s="60"/>
    </row>
    <row r="630" customFormat="false" ht="15.75" hidden="false" customHeight="true" outlineLevel="0" collapsed="false">
      <c r="B630" s="60"/>
      <c r="H630" s="60"/>
      <c r="I630" s="60"/>
    </row>
    <row r="631" customFormat="false" ht="15.75" hidden="false" customHeight="true" outlineLevel="0" collapsed="false">
      <c r="B631" s="60"/>
      <c r="H631" s="60"/>
      <c r="I631" s="60"/>
    </row>
    <row r="632" customFormat="false" ht="15.75" hidden="false" customHeight="true" outlineLevel="0" collapsed="false">
      <c r="B632" s="60"/>
      <c r="H632" s="60"/>
      <c r="I632" s="60"/>
    </row>
    <row r="633" customFormat="false" ht="15.75" hidden="false" customHeight="true" outlineLevel="0" collapsed="false">
      <c r="B633" s="60"/>
      <c r="H633" s="60"/>
      <c r="I633" s="60"/>
    </row>
    <row r="634" customFormat="false" ht="15.75" hidden="false" customHeight="true" outlineLevel="0" collapsed="false">
      <c r="B634" s="60"/>
      <c r="H634" s="60"/>
      <c r="I634" s="60"/>
    </row>
    <row r="635" customFormat="false" ht="15.75" hidden="false" customHeight="true" outlineLevel="0" collapsed="false">
      <c r="B635" s="60"/>
      <c r="H635" s="60"/>
      <c r="I635" s="60"/>
    </row>
    <row r="636" customFormat="false" ht="15.75" hidden="false" customHeight="true" outlineLevel="0" collapsed="false">
      <c r="B636" s="60"/>
      <c r="H636" s="60"/>
      <c r="I636" s="60"/>
    </row>
    <row r="637" customFormat="false" ht="15.75" hidden="false" customHeight="true" outlineLevel="0" collapsed="false">
      <c r="B637" s="60"/>
      <c r="H637" s="60"/>
      <c r="I637" s="60"/>
    </row>
    <row r="638" customFormat="false" ht="15.75" hidden="false" customHeight="true" outlineLevel="0" collapsed="false">
      <c r="B638" s="60"/>
      <c r="H638" s="60"/>
      <c r="I638" s="60"/>
    </row>
    <row r="639" customFormat="false" ht="15.75" hidden="false" customHeight="true" outlineLevel="0" collapsed="false">
      <c r="B639" s="60"/>
      <c r="H639" s="60"/>
      <c r="I639" s="60"/>
    </row>
    <row r="640" customFormat="false" ht="15.75" hidden="false" customHeight="true" outlineLevel="0" collapsed="false">
      <c r="B640" s="60"/>
      <c r="H640" s="60"/>
      <c r="I640" s="60"/>
    </row>
    <row r="641" customFormat="false" ht="15.75" hidden="false" customHeight="true" outlineLevel="0" collapsed="false">
      <c r="B641" s="60"/>
      <c r="H641" s="60"/>
      <c r="I641" s="60"/>
    </row>
    <row r="642" customFormat="false" ht="15.75" hidden="false" customHeight="true" outlineLevel="0" collapsed="false">
      <c r="B642" s="60"/>
      <c r="H642" s="60"/>
      <c r="I642" s="60"/>
    </row>
    <row r="643" customFormat="false" ht="15.75" hidden="false" customHeight="true" outlineLevel="0" collapsed="false">
      <c r="B643" s="60"/>
      <c r="H643" s="60"/>
      <c r="I643" s="60"/>
    </row>
    <row r="644" customFormat="false" ht="15.75" hidden="false" customHeight="true" outlineLevel="0" collapsed="false">
      <c r="B644" s="60"/>
      <c r="H644" s="60"/>
      <c r="I644" s="60"/>
    </row>
    <row r="645" customFormat="false" ht="15.75" hidden="false" customHeight="true" outlineLevel="0" collapsed="false">
      <c r="B645" s="60"/>
      <c r="H645" s="60"/>
      <c r="I645" s="60"/>
    </row>
    <row r="646" customFormat="false" ht="15.75" hidden="false" customHeight="true" outlineLevel="0" collapsed="false">
      <c r="B646" s="60"/>
      <c r="H646" s="60"/>
      <c r="I646" s="60"/>
    </row>
    <row r="647" customFormat="false" ht="15.75" hidden="false" customHeight="true" outlineLevel="0" collapsed="false">
      <c r="B647" s="60"/>
      <c r="H647" s="60"/>
      <c r="I647" s="60"/>
    </row>
    <row r="648" customFormat="false" ht="15.75" hidden="false" customHeight="true" outlineLevel="0" collapsed="false">
      <c r="B648" s="60"/>
      <c r="H648" s="60"/>
      <c r="I648" s="60"/>
    </row>
    <row r="649" customFormat="false" ht="15.75" hidden="false" customHeight="true" outlineLevel="0" collapsed="false">
      <c r="B649" s="60"/>
      <c r="H649" s="60"/>
      <c r="I649" s="60"/>
    </row>
    <row r="650" customFormat="false" ht="15.75" hidden="false" customHeight="true" outlineLevel="0" collapsed="false">
      <c r="B650" s="60"/>
      <c r="H650" s="60"/>
      <c r="I650" s="60"/>
    </row>
    <row r="651" customFormat="false" ht="15.75" hidden="false" customHeight="true" outlineLevel="0" collapsed="false">
      <c r="B651" s="60"/>
      <c r="H651" s="60"/>
      <c r="I651" s="60"/>
    </row>
    <row r="652" customFormat="false" ht="15.75" hidden="false" customHeight="true" outlineLevel="0" collapsed="false">
      <c r="B652" s="60"/>
      <c r="H652" s="60"/>
      <c r="I652" s="60"/>
    </row>
    <row r="653" customFormat="false" ht="15.75" hidden="false" customHeight="true" outlineLevel="0" collapsed="false">
      <c r="B653" s="60"/>
      <c r="H653" s="60"/>
      <c r="I653" s="60"/>
    </row>
    <row r="654" customFormat="false" ht="15.75" hidden="false" customHeight="true" outlineLevel="0" collapsed="false">
      <c r="B654" s="60"/>
      <c r="H654" s="60"/>
      <c r="I654" s="60"/>
    </row>
    <row r="655" customFormat="false" ht="15.75" hidden="false" customHeight="true" outlineLevel="0" collapsed="false">
      <c r="B655" s="60"/>
      <c r="H655" s="60"/>
      <c r="I655" s="60"/>
    </row>
    <row r="656" customFormat="false" ht="15.75" hidden="false" customHeight="true" outlineLevel="0" collapsed="false">
      <c r="B656" s="60"/>
      <c r="H656" s="60"/>
      <c r="I656" s="60"/>
    </row>
    <row r="657" customFormat="false" ht="15.75" hidden="false" customHeight="true" outlineLevel="0" collapsed="false">
      <c r="B657" s="60"/>
      <c r="H657" s="60"/>
      <c r="I657" s="60"/>
    </row>
    <row r="658" customFormat="false" ht="15.75" hidden="false" customHeight="true" outlineLevel="0" collapsed="false">
      <c r="B658" s="60"/>
      <c r="H658" s="60"/>
      <c r="I658" s="60"/>
    </row>
    <row r="659" customFormat="false" ht="15.75" hidden="false" customHeight="true" outlineLevel="0" collapsed="false">
      <c r="B659" s="60"/>
      <c r="H659" s="60"/>
      <c r="I659" s="60"/>
    </row>
    <row r="660" customFormat="false" ht="15.75" hidden="false" customHeight="true" outlineLevel="0" collapsed="false">
      <c r="B660" s="60"/>
      <c r="H660" s="60"/>
      <c r="I660" s="60"/>
    </row>
    <row r="661" customFormat="false" ht="15.75" hidden="false" customHeight="true" outlineLevel="0" collapsed="false">
      <c r="B661" s="60"/>
      <c r="H661" s="60"/>
      <c r="I661" s="60"/>
    </row>
    <row r="662" customFormat="false" ht="15.75" hidden="false" customHeight="true" outlineLevel="0" collapsed="false">
      <c r="B662" s="60"/>
      <c r="H662" s="60"/>
      <c r="I662" s="60"/>
    </row>
    <row r="663" customFormat="false" ht="15.75" hidden="false" customHeight="true" outlineLevel="0" collapsed="false">
      <c r="B663" s="60"/>
      <c r="H663" s="60"/>
      <c r="I663" s="60"/>
    </row>
    <row r="664" customFormat="false" ht="15.75" hidden="false" customHeight="true" outlineLevel="0" collapsed="false">
      <c r="B664" s="60"/>
      <c r="H664" s="60"/>
      <c r="I664" s="60"/>
    </row>
    <row r="665" customFormat="false" ht="15.75" hidden="false" customHeight="true" outlineLevel="0" collapsed="false">
      <c r="B665" s="60"/>
      <c r="H665" s="60"/>
      <c r="I665" s="60"/>
    </row>
    <row r="666" customFormat="false" ht="15.75" hidden="false" customHeight="true" outlineLevel="0" collapsed="false">
      <c r="B666" s="60"/>
      <c r="H666" s="60"/>
      <c r="I666" s="60"/>
    </row>
    <row r="667" customFormat="false" ht="15.75" hidden="false" customHeight="true" outlineLevel="0" collapsed="false">
      <c r="B667" s="60"/>
      <c r="H667" s="60"/>
      <c r="I667" s="60"/>
    </row>
    <row r="668" customFormat="false" ht="15.75" hidden="false" customHeight="true" outlineLevel="0" collapsed="false">
      <c r="B668" s="60"/>
      <c r="H668" s="60"/>
      <c r="I668" s="60"/>
    </row>
    <row r="669" customFormat="false" ht="15.75" hidden="false" customHeight="true" outlineLevel="0" collapsed="false">
      <c r="B669" s="60"/>
      <c r="H669" s="60"/>
      <c r="I669" s="60"/>
    </row>
    <row r="670" customFormat="false" ht="15.75" hidden="false" customHeight="true" outlineLevel="0" collapsed="false">
      <c r="B670" s="60"/>
      <c r="H670" s="60"/>
      <c r="I670" s="60"/>
    </row>
    <row r="671" customFormat="false" ht="15.75" hidden="false" customHeight="true" outlineLevel="0" collapsed="false">
      <c r="B671" s="60"/>
      <c r="H671" s="60"/>
      <c r="I671" s="60"/>
    </row>
    <row r="672" customFormat="false" ht="15.75" hidden="false" customHeight="true" outlineLevel="0" collapsed="false">
      <c r="B672" s="60"/>
      <c r="H672" s="60"/>
      <c r="I672" s="60"/>
    </row>
    <row r="673" customFormat="false" ht="15.75" hidden="false" customHeight="true" outlineLevel="0" collapsed="false">
      <c r="B673" s="60"/>
      <c r="H673" s="60"/>
      <c r="I673" s="60"/>
    </row>
    <row r="674" customFormat="false" ht="15.75" hidden="false" customHeight="true" outlineLevel="0" collapsed="false">
      <c r="B674" s="60"/>
      <c r="H674" s="60"/>
      <c r="I674" s="60"/>
    </row>
    <row r="675" customFormat="false" ht="15.75" hidden="false" customHeight="true" outlineLevel="0" collapsed="false">
      <c r="B675" s="60"/>
      <c r="H675" s="60"/>
      <c r="I675" s="60"/>
    </row>
    <row r="676" customFormat="false" ht="15.75" hidden="false" customHeight="true" outlineLevel="0" collapsed="false">
      <c r="B676" s="60"/>
      <c r="H676" s="60"/>
      <c r="I676" s="60"/>
    </row>
    <row r="677" customFormat="false" ht="15.75" hidden="false" customHeight="true" outlineLevel="0" collapsed="false">
      <c r="B677" s="60"/>
      <c r="H677" s="60"/>
      <c r="I677" s="60"/>
    </row>
    <row r="678" customFormat="false" ht="15.75" hidden="false" customHeight="true" outlineLevel="0" collapsed="false">
      <c r="B678" s="60"/>
      <c r="H678" s="60"/>
      <c r="I678" s="60"/>
    </row>
    <row r="679" customFormat="false" ht="15.75" hidden="false" customHeight="true" outlineLevel="0" collapsed="false">
      <c r="B679" s="60"/>
      <c r="H679" s="60"/>
      <c r="I679" s="60"/>
    </row>
    <row r="680" customFormat="false" ht="15.75" hidden="false" customHeight="true" outlineLevel="0" collapsed="false">
      <c r="B680" s="60"/>
      <c r="H680" s="60"/>
      <c r="I680" s="60"/>
    </row>
    <row r="681" customFormat="false" ht="15.75" hidden="false" customHeight="true" outlineLevel="0" collapsed="false">
      <c r="B681" s="60"/>
      <c r="H681" s="60"/>
      <c r="I681" s="60"/>
    </row>
    <row r="682" customFormat="false" ht="15.75" hidden="false" customHeight="true" outlineLevel="0" collapsed="false">
      <c r="B682" s="60"/>
      <c r="H682" s="60"/>
      <c r="I682" s="60"/>
    </row>
    <row r="683" customFormat="false" ht="15.75" hidden="false" customHeight="true" outlineLevel="0" collapsed="false">
      <c r="B683" s="60"/>
      <c r="H683" s="60"/>
      <c r="I683" s="60"/>
    </row>
    <row r="684" customFormat="false" ht="15.75" hidden="false" customHeight="true" outlineLevel="0" collapsed="false">
      <c r="B684" s="60"/>
      <c r="H684" s="60"/>
      <c r="I684" s="60"/>
    </row>
    <row r="685" customFormat="false" ht="15.75" hidden="false" customHeight="true" outlineLevel="0" collapsed="false">
      <c r="B685" s="60"/>
      <c r="H685" s="60"/>
      <c r="I685" s="60"/>
    </row>
    <row r="686" customFormat="false" ht="15.75" hidden="false" customHeight="true" outlineLevel="0" collapsed="false">
      <c r="B686" s="60"/>
      <c r="H686" s="60"/>
      <c r="I686" s="60"/>
    </row>
    <row r="687" customFormat="false" ht="15.75" hidden="false" customHeight="true" outlineLevel="0" collapsed="false">
      <c r="B687" s="60"/>
      <c r="H687" s="60"/>
      <c r="I687" s="60"/>
    </row>
    <row r="688" customFormat="false" ht="15.75" hidden="false" customHeight="true" outlineLevel="0" collapsed="false">
      <c r="B688" s="60"/>
      <c r="H688" s="60"/>
      <c r="I688" s="60"/>
    </row>
    <row r="689" customFormat="false" ht="15.75" hidden="false" customHeight="true" outlineLevel="0" collapsed="false">
      <c r="B689" s="60"/>
      <c r="H689" s="60"/>
      <c r="I689" s="60"/>
    </row>
    <row r="690" customFormat="false" ht="15.75" hidden="false" customHeight="true" outlineLevel="0" collapsed="false">
      <c r="B690" s="60"/>
      <c r="H690" s="60"/>
      <c r="I690" s="60"/>
    </row>
    <row r="691" customFormat="false" ht="15.75" hidden="false" customHeight="true" outlineLevel="0" collapsed="false">
      <c r="B691" s="60"/>
      <c r="H691" s="60"/>
      <c r="I691" s="60"/>
    </row>
    <row r="692" customFormat="false" ht="15.75" hidden="false" customHeight="true" outlineLevel="0" collapsed="false">
      <c r="B692" s="60"/>
      <c r="H692" s="60"/>
      <c r="I692" s="60"/>
    </row>
    <row r="693" customFormat="false" ht="15.75" hidden="false" customHeight="true" outlineLevel="0" collapsed="false">
      <c r="B693" s="60"/>
      <c r="H693" s="60"/>
      <c r="I693" s="60"/>
    </row>
    <row r="694" customFormat="false" ht="15.75" hidden="false" customHeight="true" outlineLevel="0" collapsed="false">
      <c r="B694" s="60"/>
      <c r="H694" s="60"/>
      <c r="I694" s="60"/>
    </row>
    <row r="695" customFormat="false" ht="15.75" hidden="false" customHeight="true" outlineLevel="0" collapsed="false">
      <c r="B695" s="60"/>
      <c r="H695" s="60"/>
      <c r="I695" s="60"/>
    </row>
    <row r="696" customFormat="false" ht="15.75" hidden="false" customHeight="true" outlineLevel="0" collapsed="false">
      <c r="B696" s="60"/>
      <c r="H696" s="60"/>
      <c r="I696" s="60"/>
    </row>
    <row r="697" customFormat="false" ht="15.75" hidden="false" customHeight="true" outlineLevel="0" collapsed="false">
      <c r="B697" s="60"/>
      <c r="H697" s="60"/>
      <c r="I697" s="60"/>
    </row>
    <row r="698" customFormat="false" ht="15.75" hidden="false" customHeight="true" outlineLevel="0" collapsed="false">
      <c r="B698" s="60"/>
      <c r="H698" s="60"/>
      <c r="I698" s="60"/>
    </row>
    <row r="699" customFormat="false" ht="15.75" hidden="false" customHeight="true" outlineLevel="0" collapsed="false">
      <c r="B699" s="60"/>
      <c r="H699" s="60"/>
      <c r="I699" s="60"/>
    </row>
    <row r="700" customFormat="false" ht="15.75" hidden="false" customHeight="true" outlineLevel="0" collapsed="false">
      <c r="B700" s="60"/>
      <c r="H700" s="60"/>
      <c r="I700" s="60"/>
    </row>
  </sheetData>
  <autoFilter ref="C4:X165"/>
  <mergeCells count="3">
    <mergeCell ref="AO2:AU2"/>
    <mergeCell ref="AV2:AZ2"/>
    <mergeCell ref="BA2:BG2"/>
  </mergeCells>
  <conditionalFormatting sqref="AV5:AV300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W5:AW300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X5:AX300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Y5:AY300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Z5:AZ300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dataValidations count="7">
    <dataValidation allowBlank="true" errorStyle="stop" operator="between" showDropDown="false" showErrorMessage="true" showInputMessage="false" sqref="G5:G193" type="list">
      <formula1>"American,Australian,German / Syrian,Saudi Arabia,United Kingdom,Tongan,French/Iranian,Russian,North Macedonia,Bosnian,French,Danish,Romanian,Serbian,North Macedonian,Slovakia,Jordanian,American / Chinese,Canada,British,Spanish,Saudi,Taiwan,Italian,Japanes"&amp;"e,Japan,Mexican,South Korean,China,American/Hungarian,Thailand,Philippines,Egypt,Indonesian,Nethelands,Brasilian,Turkish,Morrocan / Canadian,South Korea,Chilean,Pakistan,Filipino,Bulgarian,Canadian,Dutch,Norwegian,Mexican/American,German,Vietnamese,Bahrai"&amp;"ni"</formula1>
      <formula2>0</formula2>
    </dataValidation>
    <dataValidation allowBlank="true" errorStyle="stop" operator="between" showDropDown="false" showErrorMessage="true" showInputMessage="false" sqref="D5:D193" type="list">
      <formula1>"Manager,Head Coach,Player,Analyst,Assistant Coach,Coach,Influencer"</formula1>
      <formula2>0</formula2>
    </dataValidation>
    <dataValidation allowBlank="true" errorStyle="stop" operator="between" showDropDown="false" showErrorMessage="false" showInputMessage="false" sqref="Y5:Y200" type="list">
      <formula1>"10%,15%,20%,25%,30%,35%,40%,45%,50%,75%,Custom"</formula1>
      <formula2>0</formula2>
    </dataValidation>
    <dataValidation allowBlank="true" errorStyle="stop" operator="between" showDropDown="false" showErrorMessage="false" showInputMessage="false" sqref="Z5:Z200" type="list">
      <formula1>"25%,50%,75%,100%,125%,150%,200%,Custom"</formula1>
      <formula2>0</formula2>
    </dataValidation>
    <dataValidation allowBlank="true" errorStyle="stop" operator="between" showDropDown="false" showErrorMessage="true" showInputMessage="false" sqref="X5:X193" type="list">
      <formula1>"1 platform,2 platforms,4 platforms,3 platforms,5 platforms,6 platforms,0 platforms"</formula1>
      <formula2>0</formula2>
    </dataValidation>
    <dataValidation allowBlank="true" errorStyle="stop" operator="between" showDropDown="false" showErrorMessage="false" showInputMessage="false" sqref="BF5:BF250" type="list">
      <formula1>"exact,rounded,estimated,pending"</formula1>
      <formula2>0</formula2>
    </dataValidation>
    <dataValidation allowBlank="false" errorStyle="stop" operator="between" showDropDown="false" showErrorMessage="false" showInputMessage="false" sqref="I5:I250" type="list">
      <formula1>"Tier S,Tier 1,Tier 2,Tier 3,Tier 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V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5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10" min="7" style="0" width="10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14"/>
    <col collapsed="false" customWidth="true" hidden="false" outlineLevel="0" max="19" min="19" style="0" width="10"/>
    <col collapsed="false" customWidth="true" hidden="false" outlineLevel="0" max="20" min="20" style="0" width="11"/>
    <col collapsed="false" customWidth="true" hidden="false" outlineLevel="0" max="21" min="21" style="0" width="22"/>
    <col collapsed="false" customWidth="true" hidden="false" outlineLevel="0" max="22" min="22" style="0" width="24"/>
  </cols>
  <sheetData>
    <row r="2" customFormat="false" ht="27.75" hidden="false" customHeight="true" outlineLevel="0" collapsed="false">
      <c r="B2" s="163" t="s">
        <v>1228</v>
      </c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</row>
    <row r="3" customFormat="false" ht="15" hidden="false" customHeight="false" outlineLevel="0" collapsed="false">
      <c r="B3" s="164" t="s">
        <v>1229</v>
      </c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</row>
    <row r="4" customFormat="false" ht="42" hidden="false" customHeight="true" outlineLevel="0" collapsed="false">
      <c r="B4" s="32" t="s">
        <v>154</v>
      </c>
      <c r="C4" s="32" t="s">
        <v>1230</v>
      </c>
      <c r="D4" s="32" t="s">
        <v>1231</v>
      </c>
      <c r="E4" s="32" t="s">
        <v>99</v>
      </c>
      <c r="F4" s="32" t="s">
        <v>1232</v>
      </c>
      <c r="G4" s="32" t="s">
        <v>1233</v>
      </c>
      <c r="H4" s="32" t="s">
        <v>1234</v>
      </c>
      <c r="I4" s="32" t="s">
        <v>1235</v>
      </c>
      <c r="J4" s="32" t="s">
        <v>1236</v>
      </c>
      <c r="K4" s="32" t="s">
        <v>1237</v>
      </c>
      <c r="L4" s="32" t="s">
        <v>1238</v>
      </c>
      <c r="M4" s="32" t="s">
        <v>1239</v>
      </c>
      <c r="N4" s="32" t="s">
        <v>185</v>
      </c>
      <c r="O4" s="32" t="s">
        <v>1240</v>
      </c>
      <c r="P4" s="32" t="s">
        <v>1241</v>
      </c>
      <c r="Q4" s="32" t="s">
        <v>1242</v>
      </c>
      <c r="R4" s="32" t="s">
        <v>1243</v>
      </c>
      <c r="S4" s="32" t="s">
        <v>1244</v>
      </c>
      <c r="T4" s="32" t="s">
        <v>1245</v>
      </c>
      <c r="U4" s="32" t="s">
        <v>105</v>
      </c>
      <c r="V4" s="32" t="s">
        <v>1246</v>
      </c>
    </row>
    <row r="5" customFormat="false" ht="21.75" hidden="false" customHeight="true" outlineLevel="0" collapsed="false">
      <c r="B5" s="165" t="n">
        <f aca="false">IF($C5="","",COUNTA($C$5:C5))</f>
        <v>1</v>
      </c>
      <c r="C5" s="166" t="s">
        <v>1247</v>
      </c>
      <c r="D5" s="165" t="n">
        <v>98</v>
      </c>
      <c r="E5" s="167" t="s">
        <v>106</v>
      </c>
      <c r="F5" s="168" t="n">
        <v>56250</v>
      </c>
      <c r="G5" s="168" t="n">
        <v>22500</v>
      </c>
      <c r="H5" s="168" t="n">
        <v>28125</v>
      </c>
      <c r="I5" s="168" t="n">
        <v>16875</v>
      </c>
      <c r="J5" s="168" t="n">
        <v>28125</v>
      </c>
      <c r="K5" s="168" t="n">
        <v>67500</v>
      </c>
      <c r="L5" s="168" t="n">
        <v>50625</v>
      </c>
      <c r="M5" s="168" t="n">
        <v>39375</v>
      </c>
      <c r="N5" s="168" t="n">
        <v>31500</v>
      </c>
      <c r="O5" s="168" t="n">
        <v>14063</v>
      </c>
      <c r="P5" s="168" t="n">
        <v>28125</v>
      </c>
      <c r="Q5" s="168" t="n">
        <v>11250</v>
      </c>
      <c r="R5" s="168" t="n">
        <v>39375</v>
      </c>
      <c r="S5" s="168"/>
      <c r="T5" s="168"/>
      <c r="U5" s="167"/>
      <c r="V5" s="167"/>
    </row>
    <row r="6" customFormat="false" ht="21.75" hidden="false" customHeight="true" outlineLevel="0" collapsed="false">
      <c r="B6" s="169" t="n">
        <f aca="false">IF($C6="","",COUNTA($C$5:C6))</f>
        <v>2</v>
      </c>
      <c r="C6" s="170" t="s">
        <v>1248</v>
      </c>
      <c r="D6" s="169" t="n">
        <v>72</v>
      </c>
      <c r="E6" s="171" t="s">
        <v>110</v>
      </c>
      <c r="F6" s="172" t="n">
        <v>22500</v>
      </c>
      <c r="G6" s="172" t="n">
        <v>9000</v>
      </c>
      <c r="H6" s="172" t="n">
        <v>11250</v>
      </c>
      <c r="I6" s="172" t="n">
        <v>6750</v>
      </c>
      <c r="J6" s="172" t="n">
        <v>11250</v>
      </c>
      <c r="K6" s="172" t="n">
        <v>27000</v>
      </c>
      <c r="L6" s="172" t="n">
        <v>20250</v>
      </c>
      <c r="M6" s="172" t="n">
        <v>15750</v>
      </c>
      <c r="N6" s="172" t="n">
        <v>12600</v>
      </c>
      <c r="O6" s="172" t="n">
        <v>5625</v>
      </c>
      <c r="P6" s="172" t="n">
        <v>11250</v>
      </c>
      <c r="Q6" s="172" t="n">
        <v>4500</v>
      </c>
      <c r="R6" s="172" t="n">
        <v>15750</v>
      </c>
      <c r="S6" s="172"/>
      <c r="T6" s="172"/>
      <c r="U6" s="171"/>
      <c r="V6" s="171"/>
    </row>
    <row r="7" customFormat="false" ht="21.75" hidden="false" customHeight="true" outlineLevel="0" collapsed="false">
      <c r="B7" s="169" t="n">
        <f aca="false">IF($C7="","",COUNTA($C$5:C7))</f>
        <v>3</v>
      </c>
      <c r="C7" s="170" t="s">
        <v>1249</v>
      </c>
      <c r="D7" s="169" t="n">
        <v>72</v>
      </c>
      <c r="E7" s="171" t="s">
        <v>110</v>
      </c>
      <c r="F7" s="172" t="n">
        <v>22500</v>
      </c>
      <c r="G7" s="172" t="n">
        <v>9000</v>
      </c>
      <c r="H7" s="172" t="n">
        <v>11250</v>
      </c>
      <c r="I7" s="172" t="n">
        <v>6750</v>
      </c>
      <c r="J7" s="172" t="n">
        <v>11250</v>
      </c>
      <c r="K7" s="172" t="n">
        <v>27000</v>
      </c>
      <c r="L7" s="172" t="n">
        <v>20250</v>
      </c>
      <c r="M7" s="172" t="n">
        <v>15750</v>
      </c>
      <c r="N7" s="172" t="n">
        <v>12600</v>
      </c>
      <c r="O7" s="172" t="n">
        <v>5625</v>
      </c>
      <c r="P7" s="172" t="n">
        <v>11250</v>
      </c>
      <c r="Q7" s="172" t="n">
        <v>4500</v>
      </c>
      <c r="R7" s="172" t="n">
        <v>15750</v>
      </c>
      <c r="S7" s="172"/>
      <c r="T7" s="172"/>
      <c r="U7" s="171"/>
      <c r="V7" s="171"/>
    </row>
    <row r="8" customFormat="false" ht="21.75" hidden="false" customHeight="true" outlineLevel="0" collapsed="false">
      <c r="B8" s="169" t="n">
        <f aca="false">IF($C8="","",COUNTA($C$5:C8))</f>
        <v>4</v>
      </c>
      <c r="C8" s="170" t="s">
        <v>1250</v>
      </c>
      <c r="D8" s="169" t="n">
        <v>68</v>
      </c>
      <c r="E8" s="171" t="s">
        <v>110</v>
      </c>
      <c r="F8" s="172" t="n">
        <v>18000</v>
      </c>
      <c r="G8" s="172" t="n">
        <v>7200</v>
      </c>
      <c r="H8" s="172" t="n">
        <v>9000</v>
      </c>
      <c r="I8" s="172" t="n">
        <v>5400</v>
      </c>
      <c r="J8" s="172" t="n">
        <v>9000</v>
      </c>
      <c r="K8" s="172" t="n">
        <v>21600</v>
      </c>
      <c r="L8" s="172" t="n">
        <v>16200</v>
      </c>
      <c r="M8" s="172" t="n">
        <v>12600</v>
      </c>
      <c r="N8" s="172" t="n">
        <v>10080</v>
      </c>
      <c r="O8" s="172" t="n">
        <v>4500</v>
      </c>
      <c r="P8" s="172" t="n">
        <v>9000</v>
      </c>
      <c r="Q8" s="172" t="n">
        <v>3600</v>
      </c>
      <c r="R8" s="172" t="n">
        <v>12600</v>
      </c>
      <c r="S8" s="172"/>
      <c r="T8" s="172"/>
      <c r="U8" s="171"/>
      <c r="V8" s="171"/>
    </row>
    <row r="9" customFormat="false" ht="21.75" hidden="false" customHeight="true" outlineLevel="0" collapsed="false">
      <c r="B9" s="169" t="n">
        <f aca="false">IF($C9="","",COUNTA($C$5:C9))</f>
        <v>5</v>
      </c>
      <c r="C9" s="170" t="s">
        <v>1251</v>
      </c>
      <c r="D9" s="169" t="n">
        <v>68</v>
      </c>
      <c r="E9" s="171" t="s">
        <v>110</v>
      </c>
      <c r="F9" s="172" t="n">
        <v>18000</v>
      </c>
      <c r="G9" s="172" t="n">
        <v>7200</v>
      </c>
      <c r="H9" s="172" t="n">
        <v>9000</v>
      </c>
      <c r="I9" s="172" t="n">
        <v>5400</v>
      </c>
      <c r="J9" s="172" t="n">
        <v>9000</v>
      </c>
      <c r="K9" s="172" t="n">
        <v>21600</v>
      </c>
      <c r="L9" s="172" t="n">
        <v>16200</v>
      </c>
      <c r="M9" s="172" t="n">
        <v>12600</v>
      </c>
      <c r="N9" s="172" t="n">
        <v>10080</v>
      </c>
      <c r="O9" s="172" t="n">
        <v>4500</v>
      </c>
      <c r="P9" s="172" t="n">
        <v>9000</v>
      </c>
      <c r="Q9" s="172" t="n">
        <v>3600</v>
      </c>
      <c r="R9" s="172" t="n">
        <v>12600</v>
      </c>
      <c r="S9" s="172"/>
      <c r="T9" s="172"/>
      <c r="U9" s="171"/>
      <c r="V9" s="171"/>
    </row>
    <row r="10" customFormat="false" ht="21.75" hidden="false" customHeight="true" outlineLevel="0" collapsed="false">
      <c r="B10" s="173" t="n">
        <f aca="false">IF($C10="","",COUNTA($C$5:C10))</f>
        <v>6</v>
      </c>
      <c r="C10" s="174" t="s">
        <v>1252</v>
      </c>
      <c r="D10" s="173" t="n">
        <v>60</v>
      </c>
      <c r="E10" s="175" t="s">
        <v>114</v>
      </c>
      <c r="F10" s="176" t="n">
        <v>11250</v>
      </c>
      <c r="G10" s="176" t="n">
        <v>4500</v>
      </c>
      <c r="H10" s="176" t="n">
        <v>5625</v>
      </c>
      <c r="I10" s="176" t="n">
        <v>3375</v>
      </c>
      <c r="J10" s="176" t="n">
        <v>5625</v>
      </c>
      <c r="K10" s="176" t="n">
        <v>13500</v>
      </c>
      <c r="L10" s="176" t="n">
        <v>10125</v>
      </c>
      <c r="M10" s="176" t="n">
        <v>7875</v>
      </c>
      <c r="N10" s="176" t="n">
        <v>6300</v>
      </c>
      <c r="O10" s="176" t="n">
        <v>2813</v>
      </c>
      <c r="P10" s="176" t="n">
        <v>5625</v>
      </c>
      <c r="Q10" s="176" t="n">
        <v>2250</v>
      </c>
      <c r="R10" s="176" t="n">
        <v>7875</v>
      </c>
      <c r="S10" s="176"/>
      <c r="T10" s="176"/>
      <c r="U10" s="175"/>
      <c r="V10" s="175"/>
    </row>
    <row r="11" customFormat="false" ht="21.75" hidden="false" customHeight="true" outlineLevel="0" collapsed="false">
      <c r="B11" s="173" t="n">
        <f aca="false">IF($C11="","",COUNTA($C$5:C11))</f>
        <v>7</v>
      </c>
      <c r="C11" s="174" t="s">
        <v>1253</v>
      </c>
      <c r="D11" s="173" t="n">
        <v>58</v>
      </c>
      <c r="E11" s="175" t="s">
        <v>114</v>
      </c>
      <c r="F11" s="176" t="n">
        <v>10125</v>
      </c>
      <c r="G11" s="176" t="n">
        <v>4050</v>
      </c>
      <c r="H11" s="176" t="n">
        <v>5063</v>
      </c>
      <c r="I11" s="176" t="n">
        <v>3038</v>
      </c>
      <c r="J11" s="176" t="n">
        <v>5063</v>
      </c>
      <c r="K11" s="176" t="n">
        <v>12150</v>
      </c>
      <c r="L11" s="176" t="n">
        <v>9113</v>
      </c>
      <c r="M11" s="176" t="n">
        <v>7088</v>
      </c>
      <c r="N11" s="176" t="n">
        <v>5670</v>
      </c>
      <c r="O11" s="176" t="n">
        <v>2531</v>
      </c>
      <c r="P11" s="176" t="n">
        <v>5063</v>
      </c>
      <c r="Q11" s="176" t="n">
        <v>2025</v>
      </c>
      <c r="R11" s="176" t="n">
        <v>7088</v>
      </c>
      <c r="S11" s="176"/>
      <c r="T11" s="176"/>
      <c r="U11" s="175"/>
      <c r="V11" s="175"/>
    </row>
    <row r="12" customFormat="false" ht="21.75" hidden="false" customHeight="true" outlineLevel="0" collapsed="false">
      <c r="B12" s="173" t="n">
        <f aca="false">IF($C12="","",COUNTA($C$5:C12))</f>
        <v>8</v>
      </c>
      <c r="C12" s="174" t="s">
        <v>1254</v>
      </c>
      <c r="D12" s="173" t="n">
        <v>55</v>
      </c>
      <c r="E12" s="175" t="s">
        <v>114</v>
      </c>
      <c r="F12" s="176" t="n">
        <v>9000</v>
      </c>
      <c r="G12" s="176" t="n">
        <v>3600</v>
      </c>
      <c r="H12" s="176" t="n">
        <v>4500</v>
      </c>
      <c r="I12" s="176" t="n">
        <v>2700</v>
      </c>
      <c r="J12" s="176" t="n">
        <v>4500</v>
      </c>
      <c r="K12" s="176" t="n">
        <v>10800</v>
      </c>
      <c r="L12" s="176" t="n">
        <v>8100</v>
      </c>
      <c r="M12" s="176" t="n">
        <v>6300</v>
      </c>
      <c r="N12" s="176" t="n">
        <v>5040</v>
      </c>
      <c r="O12" s="176" t="n">
        <v>2250</v>
      </c>
      <c r="P12" s="176" t="n">
        <v>4500</v>
      </c>
      <c r="Q12" s="176" t="n">
        <v>1800</v>
      </c>
      <c r="R12" s="176" t="n">
        <v>6300</v>
      </c>
      <c r="S12" s="176"/>
      <c r="T12" s="176"/>
      <c r="U12" s="175"/>
      <c r="V12" s="175"/>
    </row>
    <row r="13" customFormat="false" ht="21.75" hidden="false" customHeight="true" outlineLevel="0" collapsed="false">
      <c r="B13" s="173" t="n">
        <f aca="false">IF($C13="","",COUNTA($C$5:C13))</f>
        <v>9</v>
      </c>
      <c r="C13" s="174" t="s">
        <v>1255</v>
      </c>
      <c r="D13" s="173" t="n">
        <v>52</v>
      </c>
      <c r="E13" s="175" t="s">
        <v>114</v>
      </c>
      <c r="F13" s="176" t="n">
        <v>7875</v>
      </c>
      <c r="G13" s="176" t="n">
        <v>3150</v>
      </c>
      <c r="H13" s="176" t="n">
        <v>3938</v>
      </c>
      <c r="I13" s="176" t="n">
        <v>2363</v>
      </c>
      <c r="J13" s="176" t="n">
        <v>3938</v>
      </c>
      <c r="K13" s="176" t="n">
        <v>9450</v>
      </c>
      <c r="L13" s="176" t="n">
        <v>7088</v>
      </c>
      <c r="M13" s="176" t="n">
        <v>5513</v>
      </c>
      <c r="N13" s="176" t="n">
        <v>4410</v>
      </c>
      <c r="O13" s="176" t="n">
        <v>1969</v>
      </c>
      <c r="P13" s="176" t="n">
        <v>3938</v>
      </c>
      <c r="Q13" s="176" t="n">
        <v>1575</v>
      </c>
      <c r="R13" s="176" t="n">
        <v>5513</v>
      </c>
      <c r="S13" s="176"/>
      <c r="T13" s="176"/>
      <c r="U13" s="175"/>
      <c r="V13" s="175"/>
    </row>
    <row r="14" customFormat="false" ht="21.75" hidden="false" customHeight="true" outlineLevel="0" collapsed="false">
      <c r="B14" s="173" t="n">
        <f aca="false">IF($C14="","",COUNTA($C$5:C14))</f>
        <v>10</v>
      </c>
      <c r="C14" s="174" t="s">
        <v>1256</v>
      </c>
      <c r="D14" s="173" t="n">
        <v>50</v>
      </c>
      <c r="E14" s="175" t="s">
        <v>114</v>
      </c>
      <c r="F14" s="176" t="n">
        <v>6750</v>
      </c>
      <c r="G14" s="176" t="n">
        <v>2700</v>
      </c>
      <c r="H14" s="176" t="n">
        <v>3375</v>
      </c>
      <c r="I14" s="176" t="n">
        <v>2025</v>
      </c>
      <c r="J14" s="176" t="n">
        <v>3375</v>
      </c>
      <c r="K14" s="176" t="n">
        <v>8100</v>
      </c>
      <c r="L14" s="176" t="n">
        <v>6075</v>
      </c>
      <c r="M14" s="176" t="n">
        <v>4725</v>
      </c>
      <c r="N14" s="176" t="n">
        <v>3780</v>
      </c>
      <c r="O14" s="176" t="n">
        <v>1688</v>
      </c>
      <c r="P14" s="176" t="n">
        <v>3375</v>
      </c>
      <c r="Q14" s="176" t="n">
        <v>1350</v>
      </c>
      <c r="R14" s="176" t="n">
        <v>4725</v>
      </c>
      <c r="S14" s="176"/>
      <c r="T14" s="176"/>
      <c r="U14" s="175"/>
      <c r="V14" s="175"/>
    </row>
    <row r="15" customFormat="false" ht="21.75" hidden="false" customHeight="true" outlineLevel="0" collapsed="false">
      <c r="B15" s="173" t="n">
        <f aca="false">IF($C15="","",COUNTA($C$5:C15))</f>
        <v>11</v>
      </c>
      <c r="C15" s="174" t="s">
        <v>1257</v>
      </c>
      <c r="D15" s="173" t="n">
        <v>48</v>
      </c>
      <c r="E15" s="175" t="s">
        <v>114</v>
      </c>
      <c r="F15" s="176" t="n">
        <v>6188</v>
      </c>
      <c r="G15" s="176" t="n">
        <v>2475</v>
      </c>
      <c r="H15" s="176" t="n">
        <v>3094</v>
      </c>
      <c r="I15" s="176" t="n">
        <v>1856</v>
      </c>
      <c r="J15" s="176" t="n">
        <v>3094</v>
      </c>
      <c r="K15" s="176" t="n">
        <v>7425</v>
      </c>
      <c r="L15" s="176" t="n">
        <v>5569</v>
      </c>
      <c r="M15" s="176" t="n">
        <v>4331</v>
      </c>
      <c r="N15" s="176" t="n">
        <v>3465</v>
      </c>
      <c r="O15" s="176" t="n">
        <v>1547</v>
      </c>
      <c r="P15" s="176" t="n">
        <v>3094</v>
      </c>
      <c r="Q15" s="176" t="n">
        <v>1238</v>
      </c>
      <c r="R15" s="176" t="n">
        <v>4331</v>
      </c>
      <c r="S15" s="176"/>
      <c r="T15" s="176"/>
      <c r="U15" s="175"/>
      <c r="V15" s="175"/>
    </row>
    <row r="16" customFormat="false" ht="21.75" hidden="false" customHeight="true" outlineLevel="0" collapsed="false">
      <c r="B16" s="173" t="n">
        <f aca="false">IF($C16="","",COUNTA($C$5:C16))</f>
        <v>12</v>
      </c>
      <c r="C16" s="174" t="s">
        <v>1258</v>
      </c>
      <c r="D16" s="173" t="n">
        <v>45</v>
      </c>
      <c r="E16" s="175" t="s">
        <v>114</v>
      </c>
      <c r="F16" s="176" t="n">
        <v>5625</v>
      </c>
      <c r="G16" s="176" t="n">
        <v>2250</v>
      </c>
      <c r="H16" s="176" t="n">
        <v>2813</v>
      </c>
      <c r="I16" s="176" t="n">
        <v>1688</v>
      </c>
      <c r="J16" s="176" t="n">
        <v>2813</v>
      </c>
      <c r="K16" s="176" t="n">
        <v>6750</v>
      </c>
      <c r="L16" s="176" t="n">
        <v>5063</v>
      </c>
      <c r="M16" s="176" t="n">
        <v>3938</v>
      </c>
      <c r="N16" s="176" t="n">
        <v>3150</v>
      </c>
      <c r="O16" s="176" t="n">
        <v>1406</v>
      </c>
      <c r="P16" s="176" t="n">
        <v>2813</v>
      </c>
      <c r="Q16" s="176" t="n">
        <v>1125</v>
      </c>
      <c r="R16" s="176" t="n">
        <v>3938</v>
      </c>
      <c r="S16" s="176"/>
      <c r="T16" s="176"/>
      <c r="U16" s="175"/>
      <c r="V16" s="175"/>
    </row>
    <row r="17" customFormat="false" ht="21.75" hidden="false" customHeight="true" outlineLevel="0" collapsed="false">
      <c r="B17" s="177" t="n">
        <f aca="false">IF($C17="","",COUNTA($C$5:C17))</f>
        <v>13</v>
      </c>
      <c r="C17" s="178" t="s">
        <v>1259</v>
      </c>
      <c r="D17" s="177" t="n">
        <v>42</v>
      </c>
      <c r="E17" s="179" t="s">
        <v>118</v>
      </c>
      <c r="F17" s="180" t="n">
        <v>4500</v>
      </c>
      <c r="G17" s="180" t="n">
        <v>1800</v>
      </c>
      <c r="H17" s="180" t="n">
        <v>2250</v>
      </c>
      <c r="I17" s="180" t="n">
        <v>1350</v>
      </c>
      <c r="J17" s="180" t="n">
        <v>2250</v>
      </c>
      <c r="K17" s="180" t="n">
        <v>5400</v>
      </c>
      <c r="L17" s="180" t="n">
        <v>4050</v>
      </c>
      <c r="M17" s="180" t="n">
        <v>3150</v>
      </c>
      <c r="N17" s="180" t="n">
        <v>2520</v>
      </c>
      <c r="O17" s="180" t="n">
        <v>1125</v>
      </c>
      <c r="P17" s="180" t="n">
        <v>2250</v>
      </c>
      <c r="Q17" s="180" t="n">
        <v>900</v>
      </c>
      <c r="R17" s="180" t="n">
        <v>3150</v>
      </c>
      <c r="S17" s="180"/>
      <c r="T17" s="180"/>
      <c r="U17" s="179"/>
      <c r="V17" s="179"/>
    </row>
    <row r="18" customFormat="false" ht="21.75" hidden="false" customHeight="true" outlineLevel="0" collapsed="false">
      <c r="B18" s="177" t="n">
        <f aca="false">IF($C18="","",COUNTA($C$5:C18))</f>
        <v>14</v>
      </c>
      <c r="C18" s="178" t="s">
        <v>1260</v>
      </c>
      <c r="D18" s="177" t="n">
        <v>40</v>
      </c>
      <c r="E18" s="179" t="s">
        <v>118</v>
      </c>
      <c r="F18" s="180" t="n">
        <v>3938</v>
      </c>
      <c r="G18" s="180" t="n">
        <v>1575</v>
      </c>
      <c r="H18" s="180" t="n">
        <v>1969</v>
      </c>
      <c r="I18" s="180" t="n">
        <v>1181</v>
      </c>
      <c r="J18" s="180" t="n">
        <v>1969</v>
      </c>
      <c r="K18" s="180" t="n">
        <v>4725</v>
      </c>
      <c r="L18" s="180" t="n">
        <v>3544</v>
      </c>
      <c r="M18" s="180" t="n">
        <v>2756</v>
      </c>
      <c r="N18" s="180" t="n">
        <v>2205</v>
      </c>
      <c r="O18" s="180" t="n">
        <v>984</v>
      </c>
      <c r="P18" s="180" t="n">
        <v>1969</v>
      </c>
      <c r="Q18" s="180" t="n">
        <v>788</v>
      </c>
      <c r="R18" s="180" t="n">
        <v>2756</v>
      </c>
      <c r="S18" s="180"/>
      <c r="T18" s="180"/>
      <c r="U18" s="179"/>
      <c r="V18" s="179"/>
    </row>
    <row r="19" customFormat="false" ht="21.75" hidden="false" customHeight="true" outlineLevel="0" collapsed="false">
      <c r="B19" s="177" t="n">
        <f aca="false">IF($C19="","",COUNTA($C$5:C19))</f>
        <v>15</v>
      </c>
      <c r="C19" s="178" t="s">
        <v>1261</v>
      </c>
      <c r="D19" s="177" t="n">
        <v>38</v>
      </c>
      <c r="E19" s="179" t="s">
        <v>118</v>
      </c>
      <c r="F19" s="180" t="n">
        <v>3375</v>
      </c>
      <c r="G19" s="180" t="n">
        <v>1350</v>
      </c>
      <c r="H19" s="180" t="n">
        <v>1688</v>
      </c>
      <c r="I19" s="180" t="n">
        <v>1013</v>
      </c>
      <c r="J19" s="180" t="n">
        <v>1688</v>
      </c>
      <c r="K19" s="180" t="n">
        <v>4050</v>
      </c>
      <c r="L19" s="180" t="n">
        <v>3038</v>
      </c>
      <c r="M19" s="180" t="n">
        <v>2363</v>
      </c>
      <c r="N19" s="180" t="n">
        <v>1890</v>
      </c>
      <c r="O19" s="180" t="n">
        <v>844</v>
      </c>
      <c r="P19" s="180" t="n">
        <v>1688</v>
      </c>
      <c r="Q19" s="180" t="n">
        <v>675</v>
      </c>
      <c r="R19" s="180" t="n">
        <v>2363</v>
      </c>
      <c r="S19" s="180"/>
      <c r="T19" s="180"/>
      <c r="U19" s="179"/>
      <c r="V19" s="179"/>
    </row>
    <row r="20" customFormat="false" ht="21.75" hidden="false" customHeight="true" outlineLevel="0" collapsed="false">
      <c r="B20" s="177" t="n">
        <f aca="false">IF($C20="","",COUNTA($C$5:C20))</f>
        <v>16</v>
      </c>
      <c r="C20" s="178" t="s">
        <v>1262</v>
      </c>
      <c r="D20" s="177" t="n">
        <v>35</v>
      </c>
      <c r="E20" s="179" t="s">
        <v>118</v>
      </c>
      <c r="F20" s="180" t="n">
        <v>2813</v>
      </c>
      <c r="G20" s="180" t="n">
        <v>1125</v>
      </c>
      <c r="H20" s="180" t="n">
        <v>1406</v>
      </c>
      <c r="I20" s="180" t="n">
        <v>844</v>
      </c>
      <c r="J20" s="180" t="n">
        <v>1406</v>
      </c>
      <c r="K20" s="180" t="n">
        <v>3375</v>
      </c>
      <c r="L20" s="180" t="n">
        <v>2531</v>
      </c>
      <c r="M20" s="180" t="n">
        <v>1969</v>
      </c>
      <c r="N20" s="180" t="n">
        <v>1575</v>
      </c>
      <c r="O20" s="180" t="n">
        <v>703</v>
      </c>
      <c r="P20" s="180" t="n">
        <v>1406</v>
      </c>
      <c r="Q20" s="180" t="n">
        <v>563</v>
      </c>
      <c r="R20" s="180" t="n">
        <v>1969</v>
      </c>
      <c r="S20" s="180"/>
      <c r="T20" s="180"/>
      <c r="U20" s="179"/>
      <c r="V20" s="179"/>
    </row>
    <row r="21" customFormat="false" ht="21.75" hidden="false" customHeight="true" outlineLevel="0" collapsed="false">
      <c r="B21" s="177" t="n">
        <f aca="false">IF($C21="","",COUNTA($C$5:C21))</f>
        <v>17</v>
      </c>
      <c r="C21" s="178" t="s">
        <v>1263</v>
      </c>
      <c r="D21" s="177" t="n">
        <v>32</v>
      </c>
      <c r="E21" s="179" t="s">
        <v>118</v>
      </c>
      <c r="F21" s="180" t="n">
        <v>2250</v>
      </c>
      <c r="G21" s="180" t="n">
        <v>900</v>
      </c>
      <c r="H21" s="180" t="n">
        <v>1125</v>
      </c>
      <c r="I21" s="180" t="n">
        <v>675</v>
      </c>
      <c r="J21" s="180" t="n">
        <v>1125</v>
      </c>
      <c r="K21" s="180" t="n">
        <v>2700</v>
      </c>
      <c r="L21" s="180" t="n">
        <v>2025</v>
      </c>
      <c r="M21" s="180" t="n">
        <v>1575</v>
      </c>
      <c r="N21" s="180" t="n">
        <v>1260</v>
      </c>
      <c r="O21" s="180" t="n">
        <v>563</v>
      </c>
      <c r="P21" s="180" t="n">
        <v>1125</v>
      </c>
      <c r="Q21" s="180" t="n">
        <v>450</v>
      </c>
      <c r="R21" s="180" t="n">
        <v>1575</v>
      </c>
      <c r="S21" s="180"/>
      <c r="T21" s="180"/>
      <c r="U21" s="179"/>
      <c r="V21" s="179"/>
    </row>
    <row r="22" customFormat="false" ht="21.75" hidden="false" customHeight="true" outlineLevel="0" collapsed="false">
      <c r="B22" s="181" t="str">
        <f aca="false">IF($C22="","",COUNTA($C$5:C22))</f>
        <v/>
      </c>
      <c r="C22" s="44"/>
      <c r="D22" s="181"/>
      <c r="E22" s="44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44"/>
      <c r="V22" s="44"/>
    </row>
    <row r="23" customFormat="false" ht="21.75" hidden="false" customHeight="true" outlineLevel="0" collapsed="false">
      <c r="B23" s="181" t="str">
        <f aca="false">IF($C23="","",COUNTA($C$5:C23))</f>
        <v/>
      </c>
      <c r="C23" s="44"/>
      <c r="D23" s="181"/>
      <c r="E23" s="44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44"/>
      <c r="V23" s="44"/>
    </row>
    <row r="24" customFormat="false" ht="21.75" hidden="false" customHeight="true" outlineLevel="0" collapsed="false">
      <c r="B24" s="181" t="str">
        <f aca="false">IF($C24="","",COUNTA($C$5:C24))</f>
        <v/>
      </c>
      <c r="C24" s="44"/>
      <c r="D24" s="181"/>
      <c r="E24" s="44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44"/>
      <c r="V24" s="44"/>
    </row>
    <row r="25" customFormat="false" ht="21.75" hidden="false" customHeight="true" outlineLevel="0" collapsed="false">
      <c r="B25" s="181" t="str">
        <f aca="false">IF($C25="","",COUNTA($C$5:C25))</f>
        <v/>
      </c>
      <c r="C25" s="44"/>
      <c r="D25" s="181"/>
      <c r="E25" s="44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44"/>
      <c r="V25" s="44"/>
    </row>
    <row r="26" customFormat="false" ht="21.75" hidden="false" customHeight="true" outlineLevel="0" collapsed="false">
      <c r="B26" s="181" t="str">
        <f aca="false">IF($C26="","",COUNTA($C$5:C26))</f>
        <v/>
      </c>
      <c r="C26" s="44"/>
      <c r="D26" s="181"/>
      <c r="E26" s="44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44"/>
      <c r="V26" s="44"/>
    </row>
    <row r="27" customFormat="false" ht="21.75" hidden="false" customHeight="true" outlineLevel="0" collapsed="false">
      <c r="B27" s="181" t="str">
        <f aca="false">IF($C27="","",COUNTA($C$5:C27))</f>
        <v/>
      </c>
      <c r="C27" s="44"/>
      <c r="D27" s="181"/>
      <c r="E27" s="44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44"/>
      <c r="V27" s="44"/>
    </row>
    <row r="28" customFormat="false" ht="21.75" hidden="false" customHeight="true" outlineLevel="0" collapsed="false">
      <c r="B28" s="181" t="str">
        <f aca="false">IF($C28="","",COUNTA($C$5:C28))</f>
        <v/>
      </c>
      <c r="C28" s="44"/>
      <c r="D28" s="181"/>
      <c r="E28" s="44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44"/>
      <c r="V28" s="44"/>
    </row>
    <row r="29" customFormat="false" ht="21.75" hidden="false" customHeight="true" outlineLevel="0" collapsed="false">
      <c r="B29" s="181" t="str">
        <f aca="false">IF($C29="","",COUNTA($C$5:C29))</f>
        <v/>
      </c>
      <c r="C29" s="44"/>
      <c r="D29" s="181"/>
      <c r="E29" s="44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44"/>
      <c r="V29" s="44"/>
    </row>
    <row r="30" customFormat="false" ht="21.75" hidden="false" customHeight="true" outlineLevel="0" collapsed="false">
      <c r="B30" s="181" t="str">
        <f aca="false">IF($C30="","",COUNTA($C$5:C30))</f>
        <v/>
      </c>
      <c r="C30" s="44"/>
      <c r="D30" s="181"/>
      <c r="E30" s="44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44"/>
      <c r="V30" s="44"/>
    </row>
    <row r="31" customFormat="false" ht="21.75" hidden="false" customHeight="true" outlineLevel="0" collapsed="false">
      <c r="B31" s="181" t="str">
        <f aca="false">IF($C31="","",COUNTA($C$5:C31))</f>
        <v/>
      </c>
      <c r="C31" s="44"/>
      <c r="D31" s="181"/>
      <c r="E31" s="44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44"/>
      <c r="V31" s="44"/>
    </row>
    <row r="32" customFormat="false" ht="21.75" hidden="false" customHeight="true" outlineLevel="0" collapsed="false">
      <c r="B32" s="181" t="str">
        <f aca="false">IF($C32="","",COUNTA($C$5:C32))</f>
        <v/>
      </c>
      <c r="C32" s="44"/>
      <c r="D32" s="181"/>
      <c r="E32" s="44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44"/>
      <c r="V32" s="44"/>
    </row>
    <row r="33" customFormat="false" ht="21.75" hidden="false" customHeight="true" outlineLevel="0" collapsed="false">
      <c r="B33" s="181" t="str">
        <f aca="false">IF($C33="","",COUNTA($C$5:C33))</f>
        <v/>
      </c>
      <c r="C33" s="44"/>
      <c r="D33" s="181"/>
      <c r="E33" s="44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44"/>
      <c r="V33" s="44"/>
    </row>
    <row r="34" customFormat="false" ht="21.75" hidden="false" customHeight="true" outlineLevel="0" collapsed="false">
      <c r="B34" s="181" t="str">
        <f aca="false">IF($C34="","",COUNTA($C$5:C34))</f>
        <v/>
      </c>
      <c r="C34" s="44"/>
      <c r="D34" s="181"/>
      <c r="E34" s="44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44"/>
      <c r="V34" s="44"/>
    </row>
    <row r="35" customFormat="false" ht="21.75" hidden="false" customHeight="true" outlineLevel="0" collapsed="false">
      <c r="B35" s="181" t="str">
        <f aca="false">IF($C35="","",COUNTA($C$5:C35))</f>
        <v/>
      </c>
      <c r="C35" s="44"/>
      <c r="D35" s="181"/>
      <c r="E35" s="44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44"/>
      <c r="V35" s="44"/>
    </row>
    <row r="36" customFormat="false" ht="21.75" hidden="false" customHeight="true" outlineLevel="0" collapsed="false">
      <c r="B36" s="181" t="str">
        <f aca="false">IF($C36="","",COUNTA($C$5:C36))</f>
        <v/>
      </c>
      <c r="C36" s="44"/>
      <c r="D36" s="181"/>
      <c r="E36" s="44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44"/>
      <c r="V36" s="44"/>
    </row>
  </sheetData>
  <mergeCells count="2">
    <mergeCell ref="B2:V2"/>
    <mergeCell ref="B3:V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4D2B"/>
    <pageSetUpPr fitToPage="true"/>
  </sheetPr>
  <dimension ref="B1:P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5" activeCellId="0" sqref="B5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6" min="3" style="1" width="16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32"/>
    <col collapsed="false" customWidth="true" hidden="false" outlineLevel="0" max="10" min="10" style="1" width="7.57"/>
    <col collapsed="false" customWidth="true" hidden="false" outlineLevel="0" max="11" min="11" style="1" width="7.71"/>
    <col collapsed="false" customWidth="true" hidden="false" outlineLevel="0" max="12" min="12" style="1" width="17.29"/>
    <col collapsed="false" customWidth="true" hidden="false" outlineLevel="0" max="13" min="13" style="1" width="6"/>
    <col collapsed="false" customWidth="true" hidden="false" outlineLevel="0" max="26" min="15" style="1" width="8.71"/>
  </cols>
  <sheetData>
    <row r="1" customFormat="false" ht="15" hidden="false" customHeight="true" outlineLevel="0" collapsed="false">
      <c r="N1" s="1"/>
    </row>
    <row r="2" customFormat="false" ht="21.75" hidden="false" customHeight="true" outlineLevel="0" collapsed="false">
      <c r="B2" s="183" t="s">
        <v>1264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"/>
    </row>
    <row r="3" customFormat="false" ht="15" hidden="false" customHeight="true" outlineLevel="0" collapsed="false">
      <c r="B3" s="184" t="s">
        <v>1265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"/>
    </row>
    <row r="4" customFormat="false" ht="15" hidden="false" customHeight="true" outlineLevel="0" collapsed="false">
      <c r="N4" s="1"/>
    </row>
    <row r="5" customFormat="false" ht="22.5" hidden="false" customHeight="true" outlineLevel="0" collapsed="false">
      <c r="B5" s="185" t="s">
        <v>1266</v>
      </c>
      <c r="C5" s="186"/>
      <c r="D5" s="187" t="s">
        <v>1267</v>
      </c>
      <c r="E5" s="188"/>
      <c r="F5" s="189" t="str">
        <f aca="false">IFERROR(__xludf.dummyfunction("IF(TRIM(D5)="""","""",IFERROR(INDEX(FILTER('01_Player_Rate_Card'!C$5:C1016,REGEXMATCH(LOWER('01_Player_Rate_Card'!C$5:C1016),LOWER(TRIM(D5)))) ,1),""No match — check spelling""))"),"Moaz")</f>
        <v>Moaz</v>
      </c>
      <c r="G5" s="190"/>
      <c r="H5" s="191" t="s">
        <v>1268</v>
      </c>
      <c r="I5" s="192"/>
      <c r="J5" s="193"/>
      <c r="K5" s="193"/>
      <c r="L5" s="193"/>
      <c r="M5" s="193"/>
      <c r="N5" s="1"/>
    </row>
    <row r="6" customFormat="false" ht="15" hidden="false" customHeight="true" outlineLevel="0" collapsed="false">
      <c r="B6" s="193"/>
      <c r="C6" s="193"/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"/>
    </row>
    <row r="7" customFormat="false" ht="15" hidden="false" customHeight="true" outlineLevel="0" collapsed="false">
      <c r="B7" s="194" t="s">
        <v>1269</v>
      </c>
      <c r="C7" s="194"/>
      <c r="D7" s="194"/>
      <c r="E7" s="194"/>
      <c r="F7" s="194"/>
      <c r="G7" s="194"/>
      <c r="H7" s="194"/>
      <c r="I7" s="194"/>
      <c r="J7" s="194"/>
      <c r="K7" s="194"/>
      <c r="L7" s="194"/>
      <c r="M7" s="194"/>
      <c r="N7" s="1"/>
    </row>
    <row r="8" customFormat="false" ht="15" hidden="false" customHeight="true" outlineLevel="0" collapsed="false">
      <c r="B8" s="195" t="s">
        <v>1270</v>
      </c>
      <c r="C8" s="195" t="s">
        <v>157</v>
      </c>
      <c r="D8" s="195" t="s">
        <v>158</v>
      </c>
      <c r="E8" s="195" t="s">
        <v>156</v>
      </c>
      <c r="F8" s="195" t="s">
        <v>99</v>
      </c>
      <c r="G8" s="195" t="s">
        <v>159</v>
      </c>
      <c r="H8" s="195" t="s">
        <v>160</v>
      </c>
      <c r="N8" s="1"/>
    </row>
    <row r="9" customFormat="false" ht="21" hidden="false" customHeight="true" outlineLevel="0" collapsed="false">
      <c r="B9" s="196" t="str">
        <f aca="false">IF(OR($F$5="",$F$5="No match — check spelling"),"",$F$5)</f>
        <v>Moaz</v>
      </c>
      <c r="C9" s="197" t="str">
        <f aca="false">IFERROR(VLOOKUP(B9,'01_Player_Rate_Card'!$C$5:$AL$500,3,0),"")</f>
        <v>Esports Influencers</v>
      </c>
      <c r="D9" s="198" t="str">
        <f aca="false">IFERROR(VLOOKUP(B9,'01_Player_Rate_Card'!$C$5:$AL$500,4,0),"")</f>
        <v>Esports Influencers</v>
      </c>
      <c r="E9" s="197" t="str">
        <f aca="false">IFERROR(VLOOKUP(B9,'01_Player_Rate_Card'!$C$5:$AL$500,2,0),"")</f>
        <v>Influencer</v>
      </c>
      <c r="F9" s="197" t="str">
        <f aca="false">IFERROR(VLOOKUP(B9,'01_Player_Rate_Card'!$C$5:$AL$500,7,0),"")</f>
        <v>Tier 2</v>
      </c>
      <c r="G9" s="197" t="str">
        <f aca="false">IFERROR(VLOOKUP(B9,'01_Player_Rate_Card'!$C$5:$AL$500,5,0),"")</f>
        <v>Saudi Arabia</v>
      </c>
      <c r="H9" s="197" t="n">
        <f aca="false">IFERROR(VLOOKUP(B9,'01_Player_Rate_Card'!$C$5:$AL$500,6,0),"")</f>
        <v>5</v>
      </c>
      <c r="N9" s="1"/>
    </row>
    <row r="10" customFormat="false" ht="21" hidden="false" customHeight="true" outlineLevel="0" collapsed="false">
      <c r="B10" s="194" t="s">
        <v>1271</v>
      </c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"/>
    </row>
    <row r="11" customFormat="false" ht="15" hidden="false" customHeight="true" outlineLevel="0" collapsed="false">
      <c r="B11" s="199" t="s">
        <v>1272</v>
      </c>
      <c r="C11" s="199" t="s">
        <v>1273</v>
      </c>
      <c r="D11" s="199" t="s">
        <v>1235</v>
      </c>
      <c r="E11" s="199" t="s">
        <v>1274</v>
      </c>
      <c r="F11" s="199" t="s">
        <v>1275</v>
      </c>
      <c r="G11" s="199" t="s">
        <v>1276</v>
      </c>
      <c r="H11" s="199" t="s">
        <v>1277</v>
      </c>
      <c r="I11" s="199" t="s">
        <v>1278</v>
      </c>
      <c r="J11" s="199" t="s">
        <v>1279</v>
      </c>
      <c r="K11" s="199" t="s">
        <v>1280</v>
      </c>
      <c r="L11" s="199" t="s">
        <v>1281</v>
      </c>
      <c r="M11" s="199" t="s">
        <v>1282</v>
      </c>
      <c r="N11" s="200" t="s">
        <v>1283</v>
      </c>
      <c r="O11" s="200" t="s">
        <v>1284</v>
      </c>
      <c r="P11" s="200" t="s">
        <v>1285</v>
      </c>
    </row>
    <row r="12" customFormat="false" ht="15" hidden="false" customHeight="true" outlineLevel="0" collapsed="false">
      <c r="B12" s="201" t="n">
        <f aca="false">IFERROR(VLOOKUP(B9,'01_Player_Rate_Card'!$C$5:$AL$500,8,0),"N/A")</f>
        <v>6500</v>
      </c>
      <c r="C12" s="201" t="n">
        <f aca="false">IFERROR(VLOOKUP(B9,'01_Player_Rate_Card'!$C$5:$AL$500,9,0),"N/A")</f>
        <v>5300</v>
      </c>
      <c r="D12" s="201" t="n">
        <f aca="false">IFERROR(VLOOKUP(B9,'01_Player_Rate_Card'!$C$5:$AL$500,10,0),"N/A")</f>
        <v>1105</v>
      </c>
      <c r="E12" s="201" t="n">
        <f aca="false">IFERROR(VLOOKUP(B9,'01_Player_Rate_Card'!$C$5:$AL$500,11,0),"N/A")</f>
        <v>3400</v>
      </c>
      <c r="F12" s="201" t="n">
        <f aca="false">IFERROR(VLOOKUP(B9,'01_Player_Rate_Card'!$C$5:$AL$500,12,0),"N/A")</f>
        <v>4050</v>
      </c>
      <c r="G12" s="201" t="n">
        <f aca="false">IFERROR(VLOOKUP(B9,'01_Player_Rate_Card'!$C$5:$AL$500,13,0),"N/A")</f>
        <v>2500</v>
      </c>
      <c r="H12" s="201" t="n">
        <f aca="false">IFERROR(VLOOKUP(B9,'01_Player_Rate_Card'!$C$5:$AL$500,14,0),"N/A")</f>
        <v>2500</v>
      </c>
      <c r="I12" s="201" t="n">
        <f aca="false">IFERROR(VLOOKUP(B9,'01_Player_Rate_Card'!$C$5:$AL$500,15,0),"N/A")</f>
        <v>15950</v>
      </c>
      <c r="J12" s="201" t="n">
        <f aca="false">IFERROR(VLOOKUP(B9,'01_Player_Rate_Card'!$C$5:$AL$500,16,0),"N/A")</f>
        <v>8200</v>
      </c>
      <c r="K12" s="201" t="n">
        <f aca="false">IFERROR(VLOOKUP(B9,'01_Player_Rate_Card'!$C$5:$AL$500,17,0),"N/A")</f>
        <v>14300</v>
      </c>
      <c r="L12" s="201" t="n">
        <f aca="false">IFERROR(VLOOKUP(B9,'01_Player_Rate_Card'!$C$5:$AL$500,18,0),"N/A")</f>
        <v>3800</v>
      </c>
      <c r="M12" s="201" t="n">
        <f aca="false">IFERROR(VLOOKUP(B9,'01_Player_Rate_Card'!$C$5:$AL$500,19,0),"N/A")</f>
        <v>1900</v>
      </c>
      <c r="N12" s="55" t="n">
        <f aca="false">IFERROR(VLOOKUP(B9,'01_Player_Rate_Card'!$C$5:$AL$500,20,0),"N/A")</f>
        <v>3150</v>
      </c>
      <c r="O12" s="55" t="n">
        <f aca="false">IFERROR(VLOOKUP(B9,'01_Player_Rate_Card'!$C$5:$AL$500,21,0),"N/A")</f>
        <v>1250</v>
      </c>
      <c r="P12" s="55" t="n">
        <f aca="false">IFERROR(ROUND(IFERROR(VLOOKUP(B9,'01_Player_Rate_Card'!$C$5:$AL$500,8,0),0)*0.15,0),"N/A")</f>
        <v>975</v>
      </c>
    </row>
    <row r="13" customFormat="false" ht="15" hidden="false" customHeight="true" outlineLevel="0" collapsed="false">
      <c r="N13" s="1"/>
    </row>
    <row r="14" customFormat="false" ht="15" hidden="false" customHeight="true" outlineLevel="0" collapsed="false">
      <c r="B14" s="194" t="s">
        <v>1286</v>
      </c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"/>
    </row>
    <row r="15" customFormat="false" ht="15" hidden="false" customHeight="true" outlineLevel="0" collapsed="false">
      <c r="B15" s="202" t="s">
        <v>1287</v>
      </c>
      <c r="D15" s="202" t="s">
        <v>1288</v>
      </c>
      <c r="F15" s="55" t="s">
        <v>1289</v>
      </c>
      <c r="N15" s="1"/>
    </row>
    <row r="16" customFormat="false" ht="21" hidden="false" customHeight="true" outlineLevel="0" collapsed="false">
      <c r="B16" s="203" t="s">
        <v>1290</v>
      </c>
      <c r="C16" s="204"/>
      <c r="D16" s="205" t="n">
        <f aca="false" t="array" ref="D16:D16">IFERROR(xlookup(B16,$B$17:$B$34,$D$17:$D$34,0),0)</f>
        <v>0</v>
      </c>
      <c r="E16" s="204"/>
      <c r="N16" s="1"/>
    </row>
    <row r="17" customFormat="false" ht="15" hidden="true" customHeight="true" outlineLevel="0" collapsed="false">
      <c r="B17" s="55" t="s">
        <v>1272</v>
      </c>
      <c r="D17" s="55" t="n">
        <f aca="false">IFERROR(VLOOKUP($B$9,'01_Player_Rate_Card'!$C$5:$AL$500,8,FALSE()),0)</f>
        <v>6500</v>
      </c>
      <c r="F17" s="55" t="s">
        <v>1291</v>
      </c>
      <c r="N17" s="1"/>
    </row>
    <row r="18" customFormat="false" ht="15" hidden="true" customHeight="true" outlineLevel="0" collapsed="false">
      <c r="B18" s="55" t="s">
        <v>1292</v>
      </c>
      <c r="D18" s="55" t="n">
        <f aca="false">IFERROR(VLOOKUP($B$9,'01_Player_Rate_Card'!$C$5:$AL$500,9,FALSE()),0)</f>
        <v>5300</v>
      </c>
      <c r="F18" s="55" t="s">
        <v>1293</v>
      </c>
      <c r="N18" s="1"/>
    </row>
    <row r="19" customFormat="false" ht="15" hidden="true" customHeight="true" outlineLevel="0" collapsed="false">
      <c r="B19" s="55" t="s">
        <v>1235</v>
      </c>
      <c r="D19" s="55" t="n">
        <f aca="false">IFERROR(VLOOKUP($B$9,'01_Player_Rate_Card'!$C$5:$AL$500,10,FALSE()),0)</f>
        <v>1105</v>
      </c>
      <c r="F19" s="55" t="s">
        <v>1294</v>
      </c>
      <c r="N19" s="1"/>
    </row>
    <row r="20" customFormat="false" ht="15" hidden="true" customHeight="true" outlineLevel="0" collapsed="false">
      <c r="B20" s="55" t="s">
        <v>1274</v>
      </c>
      <c r="D20" s="55" t="n">
        <f aca="false">IFERROR(VLOOKUP($B$9,'01_Player_Rate_Card'!$C$5:$AL$500,11,FALSE()),0)</f>
        <v>3400</v>
      </c>
      <c r="F20" s="55" t="s">
        <v>1295</v>
      </c>
      <c r="N20" s="1"/>
    </row>
    <row r="21" customFormat="false" ht="15.75" hidden="true" customHeight="true" outlineLevel="0" collapsed="false">
      <c r="B21" s="55" t="s">
        <v>1275</v>
      </c>
      <c r="D21" s="55" t="n">
        <f aca="false">IFERROR(VLOOKUP($B$9,'01_Player_Rate_Card'!$C$5:$AL$500,12,FALSE()),0)</f>
        <v>4050</v>
      </c>
      <c r="F21" s="55" t="s">
        <v>1296</v>
      </c>
      <c r="N21" s="1"/>
    </row>
    <row r="22" customFormat="false" ht="15.75" hidden="true" customHeight="true" outlineLevel="0" collapsed="false">
      <c r="B22" s="55" t="s">
        <v>1276</v>
      </c>
      <c r="D22" s="55" t="n">
        <f aca="false">IFERROR(VLOOKUP($B$9,'01_Player_Rate_Card'!$C$5:$AL$500,13,FALSE()),0)</f>
        <v>2500</v>
      </c>
      <c r="F22" s="55" t="s">
        <v>1297</v>
      </c>
      <c r="N22" s="1"/>
    </row>
    <row r="23" customFormat="false" ht="15.75" hidden="true" customHeight="true" outlineLevel="0" collapsed="false">
      <c r="B23" s="55" t="s">
        <v>1298</v>
      </c>
      <c r="D23" s="55" t="n">
        <f aca="false">IFERROR(VLOOKUP($B$9,'01_Player_Rate_Card'!$C$5:$AL$500,14,FALSE()),0)</f>
        <v>2500</v>
      </c>
      <c r="F23" s="55" t="s">
        <v>1299</v>
      </c>
      <c r="N23" s="1"/>
    </row>
    <row r="24" customFormat="false" ht="15.75" hidden="true" customHeight="true" outlineLevel="0" collapsed="false">
      <c r="B24" s="55" t="s">
        <v>1300</v>
      </c>
      <c r="D24" s="55" t="n">
        <f aca="false">IFERROR(VLOOKUP($B$9,'01_Player_Rate_Card'!$C$5:$AL$500,8,FALSE())*0.15,0)</f>
        <v>975</v>
      </c>
      <c r="F24" s="55" t="s">
        <v>1301</v>
      </c>
      <c r="N24" s="1"/>
    </row>
    <row r="25" customFormat="false" ht="15.75" hidden="true" customHeight="true" outlineLevel="0" collapsed="false">
      <c r="B25" s="55" t="s">
        <v>1302</v>
      </c>
      <c r="N25" s="1"/>
    </row>
    <row r="26" customFormat="false" ht="15.75" hidden="true" customHeight="true" outlineLevel="0" collapsed="false">
      <c r="B26" s="55" t="s">
        <v>1303</v>
      </c>
      <c r="D26" s="55" t="n">
        <f aca="false">IFERROR(VLOOKUP($B$9,'01_Player_Rate_Card'!$C$5:$AL$500,15,FALSE()),0)</f>
        <v>15950</v>
      </c>
      <c r="F26" s="55" t="s">
        <v>1304</v>
      </c>
      <c r="N26" s="1"/>
    </row>
    <row r="27" customFormat="false" ht="15.75" hidden="true" customHeight="true" outlineLevel="0" collapsed="false">
      <c r="B27" s="55" t="s">
        <v>1305</v>
      </c>
      <c r="D27" s="55" t="n">
        <f aca="false">IFERROR(VLOOKUP($B$9,'01_Player_Rate_Card'!$C$5:$AL$500,16,FALSE()),0)</f>
        <v>8200</v>
      </c>
      <c r="F27" s="55" t="s">
        <v>1306</v>
      </c>
      <c r="N27" s="1"/>
    </row>
    <row r="28" customFormat="false" ht="15.75" hidden="true" customHeight="true" outlineLevel="0" collapsed="false">
      <c r="B28" s="55" t="s">
        <v>1307</v>
      </c>
      <c r="N28" s="1"/>
    </row>
    <row r="29" customFormat="false" ht="15.75" hidden="true" customHeight="true" outlineLevel="0" collapsed="false">
      <c r="B29" s="55" t="s">
        <v>1308</v>
      </c>
      <c r="D29" s="55" t="n">
        <f aca="false">IFERROR(VLOOKUP($B$9,'01_Player_Rate_Card'!$C$5:$AL$500,17,FALSE()),0)</f>
        <v>14300</v>
      </c>
      <c r="F29" s="55" t="s">
        <v>1309</v>
      </c>
      <c r="N29" s="1"/>
    </row>
    <row r="30" customFormat="false" ht="15.75" hidden="true" customHeight="true" outlineLevel="0" collapsed="false">
      <c r="B30" s="55" t="s">
        <v>1290</v>
      </c>
      <c r="D30" s="55" t="n">
        <f aca="false">IFERROR(VLOOKUP($B$9,'01_Player_Rate_Card'!$C$5:$AL$500,17,FALSE())*0.5,0)</f>
        <v>7150</v>
      </c>
      <c r="F30" s="55" t="s">
        <v>1310</v>
      </c>
      <c r="N30" s="1"/>
    </row>
    <row r="31" customFormat="false" ht="15.75" hidden="true" customHeight="true" outlineLevel="0" collapsed="false">
      <c r="B31" s="55" t="s">
        <v>1311</v>
      </c>
      <c r="D31" s="55" t="n">
        <f aca="false">IFERROR(VLOOKUP($B$9,'01_Player_Rate_Card'!$C$5:$AL$500,17,FALSE()),0)</f>
        <v>14300</v>
      </c>
      <c r="F31" s="55" t="s">
        <v>1312</v>
      </c>
      <c r="N31" s="1"/>
    </row>
    <row r="32" customFormat="false" ht="15.75" hidden="true" customHeight="true" outlineLevel="0" collapsed="false">
      <c r="B32" s="55" t="s">
        <v>1313</v>
      </c>
      <c r="D32" s="55" t="n">
        <f aca="false">IFERROR(VLOOKUP($B$9,'01_Player_Rate_Card'!$C$5:$AL$500,17,FALSE())*0.7,0)</f>
        <v>10010</v>
      </c>
      <c r="F32" s="55" t="s">
        <v>1314</v>
      </c>
      <c r="N32" s="1"/>
    </row>
    <row r="33" customFormat="false" ht="15.75" hidden="true" customHeight="true" outlineLevel="0" collapsed="false">
      <c r="B33" s="194" t="s">
        <v>1315</v>
      </c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"/>
    </row>
    <row r="34" customFormat="false" ht="15.75" hidden="true" customHeight="true" outlineLevel="0" collapsed="false">
      <c r="B34" s="206" t="s">
        <v>1316</v>
      </c>
      <c r="D34" s="207" t="n">
        <f aca="false">IFERROR(VLOOKUP($B$9,'01_Player_Rate_Card'!$C$5:$AL$500,17,FALSE())*0.75,0)</f>
        <v>10725</v>
      </c>
      <c r="E34" s="208"/>
      <c r="F34" s="209" t="s">
        <v>1317</v>
      </c>
      <c r="G34" s="210"/>
      <c r="H34" s="209" t="s">
        <v>1318</v>
      </c>
      <c r="I34" s="209" t="s">
        <v>44</v>
      </c>
      <c r="N34" s="1"/>
    </row>
    <row r="35" customFormat="false" ht="15.75" hidden="false" customHeight="true" outlineLevel="0" collapsed="false">
      <c r="B35" s="211" t="s">
        <v>1319</v>
      </c>
      <c r="D35" s="212" t="s">
        <v>1320</v>
      </c>
      <c r="E35" s="213" t="s">
        <v>1321</v>
      </c>
      <c r="F35" s="214" t="s">
        <v>1322</v>
      </c>
      <c r="G35" s="215"/>
      <c r="H35" s="214" t="n">
        <v>0.2</v>
      </c>
      <c r="I35" s="214" t="s">
        <v>1323</v>
      </c>
      <c r="N35" s="1"/>
    </row>
    <row r="36" customFormat="false" ht="15.75" hidden="false" customHeight="true" outlineLevel="0" collapsed="false">
      <c r="B36" s="216" t="s">
        <v>1324</v>
      </c>
      <c r="D36" s="217" t="s">
        <v>1325</v>
      </c>
      <c r="E36" s="218" t="s">
        <v>1326</v>
      </c>
      <c r="F36" s="219" t="s">
        <v>1327</v>
      </c>
      <c r="G36" s="220"/>
      <c r="H36" s="219" t="n">
        <v>0.4</v>
      </c>
      <c r="I36" s="219" t="s">
        <v>1328</v>
      </c>
      <c r="N36" s="1"/>
    </row>
    <row r="37" customFormat="false" ht="15.75" hidden="false" customHeight="true" outlineLevel="0" collapsed="false">
      <c r="B37" s="211" t="s">
        <v>1329</v>
      </c>
      <c r="D37" s="212" t="s">
        <v>1330</v>
      </c>
      <c r="E37" s="213" t="s">
        <v>1331</v>
      </c>
      <c r="F37" s="214" t="s">
        <v>1332</v>
      </c>
      <c r="G37" s="215"/>
      <c r="H37" s="214" t="n">
        <v>0.7</v>
      </c>
      <c r="I37" s="214" t="s">
        <v>1333</v>
      </c>
      <c r="N37" s="1"/>
    </row>
    <row r="38" customFormat="false" ht="15.75" hidden="false" customHeight="true" outlineLevel="0" collapsed="false">
      <c r="B38" s="216" t="s">
        <v>1334</v>
      </c>
      <c r="D38" s="217" t="s">
        <v>1335</v>
      </c>
      <c r="E38" s="218" t="s">
        <v>1336</v>
      </c>
      <c r="F38" s="220"/>
      <c r="G38" s="220"/>
      <c r="H38" s="220"/>
      <c r="I38" s="220"/>
      <c r="N38" s="1"/>
    </row>
    <row r="39" customFormat="false" ht="15.75" hidden="false" customHeight="true" outlineLevel="0" collapsed="false">
      <c r="B39" s="211" t="s">
        <v>1337</v>
      </c>
      <c r="D39" s="212" t="s">
        <v>1338</v>
      </c>
      <c r="E39" s="213" t="s">
        <v>1339</v>
      </c>
      <c r="F39" s="221" t="s">
        <v>1340</v>
      </c>
      <c r="G39" s="221"/>
      <c r="H39" s="209" t="s">
        <v>1341</v>
      </c>
      <c r="I39" s="209" t="s">
        <v>1342</v>
      </c>
      <c r="N39" s="1"/>
    </row>
    <row r="40" customFormat="false" ht="15.75" hidden="false" customHeight="true" outlineLevel="0" collapsed="false">
      <c r="B40" s="216" t="s">
        <v>1343</v>
      </c>
      <c r="D40" s="217" t="s">
        <v>1344</v>
      </c>
      <c r="E40" s="218" t="s">
        <v>1345</v>
      </c>
      <c r="F40" s="214" t="s">
        <v>1346</v>
      </c>
      <c r="G40" s="215"/>
      <c r="H40" s="214" t="n">
        <v>1</v>
      </c>
      <c r="I40" s="214" t="s">
        <v>1347</v>
      </c>
      <c r="N40" s="1"/>
    </row>
    <row r="41" customFormat="false" ht="15.75" hidden="false" customHeight="true" outlineLevel="0" collapsed="false">
      <c r="F41" s="219" t="s">
        <v>1348</v>
      </c>
      <c r="G41" s="220"/>
      <c r="H41" s="219" t="n">
        <v>1.15</v>
      </c>
      <c r="I41" s="219" t="s">
        <v>1349</v>
      </c>
      <c r="N41" s="1"/>
    </row>
    <row r="42" customFormat="false" ht="15.75" hidden="false" customHeight="true" outlineLevel="0" collapsed="false">
      <c r="B42" s="206" t="s">
        <v>1350</v>
      </c>
      <c r="D42" s="207" t="s">
        <v>1351</v>
      </c>
      <c r="E42" s="206" t="s">
        <v>105</v>
      </c>
      <c r="F42" s="214" t="s">
        <v>1352</v>
      </c>
      <c r="G42" s="215"/>
      <c r="H42" s="214" t="n">
        <v>1.3</v>
      </c>
      <c r="I42" s="214" t="s">
        <v>1353</v>
      </c>
      <c r="N42" s="1"/>
    </row>
    <row r="43" customFormat="false" ht="15.75" hidden="false" customHeight="true" outlineLevel="0" collapsed="false">
      <c r="B43" s="211" t="s">
        <v>1354</v>
      </c>
      <c r="D43" s="212" t="s">
        <v>1355</v>
      </c>
      <c r="E43" s="213" t="s">
        <v>1356</v>
      </c>
      <c r="F43" s="219" t="s">
        <v>1357</v>
      </c>
      <c r="G43" s="220"/>
      <c r="H43" s="219" t="n">
        <v>1.5</v>
      </c>
      <c r="I43" s="219" t="s">
        <v>1358</v>
      </c>
      <c r="N43" s="1"/>
    </row>
    <row r="44" customFormat="false" ht="15.75" hidden="false" customHeight="true" outlineLevel="0" collapsed="false">
      <c r="B44" s="216" t="s">
        <v>1359</v>
      </c>
      <c r="D44" s="217" t="s">
        <v>1330</v>
      </c>
      <c r="E44" s="218" t="s">
        <v>1360</v>
      </c>
      <c r="N44" s="1"/>
    </row>
    <row r="45" customFormat="false" ht="15.75" hidden="false" customHeight="true" outlineLevel="0" collapsed="false">
      <c r="B45" s="211" t="s">
        <v>1361</v>
      </c>
      <c r="D45" s="212" t="s">
        <v>1335</v>
      </c>
      <c r="E45" s="213" t="s">
        <v>1362</v>
      </c>
      <c r="F45" s="221" t="s">
        <v>1363</v>
      </c>
      <c r="G45" s="221"/>
      <c r="H45" s="209" t="s">
        <v>1341</v>
      </c>
      <c r="I45" s="209" t="s">
        <v>1364</v>
      </c>
      <c r="N45" s="1"/>
    </row>
    <row r="46" customFormat="false" ht="15.75" hidden="false" customHeight="true" outlineLevel="0" collapsed="false">
      <c r="B46" s="216" t="s">
        <v>1365</v>
      </c>
      <c r="D46" s="217" t="s">
        <v>1338</v>
      </c>
      <c r="E46" s="218" t="s">
        <v>1366</v>
      </c>
      <c r="F46" s="214" t="s">
        <v>1367</v>
      </c>
      <c r="G46" s="215"/>
      <c r="H46" s="214" t="n">
        <v>1</v>
      </c>
      <c r="I46" s="214" t="s">
        <v>1368</v>
      </c>
      <c r="N46" s="1"/>
    </row>
    <row r="47" customFormat="false" ht="15.75" hidden="false" customHeight="true" outlineLevel="0" collapsed="false">
      <c r="B47" s="211" t="s">
        <v>1369</v>
      </c>
      <c r="D47" s="212" t="s">
        <v>1370</v>
      </c>
      <c r="E47" s="213" t="s">
        <v>1371</v>
      </c>
      <c r="F47" s="219" t="s">
        <v>1372</v>
      </c>
      <c r="G47" s="220"/>
      <c r="H47" s="219" t="n">
        <v>1.05</v>
      </c>
      <c r="I47" s="219" t="s">
        <v>1373</v>
      </c>
      <c r="N47" s="1"/>
    </row>
    <row r="48" customFormat="false" ht="15.75" hidden="false" customHeight="true" outlineLevel="0" collapsed="false">
      <c r="B48" s="216" t="s">
        <v>1374</v>
      </c>
      <c r="D48" s="217" t="s">
        <v>1375</v>
      </c>
      <c r="E48" s="218" t="s">
        <v>1376</v>
      </c>
      <c r="F48" s="214" t="s">
        <v>1377</v>
      </c>
      <c r="G48" s="215"/>
      <c r="H48" s="214" t="n">
        <v>1.15</v>
      </c>
      <c r="I48" s="214" t="s">
        <v>1378</v>
      </c>
      <c r="N48" s="1"/>
    </row>
    <row r="49" customFormat="false" ht="15.75" hidden="false" customHeight="true" outlineLevel="0" collapsed="false">
      <c r="N49" s="1"/>
    </row>
    <row r="50" customFormat="false" ht="15.75" hidden="false" customHeight="true" outlineLevel="0" collapsed="false">
      <c r="B50" s="206" t="s">
        <v>1379</v>
      </c>
      <c r="D50" s="207" t="s">
        <v>1351</v>
      </c>
      <c r="E50" s="206" t="s">
        <v>1364</v>
      </c>
      <c r="F50" s="221" t="s">
        <v>1380</v>
      </c>
      <c r="G50" s="221"/>
      <c r="H50" s="209" t="s">
        <v>1381</v>
      </c>
      <c r="I50" s="209" t="s">
        <v>1382</v>
      </c>
      <c r="N50" s="1"/>
    </row>
    <row r="51" customFormat="false" ht="15.75" hidden="false" customHeight="true" outlineLevel="0" collapsed="false">
      <c r="B51" s="211" t="s">
        <v>1383</v>
      </c>
      <c r="D51" s="212" t="s">
        <v>1384</v>
      </c>
      <c r="E51" s="213" t="s">
        <v>1385</v>
      </c>
      <c r="F51" s="214" t="s">
        <v>1386</v>
      </c>
      <c r="G51" s="215"/>
      <c r="H51" s="214" t="n">
        <v>0</v>
      </c>
      <c r="I51" s="214" t="s">
        <v>1387</v>
      </c>
      <c r="N51" s="1"/>
    </row>
    <row r="52" customFormat="false" ht="15.75" hidden="false" customHeight="true" outlineLevel="0" collapsed="false">
      <c r="B52" s="216" t="s">
        <v>1388</v>
      </c>
      <c r="D52" s="217" t="s">
        <v>1330</v>
      </c>
      <c r="E52" s="218" t="s">
        <v>1389</v>
      </c>
      <c r="F52" s="219" t="s">
        <v>1390</v>
      </c>
      <c r="G52" s="220"/>
      <c r="H52" s="219" t="s">
        <v>1391</v>
      </c>
      <c r="I52" s="219" t="s">
        <v>1392</v>
      </c>
      <c r="N52" s="1"/>
    </row>
    <row r="53" customFormat="false" ht="15.75" hidden="false" customHeight="true" outlineLevel="0" collapsed="false">
      <c r="B53" s="211" t="s">
        <v>1393</v>
      </c>
      <c r="D53" s="212" t="s">
        <v>1394</v>
      </c>
      <c r="E53" s="213" t="s">
        <v>1395</v>
      </c>
      <c r="F53" s="214" t="s">
        <v>1396</v>
      </c>
      <c r="G53" s="215"/>
      <c r="H53" s="214" t="s">
        <v>1397</v>
      </c>
      <c r="I53" s="214" t="s">
        <v>1398</v>
      </c>
      <c r="N53" s="1"/>
    </row>
    <row r="54" customFormat="false" ht="15.75" hidden="false" customHeight="true" outlineLevel="0" collapsed="false">
      <c r="B54" s="216" t="s">
        <v>1399</v>
      </c>
      <c r="D54" s="217" t="s">
        <v>1338</v>
      </c>
      <c r="E54" s="218" t="s">
        <v>1400</v>
      </c>
      <c r="N54" s="1"/>
    </row>
    <row r="55" customFormat="false" ht="15.75" hidden="false" customHeight="true" outlineLevel="0" collapsed="false">
      <c r="B55" s="211" t="s">
        <v>1401</v>
      </c>
      <c r="D55" s="212" t="s">
        <v>1370</v>
      </c>
      <c r="E55" s="213" t="s">
        <v>1402</v>
      </c>
      <c r="F55" s="222" t="s">
        <v>1403</v>
      </c>
      <c r="G55" s="222"/>
      <c r="H55" s="223" t="s">
        <v>1404</v>
      </c>
      <c r="I55" s="223"/>
      <c r="N55" s="1"/>
    </row>
    <row r="56" customFormat="false" ht="15.75" hidden="false" customHeight="true" outlineLevel="0" collapsed="false">
      <c r="B56" s="216" t="s">
        <v>1405</v>
      </c>
      <c r="D56" s="217" t="s">
        <v>1335</v>
      </c>
      <c r="E56" s="218" t="s">
        <v>1406</v>
      </c>
      <c r="N56" s="1"/>
    </row>
    <row r="57" customFormat="false" ht="15.75" hidden="false" customHeight="true" outlineLevel="0" collapsed="false">
      <c r="B57" s="211" t="s">
        <v>1407</v>
      </c>
      <c r="D57" s="212" t="s">
        <v>1408</v>
      </c>
      <c r="E57" s="213" t="s">
        <v>1409</v>
      </c>
      <c r="N57" s="1"/>
    </row>
    <row r="58" customFormat="false" ht="15.75" hidden="false" customHeight="true" outlineLevel="0" collapsed="false">
      <c r="B58" s="211" t="s">
        <v>1410</v>
      </c>
      <c r="C58" s="224"/>
      <c r="D58" s="212" t="s">
        <v>1375</v>
      </c>
      <c r="E58" s="213" t="s">
        <v>1411</v>
      </c>
      <c r="N58" s="1"/>
    </row>
    <row r="59" customFormat="false" ht="15.75" hidden="false" customHeight="true" outlineLevel="0" collapsed="false">
      <c r="B59" s="194" t="s">
        <v>1412</v>
      </c>
      <c r="C59" s="194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"/>
    </row>
    <row r="60" customFormat="false" ht="19.5" hidden="false" customHeight="true" outlineLevel="0" collapsed="false">
      <c r="B60" s="202" t="s">
        <v>1413</v>
      </c>
      <c r="C60" s="225"/>
      <c r="D60" s="195" t="s">
        <v>1341</v>
      </c>
      <c r="E60" s="226" t="s">
        <v>1414</v>
      </c>
      <c r="N60" s="1"/>
    </row>
    <row r="61" customFormat="false" ht="19.5" hidden="false" customHeight="true" outlineLevel="0" collapsed="false">
      <c r="B61" s="227" t="s">
        <v>1288</v>
      </c>
      <c r="C61" s="225"/>
      <c r="D61" s="228" t="n">
        <f aca="false">IF(ISNUMBER(D16),D16,0)</f>
        <v>0</v>
      </c>
      <c r="E61" s="226" t="s">
        <v>1415</v>
      </c>
      <c r="N61" s="1"/>
    </row>
    <row r="62" customFormat="false" ht="19.5" hidden="false" customHeight="true" outlineLevel="0" collapsed="false">
      <c r="B62" s="227" t="s">
        <v>1416</v>
      </c>
      <c r="C62" s="225"/>
      <c r="D62" s="229" t="s">
        <v>1417</v>
      </c>
      <c r="E62" s="226" t="n">
        <f aca="false">IFERROR(IF(ISNUMBER(D62),D62,VALUE(TRIM(LEFT(TRIM(D62),FIND(" ",TRIM(D62)&amp;" ")-1)))),1)</f>
        <v>0.7</v>
      </c>
      <c r="N62" s="1"/>
    </row>
    <row r="63" customFormat="false" ht="19.5" hidden="false" customHeight="true" outlineLevel="0" collapsed="false">
      <c r="B63" s="227" t="s">
        <v>1418</v>
      </c>
      <c r="C63" s="225"/>
      <c r="D63" s="229" t="s">
        <v>1419</v>
      </c>
      <c r="E63" s="226" t="n">
        <f aca="false">IFERROR(IF(ISNUMBER(D63),D63,VALUE(TRIM(LEFT(TRIM(D63),FIND(" ",TRIM(D63)&amp;" ")-1)))),1)</f>
        <v>0.85</v>
      </c>
      <c r="N63" s="1"/>
    </row>
    <row r="64" customFormat="false" ht="19.5" hidden="false" customHeight="true" outlineLevel="0" collapsed="false">
      <c r="B64" s="227" t="s">
        <v>1420</v>
      </c>
      <c r="C64" s="225"/>
      <c r="D64" s="229" t="s">
        <v>1421</v>
      </c>
      <c r="E64" s="226" t="n">
        <f aca="false">IFERROR(IF(ISNUMBER(D64),D64,VALUE(TRIM(LEFT(TRIM(D64),FIND(" ",TRIM(D64)&amp;" ")-1)))),1)</f>
        <v>0.8</v>
      </c>
      <c r="N64" s="1"/>
    </row>
    <row r="65" customFormat="false" ht="19.5" hidden="false" customHeight="true" outlineLevel="0" collapsed="false">
      <c r="B65" s="230" t="s">
        <v>1422</v>
      </c>
      <c r="C65" s="231"/>
      <c r="D65" s="232" t="s">
        <v>1423</v>
      </c>
      <c r="E65" s="233" t="n">
        <f aca="false">IFERROR(IF(ISNUMBER(D65),D65,VALUE(TRIM(LEFT(TRIM(D65),FIND(" ",TRIM(D65)&amp;" ")-1)))),1)</f>
        <v>1</v>
      </c>
      <c r="F65" s="234"/>
      <c r="N65" s="1"/>
    </row>
    <row r="66" customFormat="false" ht="19.5" hidden="false" customHeight="true" outlineLevel="0" collapsed="false">
      <c r="B66" s="227" t="s">
        <v>1424</v>
      </c>
      <c r="C66" s="225"/>
      <c r="D66" s="235" t="n">
        <v>0</v>
      </c>
      <c r="E66" s="226" t="s">
        <v>1425</v>
      </c>
      <c r="N66" s="1"/>
    </row>
    <row r="67" customFormat="false" ht="19.5" hidden="false" customHeight="true" outlineLevel="0" collapsed="false">
      <c r="B67" s="236" t="s">
        <v>1426</v>
      </c>
      <c r="C67" s="225"/>
      <c r="D67" s="198" t="s">
        <v>1327</v>
      </c>
      <c r="E67" s="226" t="s">
        <v>1427</v>
      </c>
      <c r="F67" s="237"/>
      <c r="G67" s="237"/>
      <c r="H67" s="237"/>
      <c r="I67" s="237"/>
      <c r="J67" s="237"/>
      <c r="N67" s="1"/>
    </row>
    <row r="68" customFormat="false" ht="19.5" hidden="false" customHeight="true" outlineLevel="0" collapsed="false">
      <c r="B68" s="236" t="s">
        <v>1428</v>
      </c>
      <c r="C68" s="225"/>
      <c r="D68" s="198" t="s">
        <v>1429</v>
      </c>
      <c r="E68" s="226" t="n">
        <f aca="false">IFERROR(IF(ISNUMBER(D68),D68,VALUE(TRIM(LEFT(TRIM(D68),FIND(" ",TRIM(D68)&amp;" ")-1)))),1)</f>
        <v>1.1</v>
      </c>
      <c r="F68" s="238"/>
      <c r="G68" s="237"/>
      <c r="H68" s="237"/>
      <c r="I68" s="237"/>
      <c r="J68" s="237"/>
      <c r="N68" s="1"/>
    </row>
    <row r="69" customFormat="false" ht="19.5" hidden="false" customHeight="true" outlineLevel="0" collapsed="false">
      <c r="B69" s="236" t="s">
        <v>1430</v>
      </c>
      <c r="C69" s="225"/>
      <c r="D69" s="198" t="s">
        <v>1431</v>
      </c>
      <c r="E69" s="226" t="n">
        <f aca="false">IFERROR(IF(ISNUMBER(D69),D69,VALUE(TRIM(LEFT(TRIM(D69),FIND(" ",TRIM(D69)&amp;" ")-1)))),1)</f>
        <v>1</v>
      </c>
      <c r="F69" s="239"/>
      <c r="G69" s="239"/>
      <c r="H69" s="239"/>
      <c r="I69" s="239"/>
      <c r="J69" s="239"/>
      <c r="N69" s="1"/>
    </row>
    <row r="70" customFormat="false" ht="19.5" hidden="false" customHeight="true" outlineLevel="0" collapsed="false">
      <c r="B70" s="240" t="s">
        <v>1432</v>
      </c>
      <c r="C70" s="240"/>
      <c r="D70" s="198" t="s">
        <v>1433</v>
      </c>
      <c r="E70" s="226" t="n">
        <f aca="false">IFERROR(IF(ISNUMBER(D70),D70,VALUE(TRIM(LEFT(TRIM(D70),FIND(" ",TRIM(D70)&amp;" ")-1)))),0)</f>
        <v>0.5</v>
      </c>
      <c r="F70" s="241"/>
      <c r="G70" s="241"/>
      <c r="H70" s="241"/>
      <c r="I70" s="241"/>
      <c r="J70" s="241"/>
      <c r="K70" s="242"/>
      <c r="L70" s="242"/>
      <c r="N70" s="1"/>
    </row>
    <row r="71" customFormat="false" ht="19.5" hidden="false" customHeight="true" outlineLevel="0" collapsed="false">
      <c r="B71" s="243" t="s">
        <v>1434</v>
      </c>
      <c r="C71" s="225"/>
      <c r="D71" s="228" t="n">
        <f aca="false">IFERROR(VLOOKUP($B$9,'01_Player_Rate_Card'!$C$5:$AL$500,17,FALSE()),0)</f>
        <v>14300</v>
      </c>
      <c r="E71" s="226" t="s">
        <v>1435</v>
      </c>
      <c r="F71" s="237"/>
      <c r="G71" s="237"/>
      <c r="H71" s="237"/>
      <c r="I71" s="237"/>
      <c r="J71" s="237"/>
      <c r="N71" s="1"/>
    </row>
    <row r="72" customFormat="false" ht="19.5" hidden="false" customHeight="true" outlineLevel="0" collapsed="false">
      <c r="B72" s="225"/>
      <c r="C72" s="225"/>
      <c r="D72" s="225"/>
      <c r="E72" s="244"/>
      <c r="N72" s="1"/>
    </row>
    <row r="73" customFormat="false" ht="15.75" hidden="true" customHeight="true" outlineLevel="0" collapsed="false">
      <c r="B73" s="245" t="s">
        <v>1436</v>
      </c>
      <c r="C73" s="225"/>
      <c r="D73" s="246" t="n">
        <f aca="false">IFERROR(1+IF(TRIM(D67)="Awareness",0.3,IF(TRIM(D67)="Conversion",0.6,IF(TRIM(D67)="Trust (Pro Authority)",0.9,0.6)))*(IFERROR(IF(ISNUMBER(D68),D68,VALUE(TRIM(LEFT(TRIM(D68),FIND(" ",TRIM(D68)&amp;" ")-1)))),1)-1),1)</f>
        <v>1.06</v>
      </c>
      <c r="E73" s="247" t="s">
        <v>1437</v>
      </c>
      <c r="F73" s="237"/>
      <c r="G73" s="237"/>
      <c r="H73" s="237"/>
      <c r="I73" s="237"/>
      <c r="J73" s="237"/>
      <c r="N73" s="1"/>
    </row>
    <row r="74" customFormat="false" ht="15.75" hidden="true" customHeight="true" outlineLevel="0" collapsed="false">
      <c r="B74" s="248" t="s">
        <v>1438</v>
      </c>
      <c r="C74" s="248"/>
      <c r="D74" s="249" t="n">
        <f aca="false">IFERROR(D61*IFERROR(IF(ISNUMBER(D62),D62,VALUE(TRIM(LEFT(TRIM(D62),FIND(" ",TRIM(D62)&amp;" ")-1)))),1)*IFERROR(IF(ISNUMBER(D63),D63,VALUE(TRIM(LEFT(TRIM(D63),FIND(" ",TRIM(D63)&amp;" ")-1)))),1)*IFERROR(IF(ISNUMBER(D64),D64,VALUE(TRIM(LEFT(TRIM(D64),FIND(" ",TRIM(D64)&amp;" ")-1)))),1)*E65*IFERROR(IF(ISNUMBER(D69),D69,VALUE(TRIM(LEFT(TRIM(D69),FIND(" ",TRIM(D69)&amp;" ")-1)))),1)*D73,0)</f>
        <v>0</v>
      </c>
      <c r="E74" s="248" t="s">
        <v>1439</v>
      </c>
      <c r="F74" s="248"/>
      <c r="G74" s="241"/>
      <c r="H74" s="241"/>
      <c r="I74" s="241"/>
      <c r="J74" s="241"/>
      <c r="N74" s="1"/>
    </row>
    <row r="75" customFormat="false" ht="15.75" hidden="true" customHeight="true" outlineLevel="0" collapsed="false">
      <c r="B75" s="248" t="s">
        <v>1440</v>
      </c>
      <c r="C75" s="248"/>
      <c r="D75" s="249" t="n">
        <f aca="false">IFERROR(D71*IFERROR(IF(ISNUMBER(D70),D70,VALUE(TRIM(LEFT(TRIM(D70),FIND(" ",TRIM(D70)&amp;" ")-1)))),0)*IFERROR(IF(ISNUMBER(D64),D64,VALUE(TRIM(LEFT(TRIM(D64),FIND(" ",TRIM(D64)&amp;" ")-1)))),1)*IFERROR(IF(ISNUMBER(D69),D69,VALUE(TRIM(LEFT(TRIM(D69),FIND(" ",TRIM(D69)&amp;" ")-1)))),1)*D73,0)</f>
        <v>6063.2</v>
      </c>
      <c r="E75" s="248" t="s">
        <v>1441</v>
      </c>
      <c r="F75" s="248"/>
      <c r="G75" s="241"/>
      <c r="H75" s="241"/>
      <c r="I75" s="241"/>
      <c r="J75" s="241"/>
      <c r="N75" s="1"/>
    </row>
    <row r="76" customFormat="false" ht="15.75" hidden="true" customHeight="true" outlineLevel="0" collapsed="false">
      <c r="B76" s="250" t="s">
        <v>1442</v>
      </c>
      <c r="C76" s="225"/>
      <c r="D76" s="251" t="n">
        <f aca="false">IFERROR(MAX(D74,D75),0)</f>
        <v>6063.2</v>
      </c>
      <c r="E76" s="218" t="s">
        <v>1443</v>
      </c>
      <c r="F76" s="237"/>
      <c r="G76" s="237"/>
      <c r="H76" s="237"/>
      <c r="I76" s="237"/>
      <c r="J76" s="237"/>
      <c r="N76" s="1"/>
    </row>
    <row r="77" customFormat="false" ht="15.75" hidden="false" customHeight="true" outlineLevel="0" collapsed="false">
      <c r="B77" s="241"/>
      <c r="C77" s="241"/>
      <c r="D77" s="241"/>
      <c r="E77" s="241"/>
      <c r="F77" s="241"/>
      <c r="N77" s="1"/>
    </row>
    <row r="78" customFormat="false" ht="25.5" hidden="false" customHeight="true" outlineLevel="0" collapsed="false">
      <c r="B78" s="252" t="s">
        <v>1444</v>
      </c>
      <c r="C78" s="253"/>
      <c r="D78" s="254" t="n">
        <f aca="false">IFERROR(ROUND(D76*(1+IF(ISNUMBER(D66),D66,IFERROR(VALUE(TRIM(SUBSTITUTE(TEXT(D66,"0.00%"),"%","")))/100,0))),0),0)</f>
        <v>6063</v>
      </c>
      <c r="E78" s="252" t="str">
        <f aca="false">IFERROR("~= USD","~= USD")</f>
        <v>~= USD</v>
      </c>
      <c r="F78" s="252" t="str">
        <f aca="false">IFERROR("$"&amp;TEXT(ROUND(D78/3.75,0),"#,##0"),"—")</f>
        <v>$1,617</v>
      </c>
      <c r="N78" s="1"/>
    </row>
    <row r="79" customFormat="false" ht="15.75" hidden="false" customHeight="true" outlineLevel="0" collapsed="false">
      <c r="B79" s="255"/>
      <c r="C79" s="256"/>
      <c r="D79" s="256"/>
      <c r="E79" s="256"/>
      <c r="F79" s="257"/>
      <c r="N79" s="1"/>
    </row>
    <row r="80" customFormat="false" ht="18" hidden="false" customHeight="true" outlineLevel="0" collapsed="false">
      <c r="B80" s="258" t="s">
        <v>1445</v>
      </c>
      <c r="C80" s="259"/>
      <c r="D80" s="260" t="n">
        <f aca="false">IFERROR(VLOOKUP($B$9,'01_Player_Rate_Card'!$C$5:$AL$500,23,FALSE()),0)</f>
        <v>0.3</v>
      </c>
      <c r="E80" s="261" t="s">
        <v>1446</v>
      </c>
      <c r="F80" s="262"/>
      <c r="N80" s="1"/>
    </row>
    <row r="81" customFormat="false" ht="18" hidden="false" customHeight="true" outlineLevel="0" collapsed="false">
      <c r="B81" s="258" t="s">
        <v>1447</v>
      </c>
      <c r="C81" s="259"/>
      <c r="D81" s="260" t="n">
        <f aca="false">IFERROR(VLOOKUP($B$9,'01_Player_Rate_Card'!$C$5:$AL$500,24,FALSE()),0)</f>
        <v>1</v>
      </c>
      <c r="E81" s="261" t="s">
        <v>1448</v>
      </c>
      <c r="F81" s="262"/>
      <c r="N81" s="1"/>
    </row>
    <row r="82" customFormat="false" ht="18" hidden="false" customHeight="true" outlineLevel="0" collapsed="false">
      <c r="B82" s="263"/>
      <c r="C82" s="259"/>
      <c r="D82" s="259"/>
      <c r="E82" s="259"/>
      <c r="F82" s="262"/>
      <c r="N82" s="1"/>
    </row>
    <row r="83" customFormat="false" ht="18" hidden="false" customHeight="true" outlineLevel="0" collapsed="false">
      <c r="B83" s="264" t="s">
        <v>1449</v>
      </c>
      <c r="C83" s="259"/>
      <c r="D83" s="265" t="n">
        <f aca="false">IFERROR(IF(ISNUMBER(D81),D78/(1+D81),D78/1.75),0)</f>
        <v>3031.5</v>
      </c>
      <c r="E83" s="261" t="s">
        <v>1450</v>
      </c>
      <c r="F83" s="262"/>
      <c r="N83" s="1"/>
    </row>
    <row r="84" customFormat="false" ht="18" hidden="false" customHeight="true" outlineLevel="0" collapsed="false">
      <c r="B84" s="264" t="s">
        <v>1451</v>
      </c>
      <c r="C84" s="259"/>
      <c r="D84" s="265" t="n">
        <f aca="false">IFERROR(D78-D83,0)</f>
        <v>3031.5</v>
      </c>
      <c r="E84" s="261" t="s">
        <v>1452</v>
      </c>
      <c r="F84" s="262"/>
      <c r="N84" s="1"/>
    </row>
    <row r="85" customFormat="false" ht="18" hidden="false" customHeight="true" outlineLevel="0" collapsed="false">
      <c r="B85" s="264" t="s">
        <v>1453</v>
      </c>
      <c r="C85" s="259"/>
      <c r="D85" s="265" t="n">
        <f aca="false">IFERROR(D78*1.15,0)</f>
        <v>6972.45</v>
      </c>
      <c r="E85" s="261" t="s">
        <v>1454</v>
      </c>
      <c r="F85" s="262"/>
      <c r="N85" s="1"/>
    </row>
    <row r="86" customFormat="false" ht="18" hidden="false" customHeight="true" outlineLevel="0" collapsed="false">
      <c r="B86" s="266" t="s">
        <v>1455</v>
      </c>
      <c r="C86" s="267"/>
      <c r="D86" s="268" t="n">
        <f aca="false">IFERROR(D85/3.75,0)</f>
        <v>1859.32</v>
      </c>
      <c r="E86" s="269" t="s">
        <v>1456</v>
      </c>
      <c r="F86" s="270"/>
      <c r="N86" s="1"/>
    </row>
    <row r="87" customFormat="false" ht="18" hidden="false" customHeight="true" outlineLevel="0" collapsed="false">
      <c r="B87" s="241"/>
      <c r="C87" s="271" t="n">
        <v>1</v>
      </c>
      <c r="D87" s="241"/>
      <c r="E87" s="241"/>
      <c r="F87" s="241"/>
      <c r="N87" s="1"/>
    </row>
    <row r="88" customFormat="false" ht="15.75" hidden="false" customHeight="true" outlineLevel="0" collapsed="false">
      <c r="B88" s="272"/>
      <c r="C88" s="272"/>
      <c r="D88" s="272"/>
      <c r="E88" s="272"/>
      <c r="F88" s="272"/>
      <c r="N88" s="1"/>
    </row>
    <row r="89" customFormat="false" ht="15.75" hidden="false" customHeight="true" outlineLevel="0" collapsed="false">
      <c r="B89" s="272"/>
      <c r="C89" s="272"/>
      <c r="D89" s="272"/>
      <c r="E89" s="272"/>
      <c r="F89" s="272"/>
      <c r="N89" s="1"/>
    </row>
    <row r="90" customFormat="false" ht="30" hidden="false" customHeight="true" outlineLevel="0" collapsed="false">
      <c r="B90" s="273" t="s">
        <v>1457</v>
      </c>
      <c r="C90" s="273"/>
      <c r="D90" s="273"/>
      <c r="E90" s="273"/>
      <c r="F90" s="273"/>
      <c r="G90" s="273"/>
      <c r="H90" s="273"/>
      <c r="I90" s="273"/>
      <c r="J90" s="273"/>
      <c r="N90" s="1"/>
    </row>
    <row r="91" customFormat="false" ht="31.5" hidden="false" customHeight="true" outlineLevel="0" collapsed="false">
      <c r="B91" s="274" t="s">
        <v>1458</v>
      </c>
      <c r="C91" s="274" t="s">
        <v>1459</v>
      </c>
      <c r="D91" s="274" t="s">
        <v>1460</v>
      </c>
      <c r="E91" s="274" t="s">
        <v>1461</v>
      </c>
      <c r="F91" s="274" t="s">
        <v>1462</v>
      </c>
      <c r="G91" s="274" t="s">
        <v>1463</v>
      </c>
      <c r="H91" s="274" t="s">
        <v>1464</v>
      </c>
      <c r="I91" s="274" t="s">
        <v>105</v>
      </c>
      <c r="N91" s="1"/>
    </row>
    <row r="92" customFormat="false" ht="15.75" hidden="false" customHeight="true" outlineLevel="0" collapsed="false">
      <c r="B92" s="275" t="s">
        <v>1272</v>
      </c>
      <c r="C92" s="276" t="n">
        <f aca="false">IFERROR(VLOOKUP($B$9,'01_Player_Rate_Card'!$C$5:$BG$250,8,FALSE()),0)</f>
        <v>6500</v>
      </c>
      <c r="D92" s="277" t="n">
        <f aca="false">C92</f>
        <v>6500</v>
      </c>
      <c r="E92" s="278" t="n">
        <f aca="false">IFERROR(VLOOKUP($B$9,'01_Player_Rate_Card'!$C$5:$BG$250,17,FALSE())*VLOOKUP($B$9,'01_Player_Rate_Card'!$C$5:$BG$250,53,FALSE()),0)</f>
        <v>14300</v>
      </c>
      <c r="F92" s="279" t="n">
        <f aca="false">MAX(D92,E92)</f>
        <v>14300</v>
      </c>
      <c r="G92" s="280" t="n">
        <f aca="false">IFERROR(ROUND(F92/3.75,0),0)</f>
        <v>3813</v>
      </c>
      <c r="H92" s="281" t="str">
        <f aca="false">IFERROR(VLOOKUP($B$9,'01_Player_Rate_Card'!$C$5:$BG$250,58,FALSE()),"pending")</f>
        <v>pending</v>
      </c>
      <c r="I92" s="282" t="s">
        <v>1465</v>
      </c>
      <c r="N92" s="1"/>
    </row>
    <row r="93" customFormat="false" ht="15.75" hidden="false" customHeight="true" outlineLevel="0" collapsed="false">
      <c r="B93" s="275" t="s">
        <v>1273</v>
      </c>
      <c r="C93" s="283" t="n">
        <f aca="false">IFERROR(VLOOKUP($B$9,'01_Player_Rate_Card'!$C$5:$BG$250,9,FALSE()),0)</f>
        <v>5300</v>
      </c>
      <c r="D93" s="284" t="n">
        <f aca="false">C93</f>
        <v>5300</v>
      </c>
      <c r="E93" s="285" t="n">
        <f aca="false">IFERROR(VLOOKUP($B$9,'01_Player_Rate_Card'!$C$5:$BG$250,17,FALSE())*VLOOKUP($B$9,'01_Player_Rate_Card'!$C$5:$BG$250,53,FALSE()),0)</f>
        <v>14300</v>
      </c>
      <c r="F93" s="286" t="n">
        <f aca="false">MAX(D93,E93)</f>
        <v>14300</v>
      </c>
      <c r="G93" s="287" t="n">
        <f aca="false">IFERROR(ROUND(F93/3.75,0),0)</f>
        <v>3813</v>
      </c>
      <c r="H93" s="281" t="str">
        <f aca="false">IFERROR(VLOOKUP($B$9,'01_Player_Rate_Card'!$C$5:$BG$250,58,FALSE()),"pending")</f>
        <v>pending</v>
      </c>
      <c r="I93" s="288"/>
      <c r="J93" s="289"/>
      <c r="N93" s="1"/>
    </row>
    <row r="94" customFormat="false" ht="15.75" hidden="false" customHeight="true" outlineLevel="0" collapsed="false">
      <c r="B94" s="275" t="s">
        <v>1235</v>
      </c>
      <c r="C94" s="283" t="n">
        <f aca="false">IFERROR(VLOOKUP($B$9,'01_Player_Rate_Card'!$C$5:$BG$250,10,FALSE()),0)</f>
        <v>1105</v>
      </c>
      <c r="D94" s="284" t="n">
        <f aca="false">C94</f>
        <v>1105</v>
      </c>
      <c r="E94" s="285" t="n">
        <f aca="false">IFERROR(VLOOKUP($B$9,'01_Player_Rate_Card'!$C$5:$BG$250,17,FALSE())*VLOOKUP($B$9,'01_Player_Rate_Card'!$C$5:$BG$250,53,FALSE()),0)</f>
        <v>14300</v>
      </c>
      <c r="F94" s="286" t="n">
        <f aca="false">MAX(D94,E94)</f>
        <v>14300</v>
      </c>
      <c r="G94" s="287" t="n">
        <f aca="false">IFERROR(ROUND(F94/3.75,0),0)</f>
        <v>3813</v>
      </c>
      <c r="H94" s="281" t="str">
        <f aca="false">IFERROR(VLOOKUP($B$9,'01_Player_Rate_Card'!$C$5:$BG$250,58,FALSE()),"pending")</f>
        <v>pending</v>
      </c>
      <c r="I94" s="288"/>
      <c r="J94" s="290"/>
      <c r="N94" s="1"/>
    </row>
    <row r="95" customFormat="false" ht="15.75" hidden="false" customHeight="true" outlineLevel="0" collapsed="false">
      <c r="B95" s="275" t="s">
        <v>1274</v>
      </c>
      <c r="C95" s="283" t="n">
        <f aca="false">IFERROR(VLOOKUP($B$9,'01_Player_Rate_Card'!$C$5:$BG$250,11,FALSE()),0)</f>
        <v>3400</v>
      </c>
      <c r="D95" s="284" t="n">
        <f aca="false">C95</f>
        <v>3400</v>
      </c>
      <c r="E95" s="285" t="n">
        <f aca="false">IFERROR(VLOOKUP($B$9,'01_Player_Rate_Card'!$C$5:$BG$250,17,FALSE())*VLOOKUP($B$9,'01_Player_Rate_Card'!$C$5:$BG$250,53,FALSE()),0)</f>
        <v>14300</v>
      </c>
      <c r="F95" s="286" t="n">
        <f aca="false">MAX(D95,E95)</f>
        <v>14300</v>
      </c>
      <c r="G95" s="280" t="n">
        <f aca="false">IFERROR(ROUND(F95/3.75,0),0)</f>
        <v>3813</v>
      </c>
      <c r="H95" s="281" t="str">
        <f aca="false">IFERROR(VLOOKUP($B$9,'01_Player_Rate_Card'!$C$5:$BG$250,58,FALSE()),"pending")</f>
        <v>pending</v>
      </c>
      <c r="I95" s="282"/>
      <c r="N95" s="1"/>
    </row>
    <row r="96" customFormat="false" ht="15.75" hidden="false" customHeight="true" outlineLevel="0" collapsed="false">
      <c r="B96" s="291" t="s">
        <v>1275</v>
      </c>
      <c r="C96" s="276" t="n">
        <f aca="false">IFERROR(VLOOKUP($B$9,'01_Player_Rate_Card'!$C$5:$BG$250,12,FALSE()),0)</f>
        <v>4050</v>
      </c>
      <c r="D96" s="277" t="n">
        <f aca="false">C96</f>
        <v>4050</v>
      </c>
      <c r="E96" s="278" t="n">
        <f aca="false">IFERROR(VLOOKUP($B$9,'01_Player_Rate_Card'!$C$5:$BG$250,17,FALSE())*VLOOKUP($B$9,'01_Player_Rate_Card'!$C$5:$BG$250,53,FALSE()),0)</f>
        <v>14300</v>
      </c>
      <c r="F96" s="279" t="n">
        <f aca="false">MAX(D96,E96)</f>
        <v>14300</v>
      </c>
      <c r="G96" s="280" t="n">
        <f aca="false">IFERROR(ROUND(F96/3.75,0),0)</f>
        <v>3813</v>
      </c>
      <c r="H96" s="281" t="str">
        <f aca="false">IFERROR(VLOOKUP($B$9,'01_Player_Rate_Card'!$C$5:$BG$250,58,FALSE()),"pending")</f>
        <v>pending</v>
      </c>
      <c r="I96" s="282"/>
      <c r="N96" s="1"/>
    </row>
    <row r="97" customFormat="false" ht="15.75" hidden="false" customHeight="true" outlineLevel="0" collapsed="false">
      <c r="B97" s="292" t="s">
        <v>1276</v>
      </c>
      <c r="C97" s="276" t="n">
        <f aca="false">IFERROR(VLOOKUP($B$9,'01_Player_Rate_Card'!$C$5:$BG$250,13,FALSE()),0)</f>
        <v>2500</v>
      </c>
      <c r="D97" s="277" t="n">
        <f aca="false">C97</f>
        <v>2500</v>
      </c>
      <c r="E97" s="278" t="n">
        <f aca="false">IFERROR(VLOOKUP($B$9,'01_Player_Rate_Card'!$C$5:$BG$250,17,FALSE())*VLOOKUP($B$9,'01_Player_Rate_Card'!$C$5:$BG$250,53,FALSE()),0)</f>
        <v>14300</v>
      </c>
      <c r="F97" s="279" t="n">
        <f aca="false">MAX(D97,E97)</f>
        <v>14300</v>
      </c>
      <c r="G97" s="280" t="n">
        <f aca="false">IFERROR(ROUND(F97/3.75,0),0)</f>
        <v>3813</v>
      </c>
      <c r="H97" s="281" t="str">
        <f aca="false">IFERROR(VLOOKUP($B$9,'01_Player_Rate_Card'!$C$5:$BG$250,58,FALSE()),"pending")</f>
        <v>pending</v>
      </c>
      <c r="I97" s="282"/>
      <c r="N97" s="1"/>
    </row>
    <row r="98" customFormat="false" ht="15.75" hidden="false" customHeight="true" outlineLevel="0" collapsed="false">
      <c r="B98" s="292" t="s">
        <v>1277</v>
      </c>
      <c r="C98" s="276" t="n">
        <f aca="false">IFERROR(VLOOKUP($B$9,'01_Player_Rate_Card'!$C$5:$BG$250,14,FALSE()),0)</f>
        <v>2500</v>
      </c>
      <c r="D98" s="277" t="n">
        <f aca="false">C98</f>
        <v>2500</v>
      </c>
      <c r="E98" s="278" t="n">
        <f aca="false">IFERROR(VLOOKUP($B$9,'01_Player_Rate_Card'!$C$5:$BG$250,17,FALSE())*VLOOKUP($B$9,'01_Player_Rate_Card'!$C$5:$BG$250,53,FALSE()),0)</f>
        <v>14300</v>
      </c>
      <c r="F98" s="279" t="n">
        <f aca="false">MAX(D98,E98)</f>
        <v>14300</v>
      </c>
      <c r="G98" s="280" t="n">
        <f aca="false">IFERROR(ROUND(F98/3.75,0),0)</f>
        <v>3813</v>
      </c>
      <c r="H98" s="281" t="str">
        <f aca="false">IFERROR(VLOOKUP($B$9,'01_Player_Rate_Card'!$C$5:$BG$250,58,FALSE()),"pending")</f>
        <v>pending</v>
      </c>
      <c r="I98" s="282"/>
      <c r="N98" s="1"/>
    </row>
    <row r="99" customFormat="false" ht="15.75" hidden="false" customHeight="true" outlineLevel="0" collapsed="false">
      <c r="B99" s="292" t="s">
        <v>1303</v>
      </c>
      <c r="C99" s="276" t="n">
        <f aca="false">IFERROR(VLOOKUP($B$9,'01_Player_Rate_Card'!$C$5:$BG$250,15,FALSE()),0)</f>
        <v>15950</v>
      </c>
      <c r="D99" s="277" t="n">
        <f aca="false">C99</f>
        <v>15950</v>
      </c>
      <c r="E99" s="278" t="n">
        <f aca="false">IFERROR(VLOOKUP($B$9,'01_Player_Rate_Card'!$C$5:$BG$250,17,FALSE())*VLOOKUP($B$9,'01_Player_Rate_Card'!$C$5:$BG$250,53,FALSE()),0)</f>
        <v>14300</v>
      </c>
      <c r="F99" s="279" t="n">
        <f aca="false">MAX(D99,E99)</f>
        <v>15950</v>
      </c>
      <c r="G99" s="280" t="n">
        <f aca="false">IFERROR(ROUND(F99/3.75,0),0)</f>
        <v>4253</v>
      </c>
      <c r="H99" s="281" t="str">
        <f aca="false">IFERROR(VLOOKUP($B$9,'01_Player_Rate_Card'!$C$5:$BG$250,58,FALSE()),"pending")</f>
        <v>pending</v>
      </c>
      <c r="I99" s="282"/>
      <c r="N99" s="1"/>
    </row>
    <row r="100" customFormat="false" ht="15.75" hidden="false" customHeight="true" outlineLevel="0" collapsed="false">
      <c r="B100" s="292" t="s">
        <v>1305</v>
      </c>
      <c r="C100" s="276" t="n">
        <f aca="false">IFERROR(VLOOKUP($B$9,'01_Player_Rate_Card'!$C$5:$BG$250,16,FALSE()),0)</f>
        <v>8200</v>
      </c>
      <c r="D100" s="277" t="n">
        <f aca="false">C100</f>
        <v>8200</v>
      </c>
      <c r="E100" s="278" t="n">
        <f aca="false">IFERROR(VLOOKUP($B$9,'01_Player_Rate_Card'!$C$5:$BG$250,17,FALSE())*VLOOKUP($B$9,'01_Player_Rate_Card'!$C$5:$BG$250,53,FALSE()),0)</f>
        <v>14300</v>
      </c>
      <c r="F100" s="279" t="n">
        <f aca="false">MAX(D100,E100)</f>
        <v>14300</v>
      </c>
      <c r="G100" s="280" t="n">
        <f aca="false">IFERROR(ROUND(F100/3.75,0),0)</f>
        <v>3813</v>
      </c>
      <c r="H100" s="281" t="str">
        <f aca="false">IFERROR(VLOOKUP($B$9,'01_Player_Rate_Card'!$C$5:$BG$250,58,FALSE()),"pending")</f>
        <v>pending</v>
      </c>
      <c r="I100" s="282" t="s">
        <v>1466</v>
      </c>
      <c r="N100" s="1"/>
    </row>
    <row r="101" customFormat="false" ht="15.75" hidden="false" customHeight="true" outlineLevel="0" collapsed="false">
      <c r="B101" s="292" t="s">
        <v>1467</v>
      </c>
      <c r="C101" s="276" t="n">
        <f aca="false">IFERROR(VLOOKUP($B$9,'01_Player_Rate_Card'!$C$5:$BG$250,17,FALSE()),0)</f>
        <v>14300</v>
      </c>
      <c r="D101" s="277" t="n">
        <f aca="false">C101</f>
        <v>14300</v>
      </c>
      <c r="E101" s="278" t="n">
        <f aca="false">IFERROR(VLOOKUP($B$9,'01_Player_Rate_Card'!$C$5:$BG$250,17,FALSE())*VLOOKUP($B$9,'01_Player_Rate_Card'!$C$5:$BG$250,53,FALSE()),0)</f>
        <v>14300</v>
      </c>
      <c r="F101" s="279" t="n">
        <f aca="false">MAX(D101,E101)</f>
        <v>14300</v>
      </c>
      <c r="G101" s="280" t="n">
        <f aca="false">IFERROR(ROUND(F101/3.75,0),0)</f>
        <v>3813</v>
      </c>
      <c r="H101" s="281" t="str">
        <f aca="false">IFERROR(VLOOKUP($B$9,'01_Player_Rate_Card'!$C$5:$BG$250,58,FALSE()),"pending")</f>
        <v>pending</v>
      </c>
      <c r="I101" s="282" t="s">
        <v>1468</v>
      </c>
      <c r="N101" s="1"/>
    </row>
    <row r="102" customFormat="false" ht="15.75" hidden="false" customHeight="true" outlineLevel="0" collapsed="false">
      <c r="N102" s="1"/>
    </row>
    <row r="103" customFormat="false" ht="15.75" hidden="false" customHeight="true" outlineLevel="0" collapsed="false">
      <c r="B103" s="293" t="s">
        <v>1469</v>
      </c>
      <c r="C103" s="294" t="n">
        <f aca="false">SUM(C92:C100)</f>
        <v>49505</v>
      </c>
      <c r="D103" s="294" t="n">
        <f aca="false">SUM(D92:D100)</f>
        <v>49505</v>
      </c>
      <c r="E103" s="295" t="s">
        <v>1470</v>
      </c>
      <c r="F103" s="296" t="n">
        <f aca="false">SUM(F92:F100)</f>
        <v>130350</v>
      </c>
      <c r="G103" s="297" t="n">
        <f aca="false">ROUND(F103/3.75,0)</f>
        <v>34760</v>
      </c>
      <c r="N103" s="1"/>
    </row>
    <row r="104" customFormat="false" ht="15.75" hidden="false" customHeight="true" outlineLevel="0" collapsed="false">
      <c r="N104" s="1"/>
    </row>
    <row r="105" customFormat="false" ht="15.75" hidden="false" customHeight="true" outlineLevel="0" collapsed="false">
      <c r="B105" s="298" t="s">
        <v>1471</v>
      </c>
      <c r="N105" s="1"/>
    </row>
    <row r="106" customFormat="false" ht="15.75" hidden="false" customHeight="true" outlineLevel="0" collapsed="false">
      <c r="B106" s="299" t="s">
        <v>1472</v>
      </c>
      <c r="C106" s="300"/>
      <c r="D106" s="300"/>
      <c r="E106" s="300"/>
      <c r="N106" s="1"/>
    </row>
    <row r="107" customFormat="false" ht="15.75" hidden="false" customHeight="true" outlineLevel="0" collapsed="false">
      <c r="B107" s="301" t="s">
        <v>1473</v>
      </c>
      <c r="C107" s="302"/>
      <c r="D107" s="302"/>
      <c r="E107" s="302"/>
      <c r="N107" s="1"/>
    </row>
    <row r="108" customFormat="false" ht="15.75" hidden="false" customHeight="true" outlineLevel="0" collapsed="false">
      <c r="B108" s="303" t="s">
        <v>1474</v>
      </c>
      <c r="C108" s="304"/>
      <c r="D108" s="304"/>
      <c r="E108" s="304"/>
      <c r="N108" s="1"/>
    </row>
    <row r="109" customFormat="false" ht="15.75" hidden="false" customHeight="true" outlineLevel="0" collapsed="false">
      <c r="B109" s="305" t="s">
        <v>1475</v>
      </c>
      <c r="C109" s="306"/>
      <c r="D109" s="306"/>
      <c r="E109" s="306"/>
      <c r="N109" s="1"/>
    </row>
    <row r="110" customFormat="false" ht="15.75" hidden="false" customHeight="true" outlineLevel="0" collapsed="false">
      <c r="N110" s="1"/>
    </row>
    <row r="111" customFormat="false" ht="15.75" hidden="false" customHeight="true" outlineLevel="0" collapsed="false">
      <c r="B111" s="55" t="s">
        <v>1476</v>
      </c>
      <c r="N111" s="1"/>
    </row>
    <row r="112" customFormat="false" ht="24" hidden="false" customHeight="true" outlineLevel="0" collapsed="false">
      <c r="B112" s="307" t="s">
        <v>1477</v>
      </c>
      <c r="C112" s="307"/>
      <c r="D112" s="307"/>
      <c r="E112" s="307"/>
      <c r="F112" s="307"/>
      <c r="G112" s="307"/>
      <c r="H112" s="307"/>
      <c r="I112" s="307"/>
      <c r="J112" s="307"/>
      <c r="N112" s="1"/>
    </row>
    <row r="113" customFormat="false" ht="15.75" hidden="false" customHeight="true" outlineLevel="0" collapsed="false">
      <c r="B113" s="308" t="s">
        <v>1478</v>
      </c>
      <c r="C113" s="308"/>
      <c r="D113" s="308"/>
      <c r="E113" s="308"/>
      <c r="F113" s="308"/>
      <c r="G113" s="308"/>
      <c r="H113" s="308"/>
      <c r="I113" s="308"/>
      <c r="J113" s="308"/>
      <c r="N113" s="1"/>
    </row>
    <row r="114" customFormat="false" ht="15.75" hidden="false" customHeight="true" outlineLevel="0" collapsed="false">
      <c r="B114" s="308" t="s">
        <v>1479</v>
      </c>
      <c r="C114" s="308"/>
      <c r="D114" s="308"/>
      <c r="E114" s="308"/>
      <c r="F114" s="308"/>
      <c r="G114" s="308"/>
      <c r="H114" s="308"/>
      <c r="I114" s="308"/>
      <c r="J114" s="308"/>
      <c r="N114" s="1"/>
    </row>
    <row r="115" customFormat="false" ht="15.75" hidden="false" customHeight="true" outlineLevel="0" collapsed="false">
      <c r="B115" s="308" t="s">
        <v>1480</v>
      </c>
      <c r="C115" s="308"/>
      <c r="D115" s="308"/>
      <c r="E115" s="308"/>
      <c r="F115" s="308"/>
      <c r="G115" s="308"/>
      <c r="H115" s="308"/>
      <c r="I115" s="308"/>
      <c r="J115" s="308"/>
      <c r="N115" s="1"/>
    </row>
    <row r="116" customFormat="false" ht="15.75" hidden="false" customHeight="true" outlineLevel="0" collapsed="false">
      <c r="B116" s="308" t="s">
        <v>1481</v>
      </c>
      <c r="C116" s="308"/>
      <c r="D116" s="308"/>
      <c r="E116" s="308"/>
      <c r="F116" s="308"/>
      <c r="G116" s="308"/>
      <c r="H116" s="308"/>
      <c r="I116" s="308"/>
      <c r="J116" s="308"/>
      <c r="N116" s="1"/>
    </row>
    <row r="117" customFormat="false" ht="15.75" hidden="false" customHeight="true" outlineLevel="0" collapsed="false">
      <c r="B117" s="308" t="s">
        <v>1482</v>
      </c>
      <c r="C117" s="308"/>
      <c r="D117" s="308"/>
      <c r="E117" s="308"/>
      <c r="F117" s="308"/>
      <c r="G117" s="308"/>
      <c r="H117" s="308"/>
      <c r="I117" s="308"/>
      <c r="J117" s="308"/>
      <c r="N117" s="1"/>
    </row>
    <row r="118" customFormat="false" ht="15.75" hidden="false" customHeight="true" outlineLevel="0" collapsed="false">
      <c r="B118" s="308" t="s">
        <v>1483</v>
      </c>
      <c r="C118" s="308"/>
      <c r="D118" s="308"/>
      <c r="E118" s="308"/>
      <c r="F118" s="308"/>
      <c r="G118" s="308"/>
      <c r="H118" s="308"/>
      <c r="I118" s="308"/>
      <c r="J118" s="308"/>
      <c r="N118" s="1"/>
    </row>
    <row r="119" customFormat="false" ht="15.75" hidden="false" customHeight="true" outlineLevel="0" collapsed="false">
      <c r="B119" s="308" t="s">
        <v>1484</v>
      </c>
      <c r="C119" s="308"/>
      <c r="D119" s="308"/>
      <c r="E119" s="308"/>
      <c r="F119" s="308"/>
      <c r="G119" s="308"/>
      <c r="H119" s="308"/>
      <c r="I119" s="308"/>
      <c r="J119" s="308"/>
      <c r="N119" s="1"/>
    </row>
    <row r="120" customFormat="false" ht="15.75" hidden="false" customHeight="true" outlineLevel="0" collapsed="false">
      <c r="N120" s="1"/>
    </row>
    <row r="121" customFormat="false" ht="24" hidden="false" customHeight="true" outlineLevel="0" collapsed="false">
      <c r="B121" s="307" t="s">
        <v>1485</v>
      </c>
      <c r="C121" s="307"/>
      <c r="D121" s="307"/>
      <c r="E121" s="307"/>
      <c r="F121" s="307"/>
      <c r="G121" s="307"/>
      <c r="H121" s="307"/>
      <c r="I121" s="307"/>
      <c r="J121" s="307"/>
      <c r="N121" s="1"/>
    </row>
    <row r="122" customFormat="false" ht="15.75" hidden="false" customHeight="true" outlineLevel="0" collapsed="false">
      <c r="B122" s="309" t="s">
        <v>1486</v>
      </c>
      <c r="C122" s="309"/>
      <c r="D122" s="309"/>
      <c r="E122" s="309"/>
      <c r="F122" s="309"/>
      <c r="G122" s="309"/>
      <c r="H122" s="309"/>
      <c r="I122" s="309"/>
      <c r="J122" s="309"/>
      <c r="N122" s="1"/>
    </row>
    <row r="123" customFormat="false" ht="15.75" hidden="false" customHeight="true" outlineLevel="0" collapsed="false">
      <c r="B123" s="309" t="s">
        <v>1487</v>
      </c>
      <c r="C123" s="309"/>
      <c r="D123" s="309"/>
      <c r="E123" s="309"/>
      <c r="F123" s="309"/>
      <c r="G123" s="309"/>
      <c r="H123" s="309"/>
      <c r="I123" s="309"/>
      <c r="J123" s="309"/>
      <c r="N123" s="1"/>
    </row>
    <row r="124" customFormat="false" ht="15.75" hidden="false" customHeight="true" outlineLevel="0" collapsed="false">
      <c r="B124" s="309" t="s">
        <v>1488</v>
      </c>
      <c r="C124" s="309"/>
      <c r="D124" s="309"/>
      <c r="E124" s="309"/>
      <c r="F124" s="309"/>
      <c r="G124" s="309"/>
      <c r="H124" s="309"/>
      <c r="I124" s="309"/>
      <c r="J124" s="309"/>
      <c r="N124" s="1"/>
    </row>
    <row r="125" customFormat="false" ht="15.75" hidden="false" customHeight="true" outlineLevel="0" collapsed="false">
      <c r="N125" s="1"/>
    </row>
    <row r="126" customFormat="false" ht="15.75" hidden="false" customHeight="true" outlineLevel="0" collapsed="false">
      <c r="N126" s="1"/>
    </row>
    <row r="127" customFormat="false" ht="15.75" hidden="false" customHeight="true" outlineLevel="0" collapsed="false">
      <c r="N127" s="1"/>
    </row>
    <row r="128" customFormat="false" ht="15.75" hidden="false" customHeight="true" outlineLevel="0" collapsed="false">
      <c r="N128" s="1"/>
    </row>
    <row r="129" customFormat="false" ht="15.75" hidden="false" customHeight="true" outlineLevel="0" collapsed="false">
      <c r="N129" s="1"/>
    </row>
    <row r="130" customFormat="false" ht="15.75" hidden="false" customHeight="true" outlineLevel="0" collapsed="false">
      <c r="N130" s="1"/>
    </row>
    <row r="131" customFormat="false" ht="15.75" hidden="false" customHeight="true" outlineLevel="0" collapsed="false">
      <c r="N131" s="1"/>
    </row>
    <row r="132" customFormat="false" ht="15.75" hidden="false" customHeight="true" outlineLevel="0" collapsed="false">
      <c r="N132" s="1"/>
    </row>
    <row r="133" customFormat="false" ht="15.75" hidden="false" customHeight="true" outlineLevel="0" collapsed="false">
      <c r="N133" s="1"/>
    </row>
    <row r="134" customFormat="false" ht="15.75" hidden="false" customHeight="true" outlineLevel="0" collapsed="false">
      <c r="N134" s="1"/>
    </row>
    <row r="135" customFormat="false" ht="15.75" hidden="false" customHeight="true" outlineLevel="0" collapsed="false">
      <c r="N135" s="1"/>
    </row>
    <row r="136" customFormat="false" ht="15.75" hidden="false" customHeight="true" outlineLevel="0" collapsed="false">
      <c r="N136" s="1"/>
    </row>
    <row r="137" customFormat="false" ht="15.75" hidden="false" customHeight="true" outlineLevel="0" collapsed="false">
      <c r="N137" s="1"/>
    </row>
    <row r="138" customFormat="false" ht="15.75" hidden="false" customHeight="true" outlineLevel="0" collapsed="false">
      <c r="N138" s="1"/>
    </row>
    <row r="139" customFormat="false" ht="15.75" hidden="false" customHeight="true" outlineLevel="0" collapsed="false">
      <c r="N139" s="1"/>
    </row>
    <row r="140" customFormat="false" ht="15.75" hidden="false" customHeight="true" outlineLevel="0" collapsed="false">
      <c r="N140" s="1"/>
    </row>
    <row r="141" customFormat="false" ht="15.75" hidden="false" customHeight="true" outlineLevel="0" collapsed="false">
      <c r="N141" s="1"/>
    </row>
    <row r="142" customFormat="false" ht="15.75" hidden="false" customHeight="true" outlineLevel="0" collapsed="false">
      <c r="N142" s="1"/>
    </row>
    <row r="143" customFormat="false" ht="15.75" hidden="false" customHeight="true" outlineLevel="0" collapsed="false">
      <c r="N143" s="1"/>
    </row>
    <row r="144" customFormat="false" ht="15.75" hidden="false" customHeight="true" outlineLevel="0" collapsed="false">
      <c r="N144" s="1"/>
    </row>
    <row r="145" customFormat="false" ht="15.75" hidden="false" customHeight="true" outlineLevel="0" collapsed="false">
      <c r="N145" s="1"/>
    </row>
    <row r="146" customFormat="false" ht="15.75" hidden="false" customHeight="true" outlineLevel="0" collapsed="false">
      <c r="N146" s="1"/>
    </row>
    <row r="147" customFormat="false" ht="15.75" hidden="false" customHeight="true" outlineLevel="0" collapsed="false">
      <c r="N147" s="1"/>
    </row>
    <row r="148" customFormat="false" ht="15.75" hidden="false" customHeight="true" outlineLevel="0" collapsed="false">
      <c r="N148" s="1"/>
    </row>
    <row r="149" customFormat="false" ht="15.75" hidden="false" customHeight="true" outlineLevel="0" collapsed="false">
      <c r="N149" s="1"/>
    </row>
    <row r="150" customFormat="false" ht="15.75" hidden="false" customHeight="true" outlineLevel="0" collapsed="false">
      <c r="N150" s="1"/>
    </row>
    <row r="151" customFormat="false" ht="15.75" hidden="false" customHeight="true" outlineLevel="0" collapsed="false">
      <c r="N151" s="1"/>
    </row>
    <row r="152" customFormat="false" ht="15.75" hidden="false" customHeight="true" outlineLevel="0" collapsed="false">
      <c r="N152" s="1"/>
    </row>
    <row r="153" customFormat="false" ht="15.75" hidden="false" customHeight="true" outlineLevel="0" collapsed="false">
      <c r="N153" s="1"/>
    </row>
    <row r="154" customFormat="false" ht="15.75" hidden="false" customHeight="true" outlineLevel="0" collapsed="false">
      <c r="N154" s="1"/>
    </row>
    <row r="155" customFormat="false" ht="15.75" hidden="false" customHeight="true" outlineLevel="0" collapsed="false">
      <c r="N155" s="1"/>
    </row>
    <row r="156" customFormat="false" ht="15.75" hidden="false" customHeight="true" outlineLevel="0" collapsed="false">
      <c r="N156" s="1"/>
    </row>
    <row r="157" customFormat="false" ht="15.75" hidden="false" customHeight="true" outlineLevel="0" collapsed="false">
      <c r="N157" s="1"/>
    </row>
    <row r="158" customFormat="false" ht="15.75" hidden="false" customHeight="true" outlineLevel="0" collapsed="false">
      <c r="N158" s="1"/>
    </row>
    <row r="159" customFormat="false" ht="15.75" hidden="false" customHeight="true" outlineLevel="0" collapsed="false">
      <c r="N159" s="1"/>
    </row>
    <row r="160" customFormat="false" ht="15.75" hidden="false" customHeight="true" outlineLevel="0" collapsed="false">
      <c r="N160" s="1"/>
    </row>
    <row r="161" customFormat="false" ht="15.75" hidden="false" customHeight="true" outlineLevel="0" collapsed="false">
      <c r="N161" s="1"/>
    </row>
    <row r="162" customFormat="false" ht="15.75" hidden="false" customHeight="true" outlineLevel="0" collapsed="false">
      <c r="N162" s="1"/>
    </row>
    <row r="163" customFormat="false" ht="15.75" hidden="false" customHeight="true" outlineLevel="0" collapsed="false">
      <c r="N163" s="1"/>
    </row>
    <row r="164" customFormat="false" ht="15.75" hidden="false" customHeight="true" outlineLevel="0" collapsed="false">
      <c r="N164" s="1"/>
    </row>
    <row r="165" customFormat="false" ht="15.75" hidden="false" customHeight="true" outlineLevel="0" collapsed="false">
      <c r="N165" s="1"/>
    </row>
    <row r="166" customFormat="false" ht="15.75" hidden="false" customHeight="true" outlineLevel="0" collapsed="false">
      <c r="N166" s="1"/>
    </row>
    <row r="167" customFormat="false" ht="15.75" hidden="false" customHeight="true" outlineLevel="0" collapsed="false">
      <c r="N167" s="1"/>
    </row>
    <row r="168" customFormat="false" ht="15.75" hidden="false" customHeight="true" outlineLevel="0" collapsed="false">
      <c r="N168" s="1"/>
    </row>
    <row r="169" customFormat="false" ht="15.75" hidden="false" customHeight="true" outlineLevel="0" collapsed="false">
      <c r="N169" s="1"/>
    </row>
    <row r="170" customFormat="false" ht="15.75" hidden="false" customHeight="true" outlineLevel="0" collapsed="false">
      <c r="N170" s="1"/>
    </row>
    <row r="171" customFormat="false" ht="15.75" hidden="false" customHeight="true" outlineLevel="0" collapsed="false">
      <c r="N171" s="1"/>
    </row>
    <row r="172" customFormat="false" ht="15.75" hidden="false" customHeight="true" outlineLevel="0" collapsed="false">
      <c r="N172" s="1"/>
    </row>
    <row r="173" customFormat="false" ht="15.75" hidden="false" customHeight="true" outlineLevel="0" collapsed="false">
      <c r="N173" s="1"/>
    </row>
    <row r="174" customFormat="false" ht="15.75" hidden="false" customHeight="true" outlineLevel="0" collapsed="false">
      <c r="N174" s="1"/>
    </row>
    <row r="175" customFormat="false" ht="15.75" hidden="false" customHeight="true" outlineLevel="0" collapsed="false">
      <c r="N175" s="1"/>
    </row>
    <row r="176" customFormat="false" ht="15.75" hidden="false" customHeight="true" outlineLevel="0" collapsed="false">
      <c r="N176" s="1"/>
    </row>
    <row r="177" customFormat="false" ht="15.75" hidden="false" customHeight="true" outlineLevel="0" collapsed="false">
      <c r="N177" s="1"/>
    </row>
    <row r="178" customFormat="false" ht="15.75" hidden="false" customHeight="true" outlineLevel="0" collapsed="false">
      <c r="N178" s="1"/>
    </row>
    <row r="179" customFormat="false" ht="15.75" hidden="false" customHeight="true" outlineLevel="0" collapsed="false">
      <c r="N179" s="1"/>
    </row>
    <row r="180" customFormat="false" ht="15.75" hidden="false" customHeight="true" outlineLevel="0" collapsed="false">
      <c r="N180" s="1"/>
    </row>
    <row r="181" customFormat="false" ht="15.75" hidden="false" customHeight="true" outlineLevel="0" collapsed="false">
      <c r="N181" s="1"/>
    </row>
    <row r="182" customFormat="false" ht="15.75" hidden="false" customHeight="true" outlineLevel="0" collapsed="false">
      <c r="N182" s="1"/>
    </row>
    <row r="183" customFormat="false" ht="15.75" hidden="false" customHeight="true" outlineLevel="0" collapsed="false">
      <c r="N183" s="1"/>
    </row>
    <row r="184" customFormat="false" ht="15.75" hidden="false" customHeight="true" outlineLevel="0" collapsed="false">
      <c r="N184" s="1"/>
    </row>
    <row r="185" customFormat="false" ht="15.75" hidden="false" customHeight="true" outlineLevel="0" collapsed="false">
      <c r="N185" s="1"/>
    </row>
    <row r="186" customFormat="false" ht="15.75" hidden="false" customHeight="true" outlineLevel="0" collapsed="false">
      <c r="N186" s="1"/>
    </row>
    <row r="187" customFormat="false" ht="15.75" hidden="false" customHeight="true" outlineLevel="0" collapsed="false">
      <c r="N187" s="1"/>
    </row>
    <row r="188" customFormat="false" ht="15.75" hidden="false" customHeight="true" outlineLevel="0" collapsed="false">
      <c r="N188" s="1"/>
    </row>
    <row r="189" customFormat="false" ht="15.75" hidden="false" customHeight="true" outlineLevel="0" collapsed="false">
      <c r="N189" s="1"/>
    </row>
    <row r="190" customFormat="false" ht="15.75" hidden="false" customHeight="true" outlineLevel="0" collapsed="false">
      <c r="N190" s="1"/>
    </row>
    <row r="191" customFormat="false" ht="15.75" hidden="false" customHeight="true" outlineLevel="0" collapsed="false">
      <c r="N191" s="1"/>
    </row>
    <row r="192" customFormat="false" ht="15.75" hidden="false" customHeight="true" outlineLevel="0" collapsed="false">
      <c r="N192" s="1"/>
    </row>
    <row r="193" customFormat="false" ht="15.75" hidden="false" customHeight="true" outlineLevel="0" collapsed="false">
      <c r="N193" s="1"/>
    </row>
    <row r="194" customFormat="false" ht="15.75" hidden="false" customHeight="true" outlineLevel="0" collapsed="false">
      <c r="N194" s="1"/>
    </row>
    <row r="195" customFormat="false" ht="15.75" hidden="false" customHeight="true" outlineLevel="0" collapsed="false">
      <c r="N195" s="1"/>
    </row>
    <row r="196" customFormat="false" ht="15.75" hidden="false" customHeight="true" outlineLevel="0" collapsed="false">
      <c r="N196" s="1"/>
    </row>
    <row r="197" customFormat="false" ht="15.75" hidden="false" customHeight="true" outlineLevel="0" collapsed="false">
      <c r="N197" s="1"/>
    </row>
    <row r="198" customFormat="false" ht="15.75" hidden="false" customHeight="true" outlineLevel="0" collapsed="false">
      <c r="N198" s="1"/>
    </row>
    <row r="199" customFormat="false" ht="15.75" hidden="false" customHeight="true" outlineLevel="0" collapsed="false">
      <c r="N199" s="1"/>
    </row>
    <row r="200" customFormat="false" ht="15.75" hidden="false" customHeight="true" outlineLevel="0" collapsed="false">
      <c r="N200" s="1"/>
    </row>
    <row r="201" customFormat="false" ht="15.75" hidden="false" customHeight="true" outlineLevel="0" collapsed="false">
      <c r="N201" s="1"/>
    </row>
    <row r="202" customFormat="false" ht="15.75" hidden="false" customHeight="true" outlineLevel="0" collapsed="false">
      <c r="N202" s="1"/>
    </row>
    <row r="203" customFormat="false" ht="15.75" hidden="false" customHeight="true" outlineLevel="0" collapsed="false">
      <c r="N203" s="1"/>
    </row>
    <row r="204" customFormat="false" ht="15.75" hidden="false" customHeight="true" outlineLevel="0" collapsed="false">
      <c r="N204" s="1"/>
    </row>
    <row r="205" customFormat="false" ht="15.75" hidden="false" customHeight="true" outlineLevel="0" collapsed="false">
      <c r="N205" s="1"/>
    </row>
    <row r="206" customFormat="false" ht="15.75" hidden="false" customHeight="true" outlineLevel="0" collapsed="false">
      <c r="N206" s="1"/>
    </row>
    <row r="207" customFormat="false" ht="15.75" hidden="false" customHeight="true" outlineLevel="0" collapsed="false">
      <c r="N207" s="1"/>
    </row>
    <row r="208" customFormat="false" ht="15.75" hidden="false" customHeight="true" outlineLevel="0" collapsed="false">
      <c r="N208" s="1"/>
    </row>
    <row r="209" customFormat="false" ht="15.75" hidden="false" customHeight="true" outlineLevel="0" collapsed="false">
      <c r="N209" s="1"/>
    </row>
    <row r="210" customFormat="false" ht="15.75" hidden="false" customHeight="true" outlineLevel="0" collapsed="false">
      <c r="N210" s="1"/>
    </row>
    <row r="211" customFormat="false" ht="15.75" hidden="false" customHeight="true" outlineLevel="0" collapsed="false">
      <c r="N211" s="1"/>
    </row>
    <row r="212" customFormat="false" ht="15.75" hidden="false" customHeight="true" outlineLevel="0" collapsed="false">
      <c r="N212" s="1"/>
    </row>
    <row r="213" customFormat="false" ht="15.75" hidden="false" customHeight="true" outlineLevel="0" collapsed="false">
      <c r="N213" s="1"/>
    </row>
    <row r="214" customFormat="false" ht="15.75" hidden="false" customHeight="true" outlineLevel="0" collapsed="false">
      <c r="N214" s="1"/>
    </row>
    <row r="215" customFormat="false" ht="15.75" hidden="false" customHeight="true" outlineLevel="0" collapsed="false">
      <c r="N215" s="1"/>
    </row>
    <row r="216" customFormat="false" ht="15.75" hidden="false" customHeight="true" outlineLevel="0" collapsed="false">
      <c r="N216" s="1"/>
    </row>
    <row r="217" customFormat="false" ht="15.75" hidden="false" customHeight="true" outlineLevel="0" collapsed="false">
      <c r="N217" s="1"/>
    </row>
    <row r="218" customFormat="false" ht="15.75" hidden="false" customHeight="true" outlineLevel="0" collapsed="false">
      <c r="N218" s="1"/>
    </row>
    <row r="219" customFormat="false" ht="15.75" hidden="false" customHeight="true" outlineLevel="0" collapsed="false">
      <c r="N219" s="1"/>
    </row>
    <row r="220" customFormat="false" ht="15.75" hidden="false" customHeight="true" outlineLevel="0" collapsed="false">
      <c r="N220" s="1"/>
    </row>
    <row r="221" customFormat="false" ht="15.75" hidden="false" customHeight="true" outlineLevel="0" collapsed="false">
      <c r="N221" s="1"/>
    </row>
    <row r="222" customFormat="false" ht="15.75" hidden="false" customHeight="true" outlineLevel="0" collapsed="false">
      <c r="N222" s="1"/>
    </row>
    <row r="223" customFormat="false" ht="15.75" hidden="false" customHeight="true" outlineLevel="0" collapsed="false">
      <c r="N223" s="1"/>
    </row>
    <row r="224" customFormat="false" ht="15.75" hidden="false" customHeight="true" outlineLevel="0" collapsed="false">
      <c r="N224" s="1"/>
    </row>
    <row r="225" customFormat="false" ht="15.75" hidden="false" customHeight="true" outlineLevel="0" collapsed="false">
      <c r="N225" s="1"/>
    </row>
    <row r="226" customFormat="false" ht="15.75" hidden="false" customHeight="true" outlineLevel="0" collapsed="false">
      <c r="N226" s="1"/>
    </row>
    <row r="227" customFormat="false" ht="15.75" hidden="false" customHeight="true" outlineLevel="0" collapsed="false">
      <c r="N227" s="1"/>
    </row>
    <row r="228" customFormat="false" ht="15.75" hidden="false" customHeight="true" outlineLevel="0" collapsed="false">
      <c r="N228" s="1"/>
    </row>
    <row r="229" customFormat="false" ht="15.75" hidden="false" customHeight="true" outlineLevel="0" collapsed="false">
      <c r="N229" s="1"/>
    </row>
    <row r="230" customFormat="false" ht="15.75" hidden="false" customHeight="true" outlineLevel="0" collapsed="false">
      <c r="N230" s="1"/>
    </row>
    <row r="231" customFormat="false" ht="15.75" hidden="false" customHeight="true" outlineLevel="0" collapsed="false">
      <c r="N231" s="1"/>
    </row>
    <row r="232" customFormat="false" ht="15.75" hidden="false" customHeight="true" outlineLevel="0" collapsed="false">
      <c r="N232" s="1"/>
    </row>
    <row r="233" customFormat="false" ht="15.75" hidden="false" customHeight="true" outlineLevel="0" collapsed="false">
      <c r="N233" s="1"/>
    </row>
    <row r="234" customFormat="false" ht="15.75" hidden="false" customHeight="true" outlineLevel="0" collapsed="false">
      <c r="N234" s="1"/>
    </row>
    <row r="235" customFormat="false" ht="15.75" hidden="false" customHeight="true" outlineLevel="0" collapsed="false">
      <c r="N235" s="1"/>
    </row>
    <row r="236" customFormat="false" ht="15.75" hidden="false" customHeight="true" outlineLevel="0" collapsed="false">
      <c r="N236" s="1"/>
    </row>
    <row r="237" customFormat="false" ht="15.75" hidden="false" customHeight="true" outlineLevel="0" collapsed="false">
      <c r="N237" s="1"/>
    </row>
    <row r="238" customFormat="false" ht="15.75" hidden="false" customHeight="true" outlineLevel="0" collapsed="false">
      <c r="N238" s="1"/>
    </row>
    <row r="239" customFormat="false" ht="15.75" hidden="false" customHeight="true" outlineLevel="0" collapsed="false">
      <c r="N239" s="1"/>
    </row>
    <row r="240" customFormat="false" ht="15.75" hidden="false" customHeight="true" outlineLevel="0" collapsed="false">
      <c r="N240" s="1"/>
    </row>
    <row r="241" customFormat="false" ht="15.75" hidden="false" customHeight="true" outlineLevel="0" collapsed="false">
      <c r="N241" s="1"/>
    </row>
    <row r="242" customFormat="false" ht="15.75" hidden="false" customHeight="true" outlineLevel="0" collapsed="false">
      <c r="N242" s="1"/>
    </row>
    <row r="243" customFormat="false" ht="15.75" hidden="false" customHeight="true" outlineLevel="0" collapsed="false">
      <c r="N243" s="1"/>
    </row>
    <row r="244" customFormat="false" ht="15.75" hidden="false" customHeight="true" outlineLevel="0" collapsed="false">
      <c r="N244" s="1"/>
    </row>
    <row r="245" customFormat="false" ht="15.75" hidden="false" customHeight="true" outlineLevel="0" collapsed="false">
      <c r="N245" s="1"/>
    </row>
    <row r="246" customFormat="false" ht="15.75" hidden="false" customHeight="true" outlineLevel="0" collapsed="false">
      <c r="N246" s="1"/>
    </row>
    <row r="247" customFormat="false" ht="15.75" hidden="false" customHeight="true" outlineLevel="0" collapsed="false">
      <c r="N247" s="1"/>
    </row>
    <row r="248" customFormat="false" ht="15.75" hidden="false" customHeight="true" outlineLevel="0" collapsed="false">
      <c r="N248" s="1"/>
    </row>
    <row r="249" customFormat="false" ht="15.75" hidden="false" customHeight="true" outlineLevel="0" collapsed="false">
      <c r="N249" s="1"/>
    </row>
    <row r="250" customFormat="false" ht="15.75" hidden="false" customHeight="true" outlineLevel="0" collapsed="false">
      <c r="N250" s="1"/>
    </row>
    <row r="251" customFormat="false" ht="15.75" hidden="false" customHeight="true" outlineLevel="0" collapsed="false">
      <c r="N251" s="1"/>
    </row>
    <row r="252" customFormat="false" ht="15.75" hidden="false" customHeight="true" outlineLevel="0" collapsed="false">
      <c r="N252" s="1"/>
    </row>
    <row r="253" customFormat="false" ht="15.75" hidden="false" customHeight="true" outlineLevel="0" collapsed="false">
      <c r="N253" s="1"/>
    </row>
    <row r="254" customFormat="false" ht="15.75" hidden="false" customHeight="true" outlineLevel="0" collapsed="false">
      <c r="N254" s="1"/>
    </row>
    <row r="255" customFormat="false" ht="15.75" hidden="false" customHeight="true" outlineLevel="0" collapsed="false">
      <c r="N255" s="1"/>
    </row>
    <row r="256" customFormat="false" ht="15.75" hidden="false" customHeight="true" outlineLevel="0" collapsed="false">
      <c r="N256" s="1"/>
    </row>
    <row r="257" customFormat="false" ht="15.75" hidden="false" customHeight="true" outlineLevel="0" collapsed="false">
      <c r="N257" s="1"/>
    </row>
    <row r="258" customFormat="false" ht="15.75" hidden="false" customHeight="true" outlineLevel="0" collapsed="false">
      <c r="N258" s="1"/>
    </row>
    <row r="259" customFormat="false" ht="15.75" hidden="false" customHeight="true" outlineLevel="0" collapsed="false">
      <c r="N259" s="1"/>
    </row>
    <row r="260" customFormat="false" ht="15.75" hidden="false" customHeight="true" outlineLevel="0" collapsed="false">
      <c r="N260" s="1"/>
    </row>
    <row r="261" customFormat="false" ht="15.75" hidden="false" customHeight="true" outlineLevel="0" collapsed="false">
      <c r="N261" s="1"/>
    </row>
    <row r="262" customFormat="false" ht="15.75" hidden="false" customHeight="true" outlineLevel="0" collapsed="false">
      <c r="N262" s="1"/>
    </row>
    <row r="263" customFormat="false" ht="15.75" hidden="false" customHeight="true" outlineLevel="0" collapsed="false">
      <c r="N263" s="1"/>
    </row>
    <row r="264" customFormat="false" ht="15.75" hidden="false" customHeight="true" outlineLevel="0" collapsed="false">
      <c r="N264" s="1"/>
    </row>
    <row r="265" customFormat="false" ht="15.75" hidden="false" customHeight="true" outlineLevel="0" collapsed="false">
      <c r="N265" s="1"/>
    </row>
    <row r="266" customFormat="false" ht="15.75" hidden="false" customHeight="true" outlineLevel="0" collapsed="false">
      <c r="N266" s="1"/>
    </row>
    <row r="267" customFormat="false" ht="15.75" hidden="false" customHeight="true" outlineLevel="0" collapsed="false">
      <c r="N267" s="1"/>
    </row>
    <row r="268" customFormat="false" ht="15.75" hidden="false" customHeight="true" outlineLevel="0" collapsed="false">
      <c r="N268" s="1"/>
    </row>
    <row r="269" customFormat="false" ht="15.75" hidden="false" customHeight="true" outlineLevel="0" collapsed="false">
      <c r="N269" s="1"/>
    </row>
    <row r="270" customFormat="false" ht="15.75" hidden="false" customHeight="true" outlineLevel="0" collapsed="false">
      <c r="N270" s="1"/>
    </row>
    <row r="271" customFormat="false" ht="15.75" hidden="false" customHeight="true" outlineLevel="0" collapsed="false">
      <c r="N271" s="1"/>
    </row>
    <row r="272" customFormat="false" ht="15.75" hidden="false" customHeight="true" outlineLevel="0" collapsed="false">
      <c r="N272" s="1"/>
    </row>
    <row r="273" customFormat="false" ht="15.75" hidden="false" customHeight="true" outlineLevel="0" collapsed="false">
      <c r="N273" s="1"/>
    </row>
    <row r="274" customFormat="false" ht="15.75" hidden="false" customHeight="true" outlineLevel="0" collapsed="false">
      <c r="N274" s="1"/>
    </row>
    <row r="275" customFormat="false" ht="15.75" hidden="false" customHeight="true" outlineLevel="0" collapsed="false">
      <c r="N275" s="1"/>
    </row>
    <row r="276" customFormat="false" ht="15.75" hidden="false" customHeight="true" outlineLevel="0" collapsed="false">
      <c r="N276" s="1"/>
    </row>
    <row r="277" customFormat="false" ht="15.75" hidden="false" customHeight="true" outlineLevel="0" collapsed="false">
      <c r="N277" s="1"/>
    </row>
    <row r="278" customFormat="false" ht="15.75" hidden="false" customHeight="true" outlineLevel="0" collapsed="false">
      <c r="N278" s="1"/>
    </row>
    <row r="279" customFormat="false" ht="15.75" hidden="false" customHeight="true" outlineLevel="0" collapsed="false">
      <c r="N279" s="1"/>
    </row>
    <row r="280" customFormat="false" ht="15.75" hidden="false" customHeight="true" outlineLevel="0" collapsed="false">
      <c r="N280" s="1"/>
    </row>
    <row r="281" customFormat="false" ht="15.75" hidden="false" customHeight="true" outlineLevel="0" collapsed="false">
      <c r="N281" s="1"/>
    </row>
    <row r="282" customFormat="false" ht="15.75" hidden="false" customHeight="true" outlineLevel="0" collapsed="false">
      <c r="N282" s="1"/>
    </row>
    <row r="283" customFormat="false" ht="15.75" hidden="false" customHeight="true" outlineLevel="0" collapsed="false">
      <c r="N283" s="1"/>
    </row>
    <row r="284" customFormat="false" ht="15.75" hidden="false" customHeight="true" outlineLevel="0" collapsed="false">
      <c r="N284" s="1"/>
    </row>
    <row r="285" customFormat="false" ht="15.75" hidden="false" customHeight="true" outlineLevel="0" collapsed="false">
      <c r="N285" s="1"/>
    </row>
    <row r="286" customFormat="false" ht="15.75" hidden="false" customHeight="true" outlineLevel="0" collapsed="false">
      <c r="N286" s="1"/>
    </row>
    <row r="287" customFormat="false" ht="15.75" hidden="false" customHeight="true" outlineLevel="0" collapsed="false">
      <c r="N287" s="1"/>
    </row>
    <row r="288" customFormat="false" ht="15.75" hidden="false" customHeight="true" outlineLevel="0" collapsed="false">
      <c r="N288" s="1"/>
    </row>
    <row r="289" customFormat="false" ht="15.75" hidden="false" customHeight="true" outlineLevel="0" collapsed="false">
      <c r="N289" s="1"/>
    </row>
    <row r="290" customFormat="false" ht="15.75" hidden="false" customHeight="true" outlineLevel="0" collapsed="false">
      <c r="N290" s="1"/>
    </row>
    <row r="291" customFormat="false" ht="15.75" hidden="false" customHeight="true" outlineLevel="0" collapsed="false">
      <c r="N291" s="1"/>
    </row>
    <row r="292" customFormat="false" ht="15.75" hidden="false" customHeight="true" outlineLevel="0" collapsed="false">
      <c r="N292" s="1"/>
    </row>
    <row r="293" customFormat="false" ht="15.75" hidden="false" customHeight="true" outlineLevel="0" collapsed="false">
      <c r="N293" s="1"/>
    </row>
    <row r="294" customFormat="false" ht="15.75" hidden="false" customHeight="true" outlineLevel="0" collapsed="false">
      <c r="N294" s="1"/>
    </row>
    <row r="295" customFormat="false" ht="15.75" hidden="false" customHeight="true" outlineLevel="0" collapsed="false">
      <c r="N295" s="1"/>
    </row>
    <row r="296" customFormat="false" ht="15.75" hidden="false" customHeight="true" outlineLevel="0" collapsed="false">
      <c r="N296" s="1"/>
    </row>
    <row r="297" customFormat="false" ht="15.75" hidden="false" customHeight="true" outlineLevel="0" collapsed="false">
      <c r="N297" s="1"/>
    </row>
    <row r="298" customFormat="false" ht="15.75" hidden="false" customHeight="true" outlineLevel="0" collapsed="false">
      <c r="N298" s="1"/>
    </row>
    <row r="299" customFormat="false" ht="15.75" hidden="false" customHeight="true" outlineLevel="0" collapsed="false">
      <c r="N299" s="1"/>
    </row>
    <row r="300" customFormat="false" ht="15.75" hidden="false" customHeight="true" outlineLevel="0" collapsed="false">
      <c r="N300" s="1"/>
    </row>
    <row r="301" customFormat="false" ht="15.75" hidden="false" customHeight="true" outlineLevel="0" collapsed="false">
      <c r="N301" s="1"/>
    </row>
    <row r="302" customFormat="false" ht="15.75" hidden="false" customHeight="true" outlineLevel="0" collapsed="false">
      <c r="N302" s="1"/>
    </row>
    <row r="303" customFormat="false" ht="15.75" hidden="false" customHeight="true" outlineLevel="0" collapsed="false">
      <c r="N303" s="1"/>
    </row>
    <row r="304" customFormat="false" ht="15.75" hidden="false" customHeight="true" outlineLevel="0" collapsed="false">
      <c r="N304" s="1"/>
    </row>
    <row r="305" customFormat="false" ht="15.75" hidden="false" customHeight="true" outlineLevel="0" collapsed="false">
      <c r="N305" s="1"/>
    </row>
    <row r="306" customFormat="false" ht="15.75" hidden="false" customHeight="true" outlineLevel="0" collapsed="false">
      <c r="N306" s="1"/>
    </row>
    <row r="307" customFormat="false" ht="15.75" hidden="false" customHeight="true" outlineLevel="0" collapsed="false">
      <c r="N307" s="1"/>
    </row>
    <row r="308" customFormat="false" ht="15.75" hidden="false" customHeight="true" outlineLevel="0" collapsed="false">
      <c r="N308" s="1"/>
    </row>
    <row r="309" customFormat="false" ht="15.75" hidden="false" customHeight="true" outlineLevel="0" collapsed="false">
      <c r="N309" s="1"/>
    </row>
    <row r="310" customFormat="false" ht="15.75" hidden="false" customHeight="true" outlineLevel="0" collapsed="false">
      <c r="N310" s="1"/>
    </row>
    <row r="311" customFormat="false" ht="15.75" hidden="false" customHeight="true" outlineLevel="0" collapsed="false">
      <c r="N311" s="1"/>
    </row>
    <row r="312" customFormat="false" ht="15.75" hidden="false" customHeight="true" outlineLevel="0" collapsed="false">
      <c r="N312" s="1"/>
    </row>
    <row r="313" customFormat="false" ht="15.75" hidden="false" customHeight="true" outlineLevel="0" collapsed="false">
      <c r="N313" s="1"/>
    </row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0">
    <mergeCell ref="B2:M2"/>
    <mergeCell ref="B3:M3"/>
    <mergeCell ref="B7:M7"/>
    <mergeCell ref="B10:M10"/>
    <mergeCell ref="B14:M14"/>
    <mergeCell ref="B33:M33"/>
    <mergeCell ref="F39:G39"/>
    <mergeCell ref="F45:G45"/>
    <mergeCell ref="F50:G50"/>
    <mergeCell ref="F55:G55"/>
    <mergeCell ref="H55:I55"/>
    <mergeCell ref="B59:M59"/>
    <mergeCell ref="B70:C70"/>
    <mergeCell ref="B74:C74"/>
    <mergeCell ref="E74:F74"/>
    <mergeCell ref="B75:C75"/>
    <mergeCell ref="E75:F75"/>
    <mergeCell ref="B90:J90"/>
    <mergeCell ref="B112:J112"/>
    <mergeCell ref="B113:J113"/>
    <mergeCell ref="B114:J114"/>
    <mergeCell ref="B115:J115"/>
    <mergeCell ref="B116:J116"/>
    <mergeCell ref="B117:J117"/>
    <mergeCell ref="B118:J118"/>
    <mergeCell ref="B119:J119"/>
    <mergeCell ref="B121:J121"/>
    <mergeCell ref="B122:J122"/>
    <mergeCell ref="B123:J123"/>
    <mergeCell ref="B124:J124"/>
  </mergeCells>
  <dataValidations count="12">
    <dataValidation allowBlank="true" errorStyle="stop" operator="between" showDropDown="false" showErrorMessage="false" showInputMessage="false" sqref="D70" type="list">
      <formula1>"0 — Not used (floor off),0.30 — Partial floor,0.50 — Standard floor,0.80 — Strong floor"</formula1>
      <formula2>0</formula2>
    </dataValidation>
    <dataValidation allowBlank="true" errorStyle="stop" operator="between" showDropDown="false" showErrorMessage="false" showInputMessage="false" sqref="D80" type="list">
      <formula1>"10%,15%,20%,25%,30%,35%,40%,45%,50%"</formula1>
      <formula2>0</formula2>
    </dataValidation>
    <dataValidation allowBlank="true" errorStyle="stop" operator="between" showDropDown="false" showErrorMessage="false" showInputMessage="false" sqref="D62" type="list">
      <formula1>"0.70 — Below average (&lt; 2%),0.90 — Average (2–4%),1.00 — Baseline (4–6%),1.20 — Good (6–8%),1.40 — Excellent (8–10%),1.60 — Premium (&gt; 10%)"</formula1>
      <formula2>0</formula2>
    </dataValidation>
    <dataValidation allowBlank="true" errorStyle="stop" operator="between" showDropDown="false" showErrorMessage="false" showInputMessage="false" sqref="D67" type="list">
      <formula1>"Awareness,Conversion,Trust (Pro Authority)"</formula1>
      <formula2>0</formula2>
    </dataValidation>
    <dataValidation allowBlank="true" errorStyle="stop" operator="between" showDropDown="false" showErrorMessage="false" showInputMessage="false" sqref="D68" type="list">
      <formula1>"1.00 — Normal,1.10 — Proven / Established,1.25 — Elite Contender,1.50 — Global Star / Major Winner"</formula1>
      <formula2>0</formula2>
    </dataValidation>
    <dataValidation allowBlank="true" errorStyle="stop" operator="between" showDropDown="false" showErrorMessage="false" showInputMessage="false" sqref="D69" type="list">
      <formula1>"1.00 — English,1.05 — Arabic,1.10 — Bilingual"</formula1>
      <formula2>0</formula2>
    </dataValidation>
    <dataValidation allowBlank="true" errorStyle="stop" operator="between" showDropDown="false" showErrorMessage="true" showInputMessage="false" sqref="D65" type="list">
      <formula1>"1.00 — Integrated (Player-led),1.30 — Dedicated (Brand-led)"</formula1>
      <formula2>0</formula2>
    </dataValidation>
    <dataValidation allowBlank="true" errorStyle="stop" operator="between" showDropDown="false" showErrorMessage="false" showInputMessage="false" sqref="D81" type="list">
      <formula1>"25%,50%,75%,100%,125%,150%,200%"</formula1>
      <formula2>0</formula2>
    </dataValidation>
    <dataValidation allowBlank="true" errorStyle="stop" operator="between" showDropDown="false" showErrorMessage="true" showInputMessage="false" sqref="B16" type="list">
      <formula1>"IG Reel,IG Static Post,IG Story,TikTok Video,YT Short,X Post,FB Post / Video,Content Repost,Twitch Stream 2h,Twitch Integration,IRL Appearance,Podcast Guesting,PR Appearance / CSR,Fan Meet &amp; Greet,Photo Shoot (Brand)"</formula1>
      <formula2>0</formula2>
    </dataValidation>
    <dataValidation allowBlank="true" errorStyle="stop" operator="between" showDropDown="false" showErrorMessage="false" showInputMessage="false" sqref="D64" type="list">
      <formula1>"0.80 — Off-season,1.00 — Regular season (Baseline),1.20 — Holiday season (Q4),1.25 — Regional Major,1.30 — Game launch,1.35 — Ramadan (MENA),1.40 — Global Major / Worlds,1.50 — EWC / Mega Peak"</formula1>
      <formula2>0</formula2>
    </dataValidation>
    <dataValidation allowBlank="true" errorStyle="stop" operator="between" showDropDown="false" showErrorMessage="false" showInputMessage="false" sqref="D63" type="list">
      <formula1>"0.85 — Generic / Broad,1.00 — Gaming-adjacent (Baseline),1.20 — Core Gaming,1.30 — MENA / Saudi focus,1.40 — Esports-focused,1.50 — Global Esports Elite"</formula1>
      <formula2>0</formula2>
    </dataValidation>
    <dataValidation allowBlank="true" errorStyle="stop" operator="between" showDropDown="false" showErrorMessage="true" showInputMessage="false" sqref="B9" type="list">
      <formula1>'01_Player_Rate_Card'!$C$5:$C$190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9"/>
    <col collapsed="false" customWidth="true" hidden="false" outlineLevel="0" max="3" min="3" style="1" width="17"/>
    <col collapsed="false" customWidth="true" hidden="false" outlineLevel="0" max="6" min="4" style="1" width="22"/>
    <col collapsed="false" customWidth="true" hidden="false" outlineLevel="0" max="7" min="7" style="1" width="32"/>
    <col collapsed="false" customWidth="true" hidden="false" outlineLevel="0" max="8" min="8" style="1" width="22"/>
    <col collapsed="false" customWidth="true" hidden="false" outlineLevel="0" max="9" min="9" style="1" width="36"/>
  </cols>
  <sheetData>
    <row r="2" customFormat="false" ht="27.75" hidden="false" customHeight="true" outlineLevel="0" collapsed="false">
      <c r="B2" s="163" t="s">
        <v>1489</v>
      </c>
      <c r="C2" s="163"/>
      <c r="D2" s="163"/>
      <c r="E2" s="163"/>
      <c r="F2" s="163"/>
      <c r="G2" s="163"/>
      <c r="H2" s="163"/>
    </row>
    <row r="3" customFormat="false" ht="18" hidden="false" customHeight="true" outlineLevel="0" collapsed="false">
      <c r="B3" s="164" t="s">
        <v>1490</v>
      </c>
      <c r="C3" s="164"/>
      <c r="D3" s="164"/>
      <c r="E3" s="164"/>
      <c r="F3" s="164"/>
      <c r="G3" s="164"/>
      <c r="H3" s="164"/>
    </row>
    <row r="5" customFormat="false" ht="37.5" hidden="false" customHeight="true" outlineLevel="0" collapsed="false">
      <c r="B5" s="32" t="s">
        <v>99</v>
      </c>
      <c r="C5" s="32" t="s">
        <v>100</v>
      </c>
      <c r="D5" s="32" t="s">
        <v>101</v>
      </c>
      <c r="E5" s="32" t="s">
        <v>1491</v>
      </c>
      <c r="F5" s="32" t="s">
        <v>1492</v>
      </c>
      <c r="G5" s="32" t="s">
        <v>1493</v>
      </c>
      <c r="H5" s="32" t="s">
        <v>1494</v>
      </c>
      <c r="I5" s="32" t="s">
        <v>1495</v>
      </c>
    </row>
    <row r="6" customFormat="false" ht="45.75" hidden="false" customHeight="true" outlineLevel="0" collapsed="false">
      <c r="B6" s="310" t="s">
        <v>106</v>
      </c>
      <c r="C6" s="311" t="s">
        <v>107</v>
      </c>
      <c r="D6" s="311" t="s">
        <v>108</v>
      </c>
      <c r="E6" s="311" t="s">
        <v>1496</v>
      </c>
      <c r="F6" s="311" t="s">
        <v>1497</v>
      </c>
      <c r="G6" s="311" t="s">
        <v>1498</v>
      </c>
      <c r="H6" s="311" t="s">
        <v>1499</v>
      </c>
      <c r="I6" s="311" t="s">
        <v>1500</v>
      </c>
    </row>
    <row r="7" customFormat="false" ht="45.75" hidden="false" customHeight="true" outlineLevel="0" collapsed="false">
      <c r="B7" s="312" t="s">
        <v>110</v>
      </c>
      <c r="C7" s="313" t="s">
        <v>111</v>
      </c>
      <c r="D7" s="313" t="s">
        <v>1501</v>
      </c>
      <c r="E7" s="313" t="s">
        <v>1502</v>
      </c>
      <c r="F7" s="313" t="s">
        <v>1503</v>
      </c>
      <c r="G7" s="313" t="s">
        <v>1504</v>
      </c>
      <c r="H7" s="313" t="s">
        <v>1505</v>
      </c>
      <c r="I7" s="313" t="s">
        <v>1506</v>
      </c>
    </row>
    <row r="8" customFormat="false" ht="45.75" hidden="false" customHeight="true" outlineLevel="0" collapsed="false">
      <c r="B8" s="314" t="s">
        <v>114</v>
      </c>
      <c r="C8" s="315" t="s">
        <v>115</v>
      </c>
      <c r="D8" s="315" t="s">
        <v>1507</v>
      </c>
      <c r="E8" s="315" t="s">
        <v>1329</v>
      </c>
      <c r="F8" s="315" t="s">
        <v>1508</v>
      </c>
      <c r="G8" s="315" t="s">
        <v>1509</v>
      </c>
      <c r="H8" s="315" t="s">
        <v>1510</v>
      </c>
      <c r="I8" s="315" t="s">
        <v>1511</v>
      </c>
    </row>
    <row r="9" customFormat="false" ht="45.75" hidden="false" customHeight="true" outlineLevel="0" collapsed="false">
      <c r="B9" s="316" t="s">
        <v>118</v>
      </c>
      <c r="C9" s="317" t="s">
        <v>119</v>
      </c>
      <c r="D9" s="317" t="s">
        <v>1512</v>
      </c>
      <c r="E9" s="317" t="s">
        <v>1513</v>
      </c>
      <c r="F9" s="317" t="s">
        <v>1514</v>
      </c>
      <c r="G9" s="317" t="s">
        <v>1515</v>
      </c>
      <c r="H9" s="317" t="s">
        <v>1516</v>
      </c>
      <c r="I9" s="317" t="s">
        <v>1517</v>
      </c>
    </row>
    <row r="10" customFormat="false" ht="45.75" hidden="false" customHeight="true" outlineLevel="0" collapsed="false">
      <c r="B10" s="318" t="s">
        <v>122</v>
      </c>
      <c r="C10" s="319" t="s">
        <v>123</v>
      </c>
      <c r="D10" s="319" t="s">
        <v>124</v>
      </c>
      <c r="E10" s="319" t="s">
        <v>1518</v>
      </c>
      <c r="F10" s="319" t="s">
        <v>1519</v>
      </c>
      <c r="G10" s="319" t="s">
        <v>1520</v>
      </c>
      <c r="H10" s="319" t="s">
        <v>1521</v>
      </c>
      <c r="I10" s="319" t="s">
        <v>1522</v>
      </c>
    </row>
    <row r="13" customFormat="false" ht="15" hidden="false" customHeight="true" outlineLevel="0" collapsed="false">
      <c r="B13" s="320" t="s">
        <v>1523</v>
      </c>
      <c r="C13" s="320"/>
      <c r="D13" s="320"/>
      <c r="E13" s="320"/>
      <c r="F13" s="320"/>
      <c r="G13" s="320"/>
      <c r="H13" s="320"/>
    </row>
    <row r="14" customFormat="false" ht="19.5" hidden="false" customHeight="true" outlineLevel="0" collapsed="false">
      <c r="B14" s="321" t="s">
        <v>1524</v>
      </c>
      <c r="C14" s="321"/>
      <c r="D14" s="321"/>
      <c r="E14" s="321"/>
      <c r="F14" s="321"/>
      <c r="G14" s="321"/>
      <c r="H14" s="321"/>
    </row>
    <row r="15" customFormat="false" ht="19.5" hidden="false" customHeight="true" outlineLevel="0" collapsed="false">
      <c r="B15" s="321" t="s">
        <v>1525</v>
      </c>
      <c r="C15" s="321"/>
      <c r="D15" s="321"/>
      <c r="E15" s="321"/>
      <c r="F15" s="321"/>
      <c r="G15" s="321"/>
      <c r="H15" s="321"/>
    </row>
    <row r="16" customFormat="false" ht="19.5" hidden="false" customHeight="true" outlineLevel="0" collapsed="false">
      <c r="B16" s="321" t="s">
        <v>1526</v>
      </c>
      <c r="C16" s="321"/>
      <c r="D16" s="321"/>
      <c r="E16" s="321"/>
      <c r="F16" s="321"/>
      <c r="G16" s="321"/>
      <c r="H16" s="321"/>
    </row>
    <row r="17" customFormat="false" ht="19.5" hidden="false" customHeight="true" outlineLevel="0" collapsed="false">
      <c r="B17" s="321" t="s">
        <v>1527</v>
      </c>
      <c r="C17" s="321"/>
      <c r="D17" s="321"/>
      <c r="E17" s="321"/>
      <c r="F17" s="321"/>
      <c r="G17" s="321"/>
      <c r="H17" s="321"/>
    </row>
  </sheetData>
  <mergeCells count="7">
    <mergeCell ref="B2:H2"/>
    <mergeCell ref="B3:H3"/>
    <mergeCell ref="B13:H13"/>
    <mergeCell ref="B14:H14"/>
    <mergeCell ref="B15:H15"/>
    <mergeCell ref="B16:H16"/>
    <mergeCell ref="B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2"/>
    <col collapsed="false" customWidth="true" hidden="false" outlineLevel="0" max="4" min="4" style="1" width="32"/>
    <col collapsed="false" customWidth="true" hidden="false" outlineLevel="0" max="5" min="5" style="1" width="30"/>
    <col collapsed="false" customWidth="true" hidden="false" outlineLevel="0" max="6" min="6" style="1" width="34"/>
    <col collapsed="false" customWidth="true" hidden="false" outlineLevel="0" max="7" min="7" style="1" width="40"/>
  </cols>
  <sheetData>
    <row r="2" customFormat="false" ht="27.75" hidden="false" customHeight="true" outlineLevel="0" collapsed="false">
      <c r="B2" s="163" t="s">
        <v>1528</v>
      </c>
      <c r="C2" s="163"/>
      <c r="D2" s="163"/>
      <c r="E2" s="163"/>
      <c r="F2" s="163"/>
      <c r="G2" s="163"/>
    </row>
    <row r="3" customFormat="false" ht="18" hidden="false" customHeight="true" outlineLevel="0" collapsed="false">
      <c r="B3" s="164" t="s">
        <v>1529</v>
      </c>
      <c r="C3" s="164"/>
      <c r="D3" s="164"/>
      <c r="E3" s="164"/>
      <c r="F3" s="164"/>
      <c r="G3" s="164"/>
    </row>
    <row r="5" customFormat="false" ht="37.5" hidden="false" customHeight="true" outlineLevel="0" collapsed="false">
      <c r="B5" s="32" t="s">
        <v>154</v>
      </c>
      <c r="C5" s="32" t="s">
        <v>1530</v>
      </c>
      <c r="D5" s="32" t="s">
        <v>1531</v>
      </c>
      <c r="E5" s="32" t="s">
        <v>1532</v>
      </c>
      <c r="F5" s="32" t="s">
        <v>1533</v>
      </c>
      <c r="G5" s="32" t="s">
        <v>1534</v>
      </c>
    </row>
    <row r="6" customFormat="false" ht="57.75" hidden="false" customHeight="true" outlineLevel="0" collapsed="false">
      <c r="B6" s="322" t="n">
        <v>1</v>
      </c>
      <c r="C6" s="323" t="s">
        <v>1535</v>
      </c>
      <c r="D6" s="324" t="s">
        <v>1536</v>
      </c>
      <c r="E6" s="324" t="s">
        <v>1537</v>
      </c>
      <c r="F6" s="324" t="s">
        <v>1538</v>
      </c>
      <c r="G6" s="324" t="s">
        <v>1539</v>
      </c>
    </row>
    <row r="7" customFormat="false" ht="57.75" hidden="false" customHeight="true" outlineLevel="0" collapsed="false">
      <c r="B7" s="325" t="n">
        <v>2</v>
      </c>
      <c r="C7" s="326" t="s">
        <v>1540</v>
      </c>
      <c r="D7" s="327" t="s">
        <v>1541</v>
      </c>
      <c r="E7" s="327" t="s">
        <v>1542</v>
      </c>
      <c r="F7" s="327" t="s">
        <v>1543</v>
      </c>
      <c r="G7" s="327" t="s">
        <v>1544</v>
      </c>
    </row>
    <row r="8" customFormat="false" ht="57.75" hidden="false" customHeight="true" outlineLevel="0" collapsed="false">
      <c r="B8" s="322" t="n">
        <v>3</v>
      </c>
      <c r="C8" s="323" t="s">
        <v>1545</v>
      </c>
      <c r="D8" s="324" t="s">
        <v>1546</v>
      </c>
      <c r="E8" s="324" t="s">
        <v>1547</v>
      </c>
      <c r="F8" s="324" t="s">
        <v>1548</v>
      </c>
      <c r="G8" s="324" t="s">
        <v>1549</v>
      </c>
    </row>
    <row r="9" customFormat="false" ht="57.75" hidden="false" customHeight="true" outlineLevel="0" collapsed="false">
      <c r="B9" s="325" t="n">
        <v>4</v>
      </c>
      <c r="C9" s="326" t="s">
        <v>1550</v>
      </c>
      <c r="D9" s="327" t="s">
        <v>1551</v>
      </c>
      <c r="E9" s="327" t="s">
        <v>1552</v>
      </c>
      <c r="F9" s="327" t="s">
        <v>1553</v>
      </c>
      <c r="G9" s="327" t="s">
        <v>1554</v>
      </c>
    </row>
    <row r="10" customFormat="false" ht="57.75" hidden="false" customHeight="true" outlineLevel="0" collapsed="false">
      <c r="B10" s="322" t="n">
        <v>5</v>
      </c>
      <c r="C10" s="323" t="s">
        <v>1555</v>
      </c>
      <c r="D10" s="324" t="s">
        <v>1556</v>
      </c>
      <c r="E10" s="324" t="s">
        <v>1557</v>
      </c>
      <c r="F10" s="324" t="s">
        <v>1558</v>
      </c>
      <c r="G10" s="324" t="s">
        <v>1559</v>
      </c>
    </row>
    <row r="11" customFormat="false" ht="57.75" hidden="false" customHeight="true" outlineLevel="0" collapsed="false">
      <c r="B11" s="325" t="n">
        <v>6</v>
      </c>
      <c r="C11" s="326" t="s">
        <v>1560</v>
      </c>
      <c r="D11" s="327" t="s">
        <v>1561</v>
      </c>
      <c r="E11" s="327" t="s">
        <v>1562</v>
      </c>
      <c r="F11" s="327" t="s">
        <v>1563</v>
      </c>
      <c r="G11" s="327" t="s">
        <v>1564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4D2B"/>
    <pageSetUpPr fitToPage="false"/>
  </sheetPr>
  <dimension ref="B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8"/>
    <col collapsed="false" customWidth="true" hidden="false" outlineLevel="0" max="6" min="5" style="1" width="8.71"/>
  </cols>
  <sheetData>
    <row r="1" customFormat="false" ht="15" hidden="false" customHeight="true" outlineLevel="0" collapsed="false"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9.5" hidden="false" customHeight="true" outlineLevel="0" collapsed="false">
      <c r="B2" s="328" t="s">
        <v>1565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42.75" hidden="false" customHeight="true" outlineLevel="0" collapsed="false">
      <c r="B3" s="329" t="s">
        <v>1566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B5" s="11" t="s">
        <v>1567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B6" s="330" t="s">
        <v>1568</v>
      </c>
      <c r="C6" s="330" t="s">
        <v>1569</v>
      </c>
      <c r="D6" s="330" t="s">
        <v>44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B7" s="331" t="s">
        <v>1570</v>
      </c>
      <c r="C7" s="332" t="n">
        <v>0.15</v>
      </c>
      <c r="D7" s="333" t="s">
        <v>1571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B8" s="334" t="s">
        <v>1572</v>
      </c>
      <c r="C8" s="335" t="n">
        <v>0.35</v>
      </c>
      <c r="D8" s="336" t="s">
        <v>1573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B9" s="331" t="s">
        <v>1574</v>
      </c>
      <c r="C9" s="332" t="n">
        <v>0.6</v>
      </c>
      <c r="D9" s="333" t="s">
        <v>1575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B10" s="334" t="s">
        <v>1576</v>
      </c>
      <c r="C10" s="335" t="n">
        <v>0.25</v>
      </c>
      <c r="D10" s="336" t="s">
        <v>1577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B11" s="331" t="s">
        <v>1578</v>
      </c>
      <c r="C11" s="332" t="n">
        <v>0.5</v>
      </c>
      <c r="D11" s="333" t="s">
        <v>1579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B12" s="334" t="s">
        <v>1580</v>
      </c>
      <c r="C12" s="335" t="n">
        <v>1</v>
      </c>
      <c r="D12" s="336" t="s">
        <v>1581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B13" s="331" t="s">
        <v>1582</v>
      </c>
      <c r="C13" s="332" t="n">
        <v>0.4</v>
      </c>
      <c r="D13" s="333" t="s">
        <v>1583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B14" s="334" t="s">
        <v>1584</v>
      </c>
      <c r="C14" s="335" t="n">
        <v>0.75</v>
      </c>
      <c r="D14" s="336" t="s">
        <v>1585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B15" s="331" t="s">
        <v>1586</v>
      </c>
      <c r="C15" s="332" t="n">
        <v>1.2</v>
      </c>
      <c r="D15" s="333" t="s">
        <v>1587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B16" s="334" t="s">
        <v>1588</v>
      </c>
      <c r="C16" s="335" t="n">
        <v>0.2</v>
      </c>
      <c r="D16" s="336" t="s">
        <v>1589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B17" s="331" t="s">
        <v>1590</v>
      </c>
      <c r="C17" s="332" t="n">
        <v>0.75</v>
      </c>
      <c r="D17" s="333" t="s">
        <v>1591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B18" s="334" t="s">
        <v>1592</v>
      </c>
      <c r="C18" s="335" t="n">
        <v>1.5</v>
      </c>
      <c r="D18" s="336" t="s">
        <v>1593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B19" s="331" t="s">
        <v>1594</v>
      </c>
      <c r="C19" s="332" t="n">
        <v>2</v>
      </c>
      <c r="D19" s="333" t="s">
        <v>1595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B22" s="11" t="s">
        <v>1596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B23" s="330" t="s">
        <v>1597</v>
      </c>
      <c r="C23" s="330" t="s">
        <v>1598</v>
      </c>
      <c r="D23" s="330" t="s">
        <v>1599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B24" s="334" t="s">
        <v>1600</v>
      </c>
      <c r="C24" s="337" t="s">
        <v>1601</v>
      </c>
      <c r="D24" s="338" t="s">
        <v>1602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B25" s="331" t="s">
        <v>1603</v>
      </c>
      <c r="C25" s="339" t="s">
        <v>1604</v>
      </c>
      <c r="D25" s="340" t="s">
        <v>1605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B26" s="334" t="s">
        <v>1606</v>
      </c>
      <c r="C26" s="337" t="s">
        <v>1607</v>
      </c>
      <c r="D26" s="338" t="s">
        <v>1608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B27" s="331" t="s">
        <v>1609</v>
      </c>
      <c r="C27" s="339" t="s">
        <v>1610</v>
      </c>
      <c r="D27" s="340" t="s">
        <v>1611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B28" s="334" t="s">
        <v>1612</v>
      </c>
      <c r="C28" s="337" t="s">
        <v>1613</v>
      </c>
      <c r="D28" s="338" t="s">
        <v>1614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311F"/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00"/>
    <col collapsed="false" customWidth="true" hidden="false" outlineLevel="0" max="2" min="2" style="1" width="40.29"/>
    <col collapsed="false" customWidth="true" hidden="false" outlineLevel="0" max="3" min="3" style="1" width="85.86"/>
    <col collapsed="false" customWidth="true" hidden="false" outlineLevel="0" max="4" min="4" style="1" width="65"/>
    <col collapsed="false" customWidth="true" hidden="false" outlineLevel="0" max="23" min="5" style="1" width="8.71"/>
  </cols>
  <sheetData>
    <row r="1" customFormat="false" ht="36" hidden="false" customHeight="true" outlineLevel="0" collapsed="false">
      <c r="A1" s="341" t="s">
        <v>1615</v>
      </c>
      <c r="B1" s="341"/>
      <c r="C1" s="341"/>
      <c r="D1" s="341"/>
      <c r="E1" s="341"/>
      <c r="F1" s="341"/>
      <c r="G1" s="341"/>
      <c r="H1" s="341"/>
      <c r="I1" s="341"/>
      <c r="J1" s="341"/>
      <c r="X1" s="1"/>
      <c r="Y1" s="1"/>
      <c r="Z1" s="1"/>
    </row>
    <row r="2" customFormat="false" ht="19.5" hidden="false" customHeight="true" outlineLevel="0" collapsed="false">
      <c r="A2" s="342"/>
      <c r="B2" s="342"/>
      <c r="C2" s="342"/>
      <c r="D2" s="342"/>
      <c r="X2" s="1"/>
      <c r="Y2" s="1"/>
      <c r="Z2" s="1"/>
    </row>
    <row r="3" customFormat="false" ht="21.75" hidden="false" customHeight="true" outlineLevel="0" collapsed="false">
      <c r="A3" s="343" t="s">
        <v>1616</v>
      </c>
      <c r="B3" s="343"/>
      <c r="C3" s="343"/>
      <c r="D3" s="343"/>
      <c r="E3" s="343"/>
      <c r="F3" s="343"/>
      <c r="G3" s="343"/>
      <c r="H3" s="343"/>
      <c r="I3" s="343"/>
      <c r="J3" s="343"/>
      <c r="X3" s="1"/>
      <c r="Y3" s="1"/>
      <c r="Z3" s="1"/>
    </row>
    <row r="4" customFormat="false" ht="39.75" hidden="false" customHeight="true" outlineLevel="0" collapsed="false">
      <c r="A4" s="344" t="s">
        <v>1617</v>
      </c>
      <c r="B4" s="344"/>
      <c r="C4" s="344"/>
      <c r="D4" s="344"/>
      <c r="E4" s="344"/>
      <c r="F4" s="344"/>
      <c r="G4" s="344"/>
      <c r="H4" s="344"/>
      <c r="I4" s="344"/>
      <c r="J4" s="344"/>
      <c r="X4" s="1"/>
      <c r="Y4" s="1"/>
      <c r="Z4" s="1"/>
    </row>
    <row r="5" customFormat="false" ht="15" hidden="false" customHeight="true" outlineLevel="0" collapsed="false">
      <c r="A5" s="345"/>
      <c r="B5" s="346"/>
      <c r="C5" s="345"/>
      <c r="D5" s="345"/>
      <c r="X5" s="1"/>
      <c r="Y5" s="1"/>
      <c r="Z5" s="1"/>
    </row>
    <row r="6" customFormat="false" ht="21.75" hidden="false" customHeight="true" outlineLevel="0" collapsed="false">
      <c r="A6" s="343" t="s">
        <v>1618</v>
      </c>
      <c r="B6" s="343"/>
      <c r="C6" s="343"/>
      <c r="D6" s="343"/>
      <c r="E6" s="343"/>
      <c r="F6" s="343"/>
      <c r="G6" s="343"/>
      <c r="H6" s="343"/>
      <c r="I6" s="343"/>
      <c r="J6" s="343"/>
      <c r="X6" s="1"/>
      <c r="Y6" s="1"/>
      <c r="Z6" s="1"/>
    </row>
    <row r="7" customFormat="false" ht="90" hidden="false" customHeight="true" outlineLevel="0" collapsed="false">
      <c r="A7" s="344" t="s">
        <v>1619</v>
      </c>
      <c r="B7" s="344"/>
      <c r="C7" s="344"/>
      <c r="D7" s="344"/>
      <c r="E7" s="344"/>
      <c r="F7" s="344"/>
      <c r="G7" s="344"/>
      <c r="H7" s="344"/>
      <c r="I7" s="344"/>
      <c r="J7" s="344"/>
      <c r="X7" s="1"/>
      <c r="Y7" s="1"/>
      <c r="Z7" s="1"/>
    </row>
    <row r="8" customFormat="false" ht="15" hidden="false" customHeight="true" outlineLevel="0" collapsed="false">
      <c r="A8" s="347"/>
      <c r="B8" s="347"/>
      <c r="C8" s="347"/>
      <c r="D8" s="347"/>
      <c r="X8" s="1"/>
      <c r="Y8" s="1"/>
      <c r="Z8" s="1"/>
    </row>
    <row r="9" customFormat="false" ht="21.75" hidden="false" customHeight="true" outlineLevel="0" collapsed="false">
      <c r="A9" s="343" t="s">
        <v>1620</v>
      </c>
      <c r="B9" s="343"/>
      <c r="C9" s="343"/>
      <c r="D9" s="343"/>
      <c r="E9" s="343"/>
      <c r="F9" s="343"/>
      <c r="G9" s="343"/>
      <c r="H9" s="343"/>
      <c r="I9" s="343"/>
      <c r="J9" s="343"/>
      <c r="X9" s="1"/>
      <c r="Y9" s="1"/>
      <c r="Z9" s="1"/>
    </row>
    <row r="10" customFormat="false" ht="144" hidden="false" customHeight="true" outlineLevel="0" collapsed="false">
      <c r="A10" s="344" t="s">
        <v>1621</v>
      </c>
      <c r="B10" s="344"/>
      <c r="C10" s="344"/>
      <c r="D10" s="344"/>
      <c r="E10" s="344"/>
      <c r="F10" s="344"/>
      <c r="G10" s="344"/>
      <c r="H10" s="344"/>
      <c r="I10" s="344"/>
      <c r="J10" s="344"/>
      <c r="X10" s="1"/>
      <c r="Y10" s="1"/>
      <c r="Z10" s="1"/>
    </row>
    <row r="11" customFormat="false" ht="15" hidden="false" customHeight="true" outlineLevel="0" collapsed="false">
      <c r="A11" s="347"/>
      <c r="B11" s="347"/>
      <c r="C11" s="347"/>
      <c r="D11" s="347"/>
      <c r="X11" s="1"/>
      <c r="Y11" s="1"/>
      <c r="Z11" s="1"/>
    </row>
    <row r="12" customFormat="false" ht="21.75" hidden="false" customHeight="true" outlineLevel="0" collapsed="false">
      <c r="A12" s="343" t="s">
        <v>1622</v>
      </c>
      <c r="B12" s="343"/>
      <c r="C12" s="343"/>
      <c r="D12" s="343"/>
      <c r="E12" s="343"/>
      <c r="F12" s="343"/>
      <c r="G12" s="343"/>
      <c r="H12" s="343"/>
      <c r="I12" s="343"/>
      <c r="J12" s="343"/>
      <c r="X12" s="1"/>
      <c r="Y12" s="1"/>
      <c r="Z12" s="1"/>
    </row>
    <row r="13" customFormat="false" ht="39.75" hidden="false" customHeight="true" outlineLevel="0" collapsed="false">
      <c r="A13" s="344" t="s">
        <v>1623</v>
      </c>
      <c r="B13" s="344"/>
      <c r="C13" s="344"/>
      <c r="D13" s="344"/>
      <c r="E13" s="344"/>
      <c r="F13" s="344"/>
      <c r="G13" s="344"/>
      <c r="H13" s="344"/>
      <c r="I13" s="344"/>
      <c r="J13" s="344"/>
      <c r="X13" s="1"/>
      <c r="Y13" s="1"/>
      <c r="Z13" s="1"/>
    </row>
    <row r="14" customFormat="false" ht="15" hidden="false" customHeight="true" outlineLevel="0" collapsed="false">
      <c r="A14" s="347"/>
      <c r="B14" s="347"/>
      <c r="C14" s="347"/>
      <c r="D14" s="347"/>
      <c r="X14" s="1"/>
      <c r="Y14" s="1"/>
      <c r="Z14" s="1"/>
    </row>
    <row r="15" customFormat="false" ht="21.75" hidden="false" customHeight="true" outlineLevel="0" collapsed="false">
      <c r="A15" s="343" t="s">
        <v>1624</v>
      </c>
      <c r="B15" s="343"/>
      <c r="C15" s="343"/>
      <c r="D15" s="343"/>
      <c r="E15" s="343"/>
      <c r="F15" s="343"/>
      <c r="G15" s="343"/>
      <c r="H15" s="343"/>
      <c r="I15" s="343"/>
      <c r="J15" s="343"/>
      <c r="X15" s="1"/>
      <c r="Y15" s="1"/>
      <c r="Z15" s="1"/>
    </row>
    <row r="16" customFormat="false" ht="90" hidden="false" customHeight="true" outlineLevel="0" collapsed="false">
      <c r="A16" s="344" t="s">
        <v>1625</v>
      </c>
      <c r="B16" s="344"/>
      <c r="C16" s="344"/>
      <c r="D16" s="344"/>
      <c r="E16" s="344"/>
      <c r="F16" s="344"/>
      <c r="G16" s="344"/>
      <c r="H16" s="344"/>
      <c r="I16" s="344"/>
      <c r="J16" s="344"/>
      <c r="X16" s="1"/>
      <c r="Y16" s="1"/>
      <c r="Z16" s="1"/>
    </row>
    <row r="17" customFormat="false" ht="15" hidden="false" customHeight="true" outlineLevel="0" collapsed="false">
      <c r="A17" s="347"/>
      <c r="B17" s="347"/>
      <c r="C17" s="347"/>
      <c r="D17" s="347"/>
      <c r="X17" s="1"/>
      <c r="Y17" s="1"/>
      <c r="Z17" s="1"/>
    </row>
    <row r="18" customFormat="false" ht="21.75" hidden="false" customHeight="true" outlineLevel="0" collapsed="false">
      <c r="A18" s="343" t="s">
        <v>1626</v>
      </c>
      <c r="B18" s="343"/>
      <c r="C18" s="343"/>
      <c r="D18" s="343"/>
      <c r="E18" s="343"/>
      <c r="F18" s="343"/>
      <c r="G18" s="343"/>
      <c r="H18" s="343"/>
      <c r="I18" s="343"/>
      <c r="J18" s="343"/>
      <c r="X18" s="1"/>
      <c r="Y18" s="1"/>
      <c r="Z18" s="1"/>
    </row>
    <row r="19" customFormat="false" ht="54" hidden="false" customHeight="true" outlineLevel="0" collapsed="false">
      <c r="A19" s="344" t="s">
        <v>1627</v>
      </c>
      <c r="B19" s="344"/>
      <c r="C19" s="344"/>
      <c r="D19" s="344"/>
      <c r="E19" s="344"/>
      <c r="F19" s="344"/>
      <c r="G19" s="344"/>
      <c r="H19" s="344"/>
      <c r="I19" s="344"/>
      <c r="J19" s="344"/>
      <c r="X19" s="1"/>
      <c r="Y19" s="1"/>
      <c r="Z19" s="1"/>
    </row>
    <row r="20" customFormat="false" ht="15" hidden="false" customHeight="true" outlineLevel="0" collapsed="false">
      <c r="A20" s="345"/>
      <c r="B20" s="345"/>
      <c r="C20" s="345"/>
      <c r="D20" s="345"/>
      <c r="X20" s="1"/>
      <c r="Y20" s="1"/>
      <c r="Z20" s="1"/>
    </row>
    <row r="21" customFormat="false" ht="15.75" hidden="false" customHeight="true" outlineLevel="0" collapsed="false">
      <c r="A21" s="348"/>
      <c r="B21" s="349"/>
      <c r="C21" s="348"/>
      <c r="D21" s="348"/>
      <c r="X21" s="1"/>
      <c r="Y21" s="1"/>
      <c r="Z21" s="1"/>
    </row>
    <row r="22" customFormat="false" ht="15.75" hidden="false" customHeight="true" outlineLevel="0" collapsed="false">
      <c r="A22" s="350"/>
      <c r="B22" s="350"/>
      <c r="C22" s="350"/>
      <c r="D22" s="350"/>
      <c r="X22" s="1"/>
      <c r="Y22" s="1"/>
      <c r="Z22" s="1"/>
    </row>
    <row r="23" customFormat="false" ht="15.75" hidden="false" customHeight="true" outlineLevel="0" collapsed="false">
      <c r="A23" s="345"/>
      <c r="B23" s="345"/>
      <c r="C23" s="345"/>
      <c r="D23" s="345"/>
      <c r="X23" s="1"/>
      <c r="Y23" s="1"/>
      <c r="Z23" s="1"/>
    </row>
    <row r="24" customFormat="false" ht="15.75" hidden="false" customHeight="true" outlineLevel="0" collapsed="false">
      <c r="A24" s="347"/>
      <c r="B24" s="347"/>
      <c r="C24" s="347"/>
      <c r="D24" s="347"/>
      <c r="X24" s="1"/>
      <c r="Y24" s="1"/>
      <c r="Z24" s="1"/>
    </row>
    <row r="25" customFormat="false" ht="15.75" hidden="false" customHeight="true" outlineLevel="0" collapsed="false">
      <c r="A25" s="351"/>
      <c r="B25" s="352"/>
      <c r="C25" s="351"/>
      <c r="D25" s="351"/>
      <c r="X25" s="1"/>
      <c r="Y25" s="1"/>
      <c r="Z25" s="1"/>
    </row>
    <row r="26" customFormat="false" ht="15.75" hidden="false" customHeight="true" outlineLevel="0" collapsed="false">
      <c r="A26" s="353"/>
      <c r="B26" s="354"/>
      <c r="C26" s="353"/>
      <c r="D26" s="353"/>
      <c r="X26" s="1"/>
      <c r="Y26" s="1"/>
      <c r="Z26" s="1"/>
    </row>
    <row r="27" customFormat="false" ht="15.75" hidden="false" customHeight="true" outlineLevel="0" collapsed="false">
      <c r="A27" s="347"/>
      <c r="B27" s="347"/>
      <c r="C27" s="347"/>
      <c r="D27" s="347"/>
      <c r="X27" s="1"/>
      <c r="Y27" s="1"/>
      <c r="Z27" s="1"/>
    </row>
    <row r="28" customFormat="false" ht="15.75" hidden="false" customHeight="true" outlineLevel="0" collapsed="false">
      <c r="A28" s="351"/>
      <c r="B28" s="351"/>
      <c r="C28" s="351"/>
      <c r="D28" s="351"/>
      <c r="X28" s="1"/>
      <c r="Y28" s="1"/>
      <c r="Z28" s="1"/>
    </row>
    <row r="29" customFormat="false" ht="15.75" hidden="false" customHeight="true" outlineLevel="0" collapsed="false">
      <c r="A29" s="353"/>
      <c r="B29" s="354"/>
      <c r="C29" s="353"/>
      <c r="D29" s="353"/>
      <c r="X29" s="1"/>
      <c r="Y29" s="1"/>
      <c r="Z29" s="1"/>
    </row>
    <row r="30" customFormat="false" ht="15.75" hidden="false" customHeight="true" outlineLevel="0" collapsed="false">
      <c r="A30" s="347"/>
      <c r="B30" s="347"/>
      <c r="C30" s="347"/>
      <c r="D30" s="347"/>
      <c r="X30" s="1"/>
      <c r="Y30" s="1"/>
      <c r="Z30" s="1"/>
    </row>
    <row r="31" customFormat="false" ht="15.75" hidden="false" customHeight="true" outlineLevel="0" collapsed="false">
      <c r="A31" s="351"/>
      <c r="B31" s="351"/>
      <c r="C31" s="351"/>
      <c r="D31" s="351"/>
      <c r="X31" s="1"/>
      <c r="Y31" s="1"/>
      <c r="Z31" s="1"/>
    </row>
    <row r="32" customFormat="false" ht="15.75" hidden="false" customHeight="true" outlineLevel="0" collapsed="false">
      <c r="A32" s="353"/>
      <c r="B32" s="354"/>
      <c r="C32" s="353"/>
      <c r="D32" s="353"/>
      <c r="X32" s="1"/>
      <c r="Y32" s="1"/>
      <c r="Z32" s="1"/>
    </row>
    <row r="33" customFormat="false" ht="15.75" hidden="false" customHeight="true" outlineLevel="0" collapsed="false">
      <c r="A33" s="347"/>
      <c r="B33" s="347"/>
      <c r="C33" s="347"/>
      <c r="D33" s="347"/>
      <c r="X33" s="1"/>
      <c r="Y33" s="1"/>
      <c r="Z33" s="1"/>
    </row>
    <row r="34" customFormat="false" ht="15.75" hidden="false" customHeight="true" outlineLevel="0" collapsed="false">
      <c r="A34" s="351"/>
      <c r="B34" s="351"/>
      <c r="C34" s="351"/>
      <c r="D34" s="351"/>
      <c r="X34" s="1"/>
      <c r="Y34" s="1"/>
      <c r="Z34" s="1"/>
    </row>
    <row r="35" customFormat="false" ht="15.75" hidden="false" customHeight="true" outlineLevel="0" collapsed="false">
      <c r="A35" s="353"/>
      <c r="B35" s="355"/>
      <c r="C35" s="353"/>
      <c r="D35" s="353"/>
      <c r="X35" s="1"/>
      <c r="Y35" s="1"/>
      <c r="Z35" s="1"/>
    </row>
    <row r="36" customFormat="false" ht="15.75" hidden="false" customHeight="true" outlineLevel="0" collapsed="false">
      <c r="A36" s="347"/>
      <c r="B36" s="347"/>
      <c r="C36" s="347"/>
      <c r="D36" s="347"/>
      <c r="X36" s="1"/>
      <c r="Y36" s="1"/>
      <c r="Z36" s="1"/>
    </row>
    <row r="37" customFormat="false" ht="15.75" hidden="false" customHeight="true" outlineLevel="0" collapsed="false">
      <c r="A37" s="351"/>
      <c r="B37" s="351"/>
      <c r="C37" s="351"/>
      <c r="D37" s="351"/>
      <c r="X37" s="1"/>
      <c r="Y37" s="1"/>
      <c r="Z37" s="1"/>
    </row>
    <row r="38" customFormat="false" ht="15.75" hidden="false" customHeight="true" outlineLevel="0" collapsed="false">
      <c r="A38" s="353"/>
      <c r="B38" s="353"/>
      <c r="C38" s="353"/>
      <c r="D38" s="353"/>
      <c r="X38" s="1"/>
      <c r="Y38" s="1"/>
      <c r="Z38" s="1"/>
    </row>
    <row r="39" customFormat="false" ht="15.75" hidden="false" customHeight="true" outlineLevel="0" collapsed="false">
      <c r="A39" s="347"/>
      <c r="B39" s="347"/>
      <c r="C39" s="347"/>
      <c r="D39" s="347"/>
      <c r="X39" s="1"/>
      <c r="Y39" s="1"/>
      <c r="Z39" s="1"/>
    </row>
    <row r="40" customFormat="false" ht="15.75" hidden="false" customHeight="true" outlineLevel="0" collapsed="false">
      <c r="A40" s="345"/>
      <c r="B40" s="345"/>
      <c r="C40" s="345"/>
      <c r="D40" s="345"/>
      <c r="X40" s="1"/>
      <c r="Y40" s="1"/>
      <c r="Z40" s="1"/>
    </row>
    <row r="41" customFormat="false" ht="15.75" hidden="false" customHeight="true" outlineLevel="0" collapsed="false">
      <c r="A41" s="351"/>
      <c r="B41" s="351"/>
      <c r="C41" s="351"/>
      <c r="D41" s="351"/>
      <c r="X41" s="1"/>
      <c r="Y41" s="1"/>
      <c r="Z41" s="1"/>
    </row>
    <row r="42" customFormat="false" ht="15.75" hidden="false" customHeight="true" outlineLevel="0" collapsed="false">
      <c r="A42" s="353"/>
      <c r="B42" s="353"/>
      <c r="C42" s="353"/>
      <c r="D42" s="353"/>
      <c r="X42" s="1"/>
      <c r="Y42" s="1"/>
      <c r="Z42" s="1"/>
    </row>
    <row r="43" customFormat="false" ht="15.75" hidden="false" customHeight="true" outlineLevel="0" collapsed="false">
      <c r="A43" s="347"/>
      <c r="B43" s="347"/>
      <c r="C43" s="347"/>
      <c r="D43" s="347"/>
      <c r="X43" s="1"/>
      <c r="Y43" s="1"/>
      <c r="Z43" s="1"/>
    </row>
    <row r="44" customFormat="false" ht="15.75" hidden="false" customHeight="true" outlineLevel="0" collapsed="false">
      <c r="A44" s="351"/>
      <c r="B44" s="351"/>
      <c r="C44" s="351"/>
      <c r="D44" s="351"/>
      <c r="X44" s="1"/>
      <c r="Y44" s="1"/>
      <c r="Z44" s="1"/>
    </row>
    <row r="45" customFormat="false" ht="15.75" hidden="false" customHeight="true" outlineLevel="0" collapsed="false">
      <c r="A45" s="353"/>
      <c r="B45" s="353"/>
      <c r="C45" s="353"/>
      <c r="D45" s="353"/>
      <c r="X45" s="1"/>
      <c r="Y45" s="1"/>
      <c r="Z45" s="1"/>
    </row>
    <row r="46" customFormat="false" ht="15.75" hidden="false" customHeight="true" outlineLevel="0" collapsed="false">
      <c r="A46" s="347"/>
      <c r="B46" s="347"/>
      <c r="C46" s="347"/>
      <c r="D46" s="347"/>
      <c r="X46" s="1"/>
      <c r="Y46" s="1"/>
      <c r="Z46" s="1"/>
    </row>
    <row r="47" customFormat="false" ht="15.75" hidden="false" customHeight="true" outlineLevel="0" collapsed="false">
      <c r="A47" s="351"/>
      <c r="B47" s="351"/>
      <c r="C47" s="351"/>
      <c r="D47" s="351"/>
      <c r="X47" s="1"/>
      <c r="Y47" s="1"/>
      <c r="Z47" s="1"/>
    </row>
    <row r="48" customFormat="false" ht="15.75" hidden="false" customHeight="true" outlineLevel="0" collapsed="false">
      <c r="A48" s="353"/>
      <c r="B48" s="353"/>
      <c r="C48" s="353"/>
      <c r="D48" s="353"/>
      <c r="X48" s="1"/>
      <c r="Y48" s="1"/>
      <c r="Z48" s="1"/>
    </row>
    <row r="49" customFormat="false" ht="15.75" hidden="false" customHeight="true" outlineLevel="0" collapsed="false">
      <c r="A49" s="347"/>
      <c r="B49" s="347"/>
      <c r="C49" s="347"/>
      <c r="D49" s="347"/>
      <c r="X49" s="1"/>
      <c r="Y49" s="1"/>
      <c r="Z49" s="1"/>
    </row>
    <row r="50" customFormat="false" ht="15.75" hidden="false" customHeight="true" outlineLevel="0" collapsed="false">
      <c r="A50" s="356"/>
      <c r="B50" s="357"/>
      <c r="C50" s="356"/>
      <c r="D50" s="356"/>
      <c r="X50" s="1"/>
      <c r="Y50" s="1"/>
      <c r="Z50" s="1"/>
    </row>
    <row r="51" customFormat="false" ht="15.75" hidden="false" customHeight="true" outlineLevel="0" collapsed="false">
      <c r="A51" s="347"/>
      <c r="B51" s="347"/>
      <c r="C51" s="347"/>
      <c r="D51" s="347"/>
      <c r="X51" s="1"/>
      <c r="Y51" s="1"/>
      <c r="Z51" s="1"/>
    </row>
    <row r="52" customFormat="false" ht="15.75" hidden="false" customHeight="true" outlineLevel="0" collapsed="false">
      <c r="A52" s="345"/>
      <c r="B52" s="345"/>
      <c r="C52" s="345"/>
      <c r="D52" s="345"/>
      <c r="X52" s="1"/>
      <c r="Y52" s="1"/>
      <c r="Z52" s="1"/>
    </row>
    <row r="53" customFormat="false" ht="15.75" hidden="false" customHeight="true" outlineLevel="0" collapsed="false">
      <c r="A53" s="358"/>
      <c r="B53" s="358"/>
      <c r="C53" s="358"/>
      <c r="D53" s="358"/>
      <c r="X53" s="1"/>
      <c r="Y53" s="1"/>
      <c r="Z53" s="1"/>
    </row>
    <row r="54" customFormat="false" ht="15.75" hidden="false" customHeight="true" outlineLevel="0" collapsed="false">
      <c r="A54" s="220"/>
      <c r="B54" s="220"/>
      <c r="C54" s="220"/>
      <c r="D54" s="220"/>
      <c r="X54" s="1"/>
      <c r="Y54" s="1"/>
      <c r="Z54" s="1"/>
    </row>
    <row r="55" customFormat="false" ht="15.75" hidden="false" customHeight="true" outlineLevel="0" collapsed="false">
      <c r="A55" s="358"/>
      <c r="B55" s="358"/>
      <c r="C55" s="358"/>
      <c r="D55" s="358"/>
      <c r="X55" s="1"/>
      <c r="Y55" s="1"/>
      <c r="Z55" s="1"/>
    </row>
    <row r="56" customFormat="false" ht="15.75" hidden="false" customHeight="true" outlineLevel="0" collapsed="false">
      <c r="A56" s="220"/>
      <c r="B56" s="220"/>
      <c r="C56" s="220"/>
      <c r="D56" s="220"/>
      <c r="X56" s="1"/>
      <c r="Y56" s="1"/>
      <c r="Z56" s="1"/>
    </row>
    <row r="57" customFormat="false" ht="15.75" hidden="false" customHeight="true" outlineLevel="0" collapsed="false">
      <c r="A57" s="358"/>
      <c r="B57" s="358"/>
      <c r="C57" s="358"/>
      <c r="D57" s="358"/>
      <c r="X57" s="1"/>
      <c r="Y57" s="1"/>
      <c r="Z57" s="1"/>
    </row>
    <row r="58" customFormat="false" ht="15.75" hidden="false" customHeight="true" outlineLevel="0" collapsed="false">
      <c r="A58" s="220"/>
      <c r="B58" s="220"/>
      <c r="C58" s="220"/>
      <c r="D58" s="220"/>
      <c r="X58" s="1"/>
      <c r="Y58" s="1"/>
      <c r="Z58" s="1"/>
    </row>
    <row r="59" customFormat="false" ht="15.75" hidden="false" customHeight="true" outlineLevel="0" collapsed="false">
      <c r="A59" s="358"/>
      <c r="B59" s="358"/>
      <c r="C59" s="358"/>
      <c r="D59" s="358"/>
      <c r="X59" s="1"/>
      <c r="Y59" s="1"/>
      <c r="Z59" s="1"/>
    </row>
    <row r="60" customFormat="false" ht="15.75" hidden="false" customHeight="true" outlineLevel="0" collapsed="false">
      <c r="A60" s="220"/>
      <c r="B60" s="220"/>
      <c r="C60" s="220"/>
      <c r="D60" s="220"/>
      <c r="X60" s="1"/>
      <c r="Y60" s="1"/>
      <c r="Z60" s="1"/>
    </row>
    <row r="61" customFormat="false" ht="15.75" hidden="false" customHeight="true" outlineLevel="0" collapsed="false">
      <c r="A61" s="358"/>
      <c r="B61" s="358"/>
      <c r="C61" s="358"/>
      <c r="D61" s="358"/>
      <c r="X61" s="1"/>
      <c r="Y61" s="1"/>
      <c r="Z61" s="1"/>
    </row>
    <row r="62" customFormat="false" ht="15.75" hidden="false" customHeight="true" outlineLevel="0" collapsed="false">
      <c r="A62" s="220"/>
      <c r="B62" s="220"/>
      <c r="C62" s="220"/>
      <c r="D62" s="220"/>
      <c r="X62" s="1"/>
      <c r="Y62" s="1"/>
      <c r="Z62" s="1"/>
    </row>
    <row r="63" customFormat="false" ht="15.75" hidden="false" customHeight="true" outlineLevel="0" collapsed="false">
      <c r="A63" s="358"/>
      <c r="B63" s="358"/>
      <c r="C63" s="358"/>
      <c r="D63" s="358"/>
      <c r="X63" s="1"/>
      <c r="Y63" s="1"/>
      <c r="Z63" s="1"/>
    </row>
    <row r="64" customFormat="false" ht="15.75" hidden="false" customHeight="true" outlineLevel="0" collapsed="false">
      <c r="A64" s="220"/>
      <c r="B64" s="220"/>
      <c r="C64" s="220"/>
      <c r="D64" s="220"/>
      <c r="X64" s="1"/>
      <c r="Y64" s="1"/>
      <c r="Z64" s="1"/>
    </row>
    <row r="65" customFormat="false" ht="15.75" hidden="false" customHeight="true" outlineLevel="0" collapsed="false">
      <c r="A65" s="345"/>
      <c r="B65" s="345"/>
      <c r="C65" s="345"/>
      <c r="D65" s="345"/>
      <c r="X65" s="1"/>
      <c r="Y65" s="1"/>
      <c r="Z65" s="1"/>
    </row>
    <row r="66" customFormat="false" ht="15.75" hidden="false" customHeight="true" outlineLevel="0" collapsed="false">
      <c r="A66" s="347"/>
      <c r="B66" s="347"/>
      <c r="C66" s="347"/>
      <c r="D66" s="347"/>
      <c r="X66" s="1"/>
      <c r="Y66" s="1"/>
      <c r="Z66" s="1"/>
    </row>
    <row r="67" customFormat="false" ht="15.75" hidden="false" customHeight="true" outlineLevel="0" collapsed="false">
      <c r="A67" s="359"/>
      <c r="B67" s="359"/>
      <c r="C67" s="359"/>
      <c r="D67" s="359"/>
      <c r="X67" s="1"/>
      <c r="Y67" s="1"/>
      <c r="Z67" s="1"/>
    </row>
    <row r="68" customFormat="false" ht="15.75" hidden="false" customHeight="true" outlineLevel="0" collapsed="false">
      <c r="A68" s="360"/>
      <c r="B68" s="360"/>
      <c r="C68" s="360"/>
      <c r="D68" s="360"/>
      <c r="X68" s="1"/>
      <c r="Y68" s="1"/>
      <c r="Z68" s="1"/>
    </row>
    <row r="69" customFormat="false" ht="15.75" hidden="false" customHeight="true" outlineLevel="0" collapsed="false">
      <c r="A69" s="347"/>
      <c r="B69" s="347"/>
      <c r="C69" s="347"/>
      <c r="D69" s="347"/>
      <c r="X69" s="1"/>
      <c r="Y69" s="1"/>
      <c r="Z69" s="1"/>
    </row>
    <row r="70" customFormat="false" ht="15.75" hidden="false" customHeight="true" outlineLevel="0" collapsed="false">
      <c r="A70" s="359"/>
      <c r="B70" s="359"/>
      <c r="C70" s="359"/>
      <c r="D70" s="359"/>
      <c r="X70" s="1"/>
      <c r="Y70" s="1"/>
      <c r="Z70" s="1"/>
    </row>
    <row r="71" customFormat="false" ht="15.75" hidden="false" customHeight="true" outlineLevel="0" collapsed="false">
      <c r="A71" s="360"/>
      <c r="B71" s="360"/>
      <c r="C71" s="360"/>
      <c r="D71" s="360"/>
      <c r="X71" s="1"/>
      <c r="Y71" s="1"/>
      <c r="Z71" s="1"/>
    </row>
    <row r="72" customFormat="false" ht="15.75" hidden="false" customHeight="true" outlineLevel="0" collapsed="false">
      <c r="A72" s="347"/>
      <c r="B72" s="347"/>
      <c r="C72" s="347"/>
      <c r="D72" s="347"/>
      <c r="X72" s="1"/>
      <c r="Y72" s="1"/>
      <c r="Z72" s="1"/>
    </row>
    <row r="73" customFormat="false" ht="15.75" hidden="false" customHeight="true" outlineLevel="0" collapsed="false">
      <c r="A73" s="359"/>
      <c r="B73" s="359"/>
      <c r="C73" s="359"/>
      <c r="D73" s="359"/>
      <c r="X73" s="1"/>
      <c r="Y73" s="1"/>
      <c r="Z73" s="1"/>
    </row>
    <row r="74" customFormat="false" ht="15.75" hidden="false" customHeight="true" outlineLevel="0" collapsed="false">
      <c r="A74" s="360"/>
      <c r="B74" s="360"/>
      <c r="C74" s="360"/>
      <c r="D74" s="360"/>
      <c r="X74" s="1"/>
      <c r="Y74" s="1"/>
      <c r="Z74" s="1"/>
    </row>
    <row r="75" customFormat="false" ht="15.75" hidden="false" customHeight="true" outlineLevel="0" collapsed="false">
      <c r="A75" s="347"/>
      <c r="B75" s="347"/>
      <c r="C75" s="347"/>
      <c r="D75" s="347"/>
      <c r="X75" s="1"/>
      <c r="Y75" s="1"/>
      <c r="Z75" s="1"/>
    </row>
    <row r="76" customFormat="false" ht="15.75" hidden="false" customHeight="true" outlineLevel="0" collapsed="false">
      <c r="A76" s="359"/>
      <c r="B76" s="359"/>
      <c r="C76" s="359"/>
      <c r="D76" s="359"/>
      <c r="X76" s="1"/>
      <c r="Y76" s="1"/>
      <c r="Z76" s="1"/>
    </row>
    <row r="77" customFormat="false" ht="15.75" hidden="false" customHeight="true" outlineLevel="0" collapsed="false">
      <c r="A77" s="360"/>
      <c r="B77" s="360"/>
      <c r="C77" s="360"/>
      <c r="D77" s="360"/>
      <c r="X77" s="1"/>
      <c r="Y77" s="1"/>
      <c r="Z77" s="1"/>
    </row>
    <row r="78" customFormat="false" ht="15.75" hidden="false" customHeight="true" outlineLevel="0" collapsed="false">
      <c r="A78" s="347"/>
      <c r="B78" s="347"/>
      <c r="C78" s="347"/>
      <c r="D78" s="347"/>
      <c r="X78" s="1"/>
      <c r="Y78" s="1"/>
      <c r="Z78" s="1"/>
    </row>
    <row r="79" customFormat="false" ht="15.75" hidden="false" customHeight="true" outlineLevel="0" collapsed="false">
      <c r="A79" s="359"/>
      <c r="B79" s="359"/>
      <c r="C79" s="359"/>
      <c r="D79" s="359"/>
      <c r="X79" s="1"/>
      <c r="Y79" s="1"/>
      <c r="Z79" s="1"/>
    </row>
    <row r="80" customFormat="false" ht="15.75" hidden="false" customHeight="true" outlineLevel="0" collapsed="false">
      <c r="A80" s="360"/>
      <c r="B80" s="360"/>
      <c r="C80" s="360"/>
      <c r="D80" s="360"/>
      <c r="X80" s="1"/>
      <c r="Y80" s="1"/>
      <c r="Z80" s="1"/>
    </row>
    <row r="81" customFormat="false" ht="15.75" hidden="false" customHeight="true" outlineLevel="0" collapsed="false">
      <c r="A81" s="347"/>
      <c r="B81" s="347"/>
      <c r="C81" s="347"/>
      <c r="D81" s="347"/>
      <c r="X81" s="1"/>
      <c r="Y81" s="1"/>
      <c r="Z81" s="1"/>
    </row>
    <row r="82" customFormat="false" ht="15.75" hidden="false" customHeight="true" outlineLevel="0" collapsed="false">
      <c r="A82" s="359"/>
      <c r="B82" s="361" t="s">
        <v>1628</v>
      </c>
      <c r="C82" s="359"/>
      <c r="D82" s="359"/>
      <c r="X82" s="1"/>
      <c r="Y82" s="1"/>
      <c r="Z82" s="1"/>
    </row>
    <row r="83" customFormat="false" ht="15.75" hidden="false" customHeight="true" outlineLevel="0" collapsed="false">
      <c r="A83" s="360"/>
      <c r="B83" s="247" t="s">
        <v>1629</v>
      </c>
      <c r="C83" s="360"/>
      <c r="D83" s="360"/>
      <c r="X83" s="1"/>
      <c r="Y83" s="1"/>
      <c r="Z83" s="1"/>
    </row>
    <row r="84" customFormat="false" ht="15.75" hidden="false" customHeight="true" outlineLevel="0" collapsed="false">
      <c r="A84" s="347"/>
      <c r="B84" s="347"/>
      <c r="C84" s="347"/>
      <c r="D84" s="347"/>
      <c r="X84" s="1"/>
      <c r="Y84" s="1"/>
      <c r="Z84" s="1"/>
    </row>
    <row r="85" customFormat="false" ht="15.75" hidden="false" customHeight="true" outlineLevel="0" collapsed="false">
      <c r="A85" s="359"/>
      <c r="B85" s="361" t="s">
        <v>1630</v>
      </c>
      <c r="C85" s="359"/>
      <c r="D85" s="359"/>
      <c r="X85" s="1"/>
      <c r="Y85" s="1"/>
      <c r="Z85" s="1"/>
    </row>
    <row r="86" customFormat="false" ht="15.75" hidden="false" customHeight="true" outlineLevel="0" collapsed="false">
      <c r="A86" s="360"/>
      <c r="B86" s="247" t="s">
        <v>1631</v>
      </c>
      <c r="C86" s="360"/>
      <c r="D86" s="360"/>
      <c r="X86" s="1"/>
      <c r="Y86" s="1"/>
      <c r="Z86" s="1"/>
    </row>
    <row r="87" customFormat="false" ht="15.75" hidden="false" customHeight="true" outlineLevel="0" collapsed="false">
      <c r="A87" s="347"/>
      <c r="B87" s="347"/>
      <c r="C87" s="347"/>
      <c r="D87" s="347"/>
      <c r="X87" s="1"/>
      <c r="Y87" s="1"/>
      <c r="Z87" s="1"/>
    </row>
    <row r="88" customFormat="false" ht="15.75" hidden="false" customHeight="true" outlineLevel="0" collapsed="false">
      <c r="A88" s="359"/>
      <c r="B88" s="361" t="s">
        <v>1632</v>
      </c>
      <c r="C88" s="359"/>
      <c r="D88" s="359"/>
      <c r="X88" s="1"/>
      <c r="Y88" s="1"/>
      <c r="Z88" s="1"/>
    </row>
    <row r="89" customFormat="false" ht="15.75" hidden="false" customHeight="true" outlineLevel="0" collapsed="false">
      <c r="A89" s="360"/>
      <c r="B89" s="247" t="s">
        <v>1633</v>
      </c>
      <c r="C89" s="360"/>
      <c r="D89" s="360"/>
      <c r="X89" s="1"/>
      <c r="Y89" s="1"/>
      <c r="Z89" s="1"/>
    </row>
    <row r="90" customFormat="false" ht="15.75" hidden="false" customHeight="true" outlineLevel="0" collapsed="false">
      <c r="A90" s="347"/>
      <c r="B90" s="347"/>
      <c r="C90" s="347"/>
      <c r="D90" s="347"/>
      <c r="X90" s="1"/>
      <c r="Y90" s="1"/>
      <c r="Z90" s="1"/>
    </row>
    <row r="91" customFormat="false" ht="15.75" hidden="false" customHeight="true" outlineLevel="0" collapsed="false">
      <c r="A91" s="359"/>
      <c r="B91" s="361" t="s">
        <v>1634</v>
      </c>
      <c r="C91" s="359"/>
      <c r="D91" s="359"/>
      <c r="X91" s="1"/>
      <c r="Y91" s="1"/>
      <c r="Z91" s="1"/>
    </row>
    <row r="92" customFormat="false" ht="15.75" hidden="false" customHeight="true" outlineLevel="0" collapsed="false">
      <c r="A92" s="360"/>
      <c r="B92" s="247" t="s">
        <v>1635</v>
      </c>
      <c r="C92" s="360"/>
      <c r="D92" s="360"/>
      <c r="X92" s="1"/>
      <c r="Y92" s="1"/>
      <c r="Z92" s="1"/>
    </row>
    <row r="93" customFormat="false" ht="15.75" hidden="false" customHeight="true" outlineLevel="0" collapsed="false">
      <c r="A93" s="347"/>
      <c r="B93" s="347"/>
      <c r="C93" s="347"/>
      <c r="D93" s="347"/>
      <c r="X93" s="1"/>
      <c r="Y93" s="1"/>
      <c r="Z93" s="1"/>
    </row>
    <row r="94" customFormat="false" ht="15.75" hidden="false" customHeight="true" outlineLevel="0" collapsed="false">
      <c r="A94" s="347"/>
      <c r="B94" s="362" t="s">
        <v>1636</v>
      </c>
      <c r="C94" s="347"/>
      <c r="D94" s="347"/>
      <c r="X94" s="1"/>
      <c r="Y94" s="1"/>
      <c r="Z94" s="1"/>
    </row>
    <row r="95" customFormat="false" ht="15.75" hidden="false" customHeight="true" outlineLevel="0" collapsed="false">
      <c r="A95" s="347"/>
      <c r="B95" s="362" t="s">
        <v>1637</v>
      </c>
      <c r="C95" s="347"/>
      <c r="D95" s="347"/>
      <c r="X95" s="1"/>
      <c r="Y95" s="1"/>
      <c r="Z95" s="1"/>
    </row>
    <row r="96" customFormat="false" ht="15.75" hidden="false" customHeight="true" outlineLevel="0" collapsed="false">
      <c r="A96" s="345"/>
      <c r="B96" s="345"/>
      <c r="C96" s="345"/>
      <c r="D96" s="345"/>
      <c r="X96" s="1"/>
      <c r="Y96" s="1"/>
      <c r="Z96" s="1"/>
    </row>
    <row r="97" customFormat="false" ht="15.75" hidden="false" customHeight="true" outlineLevel="0" collapsed="false">
      <c r="A97" s="363"/>
      <c r="B97" s="364" t="s">
        <v>1638</v>
      </c>
      <c r="C97" s="363"/>
      <c r="D97" s="363"/>
      <c r="X97" s="1"/>
      <c r="Y97" s="1"/>
      <c r="Z97" s="1"/>
    </row>
    <row r="98" customFormat="false" ht="15.75" hidden="false" customHeight="true" outlineLevel="0" collapsed="false">
      <c r="A98" s="363"/>
      <c r="B98" s="364" t="s">
        <v>1639</v>
      </c>
      <c r="C98" s="363"/>
      <c r="D98" s="363"/>
      <c r="X98" s="1"/>
      <c r="Y98" s="1"/>
      <c r="Z98" s="1"/>
    </row>
    <row r="99" customFormat="false" ht="15.75" hidden="false" customHeight="true" outlineLevel="0" collapsed="false">
      <c r="A99" s="363"/>
      <c r="B99" s="364" t="s">
        <v>1640</v>
      </c>
      <c r="C99" s="363"/>
      <c r="D99" s="363"/>
      <c r="X99" s="1"/>
      <c r="Y99" s="1"/>
      <c r="Z99" s="1"/>
    </row>
    <row r="100" customFormat="false" ht="15.75" hidden="false" customHeight="true" outlineLevel="0" collapsed="false">
      <c r="A100" s="363"/>
      <c r="B100" s="364" t="s">
        <v>1641</v>
      </c>
      <c r="C100" s="363"/>
      <c r="D100" s="363"/>
      <c r="X100" s="1"/>
      <c r="Y100" s="1"/>
      <c r="Z100" s="1"/>
    </row>
    <row r="101" customFormat="false" ht="15.75" hidden="false" customHeight="true" outlineLevel="0" collapsed="false">
      <c r="A101" s="363"/>
      <c r="B101" s="364" t="s">
        <v>1642</v>
      </c>
      <c r="C101" s="363"/>
      <c r="D101" s="363"/>
      <c r="X101" s="1"/>
      <c r="Y101" s="1"/>
      <c r="Z101" s="1"/>
    </row>
    <row r="102" customFormat="false" ht="15.75" hidden="false" customHeight="true" outlineLevel="0" collapsed="false">
      <c r="A102" s="363"/>
      <c r="B102" s="364" t="s">
        <v>1643</v>
      </c>
      <c r="C102" s="363"/>
      <c r="D102" s="363"/>
      <c r="X102" s="1"/>
      <c r="Y102" s="1"/>
      <c r="Z102" s="1"/>
    </row>
    <row r="103" customFormat="false" ht="15.75" hidden="false" customHeight="true" outlineLevel="0" collapsed="false">
      <c r="A103" s="363"/>
      <c r="B103" s="364" t="s">
        <v>1644</v>
      </c>
      <c r="C103" s="363"/>
      <c r="D103" s="363"/>
      <c r="X103" s="1"/>
      <c r="Y103" s="1"/>
      <c r="Z103" s="1"/>
    </row>
    <row r="104" customFormat="false" ht="15.75" hidden="false" customHeight="true" outlineLevel="0" collapsed="false">
      <c r="A104" s="363"/>
      <c r="B104" s="364" t="s">
        <v>1645</v>
      </c>
      <c r="C104" s="363"/>
      <c r="D104" s="363"/>
      <c r="X104" s="1"/>
      <c r="Y104" s="1"/>
      <c r="Z104" s="1"/>
    </row>
    <row r="105" customFormat="false" ht="15.75" hidden="false" customHeight="true" outlineLevel="0" collapsed="false">
      <c r="A105" s="363"/>
      <c r="B105" s="364" t="s">
        <v>1646</v>
      </c>
      <c r="C105" s="363"/>
      <c r="D105" s="363"/>
      <c r="X105" s="1"/>
      <c r="Y105" s="1"/>
      <c r="Z105" s="1"/>
    </row>
    <row r="106" customFormat="false" ht="15.75" hidden="false" customHeight="true" outlineLevel="0" collapsed="false">
      <c r="A106" s="363"/>
      <c r="B106" s="364" t="s">
        <v>1647</v>
      </c>
      <c r="C106" s="363"/>
      <c r="D106" s="363"/>
      <c r="X106" s="1"/>
      <c r="Y106" s="1"/>
      <c r="Z106" s="1"/>
    </row>
    <row r="107" customFormat="false" ht="15.75" hidden="false" customHeight="true" outlineLevel="0" collapsed="false">
      <c r="A107" s="363"/>
      <c r="B107" s="364" t="s">
        <v>1648</v>
      </c>
      <c r="C107" s="363"/>
      <c r="D107" s="363"/>
      <c r="X107" s="1"/>
      <c r="Y107" s="1"/>
      <c r="Z107" s="1"/>
    </row>
    <row r="108" customFormat="false" ht="15.75" hidden="false" customHeight="true" outlineLevel="0" collapsed="false">
      <c r="A108" s="347"/>
      <c r="B108" s="347"/>
      <c r="C108" s="347"/>
      <c r="D108" s="347"/>
      <c r="X108" s="1"/>
      <c r="Y108" s="1"/>
      <c r="Z108" s="1"/>
    </row>
    <row r="109" customFormat="false" ht="27" hidden="false" customHeight="true" outlineLevel="0" collapsed="false">
      <c r="A109" s="365"/>
      <c r="B109" s="366" t="s">
        <v>1649</v>
      </c>
      <c r="C109" s="365"/>
      <c r="D109" s="365"/>
      <c r="X109" s="1"/>
      <c r="Y109" s="1"/>
      <c r="Z109" s="1"/>
    </row>
    <row r="110" customFormat="false" ht="22.5" hidden="false" customHeight="true" outlineLevel="0" collapsed="false">
      <c r="A110" s="367"/>
      <c r="B110" s="368" t="s">
        <v>1650</v>
      </c>
      <c r="C110" s="367"/>
      <c r="D110" s="367"/>
      <c r="X110" s="1"/>
      <c r="Y110" s="1"/>
      <c r="Z110" s="1"/>
    </row>
    <row r="111" customFormat="false" ht="15.75" hidden="false" customHeight="true" outlineLevel="0" collapsed="false">
      <c r="A111" s="347"/>
      <c r="B111" s="362" t="s">
        <v>1651</v>
      </c>
      <c r="C111" s="347"/>
      <c r="D111" s="347"/>
      <c r="X111" s="1"/>
      <c r="Y111" s="1"/>
      <c r="Z111" s="1"/>
    </row>
    <row r="112" customFormat="false" ht="15.75" hidden="false" customHeight="true" outlineLevel="0" collapsed="false">
      <c r="A112" s="347"/>
      <c r="B112" s="347"/>
      <c r="C112" s="347"/>
      <c r="D112" s="347"/>
      <c r="X112" s="1"/>
      <c r="Y112" s="1"/>
      <c r="Z112" s="1"/>
    </row>
    <row r="113" customFormat="false" ht="22.5" hidden="false" customHeight="true" outlineLevel="0" collapsed="false">
      <c r="A113" s="367"/>
      <c r="B113" s="368" t="s">
        <v>1652</v>
      </c>
      <c r="C113" s="367"/>
      <c r="D113" s="367"/>
      <c r="X113" s="1"/>
      <c r="Y113" s="1"/>
      <c r="Z113" s="1"/>
    </row>
    <row r="114" customFormat="false" ht="21" hidden="false" customHeight="true" outlineLevel="0" collapsed="false">
      <c r="A114" s="348"/>
      <c r="B114" s="245" t="s">
        <v>1653</v>
      </c>
      <c r="C114" s="348"/>
      <c r="D114" s="348"/>
      <c r="X114" s="1"/>
      <c r="Y114" s="1"/>
      <c r="Z114" s="1"/>
    </row>
    <row r="115" customFormat="false" ht="21" hidden="false" customHeight="true" outlineLevel="0" collapsed="false">
      <c r="A115" s="350"/>
      <c r="B115" s="369" t="s">
        <v>1654</v>
      </c>
      <c r="C115" s="350"/>
      <c r="D115" s="350"/>
      <c r="X115" s="1"/>
      <c r="Y115" s="1"/>
      <c r="Z115" s="1"/>
    </row>
    <row r="116" customFormat="false" ht="21" hidden="false" customHeight="true" outlineLevel="0" collapsed="false">
      <c r="A116" s="350"/>
      <c r="B116" s="369" t="s">
        <v>1655</v>
      </c>
      <c r="C116" s="350"/>
      <c r="D116" s="350"/>
      <c r="X116" s="1"/>
      <c r="Y116" s="1"/>
      <c r="Z116" s="1"/>
    </row>
    <row r="117" customFormat="false" ht="21" hidden="false" customHeight="true" outlineLevel="0" collapsed="false">
      <c r="A117" s="350"/>
      <c r="B117" s="369" t="s">
        <v>1656</v>
      </c>
      <c r="C117" s="350"/>
      <c r="D117" s="350"/>
      <c r="X117" s="1"/>
      <c r="Y117" s="1"/>
      <c r="Z117" s="1"/>
    </row>
    <row r="118" customFormat="false" ht="21" hidden="false" customHeight="true" outlineLevel="0" collapsed="false">
      <c r="A118" s="350"/>
      <c r="B118" s="369" t="s">
        <v>1657</v>
      </c>
      <c r="C118" s="350"/>
      <c r="D118" s="350"/>
      <c r="X118" s="1"/>
      <c r="Y118" s="1"/>
      <c r="Z118" s="1"/>
    </row>
    <row r="119" customFormat="false" ht="15.75" hidden="false" customHeight="true" outlineLevel="0" collapsed="false">
      <c r="A119" s="347"/>
      <c r="B119" s="347"/>
      <c r="C119" s="347"/>
      <c r="D119" s="347"/>
      <c r="X119" s="1"/>
      <c r="Y119" s="1"/>
      <c r="Z119" s="1"/>
    </row>
    <row r="120" customFormat="false" ht="15.75" hidden="false" customHeight="true" outlineLevel="0" collapsed="false">
      <c r="A120" s="347"/>
      <c r="B120" s="362" t="s">
        <v>1658</v>
      </c>
      <c r="C120" s="347"/>
      <c r="D120" s="347"/>
      <c r="X120" s="1"/>
      <c r="Y120" s="1"/>
      <c r="Z120" s="1"/>
    </row>
    <row r="121" customFormat="false" ht="22.5" hidden="false" customHeight="true" outlineLevel="0" collapsed="false">
      <c r="A121" s="367"/>
      <c r="B121" s="368" t="s">
        <v>1659</v>
      </c>
      <c r="C121" s="367"/>
      <c r="D121" s="367"/>
      <c r="X121" s="1"/>
      <c r="Y121" s="1"/>
      <c r="Z121" s="1"/>
    </row>
    <row r="122" customFormat="false" ht="27" hidden="false" customHeight="true" outlineLevel="0" collapsed="false">
      <c r="A122" s="215"/>
      <c r="B122" s="214" t="s">
        <v>1660</v>
      </c>
      <c r="C122" s="215"/>
      <c r="D122" s="215"/>
      <c r="X122" s="1"/>
      <c r="Y122" s="1"/>
      <c r="Z122" s="1"/>
    </row>
    <row r="123" customFormat="false" ht="27" hidden="false" customHeight="true" outlineLevel="0" collapsed="false">
      <c r="A123" s="220"/>
      <c r="B123" s="219" t="s">
        <v>1661</v>
      </c>
      <c r="C123" s="220"/>
      <c r="D123" s="220"/>
      <c r="X123" s="1"/>
      <c r="Y123" s="1"/>
      <c r="Z123" s="1"/>
    </row>
    <row r="124" customFormat="false" ht="27" hidden="false" customHeight="true" outlineLevel="0" collapsed="false">
      <c r="A124" s="215"/>
      <c r="B124" s="214" t="s">
        <v>1662</v>
      </c>
      <c r="C124" s="215"/>
      <c r="D124" s="215"/>
      <c r="X124" s="1"/>
      <c r="Y124" s="1"/>
      <c r="Z124" s="1"/>
    </row>
    <row r="125" customFormat="false" ht="27" hidden="false" customHeight="true" outlineLevel="0" collapsed="false">
      <c r="A125" s="220"/>
      <c r="B125" s="220"/>
      <c r="C125" s="220"/>
      <c r="D125" s="220"/>
      <c r="X125" s="1"/>
      <c r="Y125" s="1"/>
      <c r="Z125" s="1"/>
    </row>
    <row r="126" customFormat="false" ht="27" hidden="false" customHeight="true" outlineLevel="0" collapsed="false">
      <c r="A126" s="215"/>
      <c r="B126" s="214" t="s">
        <v>1663</v>
      </c>
      <c r="C126" s="215"/>
      <c r="D126" s="215"/>
      <c r="X126" s="1"/>
      <c r="Y126" s="1"/>
      <c r="Z126" s="1"/>
    </row>
    <row r="127" customFormat="false" ht="27" hidden="false" customHeight="true" outlineLevel="0" collapsed="false">
      <c r="A127" s="220"/>
      <c r="B127" s="219" t="s">
        <v>1664</v>
      </c>
      <c r="C127" s="220"/>
      <c r="D127" s="220"/>
      <c r="X127" s="1"/>
      <c r="Y127" s="1"/>
      <c r="Z127" s="1"/>
    </row>
    <row r="128" customFormat="false" ht="27" hidden="false" customHeight="true" outlineLevel="0" collapsed="false">
      <c r="A128" s="215"/>
      <c r="B128" s="214" t="s">
        <v>1665</v>
      </c>
      <c r="C128" s="215"/>
      <c r="D128" s="215"/>
      <c r="X128" s="1"/>
      <c r="Y128" s="1"/>
      <c r="Z128" s="1"/>
    </row>
    <row r="129" customFormat="false" ht="27" hidden="false" customHeight="true" outlineLevel="0" collapsed="false">
      <c r="A129" s="220"/>
      <c r="B129" s="219" t="s">
        <v>1666</v>
      </c>
      <c r="C129" s="220"/>
      <c r="D129" s="220"/>
      <c r="X129" s="1"/>
      <c r="Y129" s="1"/>
      <c r="Z129" s="1"/>
    </row>
    <row r="130" customFormat="false" ht="27" hidden="false" customHeight="true" outlineLevel="0" collapsed="false">
      <c r="A130" s="215"/>
      <c r="B130" s="214" t="s">
        <v>1667</v>
      </c>
      <c r="C130" s="215"/>
      <c r="D130" s="215"/>
      <c r="X130" s="1"/>
      <c r="Y130" s="1"/>
      <c r="Z130" s="1"/>
    </row>
    <row r="131" customFormat="false" ht="27" hidden="false" customHeight="true" outlineLevel="0" collapsed="false">
      <c r="A131" s="220"/>
      <c r="B131" s="220"/>
      <c r="C131" s="220"/>
      <c r="D131" s="220"/>
      <c r="X131" s="1"/>
      <c r="Y131" s="1"/>
      <c r="Z131" s="1"/>
    </row>
    <row r="132" customFormat="false" ht="27" hidden="false" customHeight="true" outlineLevel="0" collapsed="false">
      <c r="A132" s="215"/>
      <c r="B132" s="214" t="s">
        <v>1668</v>
      </c>
      <c r="C132" s="215"/>
      <c r="D132" s="215"/>
      <c r="X132" s="1"/>
      <c r="Y132" s="1"/>
      <c r="Z132" s="1"/>
    </row>
    <row r="133" customFormat="false" ht="27" hidden="false" customHeight="true" outlineLevel="0" collapsed="false">
      <c r="A133" s="220"/>
      <c r="B133" s="219" t="s">
        <v>1669</v>
      </c>
      <c r="C133" s="220"/>
      <c r="D133" s="220"/>
      <c r="X133" s="1"/>
      <c r="Y133" s="1"/>
      <c r="Z133" s="1"/>
    </row>
    <row r="134" customFormat="false" ht="27" hidden="false" customHeight="true" outlineLevel="0" collapsed="false">
      <c r="A134" s="215"/>
      <c r="B134" s="215"/>
      <c r="C134" s="215"/>
      <c r="D134" s="215"/>
      <c r="X134" s="1"/>
      <c r="Y134" s="1"/>
      <c r="Z134" s="1"/>
    </row>
    <row r="135" customFormat="false" ht="27" hidden="false" customHeight="true" outlineLevel="0" collapsed="false">
      <c r="A135" s="220"/>
      <c r="B135" s="219" t="s">
        <v>1670</v>
      </c>
      <c r="C135" s="220"/>
      <c r="D135" s="220"/>
      <c r="X135" s="1"/>
      <c r="Y135" s="1"/>
      <c r="Z135" s="1"/>
    </row>
    <row r="136" customFormat="false" ht="27" hidden="false" customHeight="true" outlineLevel="0" collapsed="false">
      <c r="A136" s="215"/>
      <c r="B136" s="214" t="s">
        <v>1671</v>
      </c>
      <c r="C136" s="215"/>
      <c r="D136" s="215"/>
      <c r="X136" s="1"/>
      <c r="Y136" s="1"/>
      <c r="Z136" s="1"/>
    </row>
    <row r="137" customFormat="false" ht="27" hidden="false" customHeight="true" outlineLevel="0" collapsed="false">
      <c r="A137" s="220"/>
      <c r="B137" s="220"/>
      <c r="C137" s="220"/>
      <c r="D137" s="220"/>
      <c r="X137" s="1"/>
      <c r="Y137" s="1"/>
      <c r="Z137" s="1"/>
    </row>
    <row r="138" customFormat="false" ht="27" hidden="false" customHeight="true" outlineLevel="0" collapsed="false">
      <c r="A138" s="215"/>
      <c r="B138" s="215"/>
      <c r="C138" s="215"/>
      <c r="D138" s="215"/>
      <c r="X138" s="1"/>
      <c r="Y138" s="1"/>
      <c r="Z138" s="1"/>
    </row>
    <row r="139" customFormat="false" ht="27" hidden="false" customHeight="true" outlineLevel="0" collapsed="false">
      <c r="A139" s="220"/>
      <c r="B139" s="220"/>
      <c r="C139" s="220"/>
      <c r="D139" s="220"/>
      <c r="X139" s="1"/>
      <c r="Y139" s="1"/>
      <c r="Z139" s="1"/>
    </row>
    <row r="140" customFormat="false" ht="15.75" hidden="false" customHeight="true" outlineLevel="0" collapsed="false">
      <c r="X140" s="1"/>
      <c r="Y140" s="1"/>
      <c r="Z140" s="1"/>
    </row>
    <row r="141" customFormat="false" ht="15.75" hidden="false" customHeight="true" outlineLevel="0" collapsed="false">
      <c r="B141" s="55" t="s">
        <v>1672</v>
      </c>
      <c r="X141" s="1"/>
      <c r="Y141" s="1"/>
      <c r="Z141" s="1"/>
    </row>
    <row r="142" customFormat="false" ht="15.75" hidden="false" customHeight="true" outlineLevel="0" collapsed="false">
      <c r="B142" s="55" t="s">
        <v>1673</v>
      </c>
      <c r="X142" s="1"/>
      <c r="Y142" s="1"/>
      <c r="Z142" s="1"/>
    </row>
    <row r="143" customFormat="false" ht="27" hidden="false" customHeight="true" outlineLevel="0" collapsed="false">
      <c r="A143" s="345"/>
      <c r="B143" s="370"/>
      <c r="C143" s="370"/>
      <c r="D143" s="370"/>
      <c r="E143" s="370"/>
      <c r="F143" s="370"/>
      <c r="X143" s="1"/>
      <c r="Y143" s="1"/>
      <c r="Z143" s="1"/>
    </row>
    <row r="144" customFormat="false" ht="21" hidden="false" customHeight="true" outlineLevel="0" collapsed="false">
      <c r="A144" s="371"/>
      <c r="B144" s="372" t="s">
        <v>1674</v>
      </c>
      <c r="C144" s="371"/>
      <c r="D144" s="371"/>
      <c r="E144" s="371"/>
      <c r="F144" s="371"/>
      <c r="X144" s="1"/>
      <c r="Y144" s="1"/>
      <c r="Z144" s="1"/>
    </row>
    <row r="145" customFormat="false" ht="17.25" hidden="false" customHeight="true" outlineLevel="0" collapsed="false">
      <c r="B145" s="55" t="s">
        <v>1675</v>
      </c>
      <c r="C145" s="55" t="s">
        <v>1676</v>
      </c>
      <c r="X145" s="1"/>
      <c r="Y145" s="1"/>
      <c r="Z145" s="1"/>
    </row>
    <row r="146" customFormat="false" ht="22.5" hidden="false" customHeight="true" outlineLevel="0" collapsed="false">
      <c r="A146" s="373"/>
      <c r="B146" s="374" t="s">
        <v>1677</v>
      </c>
      <c r="C146" s="374"/>
      <c r="D146" s="374"/>
      <c r="E146" s="374"/>
      <c r="F146" s="374"/>
      <c r="X146" s="1"/>
      <c r="Y146" s="1"/>
      <c r="Z146" s="1"/>
    </row>
    <row r="147" customFormat="false" ht="21" hidden="false" customHeight="true" outlineLevel="0" collapsed="false">
      <c r="B147" s="375" t="s">
        <v>1678</v>
      </c>
      <c r="C147" s="375" t="s">
        <v>1679</v>
      </c>
      <c r="D147" s="376"/>
      <c r="E147" s="376"/>
      <c r="F147" s="376"/>
      <c r="X147" s="1"/>
      <c r="Y147" s="1"/>
      <c r="Z147" s="1"/>
    </row>
    <row r="148" customFormat="false" ht="21" hidden="false" customHeight="true" outlineLevel="0" collapsed="false">
      <c r="B148" s="377"/>
      <c r="C148" s="378" t="s">
        <v>1680</v>
      </c>
      <c r="D148" s="220"/>
      <c r="E148" s="220"/>
      <c r="F148" s="220"/>
      <c r="X148" s="1"/>
      <c r="Y148" s="1"/>
      <c r="Z148" s="1"/>
    </row>
    <row r="149" customFormat="false" ht="21" hidden="false" customHeight="true" outlineLevel="0" collapsed="false">
      <c r="B149" s="379"/>
      <c r="C149" s="375" t="s">
        <v>1681</v>
      </c>
      <c r="D149" s="376"/>
      <c r="E149" s="376"/>
      <c r="F149" s="376"/>
      <c r="X149" s="1"/>
      <c r="Y149" s="1"/>
      <c r="Z149" s="1"/>
    </row>
    <row r="150" customFormat="false" ht="16.5" hidden="false" customHeight="true" outlineLevel="0" collapsed="false">
      <c r="B150" s="380"/>
      <c r="C150" s="381" t="s">
        <v>1682</v>
      </c>
      <c r="D150" s="380"/>
      <c r="E150" s="380"/>
      <c r="F150" s="380"/>
      <c r="X150" s="1"/>
      <c r="Y150" s="1"/>
      <c r="Z150" s="1"/>
    </row>
    <row r="151" customFormat="false" ht="16.5" hidden="false" customHeight="true" outlineLevel="0" collapsed="false">
      <c r="B151" s="380"/>
      <c r="C151" s="381" t="s">
        <v>1683</v>
      </c>
      <c r="D151" s="380"/>
      <c r="E151" s="380"/>
      <c r="F151" s="380"/>
      <c r="X151" s="1"/>
      <c r="Y151" s="1"/>
      <c r="Z151" s="1"/>
    </row>
    <row r="152" customFormat="false" ht="16.5" hidden="false" customHeight="true" outlineLevel="0" collapsed="false">
      <c r="B152" s="380"/>
      <c r="C152" s="381" t="s">
        <v>1684</v>
      </c>
      <c r="D152" s="380"/>
      <c r="E152" s="380"/>
      <c r="F152" s="380"/>
      <c r="X152" s="1"/>
      <c r="Y152" s="1"/>
      <c r="Z152" s="1"/>
    </row>
    <row r="153" customFormat="false" ht="16.5" hidden="false" customHeight="true" outlineLevel="0" collapsed="false">
      <c r="B153" s="380"/>
      <c r="C153" s="381" t="s">
        <v>1685</v>
      </c>
      <c r="D153" s="380"/>
      <c r="E153" s="380"/>
      <c r="F153" s="380"/>
      <c r="X153" s="1"/>
      <c r="Y153" s="1"/>
      <c r="Z153" s="1"/>
    </row>
    <row r="154" customFormat="false" ht="16.5" hidden="false" customHeight="true" outlineLevel="0" collapsed="false">
      <c r="B154" s="381" t="s">
        <v>1686</v>
      </c>
      <c r="C154" s="381" t="s">
        <v>1687</v>
      </c>
      <c r="D154" s="380"/>
      <c r="E154" s="380"/>
      <c r="F154" s="380"/>
      <c r="X154" s="1"/>
      <c r="Y154" s="1"/>
      <c r="Z154" s="1"/>
    </row>
    <row r="155" customFormat="false" ht="21" hidden="false" customHeight="true" outlineLevel="0" collapsed="false">
      <c r="B155" s="375" t="s">
        <v>1688</v>
      </c>
      <c r="C155" s="375" t="s">
        <v>1689</v>
      </c>
      <c r="D155" s="376"/>
      <c r="E155" s="376"/>
      <c r="F155" s="376"/>
      <c r="X155" s="1"/>
      <c r="Y155" s="1"/>
      <c r="Z155" s="1"/>
    </row>
    <row r="156" customFormat="false" ht="21" hidden="false" customHeight="true" outlineLevel="0" collapsed="false">
      <c r="B156" s="378" t="s">
        <v>1690</v>
      </c>
      <c r="C156" s="378" t="s">
        <v>1691</v>
      </c>
      <c r="D156" s="220"/>
      <c r="E156" s="220"/>
      <c r="F156" s="220"/>
      <c r="X156" s="1"/>
      <c r="Y156" s="1"/>
      <c r="Z156" s="1"/>
    </row>
    <row r="157" customFormat="false" ht="7.5" hidden="false" customHeight="true" outlineLevel="0" collapsed="false">
      <c r="X157" s="1"/>
      <c r="Y157" s="1"/>
      <c r="Z157" s="1"/>
    </row>
    <row r="158" customFormat="false" ht="22.5" hidden="false" customHeight="true" outlineLevel="0" collapsed="false">
      <c r="A158" s="373"/>
      <c r="B158" s="374" t="s">
        <v>1692</v>
      </c>
      <c r="C158" s="374"/>
      <c r="D158" s="374"/>
      <c r="E158" s="374"/>
      <c r="F158" s="374"/>
      <c r="X158" s="1"/>
      <c r="Y158" s="1"/>
      <c r="Z158" s="1"/>
    </row>
    <row r="159" customFormat="false" ht="19.5" hidden="false" customHeight="true" outlineLevel="0" collapsed="false">
      <c r="B159" s="375" t="s">
        <v>1693</v>
      </c>
      <c r="C159" s="382"/>
      <c r="D159" s="376"/>
      <c r="E159" s="376"/>
      <c r="F159" s="376"/>
      <c r="X159" s="1"/>
      <c r="Y159" s="1"/>
      <c r="Z159" s="1"/>
    </row>
    <row r="160" customFormat="false" ht="19.5" hidden="false" customHeight="true" outlineLevel="0" collapsed="false">
      <c r="B160" s="378" t="s">
        <v>1694</v>
      </c>
      <c r="C160" s="383" t="s">
        <v>1695</v>
      </c>
      <c r="D160" s="220"/>
      <c r="E160" s="220"/>
      <c r="F160" s="220"/>
      <c r="X160" s="1"/>
      <c r="Y160" s="1"/>
      <c r="Z160" s="1"/>
    </row>
    <row r="161" customFormat="false" ht="19.5" hidden="false" customHeight="true" outlineLevel="0" collapsed="false">
      <c r="B161" s="375" t="s">
        <v>1696</v>
      </c>
      <c r="C161" s="384" t="s">
        <v>1697</v>
      </c>
      <c r="D161" s="376"/>
      <c r="E161" s="376"/>
      <c r="F161" s="376"/>
      <c r="X161" s="1"/>
      <c r="Y161" s="1"/>
      <c r="Z161" s="1"/>
    </row>
    <row r="162" customFormat="false" ht="19.5" hidden="false" customHeight="true" outlineLevel="0" collapsed="false">
      <c r="B162" s="378" t="s">
        <v>1698</v>
      </c>
      <c r="C162" s="383" t="s">
        <v>1699</v>
      </c>
      <c r="D162" s="220"/>
      <c r="E162" s="220"/>
      <c r="F162" s="220"/>
      <c r="X162" s="1"/>
      <c r="Y162" s="1"/>
      <c r="Z162" s="1"/>
    </row>
    <row r="163" customFormat="false" ht="19.5" hidden="false" customHeight="true" outlineLevel="0" collapsed="false">
      <c r="B163" s="375" t="s">
        <v>1700</v>
      </c>
      <c r="C163" s="384" t="s">
        <v>1701</v>
      </c>
      <c r="D163" s="376"/>
      <c r="E163" s="376"/>
      <c r="F163" s="376"/>
      <c r="X163" s="1"/>
      <c r="Y163" s="1"/>
      <c r="Z163" s="1"/>
    </row>
    <row r="164" customFormat="false" ht="19.5" hidden="false" customHeight="true" outlineLevel="0" collapsed="false">
      <c r="B164" s="378" t="s">
        <v>1702</v>
      </c>
      <c r="C164" s="383" t="s">
        <v>1703</v>
      </c>
      <c r="D164" s="220"/>
      <c r="E164" s="220"/>
      <c r="F164" s="220"/>
      <c r="X164" s="1"/>
      <c r="Y164" s="1"/>
      <c r="Z164" s="1"/>
    </row>
    <row r="165" customFormat="false" ht="19.5" hidden="false" customHeight="true" outlineLevel="0" collapsed="false">
      <c r="B165" s="375" t="s">
        <v>1704</v>
      </c>
      <c r="C165" s="384" t="s">
        <v>1705</v>
      </c>
      <c r="D165" s="376"/>
      <c r="E165" s="376"/>
      <c r="F165" s="376"/>
      <c r="X165" s="1"/>
      <c r="Y165" s="1"/>
      <c r="Z165" s="1"/>
    </row>
    <row r="166" customFormat="false" ht="19.5" hidden="false" customHeight="true" outlineLevel="0" collapsed="false">
      <c r="B166" s="378" t="s">
        <v>1706</v>
      </c>
      <c r="C166" s="385"/>
      <c r="D166" s="220"/>
      <c r="E166" s="220"/>
      <c r="F166" s="220"/>
      <c r="X166" s="1"/>
      <c r="Y166" s="1"/>
      <c r="Z166" s="1"/>
    </row>
    <row r="167" customFormat="false" ht="7.5" hidden="false" customHeight="true" outlineLevel="0" collapsed="false">
      <c r="X167" s="1"/>
      <c r="Y167" s="1"/>
      <c r="Z167" s="1"/>
    </row>
    <row r="168" customFormat="false" ht="22.5" hidden="false" customHeight="true" outlineLevel="0" collapsed="false">
      <c r="A168" s="386"/>
      <c r="B168" s="387" t="s">
        <v>1707</v>
      </c>
      <c r="C168" s="387"/>
      <c r="D168" s="387"/>
      <c r="E168" s="387"/>
      <c r="F168" s="387"/>
      <c r="X168" s="1"/>
      <c r="Y168" s="1"/>
      <c r="Z168" s="1"/>
    </row>
    <row r="169" customFormat="false" ht="19.5" hidden="false" customHeight="true" outlineLevel="0" collapsed="false">
      <c r="B169" s="388" t="s">
        <v>1708</v>
      </c>
      <c r="C169" s="214" t="s">
        <v>1709</v>
      </c>
      <c r="D169" s="215"/>
      <c r="E169" s="215"/>
      <c r="F169" s="215"/>
      <c r="X169" s="1"/>
      <c r="Y169" s="1"/>
      <c r="Z169" s="1"/>
    </row>
    <row r="170" customFormat="false" ht="19.5" hidden="false" customHeight="true" outlineLevel="0" collapsed="false">
      <c r="B170" s="389" t="s">
        <v>1710</v>
      </c>
      <c r="C170" s="219" t="s">
        <v>1711</v>
      </c>
      <c r="D170" s="220"/>
      <c r="E170" s="220"/>
      <c r="F170" s="220"/>
      <c r="X170" s="1"/>
      <c r="Y170" s="1"/>
      <c r="Z170" s="1"/>
    </row>
    <row r="171" customFormat="false" ht="19.5" hidden="false" customHeight="true" outlineLevel="0" collapsed="false">
      <c r="B171" s="388" t="s">
        <v>1712</v>
      </c>
      <c r="C171" s="214" t="s">
        <v>1713</v>
      </c>
      <c r="D171" s="215"/>
      <c r="E171" s="215"/>
      <c r="F171" s="215"/>
      <c r="X171" s="1"/>
      <c r="Y171" s="1"/>
      <c r="Z171" s="1"/>
    </row>
    <row r="172" customFormat="false" ht="19.5" hidden="false" customHeight="true" outlineLevel="0" collapsed="false">
      <c r="B172" s="389" t="s">
        <v>1714</v>
      </c>
      <c r="C172" s="219" t="s">
        <v>1715</v>
      </c>
      <c r="D172" s="220"/>
      <c r="E172" s="220"/>
      <c r="F172" s="220"/>
      <c r="X172" s="1"/>
      <c r="Y172" s="1"/>
      <c r="Z172" s="1"/>
    </row>
    <row r="173" customFormat="false" ht="19.5" hidden="false" customHeight="true" outlineLevel="0" collapsed="false">
      <c r="B173" s="388" t="s">
        <v>1716</v>
      </c>
      <c r="C173" s="214" t="s">
        <v>1717</v>
      </c>
      <c r="D173" s="215"/>
      <c r="E173" s="215"/>
      <c r="F173" s="215"/>
      <c r="X173" s="1"/>
      <c r="Y173" s="1"/>
      <c r="Z173" s="1"/>
    </row>
    <row r="174" customFormat="false" ht="19.5" hidden="false" customHeight="true" outlineLevel="0" collapsed="false">
      <c r="B174" s="389" t="s">
        <v>1718</v>
      </c>
      <c r="C174" s="219" t="s">
        <v>1719</v>
      </c>
      <c r="D174" s="220"/>
      <c r="E174" s="220"/>
      <c r="F174" s="220"/>
      <c r="X174" s="1"/>
      <c r="Y174" s="1"/>
      <c r="Z174" s="1"/>
    </row>
    <row r="175" customFormat="false" ht="7.5" hidden="false" customHeight="true" outlineLevel="0" collapsed="false">
      <c r="X175" s="1"/>
      <c r="Y175" s="1"/>
      <c r="Z175" s="1"/>
    </row>
    <row r="176" customFormat="false" ht="22.5" hidden="false" customHeight="true" outlineLevel="0" collapsed="false">
      <c r="A176" s="193"/>
      <c r="B176" s="194" t="s">
        <v>1720</v>
      </c>
      <c r="C176" s="194"/>
      <c r="D176" s="194"/>
      <c r="E176" s="194"/>
      <c r="F176" s="194"/>
      <c r="X176" s="1"/>
      <c r="Y176" s="1"/>
      <c r="Z176" s="1"/>
    </row>
    <row r="177" customFormat="false" ht="19.5" hidden="false" customHeight="true" outlineLevel="0" collapsed="false">
      <c r="B177" s="390" t="s">
        <v>1721</v>
      </c>
      <c r="C177" s="391" t="s">
        <v>1722</v>
      </c>
      <c r="D177" s="392"/>
      <c r="E177" s="392"/>
      <c r="F177" s="392"/>
      <c r="X177" s="1"/>
      <c r="Y177" s="1"/>
      <c r="Z177" s="1"/>
    </row>
    <row r="178" customFormat="false" ht="19.5" hidden="false" customHeight="true" outlineLevel="0" collapsed="false">
      <c r="B178" s="378" t="s">
        <v>1383</v>
      </c>
      <c r="C178" s="219" t="s">
        <v>1723</v>
      </c>
      <c r="D178" s="220"/>
      <c r="E178" s="220"/>
      <c r="F178" s="220"/>
      <c r="X178" s="1"/>
      <c r="Y178" s="1"/>
      <c r="Z178" s="1"/>
    </row>
    <row r="179" customFormat="false" ht="19.5" hidden="false" customHeight="true" outlineLevel="0" collapsed="false">
      <c r="B179" s="390" t="s">
        <v>1393</v>
      </c>
      <c r="C179" s="391" t="s">
        <v>1724</v>
      </c>
      <c r="D179" s="392"/>
      <c r="E179" s="392"/>
      <c r="F179" s="392"/>
      <c r="X179" s="1"/>
      <c r="Y179" s="1"/>
      <c r="Z179" s="1"/>
    </row>
    <row r="180" customFormat="false" ht="19.5" hidden="false" customHeight="true" outlineLevel="0" collapsed="false">
      <c r="B180" s="378" t="s">
        <v>1399</v>
      </c>
      <c r="C180" s="219" t="s">
        <v>1725</v>
      </c>
      <c r="D180" s="220"/>
      <c r="E180" s="220"/>
      <c r="F180" s="220"/>
      <c r="X180" s="1"/>
      <c r="Y180" s="1"/>
      <c r="Z180" s="1"/>
    </row>
    <row r="181" customFormat="false" ht="19.5" hidden="false" customHeight="true" outlineLevel="0" collapsed="false">
      <c r="B181" s="390" t="s">
        <v>1726</v>
      </c>
      <c r="C181" s="391" t="s">
        <v>1727</v>
      </c>
      <c r="D181" s="392"/>
      <c r="E181" s="392"/>
      <c r="F181" s="392"/>
      <c r="X181" s="1"/>
      <c r="Y181" s="1"/>
      <c r="Z181" s="1"/>
    </row>
    <row r="182" customFormat="false" ht="19.5" hidden="false" customHeight="true" outlineLevel="0" collapsed="false">
      <c r="B182" s="378" t="s">
        <v>1728</v>
      </c>
      <c r="C182" s="219" t="s">
        <v>1729</v>
      </c>
      <c r="D182" s="220"/>
      <c r="E182" s="220"/>
      <c r="F182" s="220"/>
      <c r="X182" s="1"/>
      <c r="Y182" s="1"/>
      <c r="Z182" s="1"/>
    </row>
    <row r="183" customFormat="false" ht="19.5" hidden="false" customHeight="true" outlineLevel="0" collapsed="false">
      <c r="B183" s="390" t="s">
        <v>1407</v>
      </c>
      <c r="C183" s="391" t="s">
        <v>1730</v>
      </c>
      <c r="D183" s="392"/>
      <c r="E183" s="392"/>
      <c r="F183" s="392"/>
      <c r="X183" s="1"/>
      <c r="Y183" s="1"/>
      <c r="Z183" s="1"/>
    </row>
    <row r="184" customFormat="false" ht="19.5" hidden="false" customHeight="true" outlineLevel="0" collapsed="false">
      <c r="B184" s="378" t="s">
        <v>1731</v>
      </c>
      <c r="C184" s="219" t="s">
        <v>1732</v>
      </c>
      <c r="D184" s="220"/>
      <c r="E184" s="220"/>
      <c r="F184" s="220"/>
      <c r="X184" s="1"/>
      <c r="Y184" s="1"/>
      <c r="Z184" s="1"/>
    </row>
    <row r="185" customFormat="false" ht="7.5" hidden="false" customHeight="true" outlineLevel="0" collapsed="false">
      <c r="X185" s="1"/>
      <c r="Y185" s="1"/>
      <c r="Z185" s="1"/>
    </row>
    <row r="186" customFormat="false" ht="22.5" hidden="false" customHeight="true" outlineLevel="0" collapsed="false">
      <c r="A186" s="193"/>
      <c r="B186" s="194" t="s">
        <v>1733</v>
      </c>
      <c r="C186" s="194"/>
      <c r="D186" s="194"/>
      <c r="E186" s="194"/>
      <c r="F186" s="194"/>
      <c r="X186" s="1"/>
      <c r="Y186" s="1"/>
      <c r="Z186" s="1"/>
    </row>
    <row r="187" customFormat="false" ht="19.5" hidden="false" customHeight="true" outlineLevel="0" collapsed="false">
      <c r="B187" s="390" t="s">
        <v>1354</v>
      </c>
      <c r="C187" s="391" t="s">
        <v>1355</v>
      </c>
      <c r="D187" s="392"/>
      <c r="E187" s="392"/>
      <c r="F187" s="392"/>
      <c r="X187" s="1"/>
      <c r="Y187" s="1"/>
      <c r="Z187" s="1"/>
    </row>
    <row r="188" customFormat="false" ht="19.5" hidden="false" customHeight="true" outlineLevel="0" collapsed="false">
      <c r="B188" s="378" t="s">
        <v>1359</v>
      </c>
      <c r="C188" s="219" t="s">
        <v>1330</v>
      </c>
      <c r="D188" s="220"/>
      <c r="E188" s="220"/>
      <c r="F188" s="220"/>
      <c r="X188" s="1"/>
      <c r="Y188" s="1"/>
      <c r="Z188" s="1"/>
    </row>
    <row r="189" customFormat="false" ht="19.5" hidden="false" customHeight="true" outlineLevel="0" collapsed="false">
      <c r="B189" s="390" t="s">
        <v>1361</v>
      </c>
      <c r="C189" s="391" t="s">
        <v>1335</v>
      </c>
      <c r="D189" s="392"/>
      <c r="E189" s="392"/>
      <c r="F189" s="392"/>
      <c r="X189" s="1"/>
      <c r="Y189" s="1"/>
      <c r="Z189" s="1"/>
    </row>
    <row r="190" customFormat="false" ht="19.5" hidden="false" customHeight="true" outlineLevel="0" collapsed="false">
      <c r="B190" s="378" t="s">
        <v>1369</v>
      </c>
      <c r="C190" s="219" t="s">
        <v>1370</v>
      </c>
      <c r="D190" s="220"/>
      <c r="E190" s="220"/>
      <c r="F190" s="220"/>
      <c r="X190" s="1"/>
      <c r="Y190" s="1"/>
      <c r="Z190" s="1"/>
    </row>
    <row r="191" customFormat="false" ht="19.5" hidden="false" customHeight="true" outlineLevel="0" collapsed="false">
      <c r="B191" s="390" t="s">
        <v>1365</v>
      </c>
      <c r="C191" s="391" t="s">
        <v>1338</v>
      </c>
      <c r="D191" s="392"/>
      <c r="E191" s="392"/>
      <c r="F191" s="392"/>
      <c r="X191" s="1"/>
      <c r="Y191" s="1"/>
      <c r="Z191" s="1"/>
    </row>
    <row r="192" customFormat="false" ht="15.75" hidden="false" customHeight="true" outlineLevel="0" collapsed="false">
      <c r="X192" s="1"/>
      <c r="Y192" s="1"/>
      <c r="Z192" s="1"/>
    </row>
    <row r="193" customFormat="false" ht="15.75" hidden="false" customHeight="true" outlineLevel="0" collapsed="false">
      <c r="X193" s="1"/>
      <c r="Y193" s="1"/>
      <c r="Z193" s="1"/>
    </row>
    <row r="194" customFormat="false" ht="15.75" hidden="false" customHeight="true" outlineLevel="0" collapsed="false">
      <c r="X194" s="1"/>
      <c r="Y194" s="1"/>
      <c r="Z194" s="1"/>
    </row>
    <row r="195" customFormat="false" ht="15.75" hidden="false" customHeight="true" outlineLevel="0" collapsed="false">
      <c r="X195" s="1"/>
      <c r="Y195" s="1"/>
      <c r="Z195" s="1"/>
    </row>
    <row r="196" customFormat="false" ht="15.75" hidden="false" customHeight="true" outlineLevel="0" collapsed="false">
      <c r="X196" s="1"/>
      <c r="Y196" s="1"/>
      <c r="Z196" s="1"/>
    </row>
    <row r="197" customFormat="false" ht="15.75" hidden="false" customHeight="true" outlineLevel="0" collapsed="false">
      <c r="X197" s="1"/>
      <c r="Y197" s="1"/>
      <c r="Z197" s="1"/>
    </row>
    <row r="198" customFormat="false" ht="15.75" hidden="false" customHeight="true" outlineLevel="0" collapsed="false">
      <c r="X198" s="1"/>
      <c r="Y198" s="1"/>
      <c r="Z198" s="1"/>
    </row>
    <row r="199" customFormat="false" ht="15.75" hidden="false" customHeight="true" outlineLevel="0" collapsed="false">
      <c r="X199" s="1"/>
      <c r="Y199" s="1"/>
      <c r="Z199" s="1"/>
    </row>
    <row r="200" customFormat="false" ht="15.75" hidden="false" customHeight="true" outlineLevel="0" collapsed="false">
      <c r="X200" s="1"/>
      <c r="Y200" s="1"/>
      <c r="Z200" s="1"/>
    </row>
    <row r="201" customFormat="false" ht="15.75" hidden="false" customHeight="true" outlineLevel="0" collapsed="false">
      <c r="X201" s="1"/>
      <c r="Y201" s="1"/>
      <c r="Z201" s="1"/>
    </row>
    <row r="202" customFormat="false" ht="15.75" hidden="false" customHeight="true" outlineLevel="0" collapsed="false">
      <c r="X202" s="1"/>
      <c r="Y202" s="1"/>
      <c r="Z202" s="1"/>
    </row>
    <row r="203" customFormat="false" ht="15.75" hidden="false" customHeight="true" outlineLevel="0" collapsed="false">
      <c r="X203" s="1"/>
      <c r="Y203" s="1"/>
      <c r="Z203" s="1"/>
    </row>
    <row r="204" customFormat="false" ht="15.75" hidden="false" customHeight="true" outlineLevel="0" collapsed="false">
      <c r="X204" s="1"/>
      <c r="Y204" s="1"/>
      <c r="Z204" s="1"/>
    </row>
    <row r="205" customFormat="false" ht="15.75" hidden="false" customHeight="true" outlineLevel="0" collapsed="false">
      <c r="X205" s="1"/>
      <c r="Y205" s="1"/>
      <c r="Z205" s="1"/>
    </row>
    <row r="206" customFormat="false" ht="15.75" hidden="false" customHeight="true" outlineLevel="0" collapsed="false">
      <c r="X206" s="1"/>
      <c r="Y206" s="1"/>
      <c r="Z206" s="1"/>
    </row>
    <row r="207" customFormat="false" ht="15.75" hidden="false" customHeight="true" outlineLevel="0" collapsed="false">
      <c r="X207" s="1"/>
      <c r="Y207" s="1"/>
      <c r="Z207" s="1"/>
    </row>
    <row r="208" customFormat="false" ht="15.75" hidden="false" customHeight="true" outlineLevel="0" collapsed="false">
      <c r="X208" s="1"/>
      <c r="Y208" s="1"/>
      <c r="Z208" s="1"/>
    </row>
    <row r="209" customFormat="false" ht="15.75" hidden="false" customHeight="true" outlineLevel="0" collapsed="false">
      <c r="X209" s="1"/>
      <c r="Y209" s="1"/>
      <c r="Z209" s="1"/>
    </row>
    <row r="210" customFormat="false" ht="15.75" hidden="false" customHeight="true" outlineLevel="0" collapsed="false">
      <c r="X210" s="1"/>
      <c r="Y210" s="1"/>
      <c r="Z210" s="1"/>
    </row>
    <row r="211" customFormat="false" ht="15.75" hidden="false" customHeight="true" outlineLevel="0" collapsed="false">
      <c r="X211" s="1"/>
      <c r="Y211" s="1"/>
      <c r="Z211" s="1"/>
    </row>
    <row r="212" customFormat="false" ht="15.75" hidden="false" customHeight="true" outlineLevel="0" collapsed="false">
      <c r="X212" s="1"/>
      <c r="Y212" s="1"/>
      <c r="Z212" s="1"/>
    </row>
    <row r="213" customFormat="false" ht="15.75" hidden="false" customHeight="true" outlineLevel="0" collapsed="false">
      <c r="X213" s="1"/>
      <c r="Y213" s="1"/>
      <c r="Z213" s="1"/>
    </row>
    <row r="214" customFormat="false" ht="15.75" hidden="false" customHeight="true" outlineLevel="0" collapsed="false">
      <c r="X214" s="1"/>
      <c r="Y214" s="1"/>
      <c r="Z214" s="1"/>
    </row>
    <row r="215" customFormat="false" ht="15.75" hidden="false" customHeight="true" outlineLevel="0" collapsed="false">
      <c r="X215" s="1"/>
      <c r="Y215" s="1"/>
      <c r="Z215" s="1"/>
    </row>
    <row r="216" customFormat="false" ht="15.75" hidden="false" customHeight="true" outlineLevel="0" collapsed="false">
      <c r="X216" s="1"/>
      <c r="Y216" s="1"/>
      <c r="Z216" s="1"/>
    </row>
    <row r="217" customFormat="false" ht="15.75" hidden="false" customHeight="true" outlineLevel="0" collapsed="false">
      <c r="X217" s="1"/>
      <c r="Y217" s="1"/>
      <c r="Z217" s="1"/>
    </row>
    <row r="218" customFormat="false" ht="15.75" hidden="false" customHeight="true" outlineLevel="0" collapsed="false">
      <c r="X218" s="1"/>
      <c r="Y218" s="1"/>
      <c r="Z218" s="1"/>
    </row>
    <row r="219" customFormat="false" ht="15.75" hidden="false" customHeight="true" outlineLevel="0" collapsed="false">
      <c r="X219" s="1"/>
      <c r="Y219" s="1"/>
      <c r="Z219" s="1"/>
    </row>
    <row r="220" customFormat="false" ht="15.75" hidden="false" customHeight="true" outlineLevel="0" collapsed="false">
      <c r="X220" s="1"/>
      <c r="Y220" s="1"/>
      <c r="Z220" s="1"/>
    </row>
    <row r="221" customFormat="false" ht="15.75" hidden="false" customHeight="true" outlineLevel="0" collapsed="false">
      <c r="X221" s="1"/>
      <c r="Y221" s="1"/>
      <c r="Z221" s="1"/>
    </row>
    <row r="222" customFormat="false" ht="15.75" hidden="false" customHeight="true" outlineLevel="0" collapsed="false">
      <c r="X222" s="1"/>
      <c r="Y222" s="1"/>
      <c r="Z222" s="1"/>
    </row>
    <row r="223" customFormat="false" ht="15.75" hidden="false" customHeight="true" outlineLevel="0" collapsed="false">
      <c r="X223" s="1"/>
      <c r="Y223" s="1"/>
      <c r="Z223" s="1"/>
    </row>
    <row r="224" customFormat="false" ht="15.75" hidden="false" customHeight="true" outlineLevel="0" collapsed="false">
      <c r="X224" s="1"/>
      <c r="Y224" s="1"/>
      <c r="Z224" s="1"/>
    </row>
    <row r="225" customFormat="false" ht="15.75" hidden="false" customHeight="true" outlineLevel="0" collapsed="false">
      <c r="X225" s="1"/>
      <c r="Y225" s="1"/>
      <c r="Z225" s="1"/>
    </row>
    <row r="226" customFormat="false" ht="15.75" hidden="false" customHeight="true" outlineLevel="0" collapsed="false">
      <c r="X226" s="1"/>
      <c r="Y226" s="1"/>
      <c r="Z226" s="1"/>
    </row>
    <row r="227" customFormat="false" ht="15.75" hidden="false" customHeight="true" outlineLevel="0" collapsed="false">
      <c r="X227" s="1"/>
      <c r="Y227" s="1"/>
      <c r="Z227" s="1"/>
    </row>
    <row r="228" customFormat="false" ht="15.75" hidden="false" customHeight="true" outlineLevel="0" collapsed="false">
      <c r="X228" s="1"/>
      <c r="Y228" s="1"/>
      <c r="Z228" s="1"/>
    </row>
    <row r="229" customFormat="false" ht="15.75" hidden="false" customHeight="true" outlineLevel="0" collapsed="false">
      <c r="X229" s="1"/>
      <c r="Y229" s="1"/>
      <c r="Z229" s="1"/>
    </row>
    <row r="230" customFormat="false" ht="15.75" hidden="false" customHeight="true" outlineLevel="0" collapsed="false">
      <c r="X230" s="1"/>
      <c r="Y230" s="1"/>
      <c r="Z230" s="1"/>
    </row>
    <row r="231" customFormat="false" ht="15.75" hidden="false" customHeight="true" outlineLevel="0" collapsed="false">
      <c r="X231" s="1"/>
      <c r="Y231" s="1"/>
      <c r="Z231" s="1"/>
    </row>
    <row r="232" customFormat="false" ht="15.75" hidden="false" customHeight="true" outlineLevel="0" collapsed="false">
      <c r="X232" s="1"/>
      <c r="Y232" s="1"/>
      <c r="Z232" s="1"/>
    </row>
    <row r="233" customFormat="false" ht="15.75" hidden="false" customHeight="true" outlineLevel="0" collapsed="false">
      <c r="X233" s="1"/>
      <c r="Y233" s="1"/>
      <c r="Z233" s="1"/>
    </row>
    <row r="234" customFormat="false" ht="15.75" hidden="false" customHeight="true" outlineLevel="0" collapsed="false">
      <c r="X234" s="1"/>
      <c r="Y234" s="1"/>
      <c r="Z234" s="1"/>
    </row>
    <row r="235" customFormat="false" ht="15.75" hidden="false" customHeight="true" outlineLevel="0" collapsed="false">
      <c r="X235" s="1"/>
      <c r="Y235" s="1"/>
      <c r="Z235" s="1"/>
    </row>
    <row r="236" customFormat="false" ht="15.75" hidden="false" customHeight="true" outlineLevel="0" collapsed="false">
      <c r="X236" s="1"/>
      <c r="Y236" s="1"/>
      <c r="Z236" s="1"/>
    </row>
    <row r="237" customFormat="false" ht="15.75" hidden="false" customHeight="true" outlineLevel="0" collapsed="false">
      <c r="X237" s="1"/>
      <c r="Y237" s="1"/>
      <c r="Z237" s="1"/>
    </row>
    <row r="238" customFormat="false" ht="15.75" hidden="false" customHeight="true" outlineLevel="0" collapsed="false">
      <c r="X238" s="1"/>
      <c r="Y238" s="1"/>
      <c r="Z238" s="1"/>
    </row>
    <row r="239" customFormat="false" ht="15.75" hidden="false" customHeight="true" outlineLevel="0" collapsed="false">
      <c r="X239" s="1"/>
      <c r="Y239" s="1"/>
      <c r="Z239" s="1"/>
    </row>
    <row r="240" customFormat="false" ht="15.75" hidden="false" customHeight="true" outlineLevel="0" collapsed="false">
      <c r="X240" s="1"/>
      <c r="Y240" s="1"/>
      <c r="Z240" s="1"/>
    </row>
    <row r="241" customFormat="false" ht="15.75" hidden="false" customHeight="true" outlineLevel="0" collapsed="false">
      <c r="X241" s="1"/>
      <c r="Y241" s="1"/>
      <c r="Z241" s="1"/>
    </row>
    <row r="242" customFormat="false" ht="15.75" hidden="false" customHeight="true" outlineLevel="0" collapsed="false">
      <c r="X242" s="1"/>
      <c r="Y242" s="1"/>
      <c r="Z242" s="1"/>
    </row>
    <row r="243" customFormat="false" ht="15.75" hidden="false" customHeight="true" outlineLevel="0" collapsed="false">
      <c r="X243" s="1"/>
      <c r="Y243" s="1"/>
      <c r="Z243" s="1"/>
    </row>
    <row r="244" customFormat="false" ht="15.75" hidden="false" customHeight="true" outlineLevel="0" collapsed="false">
      <c r="X244" s="1"/>
      <c r="Y244" s="1"/>
      <c r="Z244" s="1"/>
    </row>
    <row r="245" customFormat="false" ht="15.75" hidden="false" customHeight="true" outlineLevel="0" collapsed="false">
      <c r="X245" s="1"/>
      <c r="Y245" s="1"/>
      <c r="Z245" s="1"/>
    </row>
    <row r="246" customFormat="false" ht="15.75" hidden="false" customHeight="true" outlineLevel="0" collapsed="false">
      <c r="X246" s="1"/>
      <c r="Y246" s="1"/>
      <c r="Z246" s="1"/>
    </row>
    <row r="247" customFormat="false" ht="15.75" hidden="false" customHeight="true" outlineLevel="0" collapsed="false">
      <c r="X247" s="1"/>
      <c r="Y247" s="1"/>
      <c r="Z247" s="1"/>
    </row>
    <row r="248" customFormat="false" ht="15.75" hidden="false" customHeight="true" outlineLevel="0" collapsed="false">
      <c r="X248" s="1"/>
      <c r="Y248" s="1"/>
      <c r="Z248" s="1"/>
    </row>
    <row r="249" customFormat="false" ht="15.75" hidden="false" customHeight="true" outlineLevel="0" collapsed="false">
      <c r="X249" s="1"/>
      <c r="Y249" s="1"/>
      <c r="Z249" s="1"/>
    </row>
    <row r="250" customFormat="false" ht="15.75" hidden="false" customHeight="true" outlineLevel="0" collapsed="false">
      <c r="X250" s="1"/>
      <c r="Y250" s="1"/>
      <c r="Z250" s="1"/>
    </row>
    <row r="251" customFormat="false" ht="15.75" hidden="false" customHeight="true" outlineLevel="0" collapsed="false">
      <c r="X251" s="1"/>
      <c r="Y251" s="1"/>
      <c r="Z251" s="1"/>
    </row>
    <row r="252" customFormat="false" ht="15.75" hidden="false" customHeight="true" outlineLevel="0" collapsed="false">
      <c r="X252" s="1"/>
      <c r="Y252" s="1"/>
      <c r="Z252" s="1"/>
    </row>
    <row r="253" customFormat="false" ht="15.75" hidden="false" customHeight="true" outlineLevel="0" collapsed="false">
      <c r="X253" s="1"/>
      <c r="Y253" s="1"/>
      <c r="Z253" s="1"/>
    </row>
    <row r="254" customFormat="false" ht="15.75" hidden="false" customHeight="true" outlineLevel="0" collapsed="false">
      <c r="X254" s="1"/>
      <c r="Y254" s="1"/>
      <c r="Z254" s="1"/>
    </row>
    <row r="255" customFormat="false" ht="15.75" hidden="false" customHeight="true" outlineLevel="0" collapsed="false">
      <c r="X255" s="1"/>
      <c r="Y255" s="1"/>
      <c r="Z255" s="1"/>
    </row>
    <row r="256" customFormat="false" ht="15.75" hidden="false" customHeight="true" outlineLevel="0" collapsed="false">
      <c r="X256" s="1"/>
      <c r="Y256" s="1"/>
      <c r="Z256" s="1"/>
    </row>
    <row r="257" customFormat="false" ht="15.75" hidden="false" customHeight="true" outlineLevel="0" collapsed="false">
      <c r="X257" s="1"/>
      <c r="Y257" s="1"/>
      <c r="Z257" s="1"/>
    </row>
    <row r="258" customFormat="false" ht="15.75" hidden="false" customHeight="true" outlineLevel="0" collapsed="false">
      <c r="X258" s="1"/>
      <c r="Y258" s="1"/>
      <c r="Z258" s="1"/>
    </row>
    <row r="259" customFormat="false" ht="15.75" hidden="false" customHeight="true" outlineLevel="0" collapsed="false">
      <c r="X259" s="1"/>
      <c r="Y259" s="1"/>
      <c r="Z259" s="1"/>
    </row>
    <row r="260" customFormat="false" ht="15.75" hidden="false" customHeight="true" outlineLevel="0" collapsed="false">
      <c r="X260" s="1"/>
      <c r="Y260" s="1"/>
      <c r="Z260" s="1"/>
    </row>
    <row r="261" customFormat="false" ht="15.75" hidden="false" customHeight="true" outlineLevel="0" collapsed="false">
      <c r="X261" s="1"/>
      <c r="Y261" s="1"/>
      <c r="Z261" s="1"/>
    </row>
    <row r="262" customFormat="false" ht="15.75" hidden="false" customHeight="true" outlineLevel="0" collapsed="false">
      <c r="X262" s="1"/>
      <c r="Y262" s="1"/>
      <c r="Z262" s="1"/>
    </row>
    <row r="263" customFormat="false" ht="15.75" hidden="false" customHeight="true" outlineLevel="0" collapsed="false">
      <c r="X263" s="1"/>
      <c r="Y263" s="1"/>
      <c r="Z263" s="1"/>
    </row>
    <row r="264" customFormat="false" ht="15.75" hidden="false" customHeight="true" outlineLevel="0" collapsed="false">
      <c r="X264" s="1"/>
      <c r="Y264" s="1"/>
      <c r="Z264" s="1"/>
    </row>
    <row r="265" customFormat="false" ht="15.75" hidden="false" customHeight="true" outlineLevel="0" collapsed="false">
      <c r="X265" s="1"/>
      <c r="Y265" s="1"/>
      <c r="Z265" s="1"/>
    </row>
    <row r="266" customFormat="false" ht="15.75" hidden="false" customHeight="true" outlineLevel="0" collapsed="false">
      <c r="X266" s="1"/>
      <c r="Y266" s="1"/>
      <c r="Z266" s="1"/>
    </row>
    <row r="267" customFormat="false" ht="15.75" hidden="false" customHeight="true" outlineLevel="0" collapsed="false">
      <c r="X267" s="1"/>
      <c r="Y267" s="1"/>
      <c r="Z267" s="1"/>
    </row>
    <row r="268" customFormat="false" ht="15.75" hidden="false" customHeight="true" outlineLevel="0" collapsed="false">
      <c r="X268" s="1"/>
      <c r="Y268" s="1"/>
      <c r="Z268" s="1"/>
    </row>
    <row r="269" customFormat="false" ht="15.75" hidden="false" customHeight="true" outlineLevel="0" collapsed="false">
      <c r="X269" s="1"/>
      <c r="Y269" s="1"/>
      <c r="Z269" s="1"/>
    </row>
    <row r="270" customFormat="false" ht="15.75" hidden="false" customHeight="true" outlineLevel="0" collapsed="false">
      <c r="X270" s="1"/>
      <c r="Y270" s="1"/>
      <c r="Z270" s="1"/>
    </row>
    <row r="271" customFormat="false" ht="15.75" hidden="false" customHeight="true" outlineLevel="0" collapsed="false">
      <c r="X271" s="1"/>
      <c r="Y271" s="1"/>
      <c r="Z271" s="1"/>
    </row>
    <row r="272" customFormat="false" ht="15.75" hidden="false" customHeight="true" outlineLevel="0" collapsed="false">
      <c r="X272" s="1"/>
      <c r="Y272" s="1"/>
      <c r="Z272" s="1"/>
    </row>
    <row r="273" customFormat="false" ht="15.75" hidden="false" customHeight="true" outlineLevel="0" collapsed="false">
      <c r="X273" s="1"/>
      <c r="Y273" s="1"/>
      <c r="Z273" s="1"/>
    </row>
    <row r="274" customFormat="false" ht="15.75" hidden="false" customHeight="true" outlineLevel="0" collapsed="false">
      <c r="X274" s="1"/>
      <c r="Y274" s="1"/>
      <c r="Z274" s="1"/>
    </row>
    <row r="275" customFormat="false" ht="15.75" hidden="false" customHeight="true" outlineLevel="0" collapsed="false">
      <c r="X275" s="1"/>
      <c r="Y275" s="1"/>
      <c r="Z275" s="1"/>
    </row>
    <row r="276" customFormat="false" ht="15.75" hidden="false" customHeight="true" outlineLevel="0" collapsed="false">
      <c r="X276" s="1"/>
      <c r="Y276" s="1"/>
      <c r="Z276" s="1"/>
    </row>
    <row r="277" customFormat="false" ht="15.75" hidden="false" customHeight="true" outlineLevel="0" collapsed="false">
      <c r="X277" s="1"/>
      <c r="Y277" s="1"/>
      <c r="Z277" s="1"/>
    </row>
    <row r="278" customFormat="false" ht="15.75" hidden="false" customHeight="true" outlineLevel="0" collapsed="false">
      <c r="X278" s="1"/>
      <c r="Y278" s="1"/>
      <c r="Z278" s="1"/>
    </row>
    <row r="279" customFormat="false" ht="15.75" hidden="false" customHeight="true" outlineLevel="0" collapsed="false">
      <c r="X279" s="1"/>
      <c r="Y279" s="1"/>
      <c r="Z279" s="1"/>
    </row>
    <row r="280" customFormat="false" ht="15.75" hidden="false" customHeight="true" outlineLevel="0" collapsed="false">
      <c r="X280" s="1"/>
      <c r="Y280" s="1"/>
      <c r="Z280" s="1"/>
    </row>
    <row r="281" customFormat="false" ht="15.75" hidden="false" customHeight="true" outlineLevel="0" collapsed="false">
      <c r="X281" s="1"/>
      <c r="Y281" s="1"/>
      <c r="Z281" s="1"/>
    </row>
    <row r="282" customFormat="false" ht="15.75" hidden="false" customHeight="true" outlineLevel="0" collapsed="false">
      <c r="X282" s="1"/>
      <c r="Y282" s="1"/>
      <c r="Z282" s="1"/>
    </row>
    <row r="283" customFormat="false" ht="15.75" hidden="false" customHeight="true" outlineLevel="0" collapsed="false">
      <c r="X283" s="1"/>
      <c r="Y283" s="1"/>
      <c r="Z283" s="1"/>
    </row>
    <row r="284" customFormat="false" ht="15.75" hidden="false" customHeight="true" outlineLevel="0" collapsed="false">
      <c r="X284" s="1"/>
      <c r="Y284" s="1"/>
      <c r="Z284" s="1"/>
    </row>
    <row r="285" customFormat="false" ht="15.75" hidden="false" customHeight="true" outlineLevel="0" collapsed="false">
      <c r="X285" s="1"/>
      <c r="Y285" s="1"/>
      <c r="Z285" s="1"/>
    </row>
    <row r="286" customFormat="false" ht="15.75" hidden="false" customHeight="true" outlineLevel="0" collapsed="false">
      <c r="X286" s="1"/>
      <c r="Y286" s="1"/>
      <c r="Z286" s="1"/>
    </row>
    <row r="287" customFormat="false" ht="15.75" hidden="false" customHeight="true" outlineLevel="0" collapsed="false">
      <c r="X287" s="1"/>
      <c r="Y287" s="1"/>
      <c r="Z287" s="1"/>
    </row>
    <row r="288" customFormat="false" ht="15.75" hidden="false" customHeight="true" outlineLevel="0" collapsed="false">
      <c r="X288" s="1"/>
      <c r="Y288" s="1"/>
      <c r="Z288" s="1"/>
    </row>
    <row r="289" customFormat="false" ht="15.75" hidden="false" customHeight="true" outlineLevel="0" collapsed="false">
      <c r="X289" s="1"/>
      <c r="Y289" s="1"/>
      <c r="Z289" s="1"/>
    </row>
    <row r="290" customFormat="false" ht="15.75" hidden="false" customHeight="true" outlineLevel="0" collapsed="false">
      <c r="X290" s="1"/>
      <c r="Y290" s="1"/>
      <c r="Z290" s="1"/>
    </row>
    <row r="291" customFormat="false" ht="15.75" hidden="false" customHeight="true" outlineLevel="0" collapsed="false">
      <c r="X291" s="1"/>
      <c r="Y291" s="1"/>
      <c r="Z291" s="1"/>
    </row>
    <row r="292" customFormat="false" ht="15.75" hidden="false" customHeight="true" outlineLevel="0" collapsed="false">
      <c r="X292" s="1"/>
      <c r="Y292" s="1"/>
      <c r="Z292" s="1"/>
    </row>
    <row r="293" customFormat="false" ht="15.75" hidden="false" customHeight="true" outlineLevel="0" collapsed="false">
      <c r="X293" s="1"/>
      <c r="Y293" s="1"/>
      <c r="Z293" s="1"/>
    </row>
    <row r="294" customFormat="false" ht="15.75" hidden="false" customHeight="true" outlineLevel="0" collapsed="false">
      <c r="X294" s="1"/>
      <c r="Y294" s="1"/>
      <c r="Z294" s="1"/>
    </row>
    <row r="295" customFormat="false" ht="15.75" hidden="false" customHeight="true" outlineLevel="0" collapsed="false">
      <c r="X295" s="1"/>
      <c r="Y295" s="1"/>
      <c r="Z295" s="1"/>
    </row>
    <row r="296" customFormat="false" ht="15.75" hidden="false" customHeight="true" outlineLevel="0" collapsed="false">
      <c r="X296" s="1"/>
      <c r="Y296" s="1"/>
      <c r="Z296" s="1"/>
    </row>
    <row r="297" customFormat="false" ht="15.75" hidden="false" customHeight="true" outlineLevel="0" collapsed="false">
      <c r="X297" s="1"/>
      <c r="Y297" s="1"/>
      <c r="Z297" s="1"/>
    </row>
    <row r="298" customFormat="false" ht="15.75" hidden="false" customHeight="true" outlineLevel="0" collapsed="false">
      <c r="X298" s="1"/>
      <c r="Y298" s="1"/>
      <c r="Z298" s="1"/>
    </row>
    <row r="299" customFormat="false" ht="15.75" hidden="false" customHeight="true" outlineLevel="0" collapsed="false">
      <c r="X299" s="1"/>
      <c r="Y299" s="1"/>
      <c r="Z299" s="1"/>
    </row>
    <row r="300" customFormat="false" ht="15.75" hidden="false" customHeight="true" outlineLevel="0" collapsed="false">
      <c r="X300" s="1"/>
      <c r="Y300" s="1"/>
      <c r="Z300" s="1"/>
    </row>
    <row r="301" customFormat="false" ht="15.75" hidden="false" customHeight="true" outlineLevel="0" collapsed="false">
      <c r="X301" s="1"/>
      <c r="Y301" s="1"/>
      <c r="Z301" s="1"/>
    </row>
    <row r="302" customFormat="false" ht="15.75" hidden="false" customHeight="true" outlineLevel="0" collapsed="false">
      <c r="X302" s="1"/>
      <c r="Y302" s="1"/>
      <c r="Z302" s="1"/>
    </row>
    <row r="303" customFormat="false" ht="15.75" hidden="false" customHeight="true" outlineLevel="0" collapsed="false">
      <c r="X303" s="1"/>
      <c r="Y303" s="1"/>
      <c r="Z303" s="1"/>
    </row>
    <row r="304" customFormat="false" ht="15.75" hidden="false" customHeight="true" outlineLevel="0" collapsed="false">
      <c r="X304" s="1"/>
      <c r="Y304" s="1"/>
      <c r="Z304" s="1"/>
    </row>
    <row r="305" customFormat="false" ht="15.75" hidden="false" customHeight="true" outlineLevel="0" collapsed="false">
      <c r="X305" s="1"/>
      <c r="Y305" s="1"/>
      <c r="Z305" s="1"/>
    </row>
    <row r="306" customFormat="false" ht="15.75" hidden="false" customHeight="true" outlineLevel="0" collapsed="false">
      <c r="X306" s="1"/>
      <c r="Y306" s="1"/>
      <c r="Z306" s="1"/>
    </row>
    <row r="307" customFormat="false" ht="15.75" hidden="false" customHeight="true" outlineLevel="0" collapsed="false">
      <c r="X307" s="1"/>
      <c r="Y307" s="1"/>
      <c r="Z307" s="1"/>
    </row>
    <row r="308" customFormat="false" ht="15.75" hidden="false" customHeight="true" outlineLevel="0" collapsed="false">
      <c r="X308" s="1"/>
      <c r="Y308" s="1"/>
      <c r="Z308" s="1"/>
    </row>
    <row r="309" customFormat="false" ht="15.75" hidden="false" customHeight="true" outlineLevel="0" collapsed="false">
      <c r="X309" s="1"/>
      <c r="Y309" s="1"/>
      <c r="Z309" s="1"/>
    </row>
    <row r="310" customFormat="false" ht="15.75" hidden="false" customHeight="true" outlineLevel="0" collapsed="false">
      <c r="X310" s="1"/>
      <c r="Y310" s="1"/>
      <c r="Z310" s="1"/>
    </row>
    <row r="311" customFormat="false" ht="15.75" hidden="false" customHeight="true" outlineLevel="0" collapsed="false">
      <c r="X311" s="1"/>
      <c r="Y311" s="1"/>
      <c r="Z311" s="1"/>
    </row>
    <row r="312" customFormat="false" ht="15.75" hidden="false" customHeight="true" outlineLevel="0" collapsed="false">
      <c r="X312" s="1"/>
      <c r="Y312" s="1"/>
      <c r="Z312" s="1"/>
    </row>
    <row r="313" customFormat="false" ht="15.75" hidden="false" customHeight="true" outlineLevel="0" collapsed="false">
      <c r="X313" s="1"/>
      <c r="Y313" s="1"/>
      <c r="Z313" s="1"/>
    </row>
    <row r="314" customFormat="false" ht="15.75" hidden="false" customHeight="true" outlineLevel="0" collapsed="false">
      <c r="X314" s="1"/>
      <c r="Y314" s="1"/>
      <c r="Z314" s="1"/>
    </row>
    <row r="315" customFormat="false" ht="15.75" hidden="false" customHeight="true" outlineLevel="0" collapsed="false">
      <c r="X315" s="1"/>
      <c r="Y315" s="1"/>
      <c r="Z315" s="1"/>
    </row>
    <row r="316" customFormat="false" ht="15.75" hidden="false" customHeight="true" outlineLevel="0" collapsed="false">
      <c r="X316" s="1"/>
      <c r="Y316" s="1"/>
      <c r="Z316" s="1"/>
    </row>
    <row r="317" customFormat="false" ht="15.75" hidden="false" customHeight="true" outlineLevel="0" collapsed="false">
      <c r="X317" s="1"/>
      <c r="Y317" s="1"/>
      <c r="Z317" s="1"/>
    </row>
    <row r="318" customFormat="false" ht="15.75" hidden="false" customHeight="true" outlineLevel="0" collapsed="false">
      <c r="X318" s="1"/>
      <c r="Y318" s="1"/>
      <c r="Z318" s="1"/>
    </row>
    <row r="319" customFormat="false" ht="15.75" hidden="false" customHeight="true" outlineLevel="0" collapsed="false">
      <c r="X319" s="1"/>
      <c r="Y319" s="1"/>
      <c r="Z319" s="1"/>
    </row>
    <row r="320" customFormat="false" ht="15.75" hidden="false" customHeight="true" outlineLevel="0" collapsed="false">
      <c r="X320" s="1"/>
      <c r="Y320" s="1"/>
      <c r="Z320" s="1"/>
    </row>
    <row r="321" customFormat="false" ht="15.75" hidden="false" customHeight="true" outlineLevel="0" collapsed="false">
      <c r="X321" s="1"/>
      <c r="Y321" s="1"/>
      <c r="Z321" s="1"/>
    </row>
    <row r="322" customFormat="false" ht="15.75" hidden="false" customHeight="true" outlineLevel="0" collapsed="false">
      <c r="X322" s="1"/>
      <c r="Y322" s="1"/>
      <c r="Z322" s="1"/>
    </row>
    <row r="323" customFormat="false" ht="15.75" hidden="false" customHeight="true" outlineLevel="0" collapsed="false">
      <c r="X323" s="1"/>
      <c r="Y323" s="1"/>
      <c r="Z323" s="1"/>
    </row>
    <row r="324" customFormat="false" ht="15.75" hidden="false" customHeight="true" outlineLevel="0" collapsed="false">
      <c r="X324" s="1"/>
      <c r="Y324" s="1"/>
      <c r="Z324" s="1"/>
    </row>
    <row r="325" customFormat="false" ht="15.75" hidden="false" customHeight="true" outlineLevel="0" collapsed="false">
      <c r="X325" s="1"/>
      <c r="Y325" s="1"/>
      <c r="Z325" s="1"/>
    </row>
    <row r="326" customFormat="false" ht="15.75" hidden="false" customHeight="true" outlineLevel="0" collapsed="false">
      <c r="X326" s="1"/>
      <c r="Y326" s="1"/>
      <c r="Z326" s="1"/>
    </row>
    <row r="327" customFormat="false" ht="15.75" hidden="false" customHeight="true" outlineLevel="0" collapsed="false">
      <c r="X327" s="1"/>
      <c r="Y327" s="1"/>
      <c r="Z327" s="1"/>
    </row>
    <row r="328" customFormat="false" ht="15.75" hidden="false" customHeight="true" outlineLevel="0" collapsed="false">
      <c r="X328" s="1"/>
      <c r="Y328" s="1"/>
      <c r="Z328" s="1"/>
    </row>
    <row r="329" customFormat="false" ht="15.75" hidden="false" customHeight="true" outlineLevel="0" collapsed="false">
      <c r="X329" s="1"/>
      <c r="Y329" s="1"/>
      <c r="Z329" s="1"/>
    </row>
    <row r="330" customFormat="false" ht="15.75" hidden="false" customHeight="true" outlineLevel="0" collapsed="false">
      <c r="X330" s="1"/>
      <c r="Y330" s="1"/>
      <c r="Z330" s="1"/>
    </row>
    <row r="331" customFormat="false" ht="15.75" hidden="false" customHeight="true" outlineLevel="0" collapsed="false">
      <c r="X331" s="1"/>
      <c r="Y331" s="1"/>
      <c r="Z331" s="1"/>
    </row>
    <row r="332" customFormat="false" ht="15.75" hidden="false" customHeight="true" outlineLevel="0" collapsed="false">
      <c r="X332" s="1"/>
      <c r="Y332" s="1"/>
      <c r="Z332" s="1"/>
    </row>
    <row r="333" customFormat="false" ht="15.75" hidden="false" customHeight="true" outlineLevel="0" collapsed="false">
      <c r="X333" s="1"/>
      <c r="Y333" s="1"/>
      <c r="Z333" s="1"/>
    </row>
    <row r="334" customFormat="false" ht="15.75" hidden="false" customHeight="true" outlineLevel="0" collapsed="false">
      <c r="X334" s="1"/>
      <c r="Y334" s="1"/>
      <c r="Z334" s="1"/>
    </row>
    <row r="335" customFormat="false" ht="15.75" hidden="false" customHeight="true" outlineLevel="0" collapsed="false">
      <c r="X335" s="1"/>
      <c r="Y335" s="1"/>
      <c r="Z335" s="1"/>
    </row>
    <row r="336" customFormat="false" ht="15.75" hidden="false" customHeight="true" outlineLevel="0" collapsed="false">
      <c r="X336" s="1"/>
      <c r="Y336" s="1"/>
      <c r="Z336" s="1"/>
    </row>
    <row r="337" customFormat="false" ht="15.75" hidden="false" customHeight="true" outlineLevel="0" collapsed="false">
      <c r="X337" s="1"/>
      <c r="Y337" s="1"/>
      <c r="Z337" s="1"/>
    </row>
    <row r="338" customFormat="false" ht="15.75" hidden="false" customHeight="true" outlineLevel="0" collapsed="false">
      <c r="X338" s="1"/>
      <c r="Y338" s="1"/>
      <c r="Z338" s="1"/>
    </row>
    <row r="339" customFormat="false" ht="15.75" hidden="false" customHeight="true" outlineLevel="0" collapsed="false">
      <c r="X339" s="1"/>
      <c r="Y339" s="1"/>
      <c r="Z339" s="1"/>
    </row>
    <row r="340" customFormat="false" ht="15.75" hidden="false" customHeight="true" outlineLevel="0" collapsed="false">
      <c r="X340" s="1"/>
      <c r="Y340" s="1"/>
      <c r="Z340" s="1"/>
    </row>
    <row r="341" customFormat="false" ht="15.75" hidden="false" customHeight="true" outlineLevel="0" collapsed="false">
      <c r="X341" s="1"/>
      <c r="Y341" s="1"/>
      <c r="Z341" s="1"/>
    </row>
    <row r="342" customFormat="false" ht="15.75" hidden="false" customHeight="true" outlineLevel="0" collapsed="false">
      <c r="X342" s="1"/>
      <c r="Y342" s="1"/>
      <c r="Z342" s="1"/>
    </row>
    <row r="343" customFormat="false" ht="15.75" hidden="false" customHeight="true" outlineLevel="0" collapsed="false">
      <c r="X343" s="1"/>
      <c r="Y343" s="1"/>
      <c r="Z343" s="1"/>
    </row>
    <row r="344" customFormat="false" ht="15.75" hidden="false" customHeight="true" outlineLevel="0" collapsed="false">
      <c r="X344" s="1"/>
      <c r="Y344" s="1"/>
      <c r="Z344" s="1"/>
    </row>
    <row r="345" customFormat="false" ht="15.75" hidden="false" customHeight="true" outlineLevel="0" collapsed="false">
      <c r="X345" s="1"/>
      <c r="Y345" s="1"/>
      <c r="Z345" s="1"/>
    </row>
    <row r="346" customFormat="false" ht="15.75" hidden="false" customHeight="true" outlineLevel="0" collapsed="false">
      <c r="X346" s="1"/>
      <c r="Y346" s="1"/>
      <c r="Z346" s="1"/>
    </row>
    <row r="347" customFormat="false" ht="15.75" hidden="false" customHeight="true" outlineLevel="0" collapsed="false">
      <c r="X347" s="1"/>
      <c r="Y347" s="1"/>
      <c r="Z347" s="1"/>
    </row>
    <row r="348" customFormat="false" ht="15.75" hidden="false" customHeight="true" outlineLevel="0" collapsed="false">
      <c r="X348" s="1"/>
      <c r="Y348" s="1"/>
      <c r="Z348" s="1"/>
    </row>
    <row r="349" customFormat="false" ht="15.75" hidden="false" customHeight="true" outlineLevel="0" collapsed="false">
      <c r="X349" s="1"/>
      <c r="Y349" s="1"/>
      <c r="Z349" s="1"/>
    </row>
    <row r="350" customFormat="false" ht="15.75" hidden="false" customHeight="true" outlineLevel="0" collapsed="false">
      <c r="X350" s="1"/>
      <c r="Y350" s="1"/>
      <c r="Z350" s="1"/>
    </row>
    <row r="351" customFormat="false" ht="15.75" hidden="false" customHeight="true" outlineLevel="0" collapsed="false">
      <c r="X351" s="1"/>
      <c r="Y351" s="1"/>
      <c r="Z351" s="1"/>
    </row>
    <row r="352" customFormat="false" ht="15.75" hidden="false" customHeight="true" outlineLevel="0" collapsed="false">
      <c r="X352" s="1"/>
      <c r="Y352" s="1"/>
      <c r="Z352" s="1"/>
    </row>
    <row r="353" customFormat="false" ht="15.75" hidden="false" customHeight="true" outlineLevel="0" collapsed="false">
      <c r="X353" s="1"/>
      <c r="Y353" s="1"/>
      <c r="Z353" s="1"/>
    </row>
    <row r="354" customFormat="false" ht="15.75" hidden="false" customHeight="true" outlineLevel="0" collapsed="false">
      <c r="X354" s="1"/>
      <c r="Y354" s="1"/>
      <c r="Z354" s="1"/>
    </row>
    <row r="355" customFormat="false" ht="15.75" hidden="false" customHeight="true" outlineLevel="0" collapsed="false">
      <c r="X355" s="1"/>
      <c r="Y355" s="1"/>
      <c r="Z355" s="1"/>
    </row>
    <row r="356" customFormat="false" ht="15.75" hidden="false" customHeight="true" outlineLevel="0" collapsed="false">
      <c r="X356" s="1"/>
      <c r="Y356" s="1"/>
      <c r="Z356" s="1"/>
    </row>
    <row r="357" customFormat="false" ht="15.75" hidden="false" customHeight="true" outlineLevel="0" collapsed="false">
      <c r="X357" s="1"/>
      <c r="Y357" s="1"/>
      <c r="Z357" s="1"/>
    </row>
    <row r="358" customFormat="false" ht="15.75" hidden="false" customHeight="true" outlineLevel="0" collapsed="false">
      <c r="X358" s="1"/>
      <c r="Y358" s="1"/>
      <c r="Z358" s="1"/>
    </row>
    <row r="359" customFormat="false" ht="15.75" hidden="false" customHeight="true" outlineLevel="0" collapsed="false">
      <c r="X359" s="1"/>
      <c r="Y359" s="1"/>
      <c r="Z359" s="1"/>
    </row>
    <row r="360" customFormat="false" ht="15.75" hidden="false" customHeight="true" outlineLevel="0" collapsed="false">
      <c r="X360" s="1"/>
      <c r="Y360" s="1"/>
      <c r="Z360" s="1"/>
    </row>
    <row r="361" customFormat="false" ht="15.75" hidden="false" customHeight="true" outlineLevel="0" collapsed="false">
      <c r="X361" s="1"/>
      <c r="Y361" s="1"/>
      <c r="Z361" s="1"/>
    </row>
    <row r="362" customFormat="false" ht="15.75" hidden="false" customHeight="true" outlineLevel="0" collapsed="false">
      <c r="X362" s="1"/>
      <c r="Y362" s="1"/>
      <c r="Z362" s="1"/>
    </row>
    <row r="363" customFormat="false" ht="15.75" hidden="false" customHeight="true" outlineLevel="0" collapsed="false">
      <c r="X363" s="1"/>
      <c r="Y363" s="1"/>
      <c r="Z363" s="1"/>
    </row>
    <row r="364" customFormat="false" ht="15.75" hidden="false" customHeight="true" outlineLevel="0" collapsed="false">
      <c r="X364" s="1"/>
      <c r="Y364" s="1"/>
      <c r="Z364" s="1"/>
    </row>
    <row r="365" customFormat="false" ht="15.75" hidden="false" customHeight="true" outlineLevel="0" collapsed="false">
      <c r="X365" s="1"/>
      <c r="Y365" s="1"/>
      <c r="Z365" s="1"/>
    </row>
    <row r="366" customFormat="false" ht="15.75" hidden="false" customHeight="true" outlineLevel="0" collapsed="false">
      <c r="X366" s="1"/>
      <c r="Y366" s="1"/>
      <c r="Z366" s="1"/>
    </row>
    <row r="367" customFormat="false" ht="15.75" hidden="false" customHeight="true" outlineLevel="0" collapsed="false">
      <c r="X367" s="1"/>
      <c r="Y367" s="1"/>
      <c r="Z367" s="1"/>
    </row>
    <row r="368" customFormat="false" ht="15.75" hidden="false" customHeight="true" outlineLevel="0" collapsed="false">
      <c r="X368" s="1"/>
      <c r="Y368" s="1"/>
      <c r="Z368" s="1"/>
    </row>
    <row r="369" customFormat="false" ht="15.75" hidden="false" customHeight="true" outlineLevel="0" collapsed="false">
      <c r="X369" s="1"/>
      <c r="Y369" s="1"/>
      <c r="Z369" s="1"/>
    </row>
    <row r="370" customFormat="false" ht="15.75" hidden="false" customHeight="true" outlineLevel="0" collapsed="false">
      <c r="X370" s="1"/>
      <c r="Y370" s="1"/>
      <c r="Z370" s="1"/>
    </row>
    <row r="371" customFormat="false" ht="15.75" hidden="false" customHeight="true" outlineLevel="0" collapsed="false">
      <c r="X371" s="1"/>
      <c r="Y371" s="1"/>
      <c r="Z371" s="1"/>
    </row>
    <row r="372" customFormat="false" ht="15.75" hidden="false" customHeight="true" outlineLevel="0" collapsed="false">
      <c r="X372" s="1"/>
      <c r="Y372" s="1"/>
      <c r="Z372" s="1"/>
    </row>
    <row r="373" customFormat="false" ht="15.75" hidden="false" customHeight="true" outlineLevel="0" collapsed="false">
      <c r="X373" s="1"/>
      <c r="Y373" s="1"/>
      <c r="Z373" s="1"/>
    </row>
    <row r="374" customFormat="false" ht="15.75" hidden="false" customHeight="true" outlineLevel="0" collapsed="false">
      <c r="X374" s="1"/>
      <c r="Y374" s="1"/>
      <c r="Z374" s="1"/>
    </row>
    <row r="375" customFormat="false" ht="15.75" hidden="false" customHeight="true" outlineLevel="0" collapsed="false">
      <c r="X375" s="1"/>
      <c r="Y375" s="1"/>
      <c r="Z375" s="1"/>
    </row>
    <row r="376" customFormat="false" ht="15.75" hidden="false" customHeight="true" outlineLevel="0" collapsed="false">
      <c r="X376" s="1"/>
      <c r="Y376" s="1"/>
      <c r="Z376" s="1"/>
    </row>
    <row r="377" customFormat="false" ht="15.75" hidden="false" customHeight="true" outlineLevel="0" collapsed="false">
      <c r="X377" s="1"/>
      <c r="Y377" s="1"/>
      <c r="Z377" s="1"/>
    </row>
    <row r="378" customFormat="false" ht="15.75" hidden="false" customHeight="true" outlineLevel="0" collapsed="false">
      <c r="X378" s="1"/>
      <c r="Y378" s="1"/>
      <c r="Z378" s="1"/>
    </row>
    <row r="379" customFormat="false" ht="15.75" hidden="false" customHeight="true" outlineLevel="0" collapsed="false">
      <c r="X379" s="1"/>
      <c r="Y379" s="1"/>
      <c r="Z379" s="1"/>
    </row>
    <row r="380" customFormat="false" ht="15.75" hidden="false" customHeight="true" outlineLevel="0" collapsed="false">
      <c r="X380" s="1"/>
      <c r="Y380" s="1"/>
      <c r="Z380" s="1"/>
    </row>
    <row r="381" customFormat="false" ht="15.75" hidden="false" customHeight="true" outlineLevel="0" collapsed="false">
      <c r="X381" s="1"/>
      <c r="Y381" s="1"/>
      <c r="Z381" s="1"/>
    </row>
    <row r="382" customFormat="false" ht="15.75" hidden="false" customHeight="true" outlineLevel="0" collapsed="false">
      <c r="X382" s="1"/>
      <c r="Y382" s="1"/>
      <c r="Z382" s="1"/>
    </row>
    <row r="383" customFormat="false" ht="15.75" hidden="false" customHeight="true" outlineLevel="0" collapsed="false">
      <c r="X383" s="1"/>
      <c r="Y383" s="1"/>
      <c r="Z383" s="1"/>
    </row>
    <row r="384" customFormat="false" ht="15.75" hidden="false" customHeight="true" outlineLevel="0" collapsed="false">
      <c r="X384" s="1"/>
      <c r="Y384" s="1"/>
      <c r="Z384" s="1"/>
    </row>
    <row r="385" customFormat="false" ht="15.75" hidden="false" customHeight="true" outlineLevel="0" collapsed="false">
      <c r="X385" s="1"/>
      <c r="Y385" s="1"/>
      <c r="Z385" s="1"/>
    </row>
    <row r="386" customFormat="false" ht="15.75" hidden="false" customHeight="true" outlineLevel="0" collapsed="false">
      <c r="X386" s="1"/>
      <c r="Y386" s="1"/>
      <c r="Z386" s="1"/>
    </row>
    <row r="387" customFormat="false" ht="15.75" hidden="false" customHeight="true" outlineLevel="0" collapsed="false">
      <c r="X387" s="1"/>
      <c r="Y387" s="1"/>
      <c r="Z387" s="1"/>
    </row>
    <row r="388" customFormat="false" ht="15.75" hidden="false" customHeight="true" outlineLevel="0" collapsed="false">
      <c r="X388" s="1"/>
      <c r="Y388" s="1"/>
      <c r="Z388" s="1"/>
    </row>
    <row r="389" customFormat="false" ht="15.75" hidden="false" customHeight="true" outlineLevel="0" collapsed="false">
      <c r="X389" s="1"/>
      <c r="Y389" s="1"/>
      <c r="Z389" s="1"/>
    </row>
    <row r="390" customFormat="false" ht="15.75" hidden="false" customHeight="true" outlineLevel="0" collapsed="false">
      <c r="X390" s="1"/>
      <c r="Y390" s="1"/>
      <c r="Z390" s="1"/>
    </row>
    <row r="391" customFormat="false" ht="15.75" hidden="false" customHeight="true" outlineLevel="0" collapsed="false">
      <c r="X391" s="1"/>
      <c r="Y391" s="1"/>
      <c r="Z391" s="1"/>
    </row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9">
    <mergeCell ref="A1:J1"/>
    <mergeCell ref="A3:J3"/>
    <mergeCell ref="A4:J4"/>
    <mergeCell ref="A6:J6"/>
    <mergeCell ref="A7:J7"/>
    <mergeCell ref="A9:J9"/>
    <mergeCell ref="A10:J10"/>
    <mergeCell ref="A12:J12"/>
    <mergeCell ref="A13:J13"/>
    <mergeCell ref="A15:J15"/>
    <mergeCell ref="A16:J16"/>
    <mergeCell ref="A18:J18"/>
    <mergeCell ref="A19:J19"/>
    <mergeCell ref="B143:F143"/>
    <mergeCell ref="B146:F146"/>
    <mergeCell ref="B158:F158"/>
    <mergeCell ref="B168:F168"/>
    <mergeCell ref="B176:F176"/>
    <mergeCell ref="B186:F1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311F"/>
    <pageSetUpPr fitToPage="true"/>
  </sheetPr>
  <dimension ref="A1:Z100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00"/>
    <col collapsed="false" customWidth="true" hidden="false" outlineLevel="0" max="2" min="2" style="1" width="40.14"/>
    <col collapsed="false" customWidth="true" hidden="false" outlineLevel="0" max="3" min="3" style="1" width="85.86"/>
    <col collapsed="false" customWidth="true" hidden="false" outlineLevel="0" max="4" min="4" style="1" width="65"/>
    <col collapsed="false" customWidth="true" hidden="false" outlineLevel="0" max="23" min="5" style="1" width="8.71"/>
  </cols>
  <sheetData>
    <row r="1" customFormat="false" ht="36" hidden="false" customHeight="true" outlineLevel="0" collapsed="false">
      <c r="A1" s="341" t="s">
        <v>1734</v>
      </c>
      <c r="B1" s="341"/>
      <c r="C1" s="341"/>
      <c r="D1" s="341"/>
      <c r="E1" s="341"/>
      <c r="F1" s="341"/>
      <c r="G1" s="341"/>
      <c r="H1" s="341"/>
      <c r="I1" s="341"/>
      <c r="J1" s="341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393"/>
      <c r="X1" s="393"/>
      <c r="Y1" s="393"/>
      <c r="Z1" s="393"/>
    </row>
    <row r="2" customFormat="false" ht="19.5" hidden="false" customHeight="true" outlineLevel="0" collapsed="false">
      <c r="A2" s="394"/>
      <c r="B2" s="395"/>
      <c r="C2" s="394"/>
      <c r="D2" s="394"/>
      <c r="E2" s="393"/>
      <c r="F2" s="393"/>
      <c r="G2" s="393"/>
      <c r="H2" s="393"/>
      <c r="I2" s="393"/>
      <c r="J2" s="393"/>
      <c r="K2" s="393"/>
      <c r="L2" s="393"/>
      <c r="M2" s="393"/>
      <c r="N2" s="393"/>
      <c r="O2" s="393"/>
      <c r="P2" s="393"/>
      <c r="Q2" s="393"/>
      <c r="R2" s="393"/>
      <c r="S2" s="393"/>
      <c r="T2" s="393"/>
      <c r="U2" s="393"/>
      <c r="V2" s="393"/>
      <c r="W2" s="393"/>
      <c r="X2" s="393"/>
      <c r="Y2" s="393"/>
      <c r="Z2" s="393"/>
    </row>
    <row r="3" customFormat="false" ht="21.75" hidden="false" customHeight="true" outlineLevel="0" collapsed="false">
      <c r="A3" s="396" t="s">
        <v>1735</v>
      </c>
      <c r="B3" s="396"/>
      <c r="C3" s="396"/>
      <c r="D3" s="396"/>
      <c r="E3" s="396"/>
      <c r="F3" s="396"/>
      <c r="G3" s="396"/>
      <c r="H3" s="396"/>
      <c r="I3" s="396"/>
      <c r="J3" s="396"/>
      <c r="K3" s="393"/>
      <c r="L3" s="393"/>
      <c r="M3" s="393"/>
      <c r="N3" s="393"/>
      <c r="O3" s="393"/>
      <c r="P3" s="393"/>
      <c r="Q3" s="393"/>
      <c r="R3" s="393"/>
      <c r="S3" s="393"/>
      <c r="T3" s="393"/>
      <c r="U3" s="393"/>
      <c r="V3" s="393"/>
      <c r="W3" s="393"/>
      <c r="X3" s="393"/>
      <c r="Y3" s="393"/>
      <c r="Z3" s="393"/>
    </row>
    <row r="4" customFormat="false" ht="39.75" hidden="false" customHeight="true" outlineLevel="0" collapsed="false">
      <c r="A4" s="344" t="s">
        <v>1736</v>
      </c>
      <c r="B4" s="344"/>
      <c r="C4" s="344"/>
      <c r="D4" s="344"/>
      <c r="E4" s="344"/>
      <c r="F4" s="344"/>
      <c r="G4" s="344"/>
      <c r="H4" s="344"/>
      <c r="I4" s="344"/>
      <c r="J4" s="344"/>
      <c r="K4" s="393"/>
      <c r="L4" s="393"/>
      <c r="M4" s="393"/>
      <c r="N4" s="393"/>
      <c r="O4" s="393"/>
      <c r="P4" s="393"/>
      <c r="Q4" s="393"/>
      <c r="R4" s="393"/>
      <c r="S4" s="393"/>
      <c r="T4" s="393"/>
      <c r="U4" s="393"/>
      <c r="V4" s="393"/>
      <c r="W4" s="393"/>
      <c r="X4" s="393"/>
      <c r="Y4" s="393"/>
      <c r="Z4" s="393"/>
    </row>
    <row r="5" customFormat="false" ht="15" hidden="false" customHeight="true" outlineLevel="0" collapsed="false">
      <c r="A5" s="397"/>
      <c r="B5" s="398"/>
      <c r="C5" s="397"/>
      <c r="D5" s="397"/>
      <c r="E5" s="393"/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93"/>
      <c r="Q5" s="393"/>
      <c r="R5" s="393"/>
      <c r="S5" s="393"/>
      <c r="T5" s="393"/>
      <c r="U5" s="393"/>
      <c r="V5" s="393"/>
      <c r="W5" s="393"/>
      <c r="X5" s="393"/>
      <c r="Y5" s="393"/>
      <c r="Z5" s="393"/>
    </row>
    <row r="6" customFormat="false" ht="21.75" hidden="false" customHeight="true" outlineLevel="0" collapsed="false">
      <c r="A6" s="396" t="s">
        <v>1737</v>
      </c>
      <c r="B6" s="396"/>
      <c r="C6" s="396"/>
      <c r="D6" s="396"/>
      <c r="E6" s="396"/>
      <c r="F6" s="396"/>
      <c r="G6" s="396"/>
      <c r="H6" s="396"/>
      <c r="I6" s="396"/>
      <c r="J6" s="396"/>
      <c r="K6" s="393"/>
      <c r="L6" s="393"/>
      <c r="M6" s="393"/>
      <c r="N6" s="393"/>
      <c r="O6" s="393"/>
      <c r="P6" s="393"/>
      <c r="Q6" s="393"/>
      <c r="R6" s="393"/>
      <c r="S6" s="393"/>
      <c r="T6" s="393"/>
      <c r="U6" s="393"/>
      <c r="V6" s="393"/>
      <c r="W6" s="393"/>
      <c r="X6" s="393"/>
      <c r="Y6" s="393"/>
      <c r="Z6" s="393"/>
    </row>
    <row r="7" customFormat="false" ht="90" hidden="false" customHeight="true" outlineLevel="0" collapsed="false">
      <c r="A7" s="344" t="s">
        <v>1738</v>
      </c>
      <c r="B7" s="344"/>
      <c r="C7" s="344"/>
      <c r="D7" s="344"/>
      <c r="E7" s="344"/>
      <c r="F7" s="344"/>
      <c r="G7" s="344"/>
      <c r="H7" s="344"/>
      <c r="I7" s="344"/>
      <c r="J7" s="344"/>
      <c r="K7" s="393"/>
      <c r="L7" s="393"/>
      <c r="M7" s="393"/>
      <c r="N7" s="393"/>
      <c r="O7" s="393"/>
      <c r="P7" s="393"/>
      <c r="Q7" s="393"/>
      <c r="R7" s="393"/>
      <c r="S7" s="393"/>
      <c r="T7" s="393"/>
      <c r="U7" s="393"/>
      <c r="V7" s="393"/>
      <c r="W7" s="393"/>
      <c r="X7" s="393"/>
      <c r="Y7" s="393"/>
      <c r="Z7" s="393"/>
    </row>
    <row r="8" customFormat="false" ht="15" hidden="false" customHeight="true" outlineLevel="0" collapsed="false">
      <c r="A8" s="399"/>
      <c r="B8" s="399"/>
      <c r="C8" s="399"/>
      <c r="D8" s="399"/>
      <c r="E8" s="393"/>
      <c r="F8" s="393"/>
      <c r="G8" s="393"/>
      <c r="H8" s="393"/>
      <c r="I8" s="393"/>
      <c r="J8" s="393"/>
      <c r="K8" s="393"/>
      <c r="L8" s="393"/>
      <c r="M8" s="393"/>
      <c r="N8" s="393"/>
      <c r="O8" s="393"/>
      <c r="P8" s="393"/>
      <c r="Q8" s="393"/>
      <c r="R8" s="393"/>
      <c r="S8" s="393"/>
      <c r="T8" s="393"/>
      <c r="U8" s="393"/>
      <c r="V8" s="393"/>
      <c r="W8" s="393"/>
      <c r="X8" s="393"/>
      <c r="Y8" s="393"/>
      <c r="Z8" s="393"/>
    </row>
    <row r="9" customFormat="false" ht="21.75" hidden="false" customHeight="true" outlineLevel="0" collapsed="false">
      <c r="A9" s="396" t="s">
        <v>1739</v>
      </c>
      <c r="B9" s="396"/>
      <c r="C9" s="396"/>
      <c r="D9" s="396"/>
      <c r="E9" s="396"/>
      <c r="F9" s="396"/>
      <c r="G9" s="396"/>
      <c r="H9" s="396"/>
      <c r="I9" s="396"/>
      <c r="J9" s="396"/>
      <c r="K9" s="393"/>
      <c r="L9" s="393"/>
      <c r="M9" s="393"/>
      <c r="N9" s="393"/>
      <c r="O9" s="393"/>
      <c r="P9" s="393"/>
      <c r="Q9" s="393"/>
      <c r="R9" s="393"/>
      <c r="S9" s="393"/>
      <c r="T9" s="393"/>
      <c r="U9" s="393"/>
      <c r="V9" s="393"/>
      <c r="W9" s="393"/>
      <c r="X9" s="393"/>
      <c r="Y9" s="393"/>
      <c r="Z9" s="393"/>
    </row>
    <row r="10" customFormat="false" ht="144" hidden="false" customHeight="true" outlineLevel="0" collapsed="false">
      <c r="A10" s="344" t="s">
        <v>1740</v>
      </c>
      <c r="B10" s="344"/>
      <c r="C10" s="344"/>
      <c r="D10" s="344"/>
      <c r="E10" s="344"/>
      <c r="F10" s="344"/>
      <c r="G10" s="344"/>
      <c r="H10" s="344"/>
      <c r="I10" s="344"/>
      <c r="J10" s="344"/>
      <c r="K10" s="393"/>
      <c r="L10" s="393"/>
      <c r="M10" s="393"/>
      <c r="N10" s="393"/>
      <c r="O10" s="393"/>
      <c r="P10" s="393"/>
      <c r="Q10" s="393"/>
      <c r="R10" s="393"/>
      <c r="S10" s="393"/>
      <c r="T10" s="393"/>
      <c r="U10" s="393"/>
      <c r="V10" s="393"/>
      <c r="W10" s="393"/>
      <c r="X10" s="393"/>
      <c r="Y10" s="393"/>
      <c r="Z10" s="393"/>
    </row>
    <row r="11" customFormat="false" ht="15" hidden="false" customHeight="true" outlineLevel="0" collapsed="false">
      <c r="A11" s="399"/>
      <c r="B11" s="399"/>
      <c r="C11" s="399"/>
      <c r="D11" s="399"/>
      <c r="E11" s="393"/>
      <c r="F11" s="393"/>
      <c r="G11" s="393"/>
      <c r="H11" s="393"/>
      <c r="I11" s="393"/>
      <c r="J11" s="393"/>
      <c r="K11" s="393"/>
      <c r="L11" s="393"/>
      <c r="M11" s="393"/>
      <c r="N11" s="393"/>
      <c r="O11" s="393"/>
      <c r="P11" s="393"/>
      <c r="Q11" s="393"/>
      <c r="R11" s="393"/>
      <c r="S11" s="393"/>
      <c r="T11" s="393"/>
      <c r="U11" s="393"/>
      <c r="V11" s="393"/>
      <c r="W11" s="393"/>
      <c r="X11" s="393"/>
      <c r="Y11" s="393"/>
      <c r="Z11" s="393"/>
    </row>
    <row r="12" customFormat="false" ht="21.75" hidden="false" customHeight="true" outlineLevel="0" collapsed="false">
      <c r="A12" s="396" t="s">
        <v>1741</v>
      </c>
      <c r="B12" s="396"/>
      <c r="C12" s="396"/>
      <c r="D12" s="396"/>
      <c r="E12" s="396"/>
      <c r="F12" s="396"/>
      <c r="G12" s="396"/>
      <c r="H12" s="396"/>
      <c r="I12" s="396"/>
      <c r="J12" s="396"/>
      <c r="K12" s="393"/>
      <c r="L12" s="393"/>
      <c r="M12" s="393"/>
      <c r="N12" s="393"/>
      <c r="O12" s="393"/>
      <c r="P12" s="393"/>
      <c r="Q12" s="393"/>
      <c r="R12" s="393"/>
      <c r="S12" s="393"/>
      <c r="T12" s="393"/>
      <c r="U12" s="393"/>
      <c r="V12" s="393"/>
      <c r="W12" s="393"/>
      <c r="X12" s="393"/>
      <c r="Y12" s="393"/>
      <c r="Z12" s="393"/>
    </row>
    <row r="13" customFormat="false" ht="39.75" hidden="false" customHeight="true" outlineLevel="0" collapsed="false">
      <c r="A13" s="344" t="s">
        <v>1742</v>
      </c>
      <c r="B13" s="344"/>
      <c r="C13" s="344"/>
      <c r="D13" s="344"/>
      <c r="E13" s="344"/>
      <c r="F13" s="344"/>
      <c r="G13" s="344"/>
      <c r="H13" s="344"/>
      <c r="I13" s="344"/>
      <c r="J13" s="344"/>
      <c r="K13" s="393"/>
      <c r="L13" s="393"/>
      <c r="M13" s="393"/>
      <c r="N13" s="393"/>
      <c r="O13" s="393"/>
      <c r="P13" s="393"/>
      <c r="Q13" s="393"/>
      <c r="R13" s="393"/>
      <c r="S13" s="393"/>
      <c r="T13" s="393"/>
      <c r="U13" s="393"/>
      <c r="V13" s="393"/>
      <c r="W13" s="393"/>
      <c r="X13" s="393"/>
      <c r="Y13" s="393"/>
      <c r="Z13" s="393"/>
    </row>
    <row r="14" customFormat="false" ht="15" hidden="false" customHeight="true" outlineLevel="0" collapsed="false">
      <c r="A14" s="399"/>
      <c r="B14" s="399"/>
      <c r="C14" s="399"/>
      <c r="D14" s="399"/>
      <c r="E14" s="393"/>
      <c r="F14" s="393"/>
      <c r="G14" s="393"/>
      <c r="H14" s="393"/>
      <c r="I14" s="393"/>
      <c r="J14" s="393"/>
      <c r="K14" s="393"/>
      <c r="L14" s="393"/>
      <c r="M14" s="393"/>
      <c r="N14" s="393"/>
      <c r="O14" s="393"/>
      <c r="P14" s="393"/>
      <c r="Q14" s="393"/>
      <c r="R14" s="393"/>
      <c r="S14" s="393"/>
      <c r="T14" s="393"/>
      <c r="U14" s="393"/>
      <c r="V14" s="393"/>
      <c r="W14" s="393"/>
      <c r="X14" s="393"/>
      <c r="Y14" s="393"/>
      <c r="Z14" s="393"/>
    </row>
    <row r="15" customFormat="false" ht="21.75" hidden="false" customHeight="true" outlineLevel="0" collapsed="false">
      <c r="A15" s="396" t="s">
        <v>1743</v>
      </c>
      <c r="B15" s="396"/>
      <c r="C15" s="396"/>
      <c r="D15" s="396"/>
      <c r="E15" s="396"/>
      <c r="F15" s="396"/>
      <c r="G15" s="396"/>
      <c r="H15" s="396"/>
      <c r="I15" s="396"/>
      <c r="J15" s="396"/>
      <c r="K15" s="393"/>
      <c r="L15" s="393"/>
      <c r="M15" s="393"/>
      <c r="N15" s="393"/>
      <c r="O15" s="393"/>
      <c r="P15" s="393"/>
      <c r="Q15" s="393"/>
      <c r="R15" s="393"/>
      <c r="S15" s="393"/>
      <c r="T15" s="393"/>
      <c r="U15" s="393"/>
      <c r="V15" s="393"/>
      <c r="W15" s="393"/>
      <c r="X15" s="393"/>
      <c r="Y15" s="393"/>
      <c r="Z15" s="393"/>
    </row>
    <row r="16" customFormat="false" ht="90" hidden="false" customHeight="true" outlineLevel="0" collapsed="false">
      <c r="A16" s="344" t="s">
        <v>1744</v>
      </c>
      <c r="B16" s="344"/>
      <c r="C16" s="344"/>
      <c r="D16" s="344"/>
      <c r="E16" s="344"/>
      <c r="F16" s="344"/>
      <c r="G16" s="344"/>
      <c r="H16" s="344"/>
      <c r="I16" s="344"/>
      <c r="J16" s="344"/>
      <c r="K16" s="393"/>
      <c r="L16" s="393"/>
      <c r="M16" s="393"/>
      <c r="N16" s="393"/>
      <c r="O16" s="393"/>
      <c r="P16" s="393"/>
      <c r="Q16" s="393"/>
      <c r="R16" s="393"/>
      <c r="S16" s="393"/>
      <c r="T16" s="393"/>
      <c r="U16" s="393"/>
      <c r="V16" s="393"/>
      <c r="W16" s="393"/>
      <c r="X16" s="393"/>
      <c r="Y16" s="393"/>
      <c r="Z16" s="393"/>
    </row>
    <row r="17" customFormat="false" ht="15" hidden="false" customHeight="true" outlineLevel="0" collapsed="false">
      <c r="A17" s="399"/>
      <c r="B17" s="399"/>
      <c r="C17" s="399"/>
      <c r="D17" s="399"/>
      <c r="E17" s="393"/>
      <c r="F17" s="393"/>
      <c r="G17" s="393"/>
      <c r="H17" s="393"/>
      <c r="I17" s="393"/>
      <c r="J17" s="393"/>
      <c r="K17" s="393"/>
      <c r="L17" s="393"/>
      <c r="M17" s="393"/>
      <c r="N17" s="393"/>
      <c r="O17" s="393"/>
      <c r="P17" s="393"/>
      <c r="Q17" s="393"/>
      <c r="R17" s="393"/>
      <c r="S17" s="393"/>
      <c r="T17" s="393"/>
      <c r="U17" s="393"/>
      <c r="V17" s="393"/>
      <c r="W17" s="393"/>
      <c r="X17" s="393"/>
      <c r="Y17" s="393"/>
      <c r="Z17" s="393"/>
    </row>
    <row r="18" customFormat="false" ht="21.75" hidden="false" customHeight="true" outlineLevel="0" collapsed="false">
      <c r="A18" s="396" t="s">
        <v>1745</v>
      </c>
      <c r="B18" s="396"/>
      <c r="C18" s="396"/>
      <c r="D18" s="396"/>
      <c r="E18" s="396"/>
      <c r="F18" s="396"/>
      <c r="G18" s="396"/>
      <c r="H18" s="396"/>
      <c r="I18" s="396"/>
      <c r="J18" s="396"/>
      <c r="K18" s="393"/>
      <c r="L18" s="393"/>
      <c r="M18" s="393"/>
      <c r="N18" s="393"/>
      <c r="O18" s="393"/>
      <c r="P18" s="393"/>
      <c r="Q18" s="393"/>
      <c r="R18" s="393"/>
      <c r="S18" s="393"/>
      <c r="T18" s="393"/>
      <c r="U18" s="393"/>
      <c r="V18" s="393"/>
      <c r="W18" s="393"/>
      <c r="X18" s="393"/>
      <c r="Y18" s="393"/>
      <c r="Z18" s="393"/>
    </row>
    <row r="19" customFormat="false" ht="54" hidden="false" customHeight="true" outlineLevel="0" collapsed="false">
      <c r="A19" s="344" t="s">
        <v>1746</v>
      </c>
      <c r="B19" s="344"/>
      <c r="C19" s="344"/>
      <c r="D19" s="344"/>
      <c r="E19" s="344"/>
      <c r="F19" s="344"/>
      <c r="G19" s="344"/>
      <c r="H19" s="344"/>
      <c r="I19" s="344"/>
      <c r="J19" s="344"/>
      <c r="K19" s="393"/>
      <c r="L19" s="393"/>
      <c r="M19" s="393"/>
      <c r="N19" s="393"/>
      <c r="O19" s="393"/>
      <c r="P19" s="393"/>
      <c r="Q19" s="393"/>
      <c r="R19" s="393"/>
      <c r="S19" s="393"/>
      <c r="T19" s="393"/>
      <c r="U19" s="393"/>
      <c r="V19" s="393"/>
      <c r="W19" s="393"/>
      <c r="X19" s="393"/>
      <c r="Y19" s="393"/>
      <c r="Z19" s="393"/>
    </row>
    <row r="20" customFormat="false" ht="15" hidden="false" customHeight="true" outlineLevel="0" collapsed="false">
      <c r="A20" s="397"/>
      <c r="B20" s="397"/>
      <c r="C20" s="397"/>
      <c r="D20" s="397"/>
      <c r="E20" s="393"/>
      <c r="F20" s="393"/>
      <c r="G20" s="393"/>
      <c r="H20" s="393"/>
      <c r="I20" s="393"/>
      <c r="J20" s="393"/>
      <c r="K20" s="393"/>
      <c r="L20" s="393"/>
      <c r="M20" s="393"/>
      <c r="N20" s="393"/>
      <c r="O20" s="393"/>
      <c r="P20" s="393"/>
      <c r="Q20" s="393"/>
      <c r="R20" s="393"/>
      <c r="S20" s="393"/>
      <c r="T20" s="393"/>
      <c r="U20" s="393"/>
      <c r="V20" s="393"/>
      <c r="W20" s="393"/>
      <c r="X20" s="393"/>
      <c r="Y20" s="393"/>
      <c r="Z20" s="393"/>
    </row>
    <row r="21" customFormat="false" ht="15.75" hidden="false" customHeight="true" outlineLevel="0" collapsed="false">
      <c r="A21" s="400"/>
      <c r="B21" s="401"/>
      <c r="C21" s="400"/>
      <c r="D21" s="400"/>
      <c r="E21" s="393"/>
      <c r="F21" s="393"/>
      <c r="G21" s="393"/>
      <c r="H21" s="393"/>
      <c r="I21" s="393"/>
      <c r="J21" s="393"/>
      <c r="K21" s="393"/>
      <c r="L21" s="393"/>
      <c r="M21" s="393"/>
      <c r="N21" s="393"/>
      <c r="O21" s="393"/>
      <c r="P21" s="393"/>
      <c r="Q21" s="393"/>
      <c r="R21" s="393"/>
      <c r="S21" s="393"/>
      <c r="T21" s="393"/>
      <c r="U21" s="393"/>
      <c r="V21" s="393"/>
      <c r="W21" s="393"/>
      <c r="X21" s="393"/>
      <c r="Y21" s="393"/>
      <c r="Z21" s="393"/>
    </row>
    <row r="22" customFormat="false" ht="15.75" hidden="false" customHeight="true" outlineLevel="0" collapsed="false">
      <c r="A22" s="402"/>
      <c r="B22" s="403"/>
      <c r="C22" s="402"/>
      <c r="D22" s="402"/>
      <c r="E22" s="393"/>
      <c r="F22" s="393"/>
      <c r="G22" s="393"/>
      <c r="H22" s="393"/>
      <c r="I22" s="393"/>
      <c r="J22" s="393"/>
      <c r="K22" s="393"/>
      <c r="L22" s="393"/>
      <c r="M22" s="393"/>
      <c r="N22" s="393"/>
      <c r="O22" s="393"/>
      <c r="P22" s="393"/>
      <c r="Q22" s="393"/>
      <c r="R22" s="393"/>
      <c r="S22" s="393"/>
      <c r="T22" s="393"/>
      <c r="U22" s="393"/>
      <c r="V22" s="393"/>
      <c r="W22" s="393"/>
      <c r="X22" s="393"/>
      <c r="Y22" s="393"/>
      <c r="Z22" s="393"/>
    </row>
    <row r="23" customFormat="false" ht="15.75" hidden="false" customHeight="true" outlineLevel="0" collapsed="false">
      <c r="A23" s="397"/>
      <c r="B23" s="404"/>
      <c r="C23" s="397"/>
      <c r="D23" s="397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3"/>
      <c r="Q23" s="393"/>
      <c r="R23" s="393"/>
      <c r="S23" s="393"/>
      <c r="T23" s="393"/>
      <c r="U23" s="393"/>
      <c r="V23" s="393"/>
      <c r="W23" s="393"/>
      <c r="X23" s="393"/>
      <c r="Y23" s="393"/>
      <c r="Z23" s="393"/>
    </row>
    <row r="24" customFormat="false" ht="15.75" hidden="false" customHeight="true" outlineLevel="0" collapsed="false">
      <c r="A24" s="399"/>
      <c r="B24" s="399"/>
      <c r="C24" s="399"/>
      <c r="D24" s="399"/>
      <c r="E24" s="393"/>
      <c r="F24" s="393"/>
      <c r="G24" s="393"/>
      <c r="H24" s="393"/>
      <c r="I24" s="393"/>
      <c r="J24" s="393"/>
      <c r="K24" s="393"/>
      <c r="L24" s="393"/>
      <c r="M24" s="393"/>
      <c r="N24" s="393"/>
      <c r="O24" s="393"/>
      <c r="P24" s="393"/>
      <c r="Q24" s="393"/>
      <c r="R24" s="393"/>
      <c r="S24" s="393"/>
      <c r="T24" s="393"/>
      <c r="U24" s="393"/>
      <c r="V24" s="393"/>
      <c r="W24" s="393"/>
      <c r="X24" s="393"/>
      <c r="Y24" s="393"/>
      <c r="Z24" s="393"/>
    </row>
    <row r="25" customFormat="false" ht="15.75" hidden="false" customHeight="true" outlineLevel="0" collapsed="false">
      <c r="A25" s="405"/>
      <c r="B25" s="406"/>
      <c r="C25" s="405"/>
      <c r="D25" s="405"/>
      <c r="E25" s="393"/>
      <c r="F25" s="393"/>
      <c r="G25" s="393"/>
      <c r="H25" s="393"/>
      <c r="I25" s="393"/>
      <c r="J25" s="393"/>
      <c r="K25" s="393"/>
      <c r="L25" s="393"/>
      <c r="M25" s="393"/>
      <c r="N25" s="393"/>
      <c r="O25" s="393"/>
      <c r="P25" s="393"/>
      <c r="Q25" s="393"/>
      <c r="R25" s="393"/>
      <c r="S25" s="393"/>
      <c r="T25" s="393"/>
      <c r="U25" s="393"/>
      <c r="V25" s="393"/>
      <c r="W25" s="393"/>
      <c r="X25" s="393"/>
      <c r="Y25" s="393"/>
      <c r="Z25" s="393"/>
    </row>
    <row r="26" customFormat="false" ht="15.75" hidden="false" customHeight="true" outlineLevel="0" collapsed="false">
      <c r="A26" s="407"/>
      <c r="B26" s="408"/>
      <c r="C26" s="407"/>
      <c r="D26" s="407"/>
      <c r="E26" s="393"/>
      <c r="F26" s="393"/>
      <c r="G26" s="393"/>
      <c r="H26" s="393"/>
      <c r="I26" s="393"/>
      <c r="J26" s="393"/>
      <c r="K26" s="393"/>
      <c r="L26" s="393"/>
      <c r="M26" s="393"/>
      <c r="N26" s="393"/>
      <c r="O26" s="393"/>
      <c r="P26" s="393"/>
      <c r="Q26" s="393"/>
      <c r="R26" s="393"/>
      <c r="S26" s="393"/>
      <c r="T26" s="393"/>
      <c r="U26" s="393"/>
      <c r="V26" s="393"/>
      <c r="W26" s="393"/>
      <c r="X26" s="393"/>
      <c r="Y26" s="393"/>
      <c r="Z26" s="393"/>
    </row>
    <row r="27" customFormat="false" ht="15.75" hidden="false" customHeight="true" outlineLevel="0" collapsed="false">
      <c r="A27" s="399"/>
      <c r="B27" s="399"/>
      <c r="C27" s="399"/>
      <c r="D27" s="399"/>
      <c r="E27" s="393"/>
      <c r="F27" s="393"/>
      <c r="G27" s="393"/>
      <c r="H27" s="393"/>
      <c r="I27" s="393"/>
      <c r="J27" s="393"/>
      <c r="K27" s="393"/>
      <c r="L27" s="393"/>
      <c r="M27" s="393"/>
      <c r="N27" s="393"/>
      <c r="O27" s="393"/>
      <c r="P27" s="393"/>
      <c r="Q27" s="393"/>
      <c r="R27" s="393"/>
      <c r="S27" s="393"/>
      <c r="T27" s="393"/>
      <c r="U27" s="393"/>
      <c r="V27" s="393"/>
      <c r="W27" s="393"/>
      <c r="X27" s="393"/>
      <c r="Y27" s="393"/>
      <c r="Z27" s="393"/>
    </row>
    <row r="28" customFormat="false" ht="15.75" hidden="false" customHeight="true" outlineLevel="0" collapsed="false">
      <c r="A28" s="405"/>
      <c r="B28" s="409"/>
      <c r="C28" s="405"/>
      <c r="D28" s="405"/>
      <c r="E28" s="393"/>
      <c r="F28" s="393"/>
      <c r="G28" s="393"/>
      <c r="H28" s="393"/>
      <c r="I28" s="393"/>
      <c r="J28" s="393"/>
      <c r="K28" s="393"/>
      <c r="L28" s="393"/>
      <c r="M28" s="393"/>
      <c r="N28" s="393"/>
      <c r="O28" s="393"/>
      <c r="P28" s="393"/>
      <c r="Q28" s="393"/>
      <c r="R28" s="393"/>
      <c r="S28" s="393"/>
      <c r="T28" s="393"/>
      <c r="U28" s="393"/>
      <c r="V28" s="393"/>
      <c r="W28" s="393"/>
      <c r="X28" s="393"/>
      <c r="Y28" s="393"/>
      <c r="Z28" s="393"/>
    </row>
    <row r="29" customFormat="false" ht="15.75" hidden="false" customHeight="true" outlineLevel="0" collapsed="false">
      <c r="A29" s="407"/>
      <c r="B29" s="408"/>
      <c r="C29" s="407"/>
      <c r="D29" s="407"/>
      <c r="E29" s="393"/>
      <c r="F29" s="393"/>
      <c r="G29" s="393"/>
      <c r="H29" s="393"/>
      <c r="I29" s="393"/>
      <c r="J29" s="393"/>
      <c r="K29" s="393"/>
      <c r="L29" s="393"/>
      <c r="M29" s="393"/>
      <c r="N29" s="393"/>
      <c r="O29" s="393"/>
      <c r="P29" s="393"/>
      <c r="Q29" s="393"/>
      <c r="R29" s="393"/>
      <c r="S29" s="393"/>
      <c r="T29" s="393"/>
      <c r="U29" s="393"/>
      <c r="V29" s="393"/>
      <c r="W29" s="393"/>
      <c r="X29" s="393"/>
      <c r="Y29" s="393"/>
      <c r="Z29" s="393"/>
    </row>
    <row r="30" customFormat="false" ht="15.75" hidden="false" customHeight="true" outlineLevel="0" collapsed="false">
      <c r="A30" s="399"/>
      <c r="B30" s="399"/>
      <c r="C30" s="399"/>
      <c r="D30" s="399"/>
      <c r="E30" s="393"/>
      <c r="F30" s="393"/>
      <c r="G30" s="393"/>
      <c r="H30" s="393"/>
      <c r="I30" s="393"/>
      <c r="J30" s="393"/>
      <c r="K30" s="393"/>
      <c r="L30" s="393"/>
      <c r="M30" s="393"/>
      <c r="N30" s="393"/>
      <c r="O30" s="393"/>
      <c r="P30" s="393"/>
      <c r="Q30" s="393"/>
      <c r="R30" s="393"/>
      <c r="S30" s="393"/>
      <c r="T30" s="393"/>
      <c r="U30" s="393"/>
      <c r="V30" s="393"/>
      <c r="W30" s="393"/>
      <c r="X30" s="393"/>
      <c r="Y30" s="393"/>
      <c r="Z30" s="393"/>
    </row>
    <row r="31" customFormat="false" ht="15.75" hidden="false" customHeight="true" outlineLevel="0" collapsed="false">
      <c r="A31" s="405"/>
      <c r="B31" s="409"/>
      <c r="C31" s="405"/>
      <c r="D31" s="405"/>
      <c r="E31" s="393"/>
      <c r="F31" s="393"/>
      <c r="G31" s="393"/>
      <c r="H31" s="393"/>
      <c r="I31" s="393"/>
      <c r="J31" s="393"/>
      <c r="K31" s="393"/>
      <c r="L31" s="393"/>
      <c r="M31" s="393"/>
      <c r="N31" s="393"/>
      <c r="O31" s="393"/>
      <c r="P31" s="393"/>
      <c r="Q31" s="393"/>
      <c r="R31" s="393"/>
      <c r="S31" s="393"/>
      <c r="T31" s="393"/>
      <c r="U31" s="393"/>
      <c r="V31" s="393"/>
      <c r="W31" s="393"/>
      <c r="X31" s="393"/>
      <c r="Y31" s="393"/>
      <c r="Z31" s="393"/>
    </row>
    <row r="32" customFormat="false" ht="15.75" hidden="false" customHeight="true" outlineLevel="0" collapsed="false">
      <c r="A32" s="407"/>
      <c r="B32" s="408"/>
      <c r="C32" s="407"/>
      <c r="D32" s="407"/>
      <c r="E32" s="393"/>
      <c r="F32" s="393"/>
      <c r="G32" s="393"/>
      <c r="H32" s="393"/>
      <c r="I32" s="393"/>
      <c r="J32" s="393"/>
      <c r="K32" s="393"/>
      <c r="L32" s="393"/>
      <c r="M32" s="393"/>
      <c r="N32" s="393"/>
      <c r="O32" s="393"/>
      <c r="P32" s="393"/>
      <c r="Q32" s="393"/>
      <c r="R32" s="393"/>
      <c r="S32" s="393"/>
      <c r="T32" s="393"/>
      <c r="U32" s="393"/>
      <c r="V32" s="393"/>
      <c r="W32" s="393"/>
      <c r="X32" s="393"/>
      <c r="Y32" s="393"/>
      <c r="Z32" s="393"/>
    </row>
    <row r="33" customFormat="false" ht="15.75" hidden="false" customHeight="true" outlineLevel="0" collapsed="false">
      <c r="A33" s="399"/>
      <c r="B33" s="399"/>
      <c r="C33" s="399"/>
      <c r="D33" s="399"/>
      <c r="E33" s="393"/>
      <c r="F33" s="393"/>
      <c r="G33" s="393"/>
      <c r="H33" s="393"/>
      <c r="I33" s="393"/>
      <c r="J33" s="393"/>
      <c r="K33" s="393"/>
      <c r="L33" s="393"/>
      <c r="M33" s="393"/>
      <c r="N33" s="393"/>
      <c r="O33" s="393"/>
      <c r="P33" s="393"/>
      <c r="Q33" s="393"/>
      <c r="R33" s="393"/>
      <c r="S33" s="393"/>
      <c r="T33" s="393"/>
      <c r="U33" s="393"/>
      <c r="V33" s="393"/>
      <c r="W33" s="393"/>
      <c r="X33" s="393"/>
      <c r="Y33" s="393"/>
      <c r="Z33" s="393"/>
    </row>
    <row r="34" customFormat="false" ht="15.75" hidden="false" customHeight="true" outlineLevel="0" collapsed="false">
      <c r="A34" s="405"/>
      <c r="B34" s="409"/>
      <c r="C34" s="405"/>
      <c r="D34" s="405"/>
      <c r="E34" s="393"/>
      <c r="F34" s="393"/>
      <c r="G34" s="393"/>
      <c r="H34" s="393"/>
      <c r="I34" s="393"/>
      <c r="J34" s="393"/>
      <c r="K34" s="393"/>
      <c r="L34" s="393"/>
      <c r="M34" s="393"/>
      <c r="N34" s="393"/>
      <c r="O34" s="393"/>
      <c r="P34" s="393"/>
      <c r="Q34" s="393"/>
      <c r="R34" s="393"/>
      <c r="S34" s="393"/>
      <c r="T34" s="393"/>
      <c r="U34" s="393"/>
      <c r="V34" s="393"/>
      <c r="W34" s="393"/>
      <c r="X34" s="393"/>
      <c r="Y34" s="393"/>
      <c r="Z34" s="393"/>
    </row>
    <row r="35" customFormat="false" ht="15.75" hidden="false" customHeight="true" outlineLevel="0" collapsed="false">
      <c r="A35" s="407"/>
      <c r="B35" s="410"/>
      <c r="C35" s="407"/>
      <c r="D35" s="407"/>
      <c r="E35" s="393"/>
      <c r="F35" s="393"/>
      <c r="G35" s="393"/>
      <c r="H35" s="393"/>
      <c r="I35" s="393"/>
      <c r="J35" s="393"/>
      <c r="K35" s="393"/>
      <c r="L35" s="393"/>
      <c r="M35" s="393"/>
      <c r="N35" s="393"/>
      <c r="O35" s="393"/>
      <c r="P35" s="393"/>
      <c r="Q35" s="393"/>
      <c r="R35" s="393"/>
      <c r="S35" s="393"/>
      <c r="T35" s="393"/>
      <c r="U35" s="393"/>
      <c r="V35" s="393"/>
      <c r="W35" s="393"/>
      <c r="X35" s="393"/>
      <c r="Y35" s="393"/>
      <c r="Z35" s="393"/>
    </row>
    <row r="36" customFormat="false" ht="15.75" hidden="false" customHeight="true" outlineLevel="0" collapsed="false">
      <c r="A36" s="399"/>
      <c r="B36" s="399"/>
      <c r="C36" s="399"/>
      <c r="D36" s="399"/>
      <c r="E36" s="393"/>
      <c r="F36" s="393"/>
      <c r="G36" s="393"/>
      <c r="H36" s="393"/>
      <c r="I36" s="393"/>
      <c r="J36" s="393"/>
      <c r="K36" s="393"/>
      <c r="L36" s="393"/>
      <c r="M36" s="393"/>
      <c r="N36" s="393"/>
      <c r="O36" s="393"/>
      <c r="P36" s="393"/>
      <c r="Q36" s="393"/>
      <c r="R36" s="393"/>
      <c r="S36" s="393"/>
      <c r="T36" s="393"/>
      <c r="U36" s="393"/>
      <c r="V36" s="393"/>
      <c r="W36" s="393"/>
      <c r="X36" s="393"/>
      <c r="Y36" s="393"/>
      <c r="Z36" s="393"/>
    </row>
    <row r="37" customFormat="false" ht="15.75" hidden="false" customHeight="true" outlineLevel="0" collapsed="false">
      <c r="A37" s="405"/>
      <c r="B37" s="409"/>
      <c r="C37" s="405"/>
      <c r="D37" s="405"/>
      <c r="E37" s="393"/>
      <c r="F37" s="393"/>
      <c r="G37" s="393"/>
      <c r="H37" s="393"/>
      <c r="I37" s="393"/>
      <c r="J37" s="393"/>
      <c r="K37" s="393"/>
      <c r="L37" s="393"/>
      <c r="M37" s="393"/>
      <c r="N37" s="393"/>
      <c r="O37" s="393"/>
      <c r="P37" s="393"/>
      <c r="Q37" s="393"/>
      <c r="R37" s="393"/>
      <c r="S37" s="393"/>
      <c r="T37" s="393"/>
      <c r="U37" s="393"/>
      <c r="V37" s="393"/>
      <c r="W37" s="393"/>
      <c r="X37" s="393"/>
      <c r="Y37" s="393"/>
      <c r="Z37" s="393"/>
    </row>
    <row r="38" customFormat="false" ht="15.75" hidden="false" customHeight="true" outlineLevel="0" collapsed="false">
      <c r="A38" s="407"/>
      <c r="B38" s="411"/>
      <c r="C38" s="407"/>
      <c r="D38" s="407"/>
      <c r="E38" s="393"/>
      <c r="F38" s="393"/>
      <c r="G38" s="393"/>
      <c r="H38" s="393"/>
      <c r="I38" s="393"/>
      <c r="J38" s="393"/>
      <c r="K38" s="393"/>
      <c r="L38" s="393"/>
      <c r="M38" s="393"/>
      <c r="N38" s="393"/>
      <c r="O38" s="393"/>
      <c r="P38" s="393"/>
      <c r="Q38" s="393"/>
      <c r="R38" s="393"/>
      <c r="S38" s="393"/>
      <c r="T38" s="393"/>
      <c r="U38" s="393"/>
      <c r="V38" s="393"/>
      <c r="W38" s="393"/>
      <c r="X38" s="393"/>
      <c r="Y38" s="393"/>
      <c r="Z38" s="393"/>
    </row>
    <row r="39" customFormat="false" ht="15.75" hidden="false" customHeight="true" outlineLevel="0" collapsed="false">
      <c r="A39" s="399"/>
      <c r="B39" s="399"/>
      <c r="C39" s="399"/>
      <c r="D39" s="399"/>
      <c r="E39" s="393"/>
      <c r="F39" s="393"/>
      <c r="G39" s="393"/>
      <c r="H39" s="393"/>
      <c r="I39" s="393"/>
      <c r="J39" s="393"/>
      <c r="K39" s="393"/>
      <c r="L39" s="393"/>
      <c r="M39" s="393"/>
      <c r="N39" s="393"/>
      <c r="O39" s="393"/>
      <c r="P39" s="393"/>
      <c r="Q39" s="393"/>
      <c r="R39" s="393"/>
      <c r="S39" s="393"/>
      <c r="T39" s="393"/>
      <c r="U39" s="393"/>
      <c r="V39" s="393"/>
      <c r="W39" s="393"/>
      <c r="X39" s="393"/>
      <c r="Y39" s="393"/>
      <c r="Z39" s="393"/>
    </row>
    <row r="40" customFormat="false" ht="15.75" hidden="false" customHeight="true" outlineLevel="0" collapsed="false">
      <c r="A40" s="397"/>
      <c r="B40" s="404"/>
      <c r="C40" s="397"/>
      <c r="D40" s="397"/>
      <c r="E40" s="393"/>
      <c r="F40" s="393"/>
      <c r="G40" s="393"/>
      <c r="H40" s="393"/>
      <c r="I40" s="393"/>
      <c r="J40" s="393"/>
      <c r="K40" s="393"/>
      <c r="L40" s="393"/>
      <c r="M40" s="393"/>
      <c r="N40" s="393"/>
      <c r="O40" s="393"/>
      <c r="P40" s="393"/>
      <c r="Q40" s="393"/>
      <c r="R40" s="393"/>
      <c r="S40" s="393"/>
      <c r="T40" s="393"/>
      <c r="U40" s="393"/>
      <c r="V40" s="393"/>
      <c r="W40" s="393"/>
      <c r="X40" s="393"/>
      <c r="Y40" s="393"/>
      <c r="Z40" s="393"/>
    </row>
    <row r="41" customFormat="false" ht="15.75" hidden="false" customHeight="true" outlineLevel="0" collapsed="false">
      <c r="A41" s="405"/>
      <c r="B41" s="409"/>
      <c r="C41" s="405"/>
      <c r="D41" s="405"/>
      <c r="E41" s="393"/>
      <c r="F41" s="393"/>
      <c r="G41" s="393"/>
      <c r="H41" s="393"/>
      <c r="I41" s="393"/>
      <c r="J41" s="393"/>
      <c r="K41" s="393"/>
      <c r="L41" s="393"/>
      <c r="M41" s="393"/>
      <c r="N41" s="393"/>
      <c r="O41" s="393"/>
      <c r="P41" s="393"/>
      <c r="Q41" s="393"/>
      <c r="R41" s="393"/>
      <c r="S41" s="393"/>
      <c r="T41" s="393"/>
      <c r="U41" s="393"/>
      <c r="V41" s="393"/>
      <c r="W41" s="393"/>
      <c r="X41" s="393"/>
      <c r="Y41" s="393"/>
      <c r="Z41" s="393"/>
    </row>
    <row r="42" customFormat="false" ht="15.75" hidden="false" customHeight="true" outlineLevel="0" collapsed="false">
      <c r="A42" s="407"/>
      <c r="B42" s="407"/>
      <c r="C42" s="407"/>
      <c r="D42" s="407"/>
      <c r="E42" s="393"/>
      <c r="F42" s="393"/>
      <c r="G42" s="393"/>
      <c r="H42" s="393"/>
      <c r="I42" s="393"/>
      <c r="J42" s="393"/>
      <c r="K42" s="393"/>
      <c r="L42" s="393"/>
      <c r="M42" s="393"/>
      <c r="N42" s="393"/>
      <c r="O42" s="393"/>
      <c r="P42" s="393"/>
      <c r="Q42" s="393"/>
      <c r="R42" s="393"/>
      <c r="S42" s="393"/>
      <c r="T42" s="393"/>
      <c r="U42" s="393"/>
      <c r="V42" s="393"/>
      <c r="W42" s="393"/>
      <c r="X42" s="393"/>
      <c r="Y42" s="393"/>
      <c r="Z42" s="393"/>
    </row>
    <row r="43" customFormat="false" ht="15.75" hidden="false" customHeight="true" outlineLevel="0" collapsed="false">
      <c r="A43" s="399"/>
      <c r="B43" s="412"/>
      <c r="C43" s="399"/>
      <c r="D43" s="399"/>
      <c r="E43" s="393"/>
      <c r="F43" s="393"/>
      <c r="G43" s="393"/>
      <c r="H43" s="393"/>
      <c r="I43" s="393"/>
      <c r="J43" s="393"/>
      <c r="K43" s="393"/>
      <c r="L43" s="393"/>
      <c r="M43" s="393"/>
      <c r="N43" s="393"/>
      <c r="O43" s="393"/>
      <c r="P43" s="393"/>
      <c r="Q43" s="393"/>
      <c r="R43" s="393"/>
      <c r="S43" s="393"/>
      <c r="T43" s="393"/>
      <c r="U43" s="393"/>
      <c r="V43" s="393"/>
      <c r="W43" s="393"/>
      <c r="X43" s="393"/>
      <c r="Y43" s="393"/>
      <c r="Z43" s="393"/>
    </row>
    <row r="44" customFormat="false" ht="15.75" hidden="false" customHeight="true" outlineLevel="0" collapsed="false">
      <c r="A44" s="405"/>
      <c r="B44" s="409"/>
      <c r="C44" s="405"/>
      <c r="D44" s="405"/>
      <c r="E44" s="393"/>
      <c r="F44" s="393"/>
      <c r="G44" s="393"/>
      <c r="H44" s="393"/>
      <c r="I44" s="393"/>
      <c r="J44" s="393"/>
      <c r="K44" s="393"/>
      <c r="L44" s="393"/>
      <c r="M44" s="393"/>
      <c r="N44" s="393"/>
      <c r="O44" s="393"/>
      <c r="P44" s="393"/>
      <c r="Q44" s="393"/>
      <c r="R44" s="393"/>
      <c r="S44" s="393"/>
      <c r="T44" s="393"/>
      <c r="U44" s="393"/>
      <c r="V44" s="393"/>
      <c r="W44" s="393"/>
      <c r="X44" s="393"/>
      <c r="Y44" s="393"/>
      <c r="Z44" s="393"/>
    </row>
    <row r="45" customFormat="false" ht="15.75" hidden="false" customHeight="true" outlineLevel="0" collapsed="false">
      <c r="A45" s="407"/>
      <c r="B45" s="411"/>
      <c r="C45" s="407"/>
      <c r="D45" s="407"/>
      <c r="E45" s="393"/>
      <c r="F45" s="393"/>
      <c r="G45" s="393"/>
      <c r="H45" s="393"/>
      <c r="I45" s="393"/>
      <c r="J45" s="393"/>
      <c r="K45" s="393"/>
      <c r="L45" s="393"/>
      <c r="M45" s="393"/>
      <c r="N45" s="393"/>
      <c r="O45" s="393"/>
      <c r="P45" s="393"/>
      <c r="Q45" s="393"/>
      <c r="R45" s="393"/>
      <c r="S45" s="393"/>
      <c r="T45" s="393"/>
      <c r="U45" s="393"/>
      <c r="V45" s="393"/>
      <c r="W45" s="393"/>
      <c r="X45" s="393"/>
      <c r="Y45" s="393"/>
      <c r="Z45" s="393"/>
    </row>
    <row r="46" customFormat="false" ht="15.75" hidden="false" customHeight="true" outlineLevel="0" collapsed="false">
      <c r="A46" s="399"/>
      <c r="B46" s="399"/>
      <c r="C46" s="399"/>
      <c r="D46" s="399"/>
      <c r="E46" s="393"/>
      <c r="F46" s="393"/>
      <c r="G46" s="393"/>
      <c r="H46" s="393"/>
      <c r="I46" s="393"/>
      <c r="J46" s="393"/>
      <c r="K46" s="393"/>
      <c r="L46" s="393"/>
      <c r="M46" s="393"/>
      <c r="N46" s="393"/>
      <c r="O46" s="393"/>
      <c r="P46" s="393"/>
      <c r="Q46" s="393"/>
      <c r="R46" s="393"/>
      <c r="S46" s="393"/>
      <c r="T46" s="393"/>
      <c r="U46" s="393"/>
      <c r="V46" s="393"/>
      <c r="W46" s="393"/>
      <c r="X46" s="393"/>
      <c r="Y46" s="393"/>
      <c r="Z46" s="393"/>
    </row>
    <row r="47" customFormat="false" ht="15.75" hidden="false" customHeight="true" outlineLevel="0" collapsed="false">
      <c r="A47" s="405"/>
      <c r="B47" s="409"/>
      <c r="C47" s="405"/>
      <c r="D47" s="405"/>
      <c r="E47" s="393"/>
      <c r="F47" s="393"/>
      <c r="G47" s="393"/>
      <c r="H47" s="393"/>
      <c r="I47" s="393"/>
      <c r="J47" s="393"/>
      <c r="K47" s="393"/>
      <c r="L47" s="393"/>
      <c r="M47" s="393"/>
      <c r="N47" s="393"/>
      <c r="O47" s="393"/>
      <c r="P47" s="393"/>
      <c r="Q47" s="393"/>
      <c r="R47" s="393"/>
      <c r="S47" s="393"/>
      <c r="T47" s="393"/>
      <c r="U47" s="393"/>
      <c r="V47" s="393"/>
      <c r="W47" s="393"/>
      <c r="X47" s="393"/>
      <c r="Y47" s="393"/>
      <c r="Z47" s="393"/>
    </row>
    <row r="48" customFormat="false" ht="15.75" hidden="false" customHeight="true" outlineLevel="0" collapsed="false">
      <c r="A48" s="407"/>
      <c r="B48" s="407"/>
      <c r="C48" s="407"/>
      <c r="D48" s="407"/>
      <c r="E48" s="393"/>
      <c r="F48" s="393"/>
      <c r="G48" s="393"/>
      <c r="H48" s="393"/>
      <c r="I48" s="393"/>
      <c r="J48" s="393"/>
      <c r="K48" s="393"/>
      <c r="L48" s="393"/>
      <c r="M48" s="393"/>
      <c r="N48" s="393"/>
      <c r="O48" s="393"/>
      <c r="P48" s="393"/>
      <c r="Q48" s="393"/>
      <c r="R48" s="393"/>
      <c r="S48" s="393"/>
      <c r="T48" s="393"/>
      <c r="U48" s="393"/>
      <c r="V48" s="393"/>
      <c r="W48" s="393"/>
      <c r="X48" s="393"/>
      <c r="Y48" s="393"/>
      <c r="Z48" s="393"/>
    </row>
    <row r="49" customFormat="false" ht="15.75" hidden="false" customHeight="true" outlineLevel="0" collapsed="false">
      <c r="A49" s="399"/>
      <c r="B49" s="399"/>
      <c r="C49" s="399"/>
      <c r="D49" s="399"/>
      <c r="E49" s="393"/>
      <c r="F49" s="393"/>
      <c r="G49" s="393"/>
      <c r="H49" s="393"/>
      <c r="I49" s="393"/>
      <c r="J49" s="393"/>
      <c r="K49" s="393"/>
      <c r="L49" s="393"/>
      <c r="M49" s="393"/>
      <c r="N49" s="393"/>
      <c r="O49" s="393"/>
      <c r="P49" s="393"/>
      <c r="Q49" s="393"/>
      <c r="R49" s="393"/>
      <c r="S49" s="393"/>
      <c r="T49" s="393"/>
      <c r="U49" s="393"/>
      <c r="V49" s="393"/>
      <c r="W49" s="393"/>
      <c r="X49" s="393"/>
      <c r="Y49" s="393"/>
      <c r="Z49" s="393"/>
    </row>
    <row r="50" customFormat="false" ht="15.75" hidden="false" customHeight="true" outlineLevel="0" collapsed="false">
      <c r="A50" s="399"/>
      <c r="B50" s="412"/>
      <c r="C50" s="399"/>
      <c r="D50" s="399"/>
      <c r="E50" s="393"/>
      <c r="F50" s="393"/>
      <c r="G50" s="393"/>
      <c r="H50" s="393"/>
      <c r="I50" s="393"/>
      <c r="J50" s="393"/>
      <c r="K50" s="393"/>
      <c r="L50" s="393"/>
      <c r="M50" s="393"/>
      <c r="N50" s="393"/>
      <c r="O50" s="393"/>
      <c r="P50" s="393"/>
      <c r="Q50" s="393"/>
      <c r="R50" s="393"/>
      <c r="S50" s="393"/>
      <c r="T50" s="393"/>
      <c r="U50" s="393"/>
      <c r="V50" s="393"/>
      <c r="W50" s="393"/>
      <c r="X50" s="393"/>
      <c r="Y50" s="393"/>
      <c r="Z50" s="393"/>
    </row>
    <row r="51" customFormat="false" ht="15.75" hidden="false" customHeight="true" outlineLevel="0" collapsed="false">
      <c r="A51" s="399"/>
      <c r="B51" s="399"/>
      <c r="C51" s="399"/>
      <c r="D51" s="399"/>
      <c r="E51" s="393"/>
      <c r="F51" s="393"/>
      <c r="G51" s="393"/>
      <c r="H51" s="393"/>
      <c r="I51" s="393"/>
      <c r="J51" s="393"/>
      <c r="K51" s="393"/>
      <c r="L51" s="393"/>
      <c r="M51" s="393"/>
      <c r="N51" s="393"/>
      <c r="O51" s="393"/>
      <c r="P51" s="393"/>
      <c r="Q51" s="393"/>
      <c r="R51" s="393"/>
      <c r="S51" s="393"/>
      <c r="T51" s="393"/>
      <c r="U51" s="393"/>
      <c r="V51" s="393"/>
      <c r="W51" s="393"/>
      <c r="X51" s="393"/>
      <c r="Y51" s="393"/>
      <c r="Z51" s="393"/>
    </row>
    <row r="52" customFormat="false" ht="15.75" hidden="false" customHeight="true" outlineLevel="0" collapsed="false">
      <c r="A52" s="397"/>
      <c r="B52" s="397"/>
      <c r="C52" s="397"/>
      <c r="D52" s="397"/>
      <c r="E52" s="393"/>
      <c r="F52" s="393"/>
      <c r="G52" s="393"/>
      <c r="H52" s="393"/>
      <c r="I52" s="393"/>
      <c r="J52" s="393"/>
      <c r="K52" s="393"/>
      <c r="L52" s="393"/>
      <c r="M52" s="393"/>
      <c r="N52" s="393"/>
      <c r="O52" s="393"/>
      <c r="P52" s="393"/>
      <c r="Q52" s="393"/>
      <c r="R52" s="393"/>
      <c r="S52" s="393"/>
      <c r="T52" s="393"/>
      <c r="U52" s="393"/>
      <c r="V52" s="393"/>
      <c r="W52" s="393"/>
      <c r="X52" s="393"/>
      <c r="Y52" s="393"/>
      <c r="Z52" s="393"/>
    </row>
    <row r="53" customFormat="false" ht="15.75" hidden="false" customHeight="true" outlineLevel="0" collapsed="false">
      <c r="A53" s="413"/>
      <c r="B53" s="414"/>
      <c r="C53" s="413"/>
      <c r="D53" s="413"/>
      <c r="E53" s="393"/>
      <c r="F53" s="393"/>
      <c r="G53" s="393"/>
      <c r="H53" s="393"/>
      <c r="I53" s="393"/>
      <c r="J53" s="393"/>
      <c r="K53" s="393"/>
      <c r="L53" s="393"/>
      <c r="M53" s="393"/>
      <c r="N53" s="393"/>
      <c r="O53" s="393"/>
      <c r="P53" s="393"/>
      <c r="Q53" s="393"/>
      <c r="R53" s="393"/>
      <c r="S53" s="393"/>
      <c r="T53" s="393"/>
      <c r="U53" s="393"/>
      <c r="V53" s="393"/>
      <c r="W53" s="393"/>
      <c r="X53" s="393"/>
      <c r="Y53" s="393"/>
      <c r="Z53" s="393"/>
    </row>
    <row r="54" customFormat="false" ht="15.75" hidden="false" customHeight="true" outlineLevel="0" collapsed="false">
      <c r="A54" s="415"/>
      <c r="B54" s="415"/>
      <c r="C54" s="415"/>
      <c r="D54" s="415"/>
      <c r="E54" s="393"/>
      <c r="F54" s="393"/>
      <c r="G54" s="393"/>
      <c r="H54" s="393"/>
      <c r="I54" s="393"/>
      <c r="J54" s="393"/>
      <c r="K54" s="393"/>
      <c r="L54" s="393"/>
      <c r="M54" s="393"/>
      <c r="N54" s="393"/>
      <c r="O54" s="393"/>
      <c r="P54" s="393"/>
      <c r="Q54" s="393"/>
      <c r="R54" s="393"/>
      <c r="S54" s="393"/>
      <c r="T54" s="393"/>
      <c r="U54" s="393"/>
      <c r="V54" s="393"/>
      <c r="W54" s="393"/>
      <c r="X54" s="393"/>
      <c r="Y54" s="393"/>
      <c r="Z54" s="393"/>
    </row>
    <row r="55" customFormat="false" ht="15.75" hidden="false" customHeight="true" outlineLevel="0" collapsed="false">
      <c r="A55" s="413"/>
      <c r="B55" s="413"/>
      <c r="C55" s="413"/>
      <c r="D55" s="413"/>
      <c r="E55" s="393"/>
      <c r="F55" s="393"/>
      <c r="G55" s="393"/>
      <c r="H55" s="393"/>
      <c r="I55" s="393"/>
      <c r="J55" s="393"/>
      <c r="K55" s="393"/>
      <c r="L55" s="393"/>
      <c r="M55" s="393"/>
      <c r="N55" s="393"/>
      <c r="O55" s="393"/>
      <c r="P55" s="393"/>
      <c r="Q55" s="393"/>
      <c r="R55" s="393"/>
      <c r="S55" s="393"/>
      <c r="T55" s="393"/>
      <c r="U55" s="393"/>
      <c r="V55" s="393"/>
      <c r="W55" s="393"/>
      <c r="X55" s="393"/>
      <c r="Y55" s="393"/>
      <c r="Z55" s="393"/>
    </row>
    <row r="56" customFormat="false" ht="15.75" hidden="false" customHeight="true" outlineLevel="0" collapsed="false">
      <c r="A56" s="415"/>
      <c r="B56" s="415"/>
      <c r="C56" s="415"/>
      <c r="D56" s="415"/>
      <c r="E56" s="393"/>
      <c r="F56" s="393"/>
      <c r="G56" s="393"/>
      <c r="H56" s="393"/>
      <c r="I56" s="393"/>
      <c r="J56" s="393"/>
      <c r="K56" s="393"/>
      <c r="L56" s="393"/>
      <c r="M56" s="393"/>
      <c r="N56" s="393"/>
      <c r="O56" s="393"/>
      <c r="P56" s="393"/>
      <c r="Q56" s="393"/>
      <c r="R56" s="393"/>
      <c r="S56" s="393"/>
      <c r="T56" s="393"/>
      <c r="U56" s="393"/>
      <c r="V56" s="393"/>
      <c r="W56" s="393"/>
      <c r="X56" s="393"/>
      <c r="Y56" s="393"/>
      <c r="Z56" s="393"/>
    </row>
    <row r="57" customFormat="false" ht="15.75" hidden="false" customHeight="true" outlineLevel="0" collapsed="false">
      <c r="A57" s="413"/>
      <c r="B57" s="413"/>
      <c r="C57" s="413"/>
      <c r="D57" s="413"/>
      <c r="E57" s="393"/>
      <c r="F57" s="393"/>
      <c r="G57" s="393"/>
      <c r="H57" s="393"/>
      <c r="I57" s="393"/>
      <c r="J57" s="393"/>
      <c r="K57" s="393"/>
      <c r="L57" s="393"/>
      <c r="M57" s="393"/>
      <c r="N57" s="393"/>
      <c r="O57" s="393"/>
      <c r="P57" s="393"/>
      <c r="Q57" s="393"/>
      <c r="R57" s="393"/>
      <c r="S57" s="393"/>
      <c r="T57" s="393"/>
      <c r="U57" s="393"/>
      <c r="V57" s="393"/>
      <c r="W57" s="393"/>
      <c r="X57" s="393"/>
      <c r="Y57" s="393"/>
      <c r="Z57" s="393"/>
    </row>
    <row r="58" customFormat="false" ht="15.75" hidden="false" customHeight="true" outlineLevel="0" collapsed="false">
      <c r="A58" s="415"/>
      <c r="B58" s="415"/>
      <c r="C58" s="415"/>
      <c r="D58" s="415"/>
      <c r="E58" s="393"/>
      <c r="F58" s="393"/>
      <c r="G58" s="393"/>
      <c r="H58" s="393"/>
      <c r="I58" s="393"/>
      <c r="J58" s="393"/>
      <c r="K58" s="393"/>
      <c r="L58" s="393"/>
      <c r="M58" s="393"/>
      <c r="N58" s="393"/>
      <c r="O58" s="393"/>
      <c r="P58" s="393"/>
      <c r="Q58" s="393"/>
      <c r="R58" s="393"/>
      <c r="S58" s="393"/>
      <c r="T58" s="393"/>
      <c r="U58" s="393"/>
      <c r="V58" s="393"/>
      <c r="W58" s="393"/>
      <c r="X58" s="393"/>
      <c r="Y58" s="393"/>
      <c r="Z58" s="393"/>
    </row>
    <row r="59" customFormat="false" ht="15.75" hidden="false" customHeight="true" outlineLevel="0" collapsed="false">
      <c r="A59" s="413"/>
      <c r="B59" s="413"/>
      <c r="C59" s="413"/>
      <c r="D59" s="413"/>
      <c r="E59" s="393"/>
      <c r="F59" s="393"/>
      <c r="G59" s="393"/>
      <c r="H59" s="393"/>
      <c r="I59" s="393"/>
      <c r="J59" s="393"/>
      <c r="K59" s="393"/>
      <c r="L59" s="393"/>
      <c r="M59" s="393"/>
      <c r="N59" s="393"/>
      <c r="O59" s="393"/>
      <c r="P59" s="393"/>
      <c r="Q59" s="393"/>
      <c r="R59" s="393"/>
      <c r="S59" s="393"/>
      <c r="T59" s="393"/>
      <c r="U59" s="393"/>
      <c r="V59" s="393"/>
      <c r="W59" s="393"/>
      <c r="X59" s="393"/>
      <c r="Y59" s="393"/>
      <c r="Z59" s="393"/>
    </row>
    <row r="60" customFormat="false" ht="15.75" hidden="false" customHeight="true" outlineLevel="0" collapsed="false">
      <c r="A60" s="415"/>
      <c r="B60" s="415"/>
      <c r="C60" s="415"/>
      <c r="D60" s="415"/>
      <c r="E60" s="393"/>
      <c r="F60" s="393"/>
      <c r="G60" s="393"/>
      <c r="H60" s="393"/>
      <c r="I60" s="393"/>
      <c r="J60" s="393"/>
      <c r="K60" s="393"/>
      <c r="L60" s="393"/>
      <c r="M60" s="393"/>
      <c r="N60" s="393"/>
      <c r="O60" s="393"/>
      <c r="P60" s="393"/>
      <c r="Q60" s="393"/>
      <c r="R60" s="393"/>
      <c r="S60" s="393"/>
      <c r="T60" s="393"/>
      <c r="U60" s="393"/>
      <c r="V60" s="393"/>
      <c r="W60" s="393"/>
      <c r="X60" s="393"/>
      <c r="Y60" s="393"/>
      <c r="Z60" s="393"/>
    </row>
    <row r="61" customFormat="false" ht="15.75" hidden="false" customHeight="true" outlineLevel="0" collapsed="false">
      <c r="A61" s="413"/>
      <c r="B61" s="413"/>
      <c r="C61" s="413"/>
      <c r="D61" s="413"/>
      <c r="E61" s="393"/>
      <c r="F61" s="393"/>
      <c r="G61" s="393"/>
      <c r="H61" s="393"/>
      <c r="I61" s="393"/>
      <c r="J61" s="393"/>
      <c r="K61" s="393"/>
      <c r="L61" s="393"/>
      <c r="M61" s="393"/>
      <c r="N61" s="393"/>
      <c r="O61" s="393"/>
      <c r="P61" s="393"/>
      <c r="Q61" s="393"/>
      <c r="R61" s="393"/>
      <c r="S61" s="393"/>
      <c r="T61" s="393"/>
      <c r="U61" s="393"/>
      <c r="V61" s="393"/>
      <c r="W61" s="393"/>
      <c r="X61" s="393"/>
      <c r="Y61" s="393"/>
      <c r="Z61" s="393"/>
    </row>
    <row r="62" customFormat="false" ht="15.75" hidden="false" customHeight="true" outlineLevel="0" collapsed="false">
      <c r="A62" s="415"/>
      <c r="B62" s="415"/>
      <c r="C62" s="415"/>
      <c r="D62" s="415"/>
      <c r="E62" s="393"/>
      <c r="F62" s="393"/>
      <c r="G62" s="393"/>
      <c r="H62" s="393"/>
      <c r="I62" s="393"/>
      <c r="J62" s="393"/>
      <c r="K62" s="393"/>
      <c r="L62" s="393"/>
      <c r="M62" s="393"/>
      <c r="N62" s="393"/>
      <c r="O62" s="393"/>
      <c r="P62" s="393"/>
      <c r="Q62" s="393"/>
      <c r="R62" s="393"/>
      <c r="S62" s="393"/>
      <c r="T62" s="393"/>
      <c r="U62" s="393"/>
      <c r="V62" s="393"/>
      <c r="W62" s="393"/>
      <c r="X62" s="393"/>
      <c r="Y62" s="393"/>
      <c r="Z62" s="393"/>
    </row>
    <row r="63" customFormat="false" ht="15.75" hidden="false" customHeight="true" outlineLevel="0" collapsed="false">
      <c r="A63" s="413"/>
      <c r="B63" s="413"/>
      <c r="C63" s="413"/>
      <c r="D63" s="413"/>
      <c r="E63" s="393"/>
      <c r="F63" s="393"/>
      <c r="G63" s="393"/>
      <c r="H63" s="393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Y63" s="393"/>
      <c r="Z63" s="393"/>
    </row>
    <row r="64" customFormat="false" ht="15.75" hidden="false" customHeight="true" outlineLevel="0" collapsed="false">
      <c r="A64" s="415"/>
      <c r="B64" s="415"/>
      <c r="C64" s="415"/>
      <c r="D64" s="415"/>
      <c r="E64" s="393"/>
      <c r="F64" s="393"/>
      <c r="G64" s="393"/>
      <c r="H64" s="393"/>
      <c r="I64" s="393"/>
      <c r="J64" s="393"/>
      <c r="K64" s="393"/>
      <c r="L64" s="393"/>
      <c r="M64" s="393"/>
      <c r="N64" s="393"/>
      <c r="O64" s="393"/>
      <c r="P64" s="393"/>
      <c r="Q64" s="393"/>
      <c r="R64" s="393"/>
      <c r="S64" s="393"/>
      <c r="T64" s="393"/>
      <c r="U64" s="393"/>
      <c r="V64" s="393"/>
      <c r="W64" s="393"/>
      <c r="X64" s="393"/>
      <c r="Y64" s="393"/>
      <c r="Z64" s="393"/>
    </row>
    <row r="65" customFormat="false" ht="15.75" hidden="false" customHeight="true" outlineLevel="0" collapsed="false">
      <c r="A65" s="397"/>
      <c r="B65" s="397"/>
      <c r="C65" s="397"/>
      <c r="D65" s="397"/>
      <c r="E65" s="393"/>
      <c r="F65" s="393"/>
      <c r="G65" s="393"/>
      <c r="H65" s="393"/>
      <c r="I65" s="393"/>
      <c r="J65" s="393"/>
      <c r="K65" s="393"/>
      <c r="L65" s="393"/>
      <c r="M65" s="393"/>
      <c r="N65" s="393"/>
      <c r="O65" s="393"/>
      <c r="P65" s="393"/>
      <c r="Q65" s="393"/>
      <c r="R65" s="393"/>
      <c r="S65" s="393"/>
      <c r="T65" s="393"/>
      <c r="U65" s="393"/>
      <c r="V65" s="393"/>
      <c r="W65" s="393"/>
      <c r="X65" s="393"/>
      <c r="Y65" s="393"/>
      <c r="Z65" s="393"/>
    </row>
    <row r="66" customFormat="false" ht="15.75" hidden="false" customHeight="true" outlineLevel="0" collapsed="false">
      <c r="A66" s="399"/>
      <c r="B66" s="399"/>
      <c r="C66" s="399"/>
      <c r="D66" s="399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3"/>
      <c r="Q66" s="393"/>
      <c r="R66" s="393"/>
      <c r="S66" s="393"/>
      <c r="T66" s="393"/>
      <c r="U66" s="393"/>
      <c r="V66" s="393"/>
      <c r="W66" s="393"/>
      <c r="X66" s="393"/>
      <c r="Y66" s="393"/>
      <c r="Z66" s="393"/>
    </row>
    <row r="67" customFormat="false" ht="15.75" hidden="false" customHeight="true" outlineLevel="0" collapsed="false">
      <c r="A67" s="416"/>
      <c r="B67" s="417"/>
      <c r="C67" s="416"/>
      <c r="D67" s="416"/>
      <c r="E67" s="393"/>
      <c r="F67" s="393"/>
      <c r="G67" s="393"/>
      <c r="H67" s="393"/>
      <c r="I67" s="393"/>
      <c r="J67" s="393"/>
      <c r="K67" s="393"/>
      <c r="L67" s="393"/>
      <c r="M67" s="393"/>
      <c r="N67" s="393"/>
      <c r="O67" s="393"/>
      <c r="P67" s="393"/>
      <c r="Q67" s="393"/>
      <c r="R67" s="393"/>
      <c r="S67" s="393"/>
      <c r="T67" s="393"/>
      <c r="U67" s="393"/>
      <c r="V67" s="393"/>
      <c r="W67" s="393"/>
      <c r="X67" s="393"/>
      <c r="Y67" s="393"/>
      <c r="Z67" s="393"/>
    </row>
    <row r="68" customFormat="false" ht="15.75" hidden="false" customHeight="true" outlineLevel="0" collapsed="false">
      <c r="A68" s="418"/>
      <c r="B68" s="419"/>
      <c r="C68" s="418"/>
      <c r="D68" s="418"/>
      <c r="E68" s="393"/>
      <c r="F68" s="393"/>
      <c r="G68" s="393"/>
      <c r="H68" s="393"/>
      <c r="I68" s="393"/>
      <c r="J68" s="393"/>
      <c r="K68" s="393"/>
      <c r="L68" s="393"/>
      <c r="M68" s="393"/>
      <c r="N68" s="393"/>
      <c r="O68" s="393"/>
      <c r="P68" s="393"/>
      <c r="Q68" s="393"/>
      <c r="R68" s="393"/>
      <c r="S68" s="393"/>
      <c r="T68" s="393"/>
      <c r="U68" s="393"/>
      <c r="V68" s="393"/>
      <c r="W68" s="393"/>
      <c r="X68" s="393"/>
      <c r="Y68" s="393"/>
      <c r="Z68" s="393"/>
    </row>
    <row r="69" customFormat="false" ht="15.75" hidden="false" customHeight="true" outlineLevel="0" collapsed="false">
      <c r="A69" s="399"/>
      <c r="B69" s="399"/>
      <c r="C69" s="399"/>
      <c r="D69" s="399"/>
      <c r="E69" s="393"/>
      <c r="F69" s="393"/>
      <c r="G69" s="393"/>
      <c r="H69" s="393"/>
      <c r="I69" s="393"/>
      <c r="J69" s="393"/>
      <c r="K69" s="393"/>
      <c r="L69" s="393"/>
      <c r="M69" s="393"/>
      <c r="N69" s="393"/>
      <c r="O69" s="393"/>
      <c r="P69" s="393"/>
      <c r="Q69" s="393"/>
      <c r="R69" s="393"/>
      <c r="S69" s="393"/>
      <c r="T69" s="393"/>
      <c r="U69" s="393"/>
      <c r="V69" s="393"/>
      <c r="W69" s="393"/>
      <c r="X69" s="393"/>
      <c r="Y69" s="393"/>
      <c r="Z69" s="393"/>
    </row>
    <row r="70" customFormat="false" ht="15.75" hidden="false" customHeight="true" outlineLevel="0" collapsed="false">
      <c r="A70" s="416"/>
      <c r="B70" s="417"/>
      <c r="C70" s="416"/>
      <c r="D70" s="416"/>
      <c r="E70" s="393"/>
      <c r="F70" s="393"/>
      <c r="G70" s="393"/>
      <c r="H70" s="393"/>
      <c r="I70" s="393"/>
      <c r="J70" s="393"/>
      <c r="K70" s="393"/>
      <c r="L70" s="393"/>
      <c r="M70" s="393"/>
      <c r="N70" s="393"/>
      <c r="O70" s="393"/>
      <c r="P70" s="393"/>
      <c r="Q70" s="393"/>
      <c r="R70" s="393"/>
      <c r="S70" s="393"/>
      <c r="T70" s="393"/>
      <c r="U70" s="393"/>
      <c r="V70" s="393"/>
      <c r="W70" s="393"/>
      <c r="X70" s="393"/>
      <c r="Y70" s="393"/>
      <c r="Z70" s="393"/>
    </row>
    <row r="71" customFormat="false" ht="15.75" hidden="false" customHeight="true" outlineLevel="0" collapsed="false">
      <c r="A71" s="418"/>
      <c r="B71" s="419"/>
      <c r="C71" s="418"/>
      <c r="D71" s="418"/>
      <c r="E71" s="393"/>
      <c r="F71" s="393"/>
      <c r="G71" s="393"/>
      <c r="H71" s="393"/>
      <c r="I71" s="393"/>
      <c r="J71" s="393"/>
      <c r="K71" s="393"/>
      <c r="L71" s="393"/>
      <c r="M71" s="393"/>
      <c r="N71" s="393"/>
      <c r="O71" s="393"/>
      <c r="P71" s="393"/>
      <c r="Q71" s="393"/>
      <c r="R71" s="393"/>
      <c r="S71" s="393"/>
      <c r="T71" s="393"/>
      <c r="U71" s="393"/>
      <c r="V71" s="393"/>
      <c r="W71" s="393"/>
      <c r="X71" s="393"/>
      <c r="Y71" s="393"/>
      <c r="Z71" s="393"/>
    </row>
    <row r="72" customFormat="false" ht="15.75" hidden="false" customHeight="true" outlineLevel="0" collapsed="false">
      <c r="A72" s="399"/>
      <c r="B72" s="399"/>
      <c r="C72" s="399"/>
      <c r="D72" s="399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3"/>
      <c r="Q72" s="393"/>
      <c r="R72" s="393"/>
      <c r="S72" s="393"/>
      <c r="T72" s="393"/>
      <c r="U72" s="393"/>
      <c r="V72" s="393"/>
      <c r="W72" s="393"/>
      <c r="X72" s="393"/>
      <c r="Y72" s="393"/>
      <c r="Z72" s="393"/>
    </row>
    <row r="73" customFormat="false" ht="15.75" hidden="false" customHeight="true" outlineLevel="0" collapsed="false">
      <c r="A73" s="416"/>
      <c r="B73" s="417"/>
      <c r="C73" s="416"/>
      <c r="D73" s="416"/>
      <c r="E73" s="393"/>
      <c r="F73" s="393"/>
      <c r="G73" s="393"/>
      <c r="H73" s="393"/>
      <c r="I73" s="393"/>
      <c r="J73" s="393"/>
      <c r="K73" s="393"/>
      <c r="L73" s="393"/>
      <c r="M73" s="393"/>
      <c r="N73" s="393"/>
      <c r="O73" s="393"/>
      <c r="P73" s="393"/>
      <c r="Q73" s="393"/>
      <c r="R73" s="393"/>
      <c r="S73" s="393"/>
      <c r="T73" s="393"/>
      <c r="U73" s="393"/>
      <c r="V73" s="393"/>
      <c r="W73" s="393"/>
      <c r="X73" s="393"/>
      <c r="Y73" s="393"/>
      <c r="Z73" s="393"/>
    </row>
    <row r="74" customFormat="false" ht="15.75" hidden="false" customHeight="true" outlineLevel="0" collapsed="false">
      <c r="A74" s="418"/>
      <c r="B74" s="419"/>
      <c r="C74" s="418"/>
      <c r="D74" s="418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3"/>
      <c r="Q74" s="393"/>
      <c r="R74" s="393"/>
      <c r="S74" s="393"/>
      <c r="T74" s="393"/>
      <c r="U74" s="393"/>
      <c r="V74" s="393"/>
      <c r="W74" s="393"/>
      <c r="X74" s="393"/>
      <c r="Y74" s="393"/>
      <c r="Z74" s="393"/>
    </row>
    <row r="75" customFormat="false" ht="15.75" hidden="false" customHeight="true" outlineLevel="0" collapsed="false">
      <c r="A75" s="399"/>
      <c r="B75" s="399"/>
      <c r="C75" s="399"/>
      <c r="D75" s="399"/>
      <c r="E75" s="393"/>
      <c r="F75" s="393"/>
      <c r="G75" s="393"/>
      <c r="H75" s="393"/>
      <c r="I75" s="393"/>
      <c r="J75" s="393"/>
      <c r="K75" s="393"/>
      <c r="L75" s="393"/>
      <c r="M75" s="393"/>
      <c r="N75" s="393"/>
      <c r="O75" s="393"/>
      <c r="P75" s="393"/>
      <c r="Q75" s="393"/>
      <c r="R75" s="393"/>
      <c r="S75" s="393"/>
      <c r="T75" s="393"/>
      <c r="U75" s="393"/>
      <c r="V75" s="393"/>
      <c r="W75" s="393"/>
      <c r="X75" s="393"/>
      <c r="Y75" s="393"/>
      <c r="Z75" s="393"/>
    </row>
    <row r="76" customFormat="false" ht="15.75" hidden="false" customHeight="true" outlineLevel="0" collapsed="false">
      <c r="A76" s="416"/>
      <c r="B76" s="417"/>
      <c r="C76" s="416"/>
      <c r="D76" s="416"/>
      <c r="E76" s="393"/>
      <c r="F76" s="393"/>
      <c r="G76" s="393"/>
      <c r="H76" s="393"/>
      <c r="I76" s="393"/>
      <c r="J76" s="393"/>
      <c r="K76" s="393"/>
      <c r="L76" s="393"/>
      <c r="M76" s="393"/>
      <c r="N76" s="393"/>
      <c r="O76" s="393"/>
      <c r="P76" s="393"/>
      <c r="Q76" s="393"/>
      <c r="R76" s="393"/>
      <c r="S76" s="393"/>
      <c r="T76" s="393"/>
      <c r="U76" s="393"/>
      <c r="V76" s="393"/>
      <c r="W76" s="393"/>
      <c r="X76" s="393"/>
      <c r="Y76" s="393"/>
      <c r="Z76" s="393"/>
    </row>
    <row r="77" customFormat="false" ht="15.75" hidden="false" customHeight="true" outlineLevel="0" collapsed="false">
      <c r="A77" s="418"/>
      <c r="B77" s="419"/>
      <c r="C77" s="418"/>
      <c r="D77" s="418"/>
      <c r="E77" s="393"/>
      <c r="F77" s="393"/>
      <c r="G77" s="393"/>
      <c r="H77" s="393"/>
      <c r="I77" s="393"/>
      <c r="J77" s="393"/>
      <c r="K77" s="393"/>
      <c r="L77" s="393"/>
      <c r="M77" s="393"/>
      <c r="N77" s="393"/>
      <c r="O77" s="393"/>
      <c r="P77" s="393"/>
      <c r="Q77" s="393"/>
      <c r="R77" s="393"/>
      <c r="S77" s="393"/>
      <c r="T77" s="393"/>
      <c r="U77" s="393"/>
      <c r="V77" s="393"/>
      <c r="W77" s="393"/>
      <c r="X77" s="393"/>
      <c r="Y77" s="393"/>
      <c r="Z77" s="393"/>
    </row>
    <row r="78" customFormat="false" ht="15.75" hidden="false" customHeight="true" outlineLevel="0" collapsed="false">
      <c r="A78" s="399"/>
      <c r="B78" s="399"/>
      <c r="C78" s="399"/>
      <c r="D78" s="399"/>
      <c r="E78" s="393"/>
      <c r="F78" s="393"/>
      <c r="G78" s="393"/>
      <c r="H78" s="393"/>
      <c r="I78" s="393"/>
      <c r="J78" s="393"/>
      <c r="K78" s="393"/>
      <c r="L78" s="393"/>
      <c r="M78" s="393"/>
      <c r="N78" s="393"/>
      <c r="O78" s="393"/>
      <c r="P78" s="393"/>
      <c r="Q78" s="393"/>
      <c r="R78" s="393"/>
      <c r="S78" s="393"/>
      <c r="T78" s="393"/>
      <c r="U78" s="393"/>
      <c r="V78" s="393"/>
      <c r="W78" s="393"/>
      <c r="X78" s="393"/>
      <c r="Y78" s="393"/>
      <c r="Z78" s="393"/>
    </row>
    <row r="79" customFormat="false" ht="15.75" hidden="false" customHeight="true" outlineLevel="0" collapsed="false">
      <c r="A79" s="416"/>
      <c r="B79" s="417"/>
      <c r="C79" s="416"/>
      <c r="D79" s="416"/>
      <c r="E79" s="393"/>
      <c r="F79" s="393"/>
      <c r="G79" s="393"/>
      <c r="H79" s="393"/>
      <c r="I79" s="393"/>
      <c r="J79" s="393"/>
      <c r="K79" s="393"/>
      <c r="L79" s="393"/>
      <c r="M79" s="393"/>
      <c r="N79" s="393"/>
      <c r="O79" s="393"/>
      <c r="P79" s="393"/>
      <c r="Q79" s="393"/>
      <c r="R79" s="393"/>
      <c r="S79" s="393"/>
      <c r="T79" s="393"/>
      <c r="U79" s="393"/>
      <c r="V79" s="393"/>
      <c r="W79" s="393"/>
      <c r="X79" s="393"/>
      <c r="Y79" s="393"/>
      <c r="Z79" s="393"/>
    </row>
    <row r="80" customFormat="false" ht="15.75" hidden="false" customHeight="true" outlineLevel="0" collapsed="false">
      <c r="A80" s="418"/>
      <c r="B80" s="419"/>
      <c r="C80" s="418"/>
      <c r="D80" s="418"/>
      <c r="E80" s="393"/>
      <c r="F80" s="393"/>
      <c r="G80" s="393"/>
      <c r="H80" s="393"/>
      <c r="I80" s="393"/>
      <c r="J80" s="393"/>
      <c r="K80" s="393"/>
      <c r="L80" s="393"/>
      <c r="M80" s="393"/>
      <c r="N80" s="393"/>
      <c r="O80" s="393"/>
      <c r="P80" s="393"/>
      <c r="Q80" s="393"/>
      <c r="R80" s="393"/>
      <c r="S80" s="393"/>
      <c r="T80" s="393"/>
      <c r="U80" s="393"/>
      <c r="V80" s="393"/>
      <c r="W80" s="393"/>
      <c r="X80" s="393"/>
      <c r="Y80" s="393"/>
      <c r="Z80" s="393"/>
    </row>
    <row r="81" customFormat="false" ht="15.75" hidden="false" customHeight="true" outlineLevel="0" collapsed="false">
      <c r="A81" s="399"/>
      <c r="B81" s="399"/>
      <c r="C81" s="399"/>
      <c r="D81" s="399"/>
      <c r="E81" s="393"/>
      <c r="F81" s="393"/>
      <c r="G81" s="393"/>
      <c r="H81" s="393"/>
      <c r="I81" s="393"/>
      <c r="J81" s="393"/>
      <c r="K81" s="393"/>
      <c r="L81" s="393"/>
      <c r="M81" s="393"/>
      <c r="N81" s="393"/>
      <c r="O81" s="393"/>
      <c r="P81" s="393"/>
      <c r="Q81" s="393"/>
      <c r="R81" s="393"/>
      <c r="S81" s="393"/>
      <c r="T81" s="393"/>
      <c r="U81" s="393"/>
      <c r="V81" s="393"/>
      <c r="W81" s="393"/>
      <c r="X81" s="393"/>
      <c r="Y81" s="393"/>
      <c r="Z81" s="393"/>
    </row>
    <row r="82" customFormat="false" ht="15.75" hidden="false" customHeight="true" outlineLevel="0" collapsed="false">
      <c r="A82" s="416"/>
      <c r="B82" s="417" t="s">
        <v>1747</v>
      </c>
      <c r="C82" s="416"/>
      <c r="D82" s="416"/>
      <c r="E82" s="393"/>
      <c r="F82" s="393"/>
      <c r="G82" s="393"/>
      <c r="H82" s="393"/>
      <c r="I82" s="393"/>
      <c r="J82" s="393"/>
      <c r="K82" s="393"/>
      <c r="L82" s="393"/>
      <c r="M82" s="393"/>
      <c r="N82" s="393"/>
      <c r="O82" s="393"/>
      <c r="P82" s="393"/>
      <c r="Q82" s="393"/>
      <c r="R82" s="393"/>
      <c r="S82" s="393"/>
      <c r="T82" s="393"/>
      <c r="U82" s="393"/>
      <c r="V82" s="393"/>
      <c r="W82" s="393"/>
      <c r="X82" s="393"/>
      <c r="Y82" s="393"/>
      <c r="Z82" s="393"/>
    </row>
    <row r="83" customFormat="false" ht="15.75" hidden="false" customHeight="true" outlineLevel="0" collapsed="false">
      <c r="A83" s="418"/>
      <c r="B83" s="419" t="s">
        <v>1748</v>
      </c>
      <c r="C83" s="418"/>
      <c r="D83" s="418"/>
      <c r="E83" s="393"/>
      <c r="F83" s="393"/>
      <c r="G83" s="393"/>
      <c r="H83" s="393"/>
      <c r="I83" s="393"/>
      <c r="J83" s="393"/>
      <c r="K83" s="393"/>
      <c r="L83" s="393"/>
      <c r="M83" s="393"/>
      <c r="N83" s="393"/>
      <c r="O83" s="393"/>
      <c r="P83" s="393"/>
      <c r="Q83" s="393"/>
      <c r="R83" s="393"/>
      <c r="S83" s="393"/>
      <c r="T83" s="393"/>
      <c r="U83" s="393"/>
      <c r="V83" s="393"/>
      <c r="W83" s="393"/>
      <c r="X83" s="393"/>
      <c r="Y83" s="393"/>
      <c r="Z83" s="393"/>
    </row>
    <row r="84" customFormat="false" ht="15.75" hidden="false" customHeight="true" outlineLevel="0" collapsed="false">
      <c r="A84" s="399"/>
      <c r="B84" s="399"/>
      <c r="C84" s="399"/>
      <c r="D84" s="399"/>
      <c r="E84" s="393"/>
      <c r="F84" s="393"/>
      <c r="G84" s="393"/>
      <c r="H84" s="393"/>
      <c r="I84" s="393"/>
      <c r="J84" s="393"/>
      <c r="K84" s="393"/>
      <c r="L84" s="393"/>
      <c r="M84" s="393"/>
      <c r="N84" s="393"/>
      <c r="O84" s="393"/>
      <c r="P84" s="393"/>
      <c r="Q84" s="393"/>
      <c r="R84" s="393"/>
      <c r="S84" s="393"/>
      <c r="T84" s="393"/>
      <c r="U84" s="393"/>
      <c r="V84" s="393"/>
      <c r="W84" s="393"/>
      <c r="X84" s="393"/>
      <c r="Y84" s="393"/>
      <c r="Z84" s="393"/>
    </row>
    <row r="85" customFormat="false" ht="15.75" hidden="false" customHeight="true" outlineLevel="0" collapsed="false">
      <c r="A85" s="416"/>
      <c r="B85" s="417" t="s">
        <v>1749</v>
      </c>
      <c r="C85" s="416"/>
      <c r="D85" s="416"/>
      <c r="E85" s="393"/>
      <c r="F85" s="393"/>
      <c r="G85" s="393"/>
      <c r="H85" s="393"/>
      <c r="I85" s="393"/>
      <c r="J85" s="393"/>
      <c r="K85" s="393"/>
      <c r="L85" s="393"/>
      <c r="M85" s="393"/>
      <c r="N85" s="393"/>
      <c r="O85" s="393"/>
      <c r="P85" s="393"/>
      <c r="Q85" s="393"/>
      <c r="R85" s="393"/>
      <c r="S85" s="393"/>
      <c r="T85" s="393"/>
      <c r="U85" s="393"/>
      <c r="V85" s="393"/>
      <c r="W85" s="393"/>
      <c r="X85" s="393"/>
      <c r="Y85" s="393"/>
      <c r="Z85" s="393"/>
    </row>
    <row r="86" customFormat="false" ht="15.75" hidden="false" customHeight="true" outlineLevel="0" collapsed="false">
      <c r="A86" s="418"/>
      <c r="B86" s="419" t="s">
        <v>1750</v>
      </c>
      <c r="C86" s="418"/>
      <c r="D86" s="418"/>
      <c r="E86" s="393"/>
      <c r="F86" s="393"/>
      <c r="G86" s="393"/>
      <c r="H86" s="393"/>
      <c r="I86" s="393"/>
      <c r="J86" s="393"/>
      <c r="K86" s="393"/>
      <c r="L86" s="393"/>
      <c r="M86" s="393"/>
      <c r="N86" s="393"/>
      <c r="O86" s="393"/>
      <c r="P86" s="393"/>
      <c r="Q86" s="393"/>
      <c r="R86" s="393"/>
      <c r="S86" s="393"/>
      <c r="T86" s="393"/>
      <c r="U86" s="393"/>
      <c r="V86" s="393"/>
      <c r="W86" s="393"/>
      <c r="X86" s="393"/>
      <c r="Y86" s="393"/>
      <c r="Z86" s="393"/>
    </row>
    <row r="87" customFormat="false" ht="15.75" hidden="false" customHeight="true" outlineLevel="0" collapsed="false">
      <c r="A87" s="399"/>
      <c r="B87" s="399"/>
      <c r="C87" s="399"/>
      <c r="D87" s="399"/>
      <c r="E87" s="393"/>
      <c r="F87" s="393"/>
      <c r="G87" s="393"/>
      <c r="H87" s="393"/>
      <c r="I87" s="393"/>
      <c r="J87" s="393"/>
      <c r="K87" s="393"/>
      <c r="L87" s="393"/>
      <c r="M87" s="393"/>
      <c r="N87" s="393"/>
      <c r="O87" s="393"/>
      <c r="P87" s="393"/>
      <c r="Q87" s="393"/>
      <c r="R87" s="393"/>
      <c r="S87" s="393"/>
      <c r="T87" s="393"/>
      <c r="U87" s="393"/>
      <c r="V87" s="393"/>
      <c r="W87" s="393"/>
      <c r="X87" s="393"/>
      <c r="Y87" s="393"/>
      <c r="Z87" s="393"/>
    </row>
    <row r="88" customFormat="false" ht="15.75" hidden="false" customHeight="true" outlineLevel="0" collapsed="false">
      <c r="A88" s="416"/>
      <c r="B88" s="417" t="s">
        <v>1751</v>
      </c>
      <c r="C88" s="416"/>
      <c r="D88" s="416"/>
      <c r="E88" s="393"/>
      <c r="F88" s="393"/>
      <c r="G88" s="393"/>
      <c r="H88" s="393"/>
      <c r="I88" s="393"/>
      <c r="J88" s="393"/>
      <c r="K88" s="393"/>
      <c r="L88" s="393"/>
      <c r="M88" s="393"/>
      <c r="N88" s="393"/>
      <c r="O88" s="393"/>
      <c r="P88" s="393"/>
      <c r="Q88" s="393"/>
      <c r="R88" s="393"/>
      <c r="S88" s="393"/>
      <c r="T88" s="393"/>
      <c r="U88" s="393"/>
      <c r="V88" s="393"/>
      <c r="W88" s="393"/>
      <c r="X88" s="393"/>
      <c r="Y88" s="393"/>
      <c r="Z88" s="393"/>
    </row>
    <row r="89" customFormat="false" ht="15.75" hidden="false" customHeight="true" outlineLevel="0" collapsed="false">
      <c r="A89" s="418"/>
      <c r="B89" s="419" t="s">
        <v>1752</v>
      </c>
      <c r="C89" s="418"/>
      <c r="D89" s="418"/>
      <c r="E89" s="393"/>
      <c r="F89" s="393"/>
      <c r="G89" s="393"/>
      <c r="H89" s="393"/>
      <c r="I89" s="393"/>
      <c r="J89" s="393"/>
      <c r="K89" s="393"/>
      <c r="L89" s="393"/>
      <c r="M89" s="393"/>
      <c r="N89" s="393"/>
      <c r="O89" s="393"/>
      <c r="P89" s="393"/>
      <c r="Q89" s="393"/>
      <c r="R89" s="393"/>
      <c r="S89" s="393"/>
      <c r="T89" s="393"/>
      <c r="U89" s="393"/>
      <c r="V89" s="393"/>
      <c r="W89" s="393"/>
      <c r="X89" s="393"/>
      <c r="Y89" s="393"/>
      <c r="Z89" s="393"/>
    </row>
    <row r="90" customFormat="false" ht="15.75" hidden="false" customHeight="true" outlineLevel="0" collapsed="false">
      <c r="A90" s="399"/>
      <c r="B90" s="399"/>
      <c r="C90" s="399"/>
      <c r="D90" s="399"/>
      <c r="E90" s="393"/>
      <c r="F90" s="393"/>
      <c r="G90" s="393"/>
      <c r="H90" s="393"/>
      <c r="I90" s="393"/>
      <c r="J90" s="393"/>
      <c r="K90" s="393"/>
      <c r="L90" s="393"/>
      <c r="M90" s="393"/>
      <c r="N90" s="393"/>
      <c r="O90" s="393"/>
      <c r="P90" s="393"/>
      <c r="Q90" s="393"/>
      <c r="R90" s="393"/>
      <c r="S90" s="393"/>
      <c r="T90" s="393"/>
      <c r="U90" s="393"/>
      <c r="V90" s="393"/>
      <c r="W90" s="393"/>
      <c r="X90" s="393"/>
      <c r="Y90" s="393"/>
      <c r="Z90" s="393"/>
    </row>
    <row r="91" customFormat="false" ht="15.75" hidden="false" customHeight="true" outlineLevel="0" collapsed="false">
      <c r="A91" s="416"/>
      <c r="B91" s="417" t="s">
        <v>1753</v>
      </c>
      <c r="C91" s="416"/>
      <c r="D91" s="416"/>
      <c r="E91" s="393"/>
      <c r="F91" s="393"/>
      <c r="G91" s="393"/>
      <c r="H91" s="393"/>
      <c r="I91" s="393"/>
      <c r="J91" s="393"/>
      <c r="K91" s="393"/>
      <c r="L91" s="393"/>
      <c r="M91" s="393"/>
      <c r="N91" s="393"/>
      <c r="O91" s="393"/>
      <c r="P91" s="393"/>
      <c r="Q91" s="393"/>
      <c r="R91" s="393"/>
      <c r="S91" s="393"/>
      <c r="T91" s="393"/>
      <c r="U91" s="393"/>
      <c r="V91" s="393"/>
      <c r="W91" s="393"/>
      <c r="X91" s="393"/>
      <c r="Y91" s="393"/>
      <c r="Z91" s="393"/>
    </row>
    <row r="92" customFormat="false" ht="15.75" hidden="false" customHeight="true" outlineLevel="0" collapsed="false">
      <c r="A92" s="418"/>
      <c r="B92" s="419" t="s">
        <v>1754</v>
      </c>
      <c r="C92" s="418"/>
      <c r="D92" s="418"/>
      <c r="E92" s="393"/>
      <c r="F92" s="393"/>
      <c r="G92" s="393"/>
      <c r="H92" s="393"/>
      <c r="I92" s="393"/>
      <c r="J92" s="393"/>
      <c r="K92" s="393"/>
      <c r="L92" s="393"/>
      <c r="M92" s="393"/>
      <c r="N92" s="393"/>
      <c r="O92" s="393"/>
      <c r="P92" s="393"/>
      <c r="Q92" s="393"/>
      <c r="R92" s="393"/>
      <c r="S92" s="393"/>
      <c r="T92" s="393"/>
      <c r="U92" s="393"/>
      <c r="V92" s="393"/>
      <c r="W92" s="393"/>
      <c r="X92" s="393"/>
      <c r="Y92" s="393"/>
      <c r="Z92" s="393"/>
    </row>
    <row r="93" customFormat="false" ht="15.75" hidden="false" customHeight="true" outlineLevel="0" collapsed="false">
      <c r="A93" s="399"/>
      <c r="B93" s="399"/>
      <c r="C93" s="399"/>
      <c r="D93" s="399"/>
      <c r="E93" s="393"/>
      <c r="F93" s="393"/>
      <c r="G93" s="393"/>
      <c r="H93" s="393"/>
      <c r="I93" s="393"/>
      <c r="J93" s="393"/>
      <c r="K93" s="393"/>
      <c r="L93" s="393"/>
      <c r="M93" s="393"/>
      <c r="N93" s="393"/>
      <c r="O93" s="393"/>
      <c r="P93" s="393"/>
      <c r="Q93" s="393"/>
      <c r="R93" s="393"/>
      <c r="S93" s="393"/>
      <c r="T93" s="393"/>
      <c r="U93" s="393"/>
      <c r="V93" s="393"/>
      <c r="W93" s="393"/>
      <c r="X93" s="393"/>
      <c r="Y93" s="393"/>
      <c r="Z93" s="393"/>
    </row>
    <row r="94" customFormat="false" ht="15.75" hidden="false" customHeight="true" outlineLevel="0" collapsed="false">
      <c r="A94" s="399"/>
      <c r="B94" s="412" t="s">
        <v>1755</v>
      </c>
      <c r="C94" s="399"/>
      <c r="D94" s="399"/>
      <c r="E94" s="393"/>
      <c r="F94" s="393"/>
      <c r="G94" s="393"/>
      <c r="H94" s="393"/>
      <c r="I94" s="393"/>
      <c r="J94" s="393"/>
      <c r="K94" s="393"/>
      <c r="L94" s="393"/>
      <c r="M94" s="393"/>
      <c r="N94" s="393"/>
      <c r="O94" s="393"/>
      <c r="P94" s="393"/>
      <c r="Q94" s="393"/>
      <c r="R94" s="393"/>
      <c r="S94" s="393"/>
      <c r="T94" s="393"/>
      <c r="U94" s="393"/>
      <c r="V94" s="393"/>
      <c r="W94" s="393"/>
      <c r="X94" s="393"/>
      <c r="Y94" s="393"/>
      <c r="Z94" s="393"/>
    </row>
    <row r="95" customFormat="false" ht="15.75" hidden="false" customHeight="true" outlineLevel="0" collapsed="false">
      <c r="A95" s="399"/>
      <c r="B95" s="412" t="s">
        <v>1756</v>
      </c>
      <c r="C95" s="399"/>
      <c r="D95" s="399"/>
      <c r="E95" s="393"/>
      <c r="F95" s="393"/>
      <c r="G95" s="393"/>
      <c r="H95" s="393"/>
      <c r="I95" s="393"/>
      <c r="J95" s="393"/>
      <c r="K95" s="393"/>
      <c r="L95" s="393"/>
      <c r="M95" s="393"/>
      <c r="N95" s="393"/>
      <c r="O95" s="393"/>
      <c r="P95" s="393"/>
      <c r="Q95" s="393"/>
      <c r="R95" s="393"/>
      <c r="S95" s="393"/>
      <c r="T95" s="393"/>
      <c r="U95" s="393"/>
      <c r="V95" s="393"/>
      <c r="W95" s="393"/>
      <c r="X95" s="393"/>
      <c r="Y95" s="393"/>
      <c r="Z95" s="393"/>
    </row>
    <row r="96" customFormat="false" ht="15.75" hidden="false" customHeight="true" outlineLevel="0" collapsed="false">
      <c r="A96" s="397"/>
      <c r="B96" s="397"/>
      <c r="C96" s="397"/>
      <c r="D96" s="397"/>
      <c r="E96" s="393"/>
      <c r="F96" s="393"/>
      <c r="G96" s="393"/>
      <c r="H96" s="393"/>
      <c r="I96" s="393"/>
      <c r="J96" s="393"/>
      <c r="K96" s="393"/>
      <c r="L96" s="393"/>
      <c r="M96" s="393"/>
      <c r="N96" s="393"/>
      <c r="O96" s="393"/>
      <c r="P96" s="393"/>
      <c r="Q96" s="393"/>
      <c r="R96" s="393"/>
      <c r="S96" s="393"/>
      <c r="T96" s="393"/>
      <c r="U96" s="393"/>
      <c r="V96" s="393"/>
      <c r="W96" s="393"/>
      <c r="X96" s="393"/>
      <c r="Y96" s="393"/>
      <c r="Z96" s="393"/>
    </row>
    <row r="97" customFormat="false" ht="15.75" hidden="false" customHeight="true" outlineLevel="0" collapsed="false">
      <c r="A97" s="420"/>
      <c r="B97" s="421" t="s">
        <v>1757</v>
      </c>
      <c r="C97" s="420"/>
      <c r="D97" s="420"/>
      <c r="E97" s="393"/>
      <c r="F97" s="393"/>
      <c r="G97" s="393"/>
      <c r="H97" s="393"/>
      <c r="I97" s="393"/>
      <c r="J97" s="393"/>
      <c r="K97" s="393"/>
      <c r="L97" s="393"/>
      <c r="M97" s="393"/>
      <c r="N97" s="393"/>
      <c r="O97" s="393"/>
      <c r="P97" s="393"/>
      <c r="Q97" s="393"/>
      <c r="R97" s="393"/>
      <c r="S97" s="393"/>
      <c r="T97" s="393"/>
      <c r="U97" s="393"/>
      <c r="V97" s="393"/>
      <c r="W97" s="393"/>
      <c r="X97" s="393"/>
      <c r="Y97" s="393"/>
      <c r="Z97" s="393"/>
    </row>
    <row r="98" customFormat="false" ht="15.75" hidden="false" customHeight="true" outlineLevel="0" collapsed="false">
      <c r="A98" s="420"/>
      <c r="B98" s="421" t="s">
        <v>1758</v>
      </c>
      <c r="C98" s="420"/>
      <c r="D98" s="420"/>
      <c r="E98" s="393"/>
      <c r="F98" s="393"/>
      <c r="G98" s="393"/>
      <c r="H98" s="393"/>
      <c r="I98" s="393"/>
      <c r="J98" s="393"/>
      <c r="K98" s="393"/>
      <c r="L98" s="393"/>
      <c r="M98" s="393"/>
      <c r="N98" s="393"/>
      <c r="O98" s="393"/>
      <c r="P98" s="393"/>
      <c r="Q98" s="393"/>
      <c r="R98" s="393"/>
      <c r="S98" s="393"/>
      <c r="T98" s="393"/>
      <c r="U98" s="393"/>
      <c r="V98" s="393"/>
      <c r="W98" s="393"/>
      <c r="X98" s="393"/>
      <c r="Y98" s="393"/>
      <c r="Z98" s="393"/>
    </row>
    <row r="99" customFormat="false" ht="15.75" hidden="false" customHeight="true" outlineLevel="0" collapsed="false">
      <c r="A99" s="420"/>
      <c r="B99" s="421" t="s">
        <v>1759</v>
      </c>
      <c r="C99" s="420"/>
      <c r="D99" s="420"/>
      <c r="E99" s="393"/>
      <c r="F99" s="393"/>
      <c r="G99" s="393"/>
      <c r="H99" s="393"/>
      <c r="I99" s="393"/>
      <c r="J99" s="393"/>
      <c r="K99" s="393"/>
      <c r="L99" s="393"/>
      <c r="M99" s="393"/>
      <c r="N99" s="393"/>
      <c r="O99" s="393"/>
      <c r="P99" s="393"/>
      <c r="Q99" s="393"/>
      <c r="R99" s="393"/>
      <c r="S99" s="393"/>
      <c r="T99" s="393"/>
      <c r="U99" s="393"/>
      <c r="V99" s="393"/>
      <c r="W99" s="393"/>
      <c r="X99" s="393"/>
      <c r="Y99" s="393"/>
      <c r="Z99" s="393"/>
    </row>
    <row r="100" customFormat="false" ht="15.75" hidden="false" customHeight="true" outlineLevel="0" collapsed="false">
      <c r="A100" s="420"/>
      <c r="B100" s="421" t="s">
        <v>1760</v>
      </c>
      <c r="C100" s="420"/>
      <c r="D100" s="420"/>
      <c r="E100" s="393"/>
      <c r="F100" s="393"/>
      <c r="G100" s="393"/>
      <c r="H100" s="393"/>
      <c r="I100" s="393"/>
      <c r="J100" s="393"/>
      <c r="K100" s="393"/>
      <c r="L100" s="393"/>
      <c r="M100" s="393"/>
      <c r="N100" s="393"/>
      <c r="O100" s="393"/>
      <c r="P100" s="393"/>
      <c r="Q100" s="393"/>
      <c r="R100" s="393"/>
      <c r="S100" s="393"/>
      <c r="T100" s="393"/>
      <c r="U100" s="393"/>
      <c r="V100" s="393"/>
      <c r="W100" s="393"/>
      <c r="X100" s="393"/>
      <c r="Y100" s="393"/>
      <c r="Z100" s="393"/>
    </row>
    <row r="101" customFormat="false" ht="15.75" hidden="false" customHeight="true" outlineLevel="0" collapsed="false">
      <c r="A101" s="420"/>
      <c r="B101" s="421" t="s">
        <v>1761</v>
      </c>
      <c r="C101" s="420"/>
      <c r="D101" s="420"/>
      <c r="E101" s="393"/>
      <c r="F101" s="393"/>
      <c r="G101" s="393"/>
      <c r="H101" s="393"/>
      <c r="I101" s="393"/>
      <c r="J101" s="393"/>
      <c r="K101" s="393"/>
      <c r="L101" s="393"/>
      <c r="M101" s="393"/>
      <c r="N101" s="393"/>
      <c r="O101" s="393"/>
      <c r="P101" s="393"/>
      <c r="Q101" s="393"/>
      <c r="R101" s="393"/>
      <c r="S101" s="393"/>
      <c r="T101" s="393"/>
      <c r="U101" s="393"/>
      <c r="V101" s="393"/>
      <c r="W101" s="393"/>
      <c r="X101" s="393"/>
      <c r="Y101" s="393"/>
      <c r="Z101" s="393"/>
    </row>
    <row r="102" customFormat="false" ht="15.75" hidden="false" customHeight="true" outlineLevel="0" collapsed="false">
      <c r="A102" s="420"/>
      <c r="B102" s="421" t="s">
        <v>1762</v>
      </c>
      <c r="C102" s="420"/>
      <c r="D102" s="420"/>
      <c r="E102" s="393"/>
      <c r="F102" s="393"/>
      <c r="G102" s="393"/>
      <c r="H102" s="393"/>
      <c r="I102" s="393"/>
      <c r="J102" s="393"/>
      <c r="K102" s="393"/>
      <c r="L102" s="393"/>
      <c r="M102" s="393"/>
      <c r="N102" s="393"/>
      <c r="O102" s="393"/>
      <c r="P102" s="393"/>
      <c r="Q102" s="393"/>
      <c r="R102" s="393"/>
      <c r="S102" s="393"/>
      <c r="T102" s="393"/>
      <c r="U102" s="393"/>
      <c r="V102" s="393"/>
      <c r="W102" s="393"/>
      <c r="X102" s="393"/>
      <c r="Y102" s="393"/>
      <c r="Z102" s="393"/>
    </row>
    <row r="103" customFormat="false" ht="15.75" hidden="false" customHeight="true" outlineLevel="0" collapsed="false">
      <c r="A103" s="420"/>
      <c r="B103" s="421" t="s">
        <v>1763</v>
      </c>
      <c r="C103" s="420"/>
      <c r="D103" s="420"/>
      <c r="E103" s="393"/>
      <c r="F103" s="393"/>
      <c r="G103" s="393"/>
      <c r="H103" s="393"/>
      <c r="I103" s="393"/>
      <c r="J103" s="393"/>
      <c r="K103" s="393"/>
      <c r="L103" s="393"/>
      <c r="M103" s="393"/>
      <c r="N103" s="393"/>
      <c r="O103" s="393"/>
      <c r="P103" s="393"/>
      <c r="Q103" s="393"/>
      <c r="R103" s="393"/>
      <c r="S103" s="393"/>
      <c r="T103" s="393"/>
      <c r="U103" s="393"/>
      <c r="V103" s="393"/>
      <c r="W103" s="393"/>
      <c r="X103" s="393"/>
      <c r="Y103" s="393"/>
      <c r="Z103" s="393"/>
    </row>
    <row r="104" customFormat="false" ht="15.75" hidden="false" customHeight="true" outlineLevel="0" collapsed="false">
      <c r="A104" s="420"/>
      <c r="B104" s="421" t="s">
        <v>1764</v>
      </c>
      <c r="C104" s="420"/>
      <c r="D104" s="420"/>
      <c r="E104" s="393"/>
      <c r="F104" s="393"/>
      <c r="G104" s="393"/>
      <c r="H104" s="393"/>
      <c r="I104" s="393"/>
      <c r="J104" s="393"/>
      <c r="K104" s="393"/>
      <c r="L104" s="393"/>
      <c r="M104" s="393"/>
      <c r="N104" s="393"/>
      <c r="O104" s="393"/>
      <c r="P104" s="393"/>
      <c r="Q104" s="393"/>
      <c r="R104" s="393"/>
      <c r="S104" s="393"/>
      <c r="T104" s="393"/>
      <c r="U104" s="393"/>
      <c r="V104" s="393"/>
      <c r="W104" s="393"/>
      <c r="X104" s="393"/>
      <c r="Y104" s="393"/>
      <c r="Z104" s="393"/>
    </row>
    <row r="105" customFormat="false" ht="15.75" hidden="false" customHeight="true" outlineLevel="0" collapsed="false">
      <c r="A105" s="420"/>
      <c r="B105" s="421" t="s">
        <v>1765</v>
      </c>
      <c r="C105" s="420"/>
      <c r="D105" s="420"/>
      <c r="E105" s="393"/>
      <c r="F105" s="393"/>
      <c r="G105" s="393"/>
      <c r="H105" s="393"/>
      <c r="I105" s="393"/>
      <c r="J105" s="393"/>
      <c r="K105" s="393"/>
      <c r="L105" s="393"/>
      <c r="M105" s="393"/>
      <c r="N105" s="393"/>
      <c r="O105" s="393"/>
      <c r="P105" s="393"/>
      <c r="Q105" s="393"/>
      <c r="R105" s="393"/>
      <c r="S105" s="393"/>
      <c r="T105" s="393"/>
      <c r="U105" s="393"/>
      <c r="V105" s="393"/>
      <c r="W105" s="393"/>
      <c r="X105" s="393"/>
      <c r="Y105" s="393"/>
      <c r="Z105" s="393"/>
    </row>
    <row r="106" customFormat="false" ht="15.75" hidden="false" customHeight="true" outlineLevel="0" collapsed="false">
      <c r="A106" s="420"/>
      <c r="B106" s="421" t="s">
        <v>1766</v>
      </c>
      <c r="C106" s="420"/>
      <c r="D106" s="420"/>
      <c r="E106" s="393"/>
      <c r="F106" s="393"/>
      <c r="G106" s="393"/>
      <c r="H106" s="393"/>
      <c r="I106" s="393"/>
      <c r="J106" s="393"/>
      <c r="K106" s="393"/>
      <c r="L106" s="393"/>
      <c r="M106" s="393"/>
      <c r="N106" s="393"/>
      <c r="O106" s="393"/>
      <c r="P106" s="393"/>
      <c r="Q106" s="393"/>
      <c r="R106" s="393"/>
      <c r="S106" s="393"/>
      <c r="T106" s="393"/>
      <c r="U106" s="393"/>
      <c r="V106" s="393"/>
      <c r="W106" s="393"/>
      <c r="X106" s="393"/>
      <c r="Y106" s="393"/>
      <c r="Z106" s="393"/>
    </row>
    <row r="107" customFormat="false" ht="15.75" hidden="false" customHeight="true" outlineLevel="0" collapsed="false">
      <c r="A107" s="420"/>
      <c r="B107" s="421" t="s">
        <v>1767</v>
      </c>
      <c r="C107" s="420"/>
      <c r="D107" s="420"/>
      <c r="E107" s="393"/>
      <c r="F107" s="393"/>
      <c r="G107" s="393"/>
      <c r="H107" s="393"/>
      <c r="I107" s="393"/>
      <c r="J107" s="393"/>
      <c r="K107" s="393"/>
      <c r="L107" s="393"/>
      <c r="M107" s="393"/>
      <c r="N107" s="393"/>
      <c r="O107" s="393"/>
      <c r="P107" s="393"/>
      <c r="Q107" s="393"/>
      <c r="R107" s="393"/>
      <c r="S107" s="393"/>
      <c r="T107" s="393"/>
      <c r="U107" s="393"/>
      <c r="V107" s="393"/>
      <c r="W107" s="393"/>
      <c r="X107" s="393"/>
      <c r="Y107" s="393"/>
      <c r="Z107" s="393"/>
    </row>
    <row r="108" customFormat="false" ht="15.75" hidden="false" customHeight="true" outlineLevel="0" collapsed="false">
      <c r="A108" s="399"/>
      <c r="B108" s="399"/>
      <c r="C108" s="399"/>
      <c r="D108" s="399"/>
      <c r="E108" s="393"/>
      <c r="F108" s="393"/>
      <c r="G108" s="393"/>
      <c r="H108" s="393"/>
      <c r="I108" s="393"/>
      <c r="J108" s="393"/>
      <c r="K108" s="393"/>
      <c r="L108" s="393"/>
      <c r="M108" s="393"/>
      <c r="N108" s="393"/>
      <c r="O108" s="393"/>
      <c r="P108" s="393"/>
      <c r="Q108" s="393"/>
      <c r="R108" s="393"/>
      <c r="S108" s="393"/>
      <c r="T108" s="393"/>
      <c r="U108" s="393"/>
      <c r="V108" s="393"/>
      <c r="W108" s="393"/>
      <c r="X108" s="393"/>
      <c r="Y108" s="393"/>
      <c r="Z108" s="393"/>
    </row>
    <row r="109" customFormat="false" ht="27" hidden="false" customHeight="true" outlineLevel="0" collapsed="false">
      <c r="A109" s="422"/>
      <c r="B109" s="423" t="s">
        <v>1768</v>
      </c>
      <c r="C109" s="422"/>
      <c r="D109" s="422"/>
      <c r="E109" s="393"/>
      <c r="F109" s="393"/>
      <c r="G109" s="393"/>
      <c r="H109" s="393"/>
      <c r="I109" s="393"/>
      <c r="J109" s="393"/>
      <c r="K109" s="393"/>
      <c r="L109" s="393"/>
      <c r="M109" s="393"/>
      <c r="N109" s="393"/>
      <c r="O109" s="393"/>
      <c r="P109" s="393"/>
      <c r="Q109" s="393"/>
      <c r="R109" s="393"/>
      <c r="S109" s="393"/>
      <c r="T109" s="393"/>
      <c r="U109" s="393"/>
      <c r="V109" s="393"/>
      <c r="W109" s="393"/>
      <c r="X109" s="393"/>
      <c r="Y109" s="393"/>
      <c r="Z109" s="393"/>
    </row>
    <row r="110" customFormat="false" ht="22.5" hidden="false" customHeight="true" outlineLevel="0" collapsed="false">
      <c r="A110" s="424"/>
      <c r="B110" s="425" t="s">
        <v>1769</v>
      </c>
      <c r="C110" s="424"/>
      <c r="D110" s="424"/>
      <c r="E110" s="393"/>
      <c r="F110" s="393"/>
      <c r="G110" s="393"/>
      <c r="H110" s="393"/>
      <c r="I110" s="393"/>
      <c r="J110" s="393"/>
      <c r="K110" s="393"/>
      <c r="L110" s="393"/>
      <c r="M110" s="393"/>
      <c r="N110" s="393"/>
      <c r="O110" s="393"/>
      <c r="P110" s="393"/>
      <c r="Q110" s="393"/>
      <c r="R110" s="393"/>
      <c r="S110" s="393"/>
      <c r="T110" s="393"/>
      <c r="U110" s="393"/>
      <c r="V110" s="393"/>
      <c r="W110" s="393"/>
      <c r="X110" s="393"/>
      <c r="Y110" s="393"/>
      <c r="Z110" s="393"/>
    </row>
    <row r="111" customFormat="false" ht="15.75" hidden="false" customHeight="true" outlineLevel="0" collapsed="false">
      <c r="A111" s="399"/>
      <c r="B111" s="412" t="s">
        <v>1770</v>
      </c>
      <c r="C111" s="399"/>
      <c r="D111" s="399"/>
      <c r="E111" s="393"/>
      <c r="F111" s="393"/>
      <c r="G111" s="393"/>
      <c r="H111" s="393"/>
      <c r="I111" s="393"/>
      <c r="J111" s="393"/>
      <c r="K111" s="393"/>
      <c r="L111" s="393"/>
      <c r="M111" s="393"/>
      <c r="N111" s="393"/>
      <c r="O111" s="393"/>
      <c r="P111" s="393"/>
      <c r="Q111" s="393"/>
      <c r="R111" s="393"/>
      <c r="S111" s="393"/>
      <c r="T111" s="393"/>
      <c r="U111" s="393"/>
      <c r="V111" s="393"/>
      <c r="W111" s="393"/>
      <c r="X111" s="393"/>
      <c r="Y111" s="393"/>
      <c r="Z111" s="393"/>
    </row>
    <row r="112" customFormat="false" ht="15.75" hidden="false" customHeight="true" outlineLevel="0" collapsed="false">
      <c r="A112" s="399"/>
      <c r="B112" s="399"/>
      <c r="C112" s="399"/>
      <c r="D112" s="399"/>
      <c r="E112" s="393"/>
      <c r="F112" s="393"/>
      <c r="G112" s="393"/>
      <c r="H112" s="393"/>
      <c r="I112" s="393"/>
      <c r="J112" s="393"/>
      <c r="K112" s="393"/>
      <c r="L112" s="393"/>
      <c r="M112" s="393"/>
      <c r="N112" s="393"/>
      <c r="O112" s="393"/>
      <c r="P112" s="393"/>
      <c r="Q112" s="393"/>
      <c r="R112" s="393"/>
      <c r="S112" s="393"/>
      <c r="T112" s="393"/>
      <c r="U112" s="393"/>
      <c r="V112" s="393"/>
      <c r="W112" s="393"/>
      <c r="X112" s="393"/>
      <c r="Y112" s="393"/>
      <c r="Z112" s="393"/>
    </row>
    <row r="113" customFormat="false" ht="22.5" hidden="false" customHeight="true" outlineLevel="0" collapsed="false">
      <c r="A113" s="424"/>
      <c r="B113" s="425" t="s">
        <v>1771</v>
      </c>
      <c r="C113" s="424"/>
      <c r="D113" s="424"/>
      <c r="E113" s="393"/>
      <c r="F113" s="393"/>
      <c r="G113" s="393"/>
      <c r="H113" s="393"/>
      <c r="I113" s="393"/>
      <c r="J113" s="393"/>
      <c r="K113" s="393"/>
      <c r="L113" s="393"/>
      <c r="M113" s="393"/>
      <c r="N113" s="393"/>
      <c r="O113" s="393"/>
      <c r="P113" s="393"/>
      <c r="Q113" s="393"/>
      <c r="R113" s="393"/>
      <c r="S113" s="393"/>
      <c r="T113" s="393"/>
      <c r="U113" s="393"/>
      <c r="V113" s="393"/>
      <c r="W113" s="393"/>
      <c r="X113" s="393"/>
      <c r="Y113" s="393"/>
      <c r="Z113" s="393"/>
    </row>
    <row r="114" customFormat="false" ht="21" hidden="false" customHeight="true" outlineLevel="0" collapsed="false">
      <c r="A114" s="400"/>
      <c r="B114" s="426" t="s">
        <v>1653</v>
      </c>
      <c r="C114" s="400"/>
      <c r="D114" s="400"/>
      <c r="E114" s="393"/>
      <c r="F114" s="393"/>
      <c r="G114" s="393"/>
      <c r="H114" s="393"/>
      <c r="I114" s="393"/>
      <c r="J114" s="393"/>
      <c r="K114" s="393"/>
      <c r="L114" s="393"/>
      <c r="M114" s="393"/>
      <c r="N114" s="393"/>
      <c r="O114" s="393"/>
      <c r="P114" s="393"/>
      <c r="Q114" s="393"/>
      <c r="R114" s="393"/>
      <c r="S114" s="393"/>
      <c r="T114" s="393"/>
      <c r="U114" s="393"/>
      <c r="V114" s="393"/>
      <c r="W114" s="393"/>
      <c r="X114" s="393"/>
      <c r="Y114" s="393"/>
      <c r="Z114" s="393"/>
    </row>
    <row r="115" customFormat="false" ht="21" hidden="false" customHeight="true" outlineLevel="0" collapsed="false">
      <c r="A115" s="402"/>
      <c r="B115" s="403" t="s">
        <v>1772</v>
      </c>
      <c r="C115" s="402"/>
      <c r="D115" s="402"/>
      <c r="E115" s="393"/>
      <c r="F115" s="393"/>
      <c r="G115" s="393"/>
      <c r="H115" s="393"/>
      <c r="I115" s="393"/>
      <c r="J115" s="393"/>
      <c r="K115" s="393"/>
      <c r="L115" s="393"/>
      <c r="M115" s="393"/>
      <c r="N115" s="393"/>
      <c r="O115" s="393"/>
      <c r="P115" s="393"/>
      <c r="Q115" s="393"/>
      <c r="R115" s="393"/>
      <c r="S115" s="393"/>
      <c r="T115" s="393"/>
      <c r="U115" s="393"/>
      <c r="V115" s="393"/>
      <c r="W115" s="393"/>
      <c r="X115" s="393"/>
      <c r="Y115" s="393"/>
      <c r="Z115" s="393"/>
    </row>
    <row r="116" customFormat="false" ht="21" hidden="false" customHeight="true" outlineLevel="0" collapsed="false">
      <c r="A116" s="402"/>
      <c r="B116" s="403" t="s">
        <v>1773</v>
      </c>
      <c r="C116" s="402"/>
      <c r="D116" s="402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393"/>
      <c r="S116" s="393"/>
      <c r="T116" s="393"/>
      <c r="U116" s="393"/>
      <c r="V116" s="393"/>
      <c r="W116" s="393"/>
      <c r="X116" s="393"/>
      <c r="Y116" s="393"/>
      <c r="Z116" s="393"/>
    </row>
    <row r="117" customFormat="false" ht="21" hidden="false" customHeight="true" outlineLevel="0" collapsed="false">
      <c r="A117" s="402"/>
      <c r="B117" s="403" t="s">
        <v>1656</v>
      </c>
      <c r="C117" s="402"/>
      <c r="D117" s="402"/>
      <c r="E117" s="393"/>
      <c r="F117" s="393"/>
      <c r="G117" s="393"/>
      <c r="H117" s="393"/>
      <c r="I117" s="393"/>
      <c r="J117" s="393"/>
      <c r="K117" s="393"/>
      <c r="L117" s="393"/>
      <c r="M117" s="393"/>
      <c r="N117" s="393"/>
      <c r="O117" s="393"/>
      <c r="P117" s="393"/>
      <c r="Q117" s="393"/>
      <c r="R117" s="393"/>
      <c r="S117" s="393"/>
      <c r="T117" s="393"/>
      <c r="U117" s="393"/>
      <c r="V117" s="393"/>
      <c r="W117" s="393"/>
      <c r="X117" s="393"/>
      <c r="Y117" s="393"/>
      <c r="Z117" s="393"/>
    </row>
    <row r="118" customFormat="false" ht="21" hidden="false" customHeight="true" outlineLevel="0" collapsed="false">
      <c r="A118" s="402"/>
      <c r="B118" s="403" t="s">
        <v>1774</v>
      </c>
      <c r="C118" s="402"/>
      <c r="D118" s="402"/>
      <c r="E118" s="393"/>
      <c r="F118" s="393"/>
      <c r="G118" s="393"/>
      <c r="H118" s="393"/>
      <c r="I118" s="393"/>
      <c r="J118" s="393"/>
      <c r="K118" s="393"/>
      <c r="L118" s="393"/>
      <c r="M118" s="393"/>
      <c r="N118" s="393"/>
      <c r="O118" s="393"/>
      <c r="P118" s="393"/>
      <c r="Q118" s="393"/>
      <c r="R118" s="393"/>
      <c r="S118" s="393"/>
      <c r="T118" s="393"/>
      <c r="U118" s="393"/>
      <c r="V118" s="393"/>
      <c r="W118" s="393"/>
      <c r="X118" s="393"/>
      <c r="Y118" s="393"/>
      <c r="Z118" s="393"/>
    </row>
    <row r="119" customFormat="false" ht="15.75" hidden="false" customHeight="true" outlineLevel="0" collapsed="false">
      <c r="A119" s="399"/>
      <c r="B119" s="399"/>
      <c r="C119" s="399"/>
      <c r="D119" s="399"/>
      <c r="E119" s="393"/>
      <c r="F119" s="393"/>
      <c r="G119" s="393"/>
      <c r="H119" s="393"/>
      <c r="I119" s="393"/>
      <c r="J119" s="393"/>
      <c r="K119" s="393"/>
      <c r="L119" s="393"/>
      <c r="M119" s="393"/>
      <c r="N119" s="393"/>
      <c r="O119" s="393"/>
      <c r="P119" s="393"/>
      <c r="Q119" s="393"/>
      <c r="R119" s="393"/>
      <c r="S119" s="393"/>
      <c r="T119" s="393"/>
      <c r="U119" s="393"/>
      <c r="V119" s="393"/>
      <c r="W119" s="393"/>
      <c r="X119" s="393"/>
      <c r="Y119" s="393"/>
      <c r="Z119" s="393"/>
    </row>
    <row r="120" customFormat="false" ht="15.75" hidden="false" customHeight="true" outlineLevel="0" collapsed="false">
      <c r="A120" s="399"/>
      <c r="B120" s="412" t="s">
        <v>1775</v>
      </c>
      <c r="C120" s="399"/>
      <c r="D120" s="399"/>
      <c r="E120" s="393"/>
      <c r="F120" s="393"/>
      <c r="G120" s="393"/>
      <c r="H120" s="393"/>
      <c r="I120" s="393"/>
      <c r="J120" s="393"/>
      <c r="K120" s="393"/>
      <c r="L120" s="393"/>
      <c r="M120" s="393"/>
      <c r="N120" s="393"/>
      <c r="O120" s="393"/>
      <c r="P120" s="393"/>
      <c r="Q120" s="393"/>
      <c r="R120" s="393"/>
      <c r="S120" s="393"/>
      <c r="T120" s="393"/>
      <c r="U120" s="393"/>
      <c r="V120" s="393"/>
      <c r="W120" s="393"/>
      <c r="X120" s="393"/>
      <c r="Y120" s="393"/>
      <c r="Z120" s="393"/>
    </row>
    <row r="121" customFormat="false" ht="22.5" hidden="false" customHeight="true" outlineLevel="0" collapsed="false">
      <c r="A121" s="424"/>
      <c r="B121" s="425" t="s">
        <v>1776</v>
      </c>
      <c r="C121" s="424"/>
      <c r="D121" s="424"/>
      <c r="E121" s="393"/>
      <c r="F121" s="393"/>
      <c r="G121" s="393"/>
      <c r="H121" s="393"/>
      <c r="I121" s="393"/>
      <c r="J121" s="393"/>
      <c r="K121" s="393"/>
      <c r="L121" s="393"/>
      <c r="M121" s="393"/>
      <c r="N121" s="393"/>
      <c r="O121" s="393"/>
      <c r="P121" s="393"/>
      <c r="Q121" s="393"/>
      <c r="R121" s="393"/>
      <c r="S121" s="393"/>
      <c r="T121" s="393"/>
      <c r="U121" s="393"/>
      <c r="V121" s="393"/>
      <c r="W121" s="393"/>
      <c r="X121" s="393"/>
      <c r="Y121" s="393"/>
      <c r="Z121" s="393"/>
    </row>
    <row r="122" customFormat="false" ht="27" hidden="false" customHeight="true" outlineLevel="0" collapsed="false">
      <c r="A122" s="427"/>
      <c r="B122" s="428" t="s">
        <v>1777</v>
      </c>
      <c r="C122" s="427"/>
      <c r="D122" s="427"/>
      <c r="E122" s="393"/>
      <c r="F122" s="393"/>
      <c r="G122" s="393"/>
      <c r="H122" s="393"/>
      <c r="I122" s="393"/>
      <c r="J122" s="393"/>
      <c r="K122" s="393"/>
      <c r="L122" s="393"/>
      <c r="M122" s="393"/>
      <c r="N122" s="393"/>
      <c r="O122" s="393"/>
      <c r="P122" s="393"/>
      <c r="Q122" s="393"/>
      <c r="R122" s="393"/>
      <c r="S122" s="393"/>
      <c r="T122" s="393"/>
      <c r="U122" s="393"/>
      <c r="V122" s="393"/>
      <c r="W122" s="393"/>
      <c r="X122" s="393"/>
      <c r="Y122" s="393"/>
      <c r="Z122" s="393"/>
    </row>
    <row r="123" customFormat="false" ht="27" hidden="false" customHeight="true" outlineLevel="0" collapsed="false">
      <c r="A123" s="415"/>
      <c r="B123" s="429" t="s">
        <v>1778</v>
      </c>
      <c r="C123" s="415"/>
      <c r="D123" s="415"/>
      <c r="E123" s="393"/>
      <c r="F123" s="393"/>
      <c r="G123" s="393"/>
      <c r="H123" s="393"/>
      <c r="I123" s="393"/>
      <c r="J123" s="393"/>
      <c r="K123" s="393"/>
      <c r="L123" s="393"/>
      <c r="M123" s="393"/>
      <c r="N123" s="393"/>
      <c r="O123" s="393"/>
      <c r="P123" s="393"/>
      <c r="Q123" s="393"/>
      <c r="R123" s="393"/>
      <c r="S123" s="393"/>
      <c r="T123" s="393"/>
      <c r="U123" s="393"/>
      <c r="V123" s="393"/>
      <c r="W123" s="393"/>
      <c r="X123" s="393"/>
      <c r="Y123" s="393"/>
      <c r="Z123" s="393"/>
    </row>
    <row r="124" customFormat="false" ht="27" hidden="false" customHeight="true" outlineLevel="0" collapsed="false">
      <c r="A124" s="427"/>
      <c r="B124" s="428" t="s">
        <v>1779</v>
      </c>
      <c r="C124" s="427"/>
      <c r="D124" s="427"/>
      <c r="E124" s="393"/>
      <c r="F124" s="393"/>
      <c r="G124" s="393"/>
      <c r="H124" s="393"/>
      <c r="I124" s="393"/>
      <c r="J124" s="393"/>
      <c r="K124" s="393"/>
      <c r="L124" s="393"/>
      <c r="M124" s="393"/>
      <c r="N124" s="393"/>
      <c r="O124" s="393"/>
      <c r="P124" s="393"/>
      <c r="Q124" s="393"/>
      <c r="R124" s="393"/>
      <c r="S124" s="393"/>
      <c r="T124" s="393"/>
      <c r="U124" s="393"/>
      <c r="V124" s="393"/>
      <c r="W124" s="393"/>
      <c r="X124" s="393"/>
      <c r="Y124" s="393"/>
      <c r="Z124" s="393"/>
    </row>
    <row r="125" customFormat="false" ht="27" hidden="false" customHeight="true" outlineLevel="0" collapsed="false">
      <c r="A125" s="415"/>
      <c r="B125" s="415"/>
      <c r="C125" s="415"/>
      <c r="D125" s="415"/>
      <c r="E125" s="393"/>
      <c r="F125" s="393"/>
      <c r="G125" s="393"/>
      <c r="H125" s="393"/>
      <c r="I125" s="393"/>
      <c r="J125" s="393"/>
      <c r="K125" s="393"/>
      <c r="L125" s="393"/>
      <c r="M125" s="393"/>
      <c r="N125" s="393"/>
      <c r="O125" s="393"/>
      <c r="P125" s="393"/>
      <c r="Q125" s="393"/>
      <c r="R125" s="393"/>
      <c r="S125" s="393"/>
      <c r="T125" s="393"/>
      <c r="U125" s="393"/>
      <c r="V125" s="393"/>
      <c r="W125" s="393"/>
      <c r="X125" s="393"/>
      <c r="Y125" s="393"/>
      <c r="Z125" s="393"/>
    </row>
    <row r="126" customFormat="false" ht="27" hidden="false" customHeight="true" outlineLevel="0" collapsed="false">
      <c r="A126" s="427"/>
      <c r="B126" s="428" t="s">
        <v>1780</v>
      </c>
      <c r="C126" s="427"/>
      <c r="D126" s="427"/>
      <c r="E126" s="393"/>
      <c r="F126" s="393"/>
      <c r="G126" s="393"/>
      <c r="H126" s="393"/>
      <c r="I126" s="393"/>
      <c r="J126" s="393"/>
      <c r="K126" s="393"/>
      <c r="L126" s="393"/>
      <c r="M126" s="393"/>
      <c r="N126" s="393"/>
      <c r="O126" s="393"/>
      <c r="P126" s="393"/>
      <c r="Q126" s="393"/>
      <c r="R126" s="393"/>
      <c r="S126" s="393"/>
      <c r="T126" s="393"/>
      <c r="U126" s="393"/>
      <c r="V126" s="393"/>
      <c r="W126" s="393"/>
      <c r="X126" s="393"/>
      <c r="Y126" s="393"/>
      <c r="Z126" s="393"/>
    </row>
    <row r="127" customFormat="false" ht="27" hidden="false" customHeight="true" outlineLevel="0" collapsed="false">
      <c r="A127" s="415"/>
      <c r="B127" s="429" t="s">
        <v>1781</v>
      </c>
      <c r="C127" s="415"/>
      <c r="D127" s="415"/>
      <c r="E127" s="393"/>
      <c r="F127" s="393"/>
      <c r="G127" s="393"/>
      <c r="H127" s="393"/>
      <c r="I127" s="393"/>
      <c r="J127" s="393"/>
      <c r="K127" s="393"/>
      <c r="L127" s="393"/>
      <c r="M127" s="393"/>
      <c r="N127" s="393"/>
      <c r="O127" s="393"/>
      <c r="P127" s="393"/>
      <c r="Q127" s="393"/>
      <c r="R127" s="393"/>
      <c r="S127" s="393"/>
      <c r="T127" s="393"/>
      <c r="U127" s="393"/>
      <c r="V127" s="393"/>
      <c r="W127" s="393"/>
      <c r="X127" s="393"/>
      <c r="Y127" s="393"/>
      <c r="Z127" s="393"/>
    </row>
    <row r="128" customFormat="false" ht="27" hidden="false" customHeight="true" outlineLevel="0" collapsed="false">
      <c r="A128" s="427"/>
      <c r="B128" s="428" t="s">
        <v>1782</v>
      </c>
      <c r="C128" s="427"/>
      <c r="D128" s="427"/>
      <c r="E128" s="393"/>
      <c r="F128" s="393"/>
      <c r="G128" s="393"/>
      <c r="H128" s="393"/>
      <c r="I128" s="393"/>
      <c r="J128" s="393"/>
      <c r="K128" s="393"/>
      <c r="L128" s="393"/>
      <c r="M128" s="393"/>
      <c r="N128" s="393"/>
      <c r="O128" s="393"/>
      <c r="P128" s="393"/>
      <c r="Q128" s="393"/>
      <c r="R128" s="393"/>
      <c r="S128" s="393"/>
      <c r="T128" s="393"/>
      <c r="U128" s="393"/>
      <c r="V128" s="393"/>
      <c r="W128" s="393"/>
      <c r="X128" s="393"/>
      <c r="Y128" s="393"/>
      <c r="Z128" s="393"/>
    </row>
    <row r="129" customFormat="false" ht="27" hidden="false" customHeight="true" outlineLevel="0" collapsed="false">
      <c r="A129" s="415"/>
      <c r="B129" s="429" t="s">
        <v>1783</v>
      </c>
      <c r="C129" s="415"/>
      <c r="D129" s="415"/>
      <c r="E129" s="393"/>
      <c r="F129" s="393"/>
      <c r="G129" s="393"/>
      <c r="H129" s="393"/>
      <c r="I129" s="393"/>
      <c r="J129" s="393"/>
      <c r="K129" s="393"/>
      <c r="L129" s="393"/>
      <c r="M129" s="393"/>
      <c r="N129" s="393"/>
      <c r="O129" s="393"/>
      <c r="P129" s="393"/>
      <c r="Q129" s="393"/>
      <c r="R129" s="393"/>
      <c r="S129" s="393"/>
      <c r="T129" s="393"/>
      <c r="U129" s="393"/>
      <c r="V129" s="393"/>
      <c r="W129" s="393"/>
      <c r="X129" s="393"/>
      <c r="Y129" s="393"/>
      <c r="Z129" s="393"/>
    </row>
    <row r="130" customFormat="false" ht="27" hidden="false" customHeight="true" outlineLevel="0" collapsed="false">
      <c r="A130" s="427"/>
      <c r="B130" s="427"/>
      <c r="C130" s="427"/>
      <c r="D130" s="427"/>
      <c r="E130" s="393"/>
      <c r="F130" s="393"/>
      <c r="G130" s="393"/>
      <c r="H130" s="393"/>
      <c r="I130" s="393"/>
      <c r="J130" s="393"/>
      <c r="K130" s="393"/>
      <c r="L130" s="393"/>
      <c r="M130" s="393"/>
      <c r="N130" s="393"/>
      <c r="O130" s="393"/>
      <c r="P130" s="393"/>
      <c r="Q130" s="393"/>
      <c r="R130" s="393"/>
      <c r="S130" s="393"/>
      <c r="T130" s="393"/>
      <c r="U130" s="393"/>
      <c r="V130" s="393"/>
      <c r="W130" s="393"/>
      <c r="X130" s="393"/>
      <c r="Y130" s="393"/>
      <c r="Z130" s="393"/>
    </row>
    <row r="131" customFormat="false" ht="27" hidden="false" customHeight="true" outlineLevel="0" collapsed="false">
      <c r="A131" s="415"/>
      <c r="B131" s="429" t="s">
        <v>1784</v>
      </c>
      <c r="C131" s="415"/>
      <c r="D131" s="415"/>
      <c r="E131" s="393"/>
      <c r="F131" s="393"/>
      <c r="G131" s="393"/>
      <c r="H131" s="393"/>
      <c r="I131" s="393"/>
      <c r="J131" s="393"/>
      <c r="K131" s="393"/>
      <c r="L131" s="393"/>
      <c r="M131" s="393"/>
      <c r="N131" s="393"/>
      <c r="O131" s="393"/>
      <c r="P131" s="393"/>
      <c r="Q131" s="393"/>
      <c r="R131" s="393"/>
      <c r="S131" s="393"/>
      <c r="T131" s="393"/>
      <c r="U131" s="393"/>
      <c r="V131" s="393"/>
      <c r="W131" s="393"/>
      <c r="X131" s="393"/>
      <c r="Y131" s="393"/>
      <c r="Z131" s="393"/>
    </row>
    <row r="132" customFormat="false" ht="27" hidden="false" customHeight="true" outlineLevel="0" collapsed="false">
      <c r="A132" s="427"/>
      <c r="B132" s="428" t="s">
        <v>1785</v>
      </c>
      <c r="C132" s="427"/>
      <c r="D132" s="427"/>
      <c r="E132" s="393"/>
      <c r="F132" s="393"/>
      <c r="G132" s="393"/>
      <c r="H132" s="393"/>
      <c r="I132" s="393"/>
      <c r="J132" s="393"/>
      <c r="K132" s="393"/>
      <c r="L132" s="393"/>
      <c r="M132" s="393"/>
      <c r="N132" s="393"/>
      <c r="O132" s="393"/>
      <c r="P132" s="393"/>
      <c r="Q132" s="393"/>
      <c r="R132" s="393"/>
      <c r="S132" s="393"/>
      <c r="T132" s="393"/>
      <c r="U132" s="393"/>
      <c r="V132" s="393"/>
      <c r="W132" s="393"/>
      <c r="X132" s="393"/>
      <c r="Y132" s="393"/>
      <c r="Z132" s="393"/>
    </row>
    <row r="133" customFormat="false" ht="27" hidden="false" customHeight="true" outlineLevel="0" collapsed="false">
      <c r="A133" s="415"/>
      <c r="B133" s="415"/>
      <c r="C133" s="415"/>
      <c r="D133" s="415"/>
      <c r="E133" s="393"/>
      <c r="F133" s="393"/>
      <c r="G133" s="393"/>
      <c r="H133" s="393"/>
      <c r="I133" s="393"/>
      <c r="J133" s="393"/>
      <c r="K133" s="393"/>
      <c r="L133" s="393"/>
      <c r="M133" s="393"/>
      <c r="N133" s="393"/>
      <c r="O133" s="393"/>
      <c r="P133" s="393"/>
      <c r="Q133" s="393"/>
      <c r="R133" s="393"/>
      <c r="S133" s="393"/>
      <c r="T133" s="393"/>
      <c r="U133" s="393"/>
      <c r="V133" s="393"/>
      <c r="W133" s="393"/>
      <c r="X133" s="393"/>
      <c r="Y133" s="393"/>
      <c r="Z133" s="393"/>
    </row>
    <row r="134" customFormat="false" ht="27" hidden="false" customHeight="true" outlineLevel="0" collapsed="false">
      <c r="A134" s="427"/>
      <c r="B134" s="428" t="s">
        <v>1786</v>
      </c>
      <c r="C134" s="427"/>
      <c r="D134" s="427"/>
      <c r="E134" s="393"/>
      <c r="F134" s="393"/>
      <c r="G134" s="393"/>
      <c r="H134" s="393"/>
      <c r="I134" s="393"/>
      <c r="J134" s="393"/>
      <c r="K134" s="393"/>
      <c r="L134" s="393"/>
      <c r="M134" s="393"/>
      <c r="N134" s="393"/>
      <c r="O134" s="393"/>
      <c r="P134" s="393"/>
      <c r="Q134" s="393"/>
      <c r="R134" s="393"/>
      <c r="S134" s="393"/>
      <c r="T134" s="393"/>
      <c r="U134" s="393"/>
      <c r="V134" s="393"/>
      <c r="W134" s="393"/>
      <c r="X134" s="393"/>
      <c r="Y134" s="393"/>
      <c r="Z134" s="393"/>
    </row>
    <row r="135" customFormat="false" ht="27" hidden="false" customHeight="true" outlineLevel="0" collapsed="false">
      <c r="A135" s="415"/>
      <c r="B135" s="429" t="s">
        <v>1787</v>
      </c>
      <c r="C135" s="415"/>
      <c r="D135" s="415"/>
      <c r="E135" s="393"/>
      <c r="F135" s="393"/>
      <c r="G135" s="393"/>
      <c r="H135" s="393"/>
      <c r="I135" s="393"/>
      <c r="J135" s="393"/>
      <c r="K135" s="393"/>
      <c r="L135" s="393"/>
      <c r="M135" s="393"/>
      <c r="N135" s="393"/>
      <c r="O135" s="393"/>
      <c r="P135" s="393"/>
      <c r="Q135" s="393"/>
      <c r="R135" s="393"/>
      <c r="S135" s="393"/>
      <c r="T135" s="393"/>
      <c r="U135" s="393"/>
      <c r="V135" s="393"/>
      <c r="W135" s="393"/>
      <c r="X135" s="393"/>
      <c r="Y135" s="393"/>
      <c r="Z135" s="393"/>
    </row>
    <row r="136" customFormat="false" ht="27" hidden="false" customHeight="true" outlineLevel="0" collapsed="false">
      <c r="A136" s="427"/>
      <c r="B136" s="427"/>
      <c r="C136" s="427"/>
      <c r="D136" s="427"/>
      <c r="E136" s="393"/>
      <c r="F136" s="393"/>
      <c r="G136" s="393"/>
      <c r="H136" s="393"/>
      <c r="I136" s="393"/>
      <c r="J136" s="393"/>
      <c r="K136" s="393"/>
      <c r="L136" s="393"/>
      <c r="M136" s="393"/>
      <c r="N136" s="393"/>
      <c r="O136" s="393"/>
      <c r="P136" s="393"/>
      <c r="Q136" s="393"/>
      <c r="R136" s="393"/>
      <c r="S136" s="393"/>
      <c r="T136" s="393"/>
      <c r="U136" s="393"/>
      <c r="V136" s="393"/>
      <c r="W136" s="393"/>
      <c r="X136" s="393"/>
      <c r="Y136" s="393"/>
      <c r="Z136" s="393"/>
    </row>
    <row r="137" customFormat="false" ht="27" hidden="false" customHeight="true" outlineLevel="0" collapsed="false">
      <c r="A137" s="415"/>
      <c r="B137" s="415"/>
      <c r="C137" s="415"/>
      <c r="D137" s="415"/>
      <c r="E137" s="393"/>
      <c r="F137" s="393"/>
      <c r="G137" s="393"/>
      <c r="H137" s="393"/>
      <c r="I137" s="393"/>
      <c r="J137" s="393"/>
      <c r="K137" s="393"/>
      <c r="L137" s="393"/>
      <c r="M137" s="393"/>
      <c r="N137" s="393"/>
      <c r="O137" s="393"/>
      <c r="P137" s="393"/>
      <c r="Q137" s="393"/>
      <c r="R137" s="393"/>
      <c r="S137" s="393"/>
      <c r="T137" s="393"/>
      <c r="U137" s="393"/>
      <c r="V137" s="393"/>
      <c r="W137" s="393"/>
      <c r="X137" s="393"/>
      <c r="Y137" s="393"/>
      <c r="Z137" s="393"/>
    </row>
    <row r="138" customFormat="false" ht="27" hidden="false" customHeight="true" outlineLevel="0" collapsed="false">
      <c r="A138" s="427"/>
      <c r="B138" s="427"/>
      <c r="C138" s="427"/>
      <c r="D138" s="427"/>
      <c r="E138" s="393"/>
      <c r="F138" s="393"/>
      <c r="G138" s="393"/>
      <c r="H138" s="393"/>
      <c r="I138" s="393"/>
      <c r="J138" s="393"/>
      <c r="K138" s="393"/>
      <c r="L138" s="393"/>
      <c r="M138" s="393"/>
      <c r="N138" s="393"/>
      <c r="O138" s="393"/>
      <c r="P138" s="393"/>
      <c r="Q138" s="393"/>
      <c r="R138" s="393"/>
      <c r="S138" s="393"/>
      <c r="T138" s="393"/>
      <c r="U138" s="393"/>
      <c r="V138" s="393"/>
      <c r="W138" s="393"/>
      <c r="X138" s="393"/>
      <c r="Y138" s="393"/>
      <c r="Z138" s="393"/>
    </row>
    <row r="139" customFormat="false" ht="27" hidden="false" customHeight="true" outlineLevel="0" collapsed="false">
      <c r="A139" s="415"/>
      <c r="B139" s="415"/>
      <c r="C139" s="415"/>
      <c r="D139" s="415"/>
      <c r="E139" s="393"/>
      <c r="F139" s="393"/>
      <c r="G139" s="393"/>
      <c r="H139" s="393"/>
      <c r="I139" s="393"/>
      <c r="J139" s="393"/>
      <c r="K139" s="393"/>
      <c r="L139" s="393"/>
      <c r="M139" s="393"/>
      <c r="N139" s="393"/>
      <c r="O139" s="393"/>
      <c r="P139" s="393"/>
      <c r="Q139" s="393"/>
      <c r="R139" s="393"/>
      <c r="S139" s="393"/>
      <c r="T139" s="393"/>
      <c r="U139" s="393"/>
      <c r="V139" s="393"/>
      <c r="W139" s="393"/>
      <c r="X139" s="393"/>
      <c r="Y139" s="393"/>
      <c r="Z139" s="393"/>
    </row>
    <row r="140" customFormat="false" ht="15.75" hidden="false" customHeight="true" outlineLevel="0" collapsed="false">
      <c r="A140" s="393"/>
      <c r="B140" s="430" t="s">
        <v>1788</v>
      </c>
      <c r="C140" s="393"/>
      <c r="D140" s="393"/>
      <c r="E140" s="393"/>
      <c r="F140" s="393"/>
      <c r="G140" s="393"/>
      <c r="H140" s="393"/>
      <c r="I140" s="393"/>
      <c r="J140" s="393"/>
      <c r="K140" s="393"/>
      <c r="L140" s="393"/>
      <c r="M140" s="393"/>
      <c r="N140" s="393"/>
      <c r="O140" s="393"/>
      <c r="P140" s="393"/>
      <c r="Q140" s="393"/>
      <c r="R140" s="393"/>
      <c r="S140" s="393"/>
      <c r="T140" s="393"/>
      <c r="U140" s="393"/>
      <c r="V140" s="393"/>
      <c r="W140" s="393"/>
      <c r="X140" s="393"/>
      <c r="Y140" s="393"/>
      <c r="Z140" s="393"/>
    </row>
    <row r="141" customFormat="false" ht="15.75" hidden="false" customHeight="true" outlineLevel="0" collapsed="false">
      <c r="A141" s="393"/>
      <c r="B141" s="430" t="s">
        <v>1789</v>
      </c>
      <c r="C141" s="393"/>
      <c r="D141" s="393"/>
      <c r="E141" s="393"/>
      <c r="F141" s="393"/>
      <c r="G141" s="393"/>
      <c r="H141" s="393"/>
      <c r="I141" s="393"/>
      <c r="J141" s="393"/>
      <c r="K141" s="393"/>
      <c r="L141" s="393"/>
      <c r="M141" s="393"/>
      <c r="N141" s="393"/>
      <c r="O141" s="393"/>
      <c r="P141" s="393"/>
      <c r="Q141" s="393"/>
      <c r="R141" s="393"/>
      <c r="S141" s="393"/>
      <c r="T141" s="393"/>
      <c r="U141" s="393"/>
      <c r="V141" s="393"/>
      <c r="W141" s="393"/>
      <c r="X141" s="393"/>
      <c r="Y141" s="393"/>
      <c r="Z141" s="393"/>
    </row>
    <row r="142" customFormat="false" ht="27" hidden="false" customHeight="true" outlineLevel="0" collapsed="false">
      <c r="A142" s="397"/>
      <c r="B142" s="431"/>
      <c r="C142" s="431"/>
      <c r="D142" s="431"/>
      <c r="E142" s="431"/>
      <c r="F142" s="431"/>
      <c r="G142" s="393"/>
      <c r="H142" s="393"/>
      <c r="I142" s="393"/>
      <c r="J142" s="393"/>
      <c r="K142" s="393"/>
      <c r="L142" s="393"/>
      <c r="M142" s="393"/>
      <c r="N142" s="393"/>
      <c r="O142" s="393"/>
      <c r="P142" s="393"/>
      <c r="Q142" s="393"/>
      <c r="R142" s="393"/>
      <c r="S142" s="393"/>
      <c r="T142" s="393"/>
      <c r="U142" s="393"/>
      <c r="V142" s="393"/>
      <c r="W142" s="393"/>
      <c r="X142" s="393"/>
      <c r="Y142" s="393"/>
      <c r="Z142" s="393"/>
    </row>
    <row r="143" customFormat="false" ht="21" hidden="false" customHeight="true" outlineLevel="0" collapsed="false">
      <c r="A143" s="432"/>
      <c r="B143" s="433" t="s">
        <v>1790</v>
      </c>
      <c r="C143" s="432"/>
      <c r="D143" s="432"/>
      <c r="E143" s="432"/>
      <c r="F143" s="432"/>
      <c r="G143" s="393"/>
      <c r="H143" s="393"/>
      <c r="I143" s="393"/>
      <c r="J143" s="393"/>
      <c r="K143" s="393"/>
      <c r="L143" s="393"/>
      <c r="M143" s="393"/>
      <c r="N143" s="393"/>
      <c r="O143" s="393"/>
      <c r="P143" s="393"/>
      <c r="Q143" s="393"/>
      <c r="R143" s="393"/>
      <c r="S143" s="393"/>
      <c r="T143" s="393"/>
      <c r="U143" s="393"/>
      <c r="V143" s="393"/>
      <c r="W143" s="393"/>
      <c r="X143" s="393"/>
      <c r="Y143" s="393"/>
      <c r="Z143" s="393"/>
    </row>
    <row r="144" customFormat="false" ht="15.75" hidden="false" customHeight="true" outlineLevel="0" collapsed="false">
      <c r="A144" s="393"/>
      <c r="B144" s="430" t="s">
        <v>1791</v>
      </c>
      <c r="C144" s="430" t="s">
        <v>1792</v>
      </c>
      <c r="D144" s="393"/>
      <c r="E144" s="393"/>
      <c r="F144" s="393"/>
      <c r="G144" s="393"/>
      <c r="H144" s="393"/>
      <c r="I144" s="393"/>
      <c r="J144" s="393"/>
      <c r="K144" s="393"/>
      <c r="L144" s="393"/>
      <c r="M144" s="393"/>
      <c r="N144" s="393"/>
      <c r="O144" s="393"/>
      <c r="P144" s="393"/>
      <c r="Q144" s="393"/>
      <c r="R144" s="393"/>
      <c r="S144" s="393"/>
      <c r="T144" s="393"/>
      <c r="U144" s="393"/>
      <c r="V144" s="393"/>
      <c r="W144" s="393"/>
      <c r="X144" s="393"/>
      <c r="Y144" s="393"/>
      <c r="Z144" s="393"/>
    </row>
    <row r="145" customFormat="false" ht="22.5" hidden="false" customHeight="true" outlineLevel="0" collapsed="false">
      <c r="A145" s="434"/>
      <c r="B145" s="435" t="s">
        <v>1793</v>
      </c>
      <c r="C145" s="435"/>
      <c r="D145" s="435"/>
      <c r="E145" s="435"/>
      <c r="F145" s="435"/>
      <c r="G145" s="393"/>
      <c r="H145" s="393"/>
      <c r="I145" s="393"/>
      <c r="J145" s="393"/>
      <c r="K145" s="393"/>
      <c r="L145" s="393"/>
      <c r="M145" s="393"/>
      <c r="N145" s="393"/>
      <c r="O145" s="393"/>
      <c r="P145" s="393"/>
      <c r="Q145" s="393"/>
      <c r="R145" s="393"/>
      <c r="S145" s="393"/>
      <c r="T145" s="393"/>
      <c r="U145" s="393"/>
      <c r="V145" s="393"/>
      <c r="W145" s="393"/>
      <c r="X145" s="393"/>
      <c r="Y145" s="393"/>
      <c r="Z145" s="393"/>
    </row>
    <row r="146" customFormat="false" ht="19.5" hidden="false" customHeight="true" outlineLevel="0" collapsed="false">
      <c r="A146" s="393"/>
      <c r="B146" s="436" t="s">
        <v>1794</v>
      </c>
      <c r="C146" s="436" t="s">
        <v>1795</v>
      </c>
      <c r="D146" s="436"/>
      <c r="E146" s="436"/>
      <c r="F146" s="436"/>
      <c r="G146" s="393"/>
      <c r="H146" s="393"/>
      <c r="I146" s="393"/>
      <c r="J146" s="393"/>
      <c r="K146" s="393"/>
      <c r="L146" s="393"/>
      <c r="M146" s="393"/>
      <c r="N146" s="393"/>
      <c r="O146" s="393"/>
      <c r="P146" s="393"/>
      <c r="Q146" s="393"/>
      <c r="R146" s="393"/>
      <c r="S146" s="393"/>
      <c r="T146" s="393"/>
      <c r="U146" s="393"/>
      <c r="V146" s="393"/>
      <c r="W146" s="393"/>
      <c r="X146" s="393"/>
      <c r="Y146" s="393"/>
      <c r="Z146" s="393"/>
    </row>
    <row r="147" customFormat="false" ht="19.5" hidden="false" customHeight="true" outlineLevel="0" collapsed="false">
      <c r="A147" s="393"/>
      <c r="B147" s="415"/>
      <c r="C147" s="429" t="s">
        <v>1796</v>
      </c>
      <c r="D147" s="415"/>
      <c r="E147" s="415"/>
      <c r="F147" s="415"/>
      <c r="G147" s="393"/>
      <c r="H147" s="393"/>
      <c r="I147" s="393"/>
      <c r="J147" s="393"/>
      <c r="K147" s="393"/>
      <c r="L147" s="393"/>
      <c r="M147" s="393"/>
      <c r="N147" s="393"/>
      <c r="O147" s="393"/>
      <c r="P147" s="393"/>
      <c r="Q147" s="393"/>
      <c r="R147" s="393"/>
      <c r="S147" s="393"/>
      <c r="T147" s="393"/>
      <c r="U147" s="393"/>
      <c r="V147" s="393"/>
      <c r="W147" s="393"/>
      <c r="X147" s="393"/>
      <c r="Y147" s="393"/>
      <c r="Z147" s="393"/>
    </row>
    <row r="148" customFormat="false" ht="19.5" hidden="false" customHeight="true" outlineLevel="0" collapsed="false">
      <c r="A148" s="393"/>
      <c r="B148" s="436"/>
      <c r="C148" s="436" t="s">
        <v>1797</v>
      </c>
      <c r="D148" s="436"/>
      <c r="E148" s="436"/>
      <c r="F148" s="436"/>
      <c r="G148" s="393"/>
      <c r="H148" s="393"/>
      <c r="I148" s="393"/>
      <c r="J148" s="393"/>
      <c r="K148" s="393"/>
      <c r="L148" s="393"/>
      <c r="M148" s="393"/>
      <c r="N148" s="393"/>
      <c r="O148" s="393"/>
      <c r="P148" s="393"/>
      <c r="Q148" s="393"/>
      <c r="R148" s="393"/>
      <c r="S148" s="393"/>
      <c r="T148" s="393"/>
      <c r="U148" s="393"/>
      <c r="V148" s="393"/>
      <c r="W148" s="393"/>
      <c r="X148" s="393"/>
      <c r="Y148" s="393"/>
      <c r="Z148" s="393"/>
    </row>
    <row r="149" customFormat="false" ht="19.5" hidden="false" customHeight="true" outlineLevel="0" collapsed="false">
      <c r="A149" s="393"/>
      <c r="B149" s="415"/>
      <c r="C149" s="429" t="s">
        <v>1798</v>
      </c>
      <c r="D149" s="415"/>
      <c r="E149" s="415"/>
      <c r="F149" s="415"/>
      <c r="G149" s="393"/>
      <c r="H149" s="393"/>
      <c r="I149" s="393"/>
      <c r="J149" s="393"/>
      <c r="K149" s="393"/>
      <c r="L149" s="393"/>
      <c r="M149" s="393"/>
      <c r="N149" s="393"/>
      <c r="O149" s="393"/>
      <c r="P149" s="393"/>
      <c r="Q149" s="393"/>
      <c r="R149" s="393"/>
      <c r="S149" s="393"/>
      <c r="T149" s="393"/>
      <c r="U149" s="393"/>
      <c r="V149" s="393"/>
      <c r="W149" s="393"/>
      <c r="X149" s="393"/>
      <c r="Y149" s="393"/>
      <c r="Z149" s="393"/>
    </row>
    <row r="150" customFormat="false" ht="19.5" hidden="false" customHeight="true" outlineLevel="0" collapsed="false">
      <c r="A150" s="393"/>
      <c r="B150" s="436"/>
      <c r="C150" s="436" t="s">
        <v>1799</v>
      </c>
      <c r="D150" s="436"/>
      <c r="E150" s="436"/>
      <c r="F150" s="436"/>
      <c r="G150" s="393"/>
      <c r="H150" s="393"/>
      <c r="I150" s="393"/>
      <c r="J150" s="393"/>
      <c r="K150" s="393"/>
      <c r="L150" s="393"/>
      <c r="M150" s="393"/>
      <c r="N150" s="393"/>
      <c r="O150" s="393"/>
      <c r="P150" s="393"/>
      <c r="Q150" s="393"/>
      <c r="R150" s="393"/>
      <c r="S150" s="393"/>
      <c r="T150" s="393"/>
      <c r="U150" s="393"/>
      <c r="V150" s="393"/>
      <c r="W150" s="393"/>
      <c r="X150" s="393"/>
      <c r="Y150" s="393"/>
      <c r="Z150" s="393"/>
    </row>
    <row r="151" customFormat="false" ht="19.5" hidden="false" customHeight="true" outlineLevel="0" collapsed="false">
      <c r="A151" s="393"/>
      <c r="B151" s="415"/>
      <c r="C151" s="429" t="s">
        <v>1800</v>
      </c>
      <c r="D151" s="415"/>
      <c r="E151" s="415"/>
      <c r="F151" s="415"/>
      <c r="G151" s="393"/>
      <c r="H151" s="393"/>
      <c r="I151" s="393"/>
      <c r="J151" s="393"/>
      <c r="K151" s="393"/>
      <c r="L151" s="393"/>
      <c r="M151" s="393"/>
      <c r="N151" s="393"/>
      <c r="O151" s="393"/>
      <c r="P151" s="393"/>
      <c r="Q151" s="393"/>
      <c r="R151" s="393"/>
      <c r="S151" s="393"/>
      <c r="T151" s="393"/>
      <c r="U151" s="393"/>
      <c r="V151" s="393"/>
      <c r="W151" s="393"/>
      <c r="X151" s="393"/>
      <c r="Y151" s="393"/>
      <c r="Z151" s="393"/>
    </row>
    <row r="152" customFormat="false" ht="19.5" hidden="false" customHeight="true" outlineLevel="0" collapsed="false">
      <c r="A152" s="393"/>
      <c r="B152" s="436"/>
      <c r="C152" s="436" t="s">
        <v>1801</v>
      </c>
      <c r="D152" s="436"/>
      <c r="E152" s="436"/>
      <c r="F152" s="436"/>
      <c r="G152" s="393"/>
      <c r="H152" s="393"/>
      <c r="I152" s="393"/>
      <c r="J152" s="393"/>
      <c r="K152" s="393"/>
      <c r="L152" s="393"/>
      <c r="M152" s="393"/>
      <c r="N152" s="393"/>
      <c r="O152" s="393"/>
      <c r="P152" s="393"/>
      <c r="Q152" s="393"/>
      <c r="R152" s="393"/>
      <c r="S152" s="393"/>
      <c r="T152" s="393"/>
      <c r="U152" s="393"/>
      <c r="V152" s="393"/>
      <c r="W152" s="393"/>
      <c r="X152" s="393"/>
      <c r="Y152" s="393"/>
      <c r="Z152" s="393"/>
    </row>
    <row r="153" customFormat="false" ht="19.5" hidden="false" customHeight="true" outlineLevel="0" collapsed="false">
      <c r="A153" s="393"/>
      <c r="B153" s="429" t="s">
        <v>1802</v>
      </c>
      <c r="C153" s="429" t="s">
        <v>1803</v>
      </c>
      <c r="D153" s="415"/>
      <c r="E153" s="415"/>
      <c r="F153" s="415"/>
      <c r="G153" s="393"/>
      <c r="H153" s="393"/>
      <c r="I153" s="393"/>
      <c r="J153" s="393"/>
      <c r="K153" s="393"/>
      <c r="L153" s="393"/>
      <c r="M153" s="393"/>
      <c r="N153" s="393"/>
      <c r="O153" s="393"/>
      <c r="P153" s="393"/>
      <c r="Q153" s="393"/>
      <c r="R153" s="393"/>
      <c r="S153" s="393"/>
      <c r="T153" s="393"/>
      <c r="U153" s="393"/>
      <c r="V153" s="393"/>
      <c r="W153" s="393"/>
      <c r="X153" s="393"/>
      <c r="Y153" s="393"/>
      <c r="Z153" s="393"/>
    </row>
    <row r="154" customFormat="false" ht="19.5" hidden="false" customHeight="true" outlineLevel="0" collapsed="false">
      <c r="A154" s="393"/>
      <c r="B154" s="436" t="s">
        <v>1804</v>
      </c>
      <c r="C154" s="436" t="s">
        <v>1805</v>
      </c>
      <c r="D154" s="436"/>
      <c r="E154" s="436"/>
      <c r="F154" s="436"/>
      <c r="G154" s="393"/>
      <c r="H154" s="393"/>
      <c r="I154" s="393"/>
      <c r="J154" s="393"/>
      <c r="K154" s="393"/>
      <c r="L154" s="393"/>
      <c r="M154" s="393"/>
      <c r="N154" s="393"/>
      <c r="O154" s="393"/>
      <c r="P154" s="393"/>
      <c r="Q154" s="393"/>
      <c r="R154" s="393"/>
      <c r="S154" s="393"/>
      <c r="T154" s="393"/>
      <c r="U154" s="393"/>
      <c r="V154" s="393"/>
      <c r="W154" s="393"/>
      <c r="X154" s="393"/>
      <c r="Y154" s="393"/>
      <c r="Z154" s="393"/>
    </row>
    <row r="155" customFormat="false" ht="19.5" hidden="false" customHeight="true" outlineLevel="0" collapsed="false">
      <c r="A155" s="393"/>
      <c r="B155" s="429" t="s">
        <v>1806</v>
      </c>
      <c r="C155" s="429" t="s">
        <v>1807</v>
      </c>
      <c r="D155" s="415"/>
      <c r="E155" s="415"/>
      <c r="F155" s="415"/>
      <c r="G155" s="393"/>
      <c r="H155" s="393"/>
      <c r="I155" s="393"/>
      <c r="J155" s="393"/>
      <c r="K155" s="393"/>
      <c r="L155" s="393"/>
      <c r="M155" s="393"/>
      <c r="N155" s="393"/>
      <c r="O155" s="393"/>
      <c r="P155" s="393"/>
      <c r="Q155" s="393"/>
      <c r="R155" s="393"/>
      <c r="S155" s="393"/>
      <c r="T155" s="393"/>
      <c r="U155" s="393"/>
      <c r="V155" s="393"/>
      <c r="W155" s="393"/>
      <c r="X155" s="393"/>
      <c r="Y155" s="393"/>
      <c r="Z155" s="393"/>
    </row>
    <row r="156" customFormat="false" ht="7.5" hidden="false" customHeight="true" outlineLevel="0" collapsed="false">
      <c r="A156" s="393"/>
      <c r="B156" s="393"/>
      <c r="C156" s="393"/>
      <c r="D156" s="393"/>
      <c r="E156" s="393"/>
      <c r="F156" s="393"/>
      <c r="G156" s="393"/>
      <c r="H156" s="393"/>
      <c r="I156" s="393"/>
      <c r="J156" s="393"/>
      <c r="K156" s="393"/>
      <c r="L156" s="393"/>
      <c r="M156" s="393"/>
      <c r="N156" s="393"/>
      <c r="O156" s="393"/>
      <c r="P156" s="393"/>
      <c r="Q156" s="393"/>
      <c r="R156" s="393"/>
      <c r="S156" s="393"/>
      <c r="T156" s="393"/>
      <c r="U156" s="393"/>
      <c r="V156" s="393"/>
      <c r="W156" s="393"/>
      <c r="X156" s="393"/>
      <c r="Y156" s="393"/>
      <c r="Z156" s="393"/>
    </row>
    <row r="157" customFormat="false" ht="22.5" hidden="false" customHeight="true" outlineLevel="0" collapsed="false">
      <c r="A157" s="434"/>
      <c r="B157" s="435" t="s">
        <v>1808</v>
      </c>
      <c r="C157" s="435"/>
      <c r="D157" s="435"/>
      <c r="E157" s="435"/>
      <c r="F157" s="435"/>
      <c r="G157" s="393"/>
      <c r="H157" s="393"/>
      <c r="I157" s="393"/>
      <c r="J157" s="393"/>
      <c r="K157" s="393"/>
      <c r="L157" s="393"/>
      <c r="M157" s="393"/>
      <c r="N157" s="393"/>
      <c r="O157" s="393"/>
      <c r="P157" s="393"/>
      <c r="Q157" s="393"/>
      <c r="R157" s="393"/>
      <c r="S157" s="393"/>
      <c r="T157" s="393"/>
      <c r="U157" s="393"/>
      <c r="V157" s="393"/>
      <c r="W157" s="393"/>
      <c r="X157" s="393"/>
      <c r="Y157" s="393"/>
      <c r="Z157" s="393"/>
    </row>
    <row r="158" customFormat="false" ht="19.5" hidden="false" customHeight="true" outlineLevel="0" collapsed="false">
      <c r="A158" s="393"/>
      <c r="B158" s="436" t="s">
        <v>1809</v>
      </c>
      <c r="C158" s="436"/>
      <c r="D158" s="436"/>
      <c r="E158" s="436"/>
      <c r="F158" s="436"/>
      <c r="G158" s="393"/>
      <c r="H158" s="393"/>
      <c r="I158" s="393"/>
      <c r="J158" s="393"/>
      <c r="K158" s="393"/>
      <c r="L158" s="393"/>
      <c r="M158" s="393"/>
      <c r="N158" s="393"/>
      <c r="O158" s="393"/>
      <c r="P158" s="393"/>
      <c r="Q158" s="393"/>
      <c r="R158" s="393"/>
      <c r="S158" s="393"/>
      <c r="T158" s="393"/>
      <c r="U158" s="393"/>
      <c r="V158" s="393"/>
      <c r="W158" s="393"/>
      <c r="X158" s="393"/>
      <c r="Y158" s="393"/>
      <c r="Z158" s="393"/>
    </row>
    <row r="159" customFormat="false" ht="19.5" hidden="false" customHeight="true" outlineLevel="0" collapsed="false">
      <c r="A159" s="393"/>
      <c r="B159" s="429" t="s">
        <v>1810</v>
      </c>
      <c r="C159" s="429" t="s">
        <v>1811</v>
      </c>
      <c r="D159" s="415"/>
      <c r="E159" s="415"/>
      <c r="F159" s="415"/>
      <c r="G159" s="393"/>
      <c r="H159" s="393"/>
      <c r="I159" s="393"/>
      <c r="J159" s="393"/>
      <c r="K159" s="393"/>
      <c r="L159" s="393"/>
      <c r="M159" s="393"/>
      <c r="N159" s="393"/>
      <c r="O159" s="393"/>
      <c r="P159" s="393"/>
      <c r="Q159" s="393"/>
      <c r="R159" s="393"/>
      <c r="S159" s="393"/>
      <c r="T159" s="393"/>
      <c r="U159" s="393"/>
      <c r="V159" s="393"/>
      <c r="W159" s="393"/>
      <c r="X159" s="393"/>
      <c r="Y159" s="393"/>
      <c r="Z159" s="393"/>
    </row>
    <row r="160" customFormat="false" ht="19.5" hidden="false" customHeight="true" outlineLevel="0" collapsed="false">
      <c r="A160" s="393"/>
      <c r="B160" s="436" t="s">
        <v>1812</v>
      </c>
      <c r="C160" s="436" t="s">
        <v>1813</v>
      </c>
      <c r="D160" s="437"/>
      <c r="E160" s="437"/>
      <c r="F160" s="437"/>
      <c r="G160" s="393"/>
      <c r="H160" s="393"/>
      <c r="I160" s="393"/>
      <c r="J160" s="393"/>
      <c r="K160" s="393"/>
      <c r="L160" s="393"/>
      <c r="M160" s="393"/>
      <c r="N160" s="393"/>
      <c r="O160" s="393"/>
      <c r="P160" s="393"/>
      <c r="Q160" s="393"/>
      <c r="R160" s="393"/>
      <c r="S160" s="393"/>
      <c r="T160" s="393"/>
      <c r="U160" s="393"/>
      <c r="V160" s="393"/>
      <c r="W160" s="393"/>
      <c r="X160" s="393"/>
      <c r="Y160" s="393"/>
      <c r="Z160" s="393"/>
    </row>
    <row r="161" customFormat="false" ht="19.5" hidden="false" customHeight="true" outlineLevel="0" collapsed="false">
      <c r="A161" s="393"/>
      <c r="B161" s="429" t="s">
        <v>1814</v>
      </c>
      <c r="C161" s="429" t="s">
        <v>1815</v>
      </c>
      <c r="D161" s="415"/>
      <c r="E161" s="415"/>
      <c r="F161" s="415"/>
      <c r="G161" s="393"/>
      <c r="H161" s="393"/>
      <c r="I161" s="393"/>
      <c r="J161" s="393"/>
      <c r="K161" s="393"/>
      <c r="L161" s="393"/>
      <c r="M161" s="393"/>
      <c r="N161" s="393"/>
      <c r="O161" s="393"/>
      <c r="P161" s="393"/>
      <c r="Q161" s="393"/>
      <c r="R161" s="393"/>
      <c r="S161" s="393"/>
      <c r="T161" s="393"/>
      <c r="U161" s="393"/>
      <c r="V161" s="393"/>
      <c r="W161" s="393"/>
      <c r="X161" s="393"/>
      <c r="Y161" s="393"/>
      <c r="Z161" s="393"/>
    </row>
    <row r="162" customFormat="false" ht="19.5" hidden="false" customHeight="true" outlineLevel="0" collapsed="false">
      <c r="A162" s="393"/>
      <c r="B162" s="436" t="s">
        <v>1816</v>
      </c>
      <c r="C162" s="436" t="s">
        <v>1817</v>
      </c>
      <c r="D162" s="437"/>
      <c r="E162" s="437"/>
      <c r="F162" s="437"/>
      <c r="G162" s="393"/>
      <c r="H162" s="393"/>
      <c r="I162" s="393"/>
      <c r="J162" s="393"/>
      <c r="K162" s="393"/>
      <c r="L162" s="393"/>
      <c r="M162" s="393"/>
      <c r="N162" s="393"/>
      <c r="O162" s="393"/>
      <c r="P162" s="393"/>
      <c r="Q162" s="393"/>
      <c r="R162" s="393"/>
      <c r="S162" s="393"/>
      <c r="T162" s="393"/>
      <c r="U162" s="393"/>
      <c r="V162" s="393"/>
      <c r="W162" s="393"/>
      <c r="X162" s="393"/>
      <c r="Y162" s="393"/>
      <c r="Z162" s="393"/>
    </row>
    <row r="163" customFormat="false" ht="19.5" hidden="false" customHeight="true" outlineLevel="0" collapsed="false">
      <c r="A163" s="393"/>
      <c r="B163" s="429" t="s">
        <v>1818</v>
      </c>
      <c r="C163" s="429" t="s">
        <v>1819</v>
      </c>
      <c r="D163" s="415"/>
      <c r="E163" s="415"/>
      <c r="F163" s="415"/>
      <c r="G163" s="393"/>
      <c r="H163" s="393"/>
      <c r="I163" s="393"/>
      <c r="J163" s="393"/>
      <c r="K163" s="393"/>
      <c r="L163" s="393"/>
      <c r="M163" s="393"/>
      <c r="N163" s="393"/>
      <c r="O163" s="393"/>
      <c r="P163" s="393"/>
      <c r="Q163" s="393"/>
      <c r="R163" s="393"/>
      <c r="S163" s="393"/>
      <c r="T163" s="393"/>
      <c r="U163" s="393"/>
      <c r="V163" s="393"/>
      <c r="W163" s="393"/>
      <c r="X163" s="393"/>
      <c r="Y163" s="393"/>
      <c r="Z163" s="393"/>
    </row>
    <row r="164" customFormat="false" ht="19.5" hidden="false" customHeight="true" outlineLevel="0" collapsed="false">
      <c r="A164" s="393"/>
      <c r="B164" s="436" t="s">
        <v>1820</v>
      </c>
      <c r="C164" s="437"/>
      <c r="D164" s="437"/>
      <c r="E164" s="437"/>
      <c r="F164" s="437"/>
      <c r="G164" s="393"/>
      <c r="H164" s="393"/>
      <c r="I164" s="393"/>
      <c r="J164" s="393"/>
      <c r="K164" s="393"/>
      <c r="L164" s="393"/>
      <c r="M164" s="393"/>
      <c r="N164" s="393"/>
      <c r="O164" s="393"/>
      <c r="P164" s="393"/>
      <c r="Q164" s="393"/>
      <c r="R164" s="393"/>
      <c r="S164" s="393"/>
      <c r="T164" s="393"/>
      <c r="U164" s="393"/>
      <c r="V164" s="393"/>
      <c r="W164" s="393"/>
      <c r="X164" s="393"/>
      <c r="Y164" s="393"/>
      <c r="Z164" s="393"/>
    </row>
    <row r="165" customFormat="false" ht="19.5" hidden="false" customHeight="true" outlineLevel="0" collapsed="false">
      <c r="A165" s="393"/>
      <c r="B165" s="415"/>
      <c r="C165" s="415"/>
      <c r="D165" s="415"/>
      <c r="E165" s="415"/>
      <c r="F165" s="415"/>
      <c r="G165" s="393"/>
      <c r="H165" s="393"/>
      <c r="I165" s="393"/>
      <c r="J165" s="393"/>
      <c r="K165" s="393"/>
      <c r="L165" s="393"/>
      <c r="M165" s="393"/>
      <c r="N165" s="393"/>
      <c r="O165" s="393"/>
      <c r="P165" s="393"/>
      <c r="Q165" s="393"/>
      <c r="R165" s="393"/>
      <c r="S165" s="393"/>
      <c r="T165" s="393"/>
      <c r="U165" s="393"/>
      <c r="V165" s="393"/>
      <c r="W165" s="393"/>
      <c r="X165" s="393"/>
      <c r="Y165" s="393"/>
      <c r="Z165" s="393"/>
    </row>
    <row r="166" customFormat="false" ht="21.75" hidden="false" customHeight="true" outlineLevel="0" collapsed="false">
      <c r="A166" s="393"/>
      <c r="B166" s="430" t="s">
        <v>1821</v>
      </c>
      <c r="C166" s="393"/>
      <c r="D166" s="393"/>
      <c r="E166" s="393"/>
      <c r="F166" s="393"/>
      <c r="G166" s="393"/>
      <c r="H166" s="393"/>
      <c r="I166" s="393"/>
      <c r="J166" s="393"/>
      <c r="K166" s="393"/>
      <c r="L166" s="393"/>
      <c r="M166" s="393"/>
      <c r="N166" s="393"/>
      <c r="O166" s="393"/>
      <c r="P166" s="393"/>
      <c r="Q166" s="393"/>
      <c r="R166" s="393"/>
      <c r="S166" s="393"/>
      <c r="T166" s="393"/>
      <c r="U166" s="393"/>
      <c r="V166" s="393"/>
      <c r="W166" s="393"/>
      <c r="X166" s="393"/>
      <c r="Y166" s="393"/>
      <c r="Z166" s="393"/>
    </row>
    <row r="167" customFormat="false" ht="22.5" hidden="false" customHeight="true" outlineLevel="0" collapsed="false">
      <c r="A167" s="438"/>
      <c r="B167" s="439" t="s">
        <v>1822</v>
      </c>
      <c r="C167" s="439"/>
      <c r="D167" s="439"/>
      <c r="E167" s="439"/>
      <c r="F167" s="439"/>
      <c r="G167" s="393"/>
      <c r="H167" s="393"/>
      <c r="I167" s="393"/>
      <c r="J167" s="393"/>
      <c r="K167" s="393"/>
      <c r="L167" s="393"/>
      <c r="M167" s="393"/>
      <c r="N167" s="393"/>
      <c r="O167" s="393"/>
      <c r="P167" s="393"/>
      <c r="Q167" s="393"/>
      <c r="R167" s="393"/>
      <c r="S167" s="393"/>
      <c r="T167" s="393"/>
      <c r="U167" s="393"/>
      <c r="V167" s="393"/>
      <c r="W167" s="393"/>
      <c r="X167" s="393"/>
      <c r="Y167" s="393"/>
      <c r="Z167" s="393"/>
    </row>
    <row r="168" customFormat="false" ht="19.5" hidden="false" customHeight="true" outlineLevel="0" collapsed="false">
      <c r="A168" s="393"/>
      <c r="B168" s="440" t="s">
        <v>1823</v>
      </c>
      <c r="C168" s="440" t="s">
        <v>1824</v>
      </c>
      <c r="D168" s="440"/>
      <c r="E168" s="440"/>
      <c r="F168" s="440"/>
      <c r="G168" s="393"/>
      <c r="H168" s="393"/>
      <c r="I168" s="393"/>
      <c r="J168" s="393"/>
      <c r="K168" s="393"/>
      <c r="L168" s="393"/>
      <c r="M168" s="393"/>
      <c r="N168" s="393"/>
      <c r="O168" s="393"/>
      <c r="P168" s="393"/>
      <c r="Q168" s="393"/>
      <c r="R168" s="393"/>
      <c r="S168" s="393"/>
      <c r="T168" s="393"/>
      <c r="U168" s="393"/>
      <c r="V168" s="393"/>
      <c r="W168" s="393"/>
      <c r="X168" s="393"/>
      <c r="Y168" s="393"/>
      <c r="Z168" s="393"/>
    </row>
    <row r="169" customFormat="false" ht="19.5" hidden="false" customHeight="true" outlineLevel="0" collapsed="false">
      <c r="A169" s="393"/>
      <c r="B169" s="441" t="s">
        <v>1825</v>
      </c>
      <c r="C169" s="441" t="s">
        <v>1826</v>
      </c>
      <c r="D169" s="441"/>
      <c r="E169" s="441"/>
      <c r="F169" s="441"/>
      <c r="G169" s="393"/>
      <c r="H169" s="393"/>
      <c r="I169" s="393"/>
      <c r="J169" s="393"/>
      <c r="K169" s="393"/>
      <c r="L169" s="393"/>
      <c r="M169" s="393"/>
      <c r="N169" s="393"/>
      <c r="O169" s="393"/>
      <c r="P169" s="393"/>
      <c r="Q169" s="393"/>
      <c r="R169" s="393"/>
      <c r="S169" s="393"/>
      <c r="T169" s="393"/>
      <c r="U169" s="393"/>
      <c r="V169" s="393"/>
      <c r="W169" s="393"/>
      <c r="X169" s="393"/>
      <c r="Y169" s="393"/>
      <c r="Z169" s="393"/>
    </row>
    <row r="170" customFormat="false" ht="19.5" hidden="false" customHeight="true" outlineLevel="0" collapsed="false">
      <c r="A170" s="393"/>
      <c r="B170" s="440" t="s">
        <v>1827</v>
      </c>
      <c r="C170" s="440" t="s">
        <v>1828</v>
      </c>
      <c r="D170" s="440"/>
      <c r="E170" s="440"/>
      <c r="F170" s="440"/>
      <c r="G170" s="393"/>
      <c r="H170" s="393"/>
      <c r="I170" s="393"/>
      <c r="J170" s="393"/>
      <c r="K170" s="393"/>
      <c r="L170" s="393"/>
      <c r="M170" s="393"/>
      <c r="N170" s="393"/>
      <c r="O170" s="393"/>
      <c r="P170" s="393"/>
      <c r="Q170" s="393"/>
      <c r="R170" s="393"/>
      <c r="S170" s="393"/>
      <c r="T170" s="393"/>
      <c r="U170" s="393"/>
      <c r="V170" s="393"/>
      <c r="W170" s="393"/>
      <c r="X170" s="393"/>
      <c r="Y170" s="393"/>
      <c r="Z170" s="393"/>
    </row>
    <row r="171" customFormat="false" ht="19.5" hidden="false" customHeight="true" outlineLevel="0" collapsed="false">
      <c r="A171" s="393"/>
      <c r="B171" s="441" t="s">
        <v>1829</v>
      </c>
      <c r="C171" s="441" t="s">
        <v>1830</v>
      </c>
      <c r="D171" s="441"/>
      <c r="E171" s="441"/>
      <c r="F171" s="441"/>
      <c r="G171" s="393"/>
      <c r="H171" s="393"/>
      <c r="I171" s="393"/>
      <c r="J171" s="393"/>
      <c r="K171" s="393"/>
      <c r="L171" s="393"/>
      <c r="M171" s="393"/>
      <c r="N171" s="393"/>
      <c r="O171" s="393"/>
      <c r="P171" s="393"/>
      <c r="Q171" s="393"/>
      <c r="R171" s="393"/>
      <c r="S171" s="393"/>
      <c r="T171" s="393"/>
      <c r="U171" s="393"/>
      <c r="V171" s="393"/>
      <c r="W171" s="393"/>
      <c r="X171" s="393"/>
      <c r="Y171" s="393"/>
      <c r="Z171" s="393"/>
    </row>
    <row r="172" customFormat="false" ht="19.5" hidden="false" customHeight="true" outlineLevel="0" collapsed="false">
      <c r="A172" s="393"/>
      <c r="B172" s="440" t="s">
        <v>1831</v>
      </c>
      <c r="C172" s="440" t="s">
        <v>1832</v>
      </c>
      <c r="D172" s="440"/>
      <c r="E172" s="440"/>
      <c r="F172" s="440"/>
      <c r="G172" s="393"/>
      <c r="H172" s="393"/>
      <c r="I172" s="393"/>
      <c r="J172" s="393"/>
      <c r="K172" s="393"/>
      <c r="L172" s="393"/>
      <c r="M172" s="393"/>
      <c r="N172" s="393"/>
      <c r="O172" s="393"/>
      <c r="P172" s="393"/>
      <c r="Q172" s="393"/>
      <c r="R172" s="393"/>
      <c r="S172" s="393"/>
      <c r="T172" s="393"/>
      <c r="U172" s="393"/>
      <c r="V172" s="393"/>
      <c r="W172" s="393"/>
      <c r="X172" s="393"/>
      <c r="Y172" s="393"/>
      <c r="Z172" s="393"/>
    </row>
    <row r="173" customFormat="false" ht="19.5" hidden="false" customHeight="true" outlineLevel="0" collapsed="false">
      <c r="A173" s="393"/>
      <c r="B173" s="441"/>
      <c r="C173" s="441"/>
      <c r="D173" s="441"/>
      <c r="E173" s="441"/>
      <c r="F173" s="441"/>
      <c r="G173" s="393"/>
      <c r="H173" s="393"/>
      <c r="I173" s="393"/>
      <c r="J173" s="393"/>
      <c r="K173" s="393"/>
      <c r="L173" s="393"/>
      <c r="M173" s="393"/>
      <c r="N173" s="393"/>
      <c r="O173" s="393"/>
      <c r="P173" s="393"/>
      <c r="Q173" s="393"/>
      <c r="R173" s="393"/>
      <c r="S173" s="393"/>
      <c r="T173" s="393"/>
      <c r="U173" s="393"/>
      <c r="V173" s="393"/>
      <c r="W173" s="393"/>
      <c r="X173" s="393"/>
      <c r="Y173" s="393"/>
      <c r="Z173" s="393"/>
    </row>
    <row r="174" customFormat="false" ht="7.5" hidden="false" customHeight="true" outlineLevel="0" collapsed="false">
      <c r="A174" s="393"/>
      <c r="B174" s="430" t="s">
        <v>1833</v>
      </c>
      <c r="C174" s="393"/>
      <c r="D174" s="393"/>
      <c r="E174" s="393"/>
      <c r="F174" s="393"/>
      <c r="G174" s="393"/>
      <c r="H174" s="393"/>
      <c r="I174" s="393"/>
      <c r="J174" s="393"/>
      <c r="K174" s="393"/>
      <c r="L174" s="393"/>
      <c r="M174" s="393"/>
      <c r="N174" s="393"/>
      <c r="O174" s="393"/>
      <c r="P174" s="393"/>
      <c r="Q174" s="393"/>
      <c r="R174" s="393"/>
      <c r="S174" s="393"/>
      <c r="T174" s="393"/>
      <c r="U174" s="393"/>
      <c r="V174" s="393"/>
      <c r="W174" s="393"/>
      <c r="X174" s="393"/>
      <c r="Y174" s="393"/>
      <c r="Z174" s="393"/>
    </row>
    <row r="175" customFormat="false" ht="22.5" hidden="false" customHeight="true" outlineLevel="0" collapsed="false">
      <c r="A175" s="442"/>
      <c r="B175" s="443" t="s">
        <v>1834</v>
      </c>
      <c r="C175" s="443"/>
      <c r="D175" s="443"/>
      <c r="E175" s="443"/>
      <c r="F175" s="443"/>
      <c r="G175" s="393"/>
      <c r="H175" s="393"/>
      <c r="I175" s="393"/>
      <c r="J175" s="393"/>
      <c r="K175" s="393"/>
      <c r="L175" s="393"/>
      <c r="M175" s="393"/>
      <c r="N175" s="393"/>
      <c r="O175" s="393"/>
      <c r="P175" s="393"/>
      <c r="Q175" s="393"/>
      <c r="R175" s="393"/>
      <c r="S175" s="393"/>
      <c r="T175" s="393"/>
      <c r="U175" s="393"/>
      <c r="V175" s="393"/>
      <c r="W175" s="393"/>
      <c r="X175" s="393"/>
      <c r="Y175" s="393"/>
      <c r="Z175" s="393"/>
    </row>
    <row r="176" customFormat="false" ht="19.5" hidden="false" customHeight="true" outlineLevel="0" collapsed="false">
      <c r="A176" s="393"/>
      <c r="B176" s="444" t="s">
        <v>1835</v>
      </c>
      <c r="C176" s="444" t="s">
        <v>1836</v>
      </c>
      <c r="D176" s="445"/>
      <c r="E176" s="445"/>
      <c r="F176" s="445"/>
      <c r="G176" s="393"/>
      <c r="H176" s="393"/>
      <c r="I176" s="393"/>
      <c r="J176" s="393"/>
      <c r="K176" s="393"/>
      <c r="L176" s="393"/>
      <c r="M176" s="393"/>
      <c r="N176" s="393"/>
      <c r="O176" s="393"/>
      <c r="P176" s="393"/>
      <c r="Q176" s="393"/>
      <c r="R176" s="393"/>
      <c r="S176" s="393"/>
      <c r="T176" s="393"/>
      <c r="U176" s="393"/>
      <c r="V176" s="393"/>
      <c r="W176" s="393"/>
      <c r="X176" s="393"/>
      <c r="Y176" s="393"/>
      <c r="Z176" s="393"/>
    </row>
    <row r="177" customFormat="false" ht="19.5" hidden="false" customHeight="true" outlineLevel="0" collapsed="false">
      <c r="A177" s="393"/>
      <c r="B177" s="429" t="s">
        <v>1837</v>
      </c>
      <c r="C177" s="429" t="s">
        <v>1838</v>
      </c>
      <c r="D177" s="415"/>
      <c r="E177" s="415"/>
      <c r="F177" s="415"/>
      <c r="G177" s="393"/>
      <c r="H177" s="393"/>
      <c r="I177" s="393"/>
      <c r="J177" s="393"/>
      <c r="K177" s="393"/>
      <c r="L177" s="393"/>
      <c r="M177" s="393"/>
      <c r="N177" s="393"/>
      <c r="O177" s="393"/>
      <c r="P177" s="393"/>
      <c r="Q177" s="393"/>
      <c r="R177" s="393"/>
      <c r="S177" s="393"/>
      <c r="T177" s="393"/>
      <c r="U177" s="393"/>
      <c r="V177" s="393"/>
      <c r="W177" s="393"/>
      <c r="X177" s="393"/>
      <c r="Y177" s="393"/>
      <c r="Z177" s="393"/>
    </row>
    <row r="178" customFormat="false" ht="19.5" hidden="false" customHeight="true" outlineLevel="0" collapsed="false">
      <c r="A178" s="393"/>
      <c r="B178" s="444" t="s">
        <v>1839</v>
      </c>
      <c r="C178" s="444" t="s">
        <v>1840</v>
      </c>
      <c r="D178" s="445"/>
      <c r="E178" s="445"/>
      <c r="F178" s="445"/>
      <c r="G178" s="393"/>
      <c r="H178" s="393"/>
      <c r="I178" s="393"/>
      <c r="J178" s="393"/>
      <c r="K178" s="393"/>
      <c r="L178" s="393"/>
      <c r="M178" s="393"/>
      <c r="N178" s="393"/>
      <c r="O178" s="393"/>
      <c r="P178" s="393"/>
      <c r="Q178" s="393"/>
      <c r="R178" s="393"/>
      <c r="S178" s="393"/>
      <c r="T178" s="393"/>
      <c r="U178" s="393"/>
      <c r="V178" s="393"/>
      <c r="W178" s="393"/>
      <c r="X178" s="393"/>
      <c r="Y178" s="393"/>
      <c r="Z178" s="393"/>
    </row>
    <row r="179" customFormat="false" ht="19.5" hidden="false" customHeight="true" outlineLevel="0" collapsed="false">
      <c r="A179" s="393"/>
      <c r="B179" s="429" t="s">
        <v>1841</v>
      </c>
      <c r="C179" s="429" t="s">
        <v>1842</v>
      </c>
      <c r="D179" s="415"/>
      <c r="E179" s="415"/>
      <c r="F179" s="415"/>
      <c r="G179" s="393"/>
      <c r="H179" s="393"/>
      <c r="I179" s="393"/>
      <c r="J179" s="393"/>
      <c r="K179" s="393"/>
      <c r="L179" s="393"/>
      <c r="M179" s="393"/>
      <c r="N179" s="393"/>
      <c r="O179" s="393"/>
      <c r="P179" s="393"/>
      <c r="Q179" s="393"/>
      <c r="R179" s="393"/>
      <c r="S179" s="393"/>
      <c r="T179" s="393"/>
      <c r="U179" s="393"/>
      <c r="V179" s="393"/>
      <c r="W179" s="393"/>
      <c r="X179" s="393"/>
      <c r="Y179" s="393"/>
      <c r="Z179" s="393"/>
    </row>
    <row r="180" customFormat="false" ht="19.5" hidden="false" customHeight="true" outlineLevel="0" collapsed="false">
      <c r="A180" s="393"/>
      <c r="B180" s="444" t="s">
        <v>1843</v>
      </c>
      <c r="C180" s="444" t="s">
        <v>1844</v>
      </c>
      <c r="D180" s="445"/>
      <c r="E180" s="445"/>
      <c r="F180" s="445"/>
      <c r="G180" s="393"/>
      <c r="H180" s="393"/>
      <c r="I180" s="393"/>
      <c r="J180" s="393"/>
      <c r="K180" s="393"/>
      <c r="L180" s="393"/>
      <c r="M180" s="393"/>
      <c r="N180" s="393"/>
      <c r="O180" s="393"/>
      <c r="P180" s="393"/>
      <c r="Q180" s="393"/>
      <c r="R180" s="393"/>
      <c r="S180" s="393"/>
      <c r="T180" s="393"/>
      <c r="U180" s="393"/>
      <c r="V180" s="393"/>
      <c r="W180" s="393"/>
      <c r="X180" s="393"/>
      <c r="Y180" s="393"/>
      <c r="Z180" s="393"/>
    </row>
    <row r="181" customFormat="false" ht="19.5" hidden="false" customHeight="true" outlineLevel="0" collapsed="false">
      <c r="A181" s="393"/>
      <c r="B181" s="429" t="s">
        <v>1845</v>
      </c>
      <c r="C181" s="429" t="s">
        <v>1846</v>
      </c>
      <c r="D181" s="415"/>
      <c r="E181" s="415"/>
      <c r="F181" s="415"/>
      <c r="G181" s="393"/>
      <c r="H181" s="393"/>
      <c r="I181" s="393"/>
      <c r="J181" s="393"/>
      <c r="K181" s="393"/>
      <c r="L181" s="393"/>
      <c r="M181" s="393"/>
      <c r="N181" s="393"/>
      <c r="O181" s="393"/>
      <c r="P181" s="393"/>
      <c r="Q181" s="393"/>
      <c r="R181" s="393"/>
      <c r="S181" s="393"/>
      <c r="T181" s="393"/>
      <c r="U181" s="393"/>
      <c r="V181" s="393"/>
      <c r="W181" s="393"/>
      <c r="X181" s="393"/>
      <c r="Y181" s="393"/>
      <c r="Z181" s="393"/>
    </row>
    <row r="182" customFormat="false" ht="19.5" hidden="false" customHeight="true" outlineLevel="0" collapsed="false">
      <c r="A182" s="393"/>
      <c r="B182" s="444" t="s">
        <v>1847</v>
      </c>
      <c r="C182" s="444" t="s">
        <v>1848</v>
      </c>
      <c r="D182" s="445"/>
      <c r="E182" s="445"/>
      <c r="F182" s="445"/>
      <c r="G182" s="393"/>
      <c r="H182" s="393"/>
      <c r="I182" s="393"/>
      <c r="J182" s="393"/>
      <c r="K182" s="393"/>
      <c r="L182" s="393"/>
      <c r="M182" s="393"/>
      <c r="N182" s="393"/>
      <c r="O182" s="393"/>
      <c r="P182" s="393"/>
      <c r="Q182" s="393"/>
      <c r="R182" s="393"/>
      <c r="S182" s="393"/>
      <c r="T182" s="393"/>
      <c r="U182" s="393"/>
      <c r="V182" s="393"/>
      <c r="W182" s="393"/>
      <c r="X182" s="393"/>
      <c r="Y182" s="393"/>
      <c r="Z182" s="393"/>
    </row>
    <row r="183" customFormat="false" ht="19.5" hidden="false" customHeight="true" outlineLevel="0" collapsed="false">
      <c r="A183" s="393"/>
      <c r="B183" s="415"/>
      <c r="C183" s="415"/>
      <c r="D183" s="415"/>
      <c r="E183" s="415"/>
      <c r="F183" s="415"/>
      <c r="G183" s="393"/>
      <c r="H183" s="393"/>
      <c r="I183" s="393"/>
      <c r="J183" s="393"/>
      <c r="K183" s="393"/>
      <c r="L183" s="393"/>
      <c r="M183" s="393"/>
      <c r="N183" s="393"/>
      <c r="O183" s="393"/>
      <c r="P183" s="393"/>
      <c r="Q183" s="393"/>
      <c r="R183" s="393"/>
      <c r="S183" s="393"/>
      <c r="T183" s="393"/>
      <c r="U183" s="393"/>
      <c r="V183" s="393"/>
      <c r="W183" s="393"/>
      <c r="X183" s="393"/>
      <c r="Y183" s="393"/>
      <c r="Z183" s="393"/>
    </row>
    <row r="184" customFormat="false" ht="7.5" hidden="false" customHeight="true" outlineLevel="0" collapsed="false">
      <c r="A184" s="393"/>
      <c r="B184" s="393"/>
      <c r="C184" s="393"/>
      <c r="D184" s="393"/>
      <c r="E184" s="393"/>
      <c r="F184" s="393"/>
      <c r="G184" s="393"/>
      <c r="H184" s="393"/>
      <c r="I184" s="393"/>
      <c r="J184" s="393"/>
      <c r="K184" s="393"/>
      <c r="L184" s="393"/>
      <c r="M184" s="393"/>
      <c r="N184" s="393"/>
      <c r="O184" s="393"/>
      <c r="P184" s="393"/>
      <c r="Q184" s="393"/>
      <c r="R184" s="393"/>
      <c r="S184" s="393"/>
      <c r="T184" s="393"/>
      <c r="U184" s="393"/>
      <c r="V184" s="393"/>
      <c r="W184" s="393"/>
      <c r="X184" s="393"/>
      <c r="Y184" s="393"/>
      <c r="Z184" s="393"/>
    </row>
    <row r="185" customFormat="false" ht="22.5" hidden="false" customHeight="true" outlineLevel="0" collapsed="false">
      <c r="A185" s="442"/>
      <c r="B185" s="443"/>
      <c r="C185" s="443"/>
      <c r="D185" s="443"/>
      <c r="E185" s="443"/>
      <c r="F185" s="443"/>
      <c r="G185" s="393"/>
      <c r="H185" s="393"/>
      <c r="I185" s="393"/>
      <c r="J185" s="393"/>
      <c r="K185" s="393"/>
      <c r="L185" s="393"/>
      <c r="M185" s="393"/>
      <c r="N185" s="393"/>
      <c r="O185" s="393"/>
      <c r="P185" s="393"/>
      <c r="Q185" s="393"/>
      <c r="R185" s="393"/>
      <c r="S185" s="393"/>
      <c r="T185" s="393"/>
      <c r="U185" s="393"/>
      <c r="V185" s="393"/>
      <c r="W185" s="393"/>
      <c r="X185" s="393"/>
      <c r="Y185" s="393"/>
      <c r="Z185" s="393"/>
    </row>
    <row r="186" customFormat="false" ht="19.5" hidden="false" customHeight="true" outlineLevel="0" collapsed="false">
      <c r="A186" s="393"/>
      <c r="B186" s="445"/>
      <c r="C186" s="445"/>
      <c r="D186" s="445"/>
      <c r="E186" s="445"/>
      <c r="F186" s="445"/>
      <c r="G186" s="393"/>
      <c r="H186" s="393"/>
      <c r="I186" s="393"/>
      <c r="J186" s="393"/>
      <c r="K186" s="393"/>
      <c r="L186" s="393"/>
      <c r="M186" s="393"/>
      <c r="N186" s="393"/>
      <c r="O186" s="393"/>
      <c r="P186" s="393"/>
      <c r="Q186" s="393"/>
      <c r="R186" s="393"/>
      <c r="S186" s="393"/>
      <c r="T186" s="393"/>
      <c r="U186" s="393"/>
      <c r="V186" s="393"/>
      <c r="W186" s="393"/>
      <c r="X186" s="393"/>
      <c r="Y186" s="393"/>
      <c r="Z186" s="393"/>
    </row>
    <row r="187" customFormat="false" ht="19.5" hidden="false" customHeight="true" outlineLevel="0" collapsed="false">
      <c r="A187" s="393"/>
      <c r="B187" s="415"/>
      <c r="C187" s="415"/>
      <c r="D187" s="415"/>
      <c r="E187" s="415"/>
      <c r="F187" s="415"/>
      <c r="G187" s="393"/>
      <c r="H187" s="393"/>
      <c r="I187" s="393"/>
      <c r="J187" s="393"/>
      <c r="K187" s="393"/>
      <c r="L187" s="393"/>
      <c r="M187" s="393"/>
      <c r="N187" s="393"/>
      <c r="O187" s="393"/>
      <c r="P187" s="393"/>
      <c r="Q187" s="393"/>
      <c r="R187" s="393"/>
      <c r="S187" s="393"/>
      <c r="T187" s="393"/>
      <c r="U187" s="393"/>
      <c r="V187" s="393"/>
      <c r="W187" s="393"/>
      <c r="X187" s="393"/>
      <c r="Y187" s="393"/>
      <c r="Z187" s="393"/>
    </row>
    <row r="188" customFormat="false" ht="19.5" hidden="false" customHeight="true" outlineLevel="0" collapsed="false">
      <c r="A188" s="393"/>
      <c r="B188" s="445"/>
      <c r="C188" s="445"/>
      <c r="D188" s="445"/>
      <c r="E188" s="445"/>
      <c r="F188" s="445"/>
      <c r="G188" s="393"/>
      <c r="H188" s="393"/>
      <c r="I188" s="393"/>
      <c r="J188" s="393"/>
      <c r="K188" s="393"/>
      <c r="L188" s="393"/>
      <c r="M188" s="393"/>
      <c r="N188" s="393"/>
      <c r="O188" s="393"/>
      <c r="P188" s="393"/>
      <c r="Q188" s="393"/>
      <c r="R188" s="393"/>
      <c r="S188" s="393"/>
      <c r="T188" s="393"/>
      <c r="U188" s="393"/>
      <c r="V188" s="393"/>
      <c r="W188" s="393"/>
      <c r="X188" s="393"/>
      <c r="Y188" s="393"/>
      <c r="Z188" s="393"/>
    </row>
    <row r="189" customFormat="false" ht="19.5" hidden="false" customHeight="true" outlineLevel="0" collapsed="false">
      <c r="A189" s="393"/>
      <c r="B189" s="415"/>
      <c r="C189" s="415"/>
      <c r="D189" s="415"/>
      <c r="E189" s="415"/>
      <c r="F189" s="415"/>
      <c r="G189" s="393"/>
      <c r="H189" s="393"/>
      <c r="I189" s="393"/>
      <c r="J189" s="393"/>
      <c r="K189" s="393"/>
      <c r="L189" s="393"/>
      <c r="M189" s="393"/>
      <c r="N189" s="393"/>
      <c r="O189" s="393"/>
      <c r="P189" s="393"/>
      <c r="Q189" s="393"/>
      <c r="R189" s="393"/>
      <c r="S189" s="393"/>
      <c r="T189" s="393"/>
      <c r="U189" s="393"/>
      <c r="V189" s="393"/>
      <c r="W189" s="393"/>
      <c r="X189" s="393"/>
      <c r="Y189" s="393"/>
      <c r="Z189" s="393"/>
    </row>
    <row r="190" customFormat="false" ht="19.5" hidden="false" customHeight="true" outlineLevel="0" collapsed="false">
      <c r="A190" s="393"/>
      <c r="B190" s="445"/>
      <c r="C190" s="445"/>
      <c r="D190" s="445"/>
      <c r="E190" s="445"/>
      <c r="F190" s="445"/>
      <c r="G190" s="393"/>
      <c r="H190" s="393"/>
      <c r="I190" s="393"/>
      <c r="J190" s="393"/>
      <c r="K190" s="393"/>
      <c r="L190" s="393"/>
      <c r="M190" s="393"/>
      <c r="N190" s="393"/>
      <c r="O190" s="393"/>
      <c r="P190" s="393"/>
      <c r="Q190" s="393"/>
      <c r="R190" s="393"/>
      <c r="S190" s="393"/>
      <c r="T190" s="393"/>
      <c r="U190" s="393"/>
      <c r="V190" s="393"/>
      <c r="W190" s="393"/>
      <c r="X190" s="393"/>
      <c r="Y190" s="393"/>
      <c r="Z190" s="393"/>
    </row>
    <row r="191" customFormat="false" ht="15.75" hidden="false" customHeight="true" outlineLevel="0" collapsed="false">
      <c r="A191" s="393"/>
      <c r="B191" s="393"/>
      <c r="C191" s="393"/>
      <c r="D191" s="393"/>
      <c r="E191" s="393"/>
      <c r="F191" s="393"/>
      <c r="G191" s="393"/>
      <c r="H191" s="393"/>
      <c r="I191" s="393"/>
      <c r="J191" s="393"/>
      <c r="K191" s="393"/>
      <c r="L191" s="393"/>
      <c r="M191" s="393"/>
      <c r="N191" s="393"/>
      <c r="O191" s="393"/>
      <c r="P191" s="393"/>
      <c r="Q191" s="393"/>
      <c r="R191" s="393"/>
      <c r="S191" s="393"/>
      <c r="T191" s="393"/>
      <c r="U191" s="393"/>
      <c r="V191" s="393"/>
      <c r="W191" s="393"/>
      <c r="X191" s="393"/>
      <c r="Y191" s="393"/>
      <c r="Z191" s="393"/>
    </row>
    <row r="192" customFormat="false" ht="15.75" hidden="false" customHeight="true" outlineLevel="0" collapsed="false">
      <c r="A192" s="393"/>
      <c r="B192" s="393"/>
      <c r="C192" s="393"/>
      <c r="D192" s="393"/>
      <c r="E192" s="393"/>
      <c r="F192" s="393"/>
      <c r="G192" s="393"/>
      <c r="H192" s="393"/>
      <c r="I192" s="393"/>
      <c r="J192" s="393"/>
      <c r="K192" s="393"/>
      <c r="L192" s="393"/>
      <c r="M192" s="393"/>
      <c r="N192" s="393"/>
      <c r="O192" s="393"/>
      <c r="P192" s="393"/>
      <c r="Q192" s="393"/>
      <c r="R192" s="393"/>
      <c r="S192" s="393"/>
      <c r="T192" s="393"/>
      <c r="U192" s="393"/>
      <c r="V192" s="393"/>
      <c r="W192" s="393"/>
      <c r="X192" s="393"/>
      <c r="Y192" s="393"/>
      <c r="Z192" s="393"/>
    </row>
    <row r="193" customFormat="false" ht="15.75" hidden="false" customHeight="true" outlineLevel="0" collapsed="false">
      <c r="A193" s="393"/>
      <c r="B193" s="393"/>
      <c r="C193" s="393"/>
      <c r="D193" s="393"/>
      <c r="E193" s="393"/>
      <c r="F193" s="393"/>
      <c r="G193" s="393"/>
      <c r="H193" s="393"/>
      <c r="I193" s="393"/>
      <c r="J193" s="393"/>
      <c r="K193" s="393"/>
      <c r="L193" s="393"/>
      <c r="M193" s="393"/>
      <c r="N193" s="393"/>
      <c r="O193" s="393"/>
      <c r="P193" s="393"/>
      <c r="Q193" s="393"/>
      <c r="R193" s="393"/>
      <c r="S193" s="393"/>
      <c r="T193" s="393"/>
      <c r="U193" s="393"/>
      <c r="V193" s="393"/>
      <c r="W193" s="393"/>
      <c r="X193" s="393"/>
      <c r="Y193" s="393"/>
      <c r="Z193" s="393"/>
    </row>
    <row r="194" customFormat="false" ht="15.75" hidden="false" customHeight="true" outlineLevel="0" collapsed="false">
      <c r="A194" s="393"/>
      <c r="B194" s="393"/>
      <c r="C194" s="393"/>
      <c r="D194" s="393"/>
      <c r="E194" s="393"/>
      <c r="F194" s="393"/>
      <c r="G194" s="393"/>
      <c r="H194" s="393"/>
      <c r="I194" s="393"/>
      <c r="J194" s="393"/>
      <c r="K194" s="393"/>
      <c r="L194" s="393"/>
      <c r="M194" s="393"/>
      <c r="N194" s="393"/>
      <c r="O194" s="393"/>
      <c r="P194" s="393"/>
      <c r="Q194" s="393"/>
      <c r="R194" s="393"/>
      <c r="S194" s="393"/>
      <c r="T194" s="393"/>
      <c r="U194" s="393"/>
      <c r="V194" s="393"/>
      <c r="W194" s="393"/>
      <c r="X194" s="393"/>
      <c r="Y194" s="393"/>
      <c r="Z194" s="393"/>
    </row>
    <row r="195" customFormat="false" ht="15.75" hidden="false" customHeight="true" outlineLevel="0" collapsed="false">
      <c r="A195" s="393"/>
      <c r="B195" s="393"/>
      <c r="C195" s="393"/>
      <c r="D195" s="393"/>
      <c r="E195" s="393"/>
      <c r="F195" s="393"/>
      <c r="G195" s="393"/>
      <c r="H195" s="393"/>
      <c r="I195" s="393"/>
      <c r="J195" s="393"/>
      <c r="K195" s="393"/>
      <c r="L195" s="393"/>
      <c r="M195" s="393"/>
      <c r="N195" s="393"/>
      <c r="O195" s="393"/>
      <c r="P195" s="393"/>
      <c r="Q195" s="393"/>
      <c r="R195" s="393"/>
      <c r="S195" s="393"/>
      <c r="T195" s="393"/>
      <c r="U195" s="393"/>
      <c r="V195" s="393"/>
      <c r="W195" s="393"/>
      <c r="X195" s="393"/>
      <c r="Y195" s="393"/>
      <c r="Z195" s="393"/>
    </row>
    <row r="196" customFormat="false" ht="15.75" hidden="false" customHeight="true" outlineLevel="0" collapsed="false">
      <c r="A196" s="393"/>
      <c r="B196" s="393"/>
      <c r="C196" s="393"/>
      <c r="D196" s="393"/>
      <c r="E196" s="393"/>
      <c r="F196" s="393"/>
      <c r="G196" s="393"/>
      <c r="H196" s="393"/>
      <c r="I196" s="393"/>
      <c r="J196" s="393"/>
      <c r="K196" s="393"/>
      <c r="L196" s="393"/>
      <c r="M196" s="393"/>
      <c r="N196" s="393"/>
      <c r="O196" s="393"/>
      <c r="P196" s="393"/>
      <c r="Q196" s="393"/>
      <c r="R196" s="393"/>
      <c r="S196" s="393"/>
      <c r="T196" s="393"/>
      <c r="U196" s="393"/>
      <c r="V196" s="393"/>
      <c r="W196" s="393"/>
      <c r="X196" s="393"/>
      <c r="Y196" s="393"/>
      <c r="Z196" s="393"/>
    </row>
    <row r="197" customFormat="false" ht="15.75" hidden="false" customHeight="true" outlineLevel="0" collapsed="false">
      <c r="A197" s="393"/>
      <c r="B197" s="393"/>
      <c r="C197" s="393"/>
      <c r="D197" s="393"/>
      <c r="E197" s="393"/>
      <c r="F197" s="393"/>
      <c r="G197" s="393"/>
      <c r="H197" s="393"/>
      <c r="I197" s="393"/>
      <c r="J197" s="393"/>
      <c r="K197" s="393"/>
      <c r="L197" s="393"/>
      <c r="M197" s="393"/>
      <c r="N197" s="393"/>
      <c r="O197" s="393"/>
      <c r="P197" s="393"/>
      <c r="Q197" s="393"/>
      <c r="R197" s="393"/>
      <c r="S197" s="393"/>
      <c r="T197" s="393"/>
      <c r="U197" s="393"/>
      <c r="V197" s="393"/>
      <c r="W197" s="393"/>
      <c r="X197" s="393"/>
      <c r="Y197" s="393"/>
      <c r="Z197" s="393"/>
    </row>
    <row r="198" customFormat="false" ht="15.75" hidden="false" customHeight="true" outlineLevel="0" collapsed="false">
      <c r="A198" s="393"/>
      <c r="B198" s="393"/>
      <c r="C198" s="393"/>
      <c r="D198" s="393"/>
      <c r="E198" s="393"/>
      <c r="F198" s="393"/>
      <c r="G198" s="393"/>
      <c r="H198" s="393"/>
      <c r="I198" s="393"/>
      <c r="J198" s="393"/>
      <c r="K198" s="393"/>
      <c r="L198" s="393"/>
      <c r="M198" s="393"/>
      <c r="N198" s="393"/>
      <c r="O198" s="393"/>
      <c r="P198" s="393"/>
      <c r="Q198" s="393"/>
      <c r="R198" s="393"/>
      <c r="S198" s="393"/>
      <c r="T198" s="393"/>
      <c r="U198" s="393"/>
      <c r="V198" s="393"/>
      <c r="W198" s="393"/>
      <c r="X198" s="393"/>
      <c r="Y198" s="393"/>
      <c r="Z198" s="393"/>
    </row>
    <row r="199" customFormat="false" ht="15.75" hidden="false" customHeight="true" outlineLevel="0" collapsed="false">
      <c r="A199" s="393"/>
      <c r="B199" s="393"/>
      <c r="C199" s="393"/>
      <c r="D199" s="393"/>
      <c r="E199" s="393"/>
      <c r="F199" s="393"/>
      <c r="G199" s="393"/>
      <c r="H199" s="393"/>
      <c r="I199" s="393"/>
      <c r="J199" s="393"/>
      <c r="K199" s="393"/>
      <c r="L199" s="393"/>
      <c r="M199" s="393"/>
      <c r="N199" s="393"/>
      <c r="O199" s="393"/>
      <c r="P199" s="393"/>
      <c r="Q199" s="393"/>
      <c r="R199" s="393"/>
      <c r="S199" s="393"/>
      <c r="T199" s="393"/>
      <c r="U199" s="393"/>
      <c r="V199" s="393"/>
      <c r="W199" s="393"/>
      <c r="X199" s="393"/>
      <c r="Y199" s="393"/>
      <c r="Z199" s="393"/>
    </row>
    <row r="200" customFormat="false" ht="15.75" hidden="false" customHeight="true" outlineLevel="0" collapsed="false">
      <c r="A200" s="393"/>
      <c r="B200" s="393"/>
      <c r="C200" s="393"/>
      <c r="D200" s="393"/>
      <c r="E200" s="393"/>
      <c r="F200" s="393"/>
      <c r="G200" s="393"/>
      <c r="H200" s="393"/>
      <c r="I200" s="393"/>
      <c r="J200" s="393"/>
      <c r="K200" s="393"/>
      <c r="L200" s="393"/>
      <c r="M200" s="393"/>
      <c r="N200" s="393"/>
      <c r="O200" s="393"/>
      <c r="P200" s="393"/>
      <c r="Q200" s="393"/>
      <c r="R200" s="393"/>
      <c r="S200" s="393"/>
      <c r="T200" s="393"/>
      <c r="U200" s="393"/>
      <c r="V200" s="393"/>
      <c r="W200" s="393"/>
      <c r="X200" s="393"/>
      <c r="Y200" s="393"/>
      <c r="Z200" s="393"/>
    </row>
    <row r="201" customFormat="false" ht="15.75" hidden="false" customHeight="true" outlineLevel="0" collapsed="false">
      <c r="A201" s="393"/>
      <c r="B201" s="393"/>
      <c r="C201" s="393"/>
      <c r="D201" s="393"/>
      <c r="E201" s="393"/>
      <c r="F201" s="393"/>
      <c r="G201" s="393"/>
      <c r="H201" s="393"/>
      <c r="I201" s="393"/>
      <c r="J201" s="393"/>
      <c r="K201" s="393"/>
      <c r="L201" s="393"/>
      <c r="M201" s="393"/>
      <c r="N201" s="393"/>
      <c r="O201" s="393"/>
      <c r="P201" s="393"/>
      <c r="Q201" s="393"/>
      <c r="R201" s="393"/>
      <c r="S201" s="393"/>
      <c r="T201" s="393"/>
      <c r="U201" s="393"/>
      <c r="V201" s="393"/>
      <c r="W201" s="393"/>
      <c r="X201" s="393"/>
      <c r="Y201" s="393"/>
      <c r="Z201" s="393"/>
    </row>
    <row r="202" customFormat="false" ht="15.75" hidden="false" customHeight="true" outlineLevel="0" collapsed="false">
      <c r="A202" s="393"/>
      <c r="B202" s="393"/>
      <c r="C202" s="393"/>
      <c r="D202" s="393"/>
      <c r="E202" s="393"/>
      <c r="F202" s="393"/>
      <c r="G202" s="393"/>
      <c r="H202" s="393"/>
      <c r="I202" s="393"/>
      <c r="J202" s="393"/>
      <c r="K202" s="393"/>
      <c r="L202" s="393"/>
      <c r="M202" s="393"/>
      <c r="N202" s="393"/>
      <c r="O202" s="393"/>
      <c r="P202" s="393"/>
      <c r="Q202" s="393"/>
      <c r="R202" s="393"/>
      <c r="S202" s="393"/>
      <c r="T202" s="393"/>
      <c r="U202" s="393"/>
      <c r="V202" s="393"/>
      <c r="W202" s="393"/>
      <c r="X202" s="393"/>
      <c r="Y202" s="393"/>
      <c r="Z202" s="393"/>
    </row>
    <row r="203" customFormat="false" ht="15.75" hidden="false" customHeight="true" outlineLevel="0" collapsed="false">
      <c r="A203" s="393"/>
      <c r="B203" s="393"/>
      <c r="C203" s="393"/>
      <c r="D203" s="393"/>
      <c r="E203" s="393"/>
      <c r="F203" s="393"/>
      <c r="G203" s="393"/>
      <c r="H203" s="393"/>
      <c r="I203" s="393"/>
      <c r="J203" s="393"/>
      <c r="K203" s="393"/>
      <c r="L203" s="393"/>
      <c r="M203" s="393"/>
      <c r="N203" s="393"/>
      <c r="O203" s="393"/>
      <c r="P203" s="393"/>
      <c r="Q203" s="393"/>
      <c r="R203" s="393"/>
      <c r="S203" s="393"/>
      <c r="T203" s="393"/>
      <c r="U203" s="393"/>
      <c r="V203" s="393"/>
      <c r="W203" s="393"/>
      <c r="X203" s="393"/>
      <c r="Y203" s="393"/>
      <c r="Z203" s="393"/>
    </row>
    <row r="204" customFormat="false" ht="15.75" hidden="false" customHeight="true" outlineLevel="0" collapsed="false">
      <c r="A204" s="393"/>
      <c r="B204" s="393"/>
      <c r="C204" s="393"/>
      <c r="D204" s="393"/>
      <c r="E204" s="393"/>
      <c r="F204" s="393"/>
      <c r="G204" s="393"/>
      <c r="H204" s="393"/>
      <c r="I204" s="393"/>
      <c r="J204" s="393"/>
      <c r="K204" s="393"/>
      <c r="L204" s="393"/>
      <c r="M204" s="393"/>
      <c r="N204" s="393"/>
      <c r="O204" s="393"/>
      <c r="P204" s="393"/>
      <c r="Q204" s="393"/>
      <c r="R204" s="393"/>
      <c r="S204" s="393"/>
      <c r="T204" s="393"/>
      <c r="U204" s="393"/>
      <c r="V204" s="393"/>
      <c r="W204" s="393"/>
      <c r="X204" s="393"/>
      <c r="Y204" s="393"/>
      <c r="Z204" s="393"/>
    </row>
    <row r="205" customFormat="false" ht="15.75" hidden="false" customHeight="true" outlineLevel="0" collapsed="false">
      <c r="A205" s="393"/>
      <c r="B205" s="393"/>
      <c r="C205" s="393"/>
      <c r="D205" s="393"/>
      <c r="E205" s="393"/>
      <c r="F205" s="393"/>
      <c r="G205" s="393"/>
      <c r="H205" s="393"/>
      <c r="I205" s="393"/>
      <c r="J205" s="393"/>
      <c r="K205" s="393"/>
      <c r="L205" s="393"/>
      <c r="M205" s="393"/>
      <c r="N205" s="393"/>
      <c r="O205" s="393"/>
      <c r="P205" s="393"/>
      <c r="Q205" s="393"/>
      <c r="R205" s="393"/>
      <c r="S205" s="393"/>
      <c r="T205" s="393"/>
      <c r="U205" s="393"/>
      <c r="V205" s="393"/>
      <c r="W205" s="393"/>
      <c r="X205" s="393"/>
      <c r="Y205" s="393"/>
      <c r="Z205" s="393"/>
    </row>
    <row r="206" customFormat="false" ht="15.75" hidden="false" customHeight="true" outlineLevel="0" collapsed="false">
      <c r="A206" s="393"/>
      <c r="B206" s="393"/>
      <c r="C206" s="393"/>
      <c r="D206" s="393"/>
      <c r="E206" s="393"/>
      <c r="F206" s="393"/>
      <c r="G206" s="393"/>
      <c r="H206" s="393"/>
      <c r="I206" s="393"/>
      <c r="J206" s="393"/>
      <c r="K206" s="393"/>
      <c r="L206" s="393"/>
      <c r="M206" s="393"/>
      <c r="N206" s="393"/>
      <c r="O206" s="393"/>
      <c r="P206" s="393"/>
      <c r="Q206" s="393"/>
      <c r="R206" s="393"/>
      <c r="S206" s="393"/>
      <c r="T206" s="393"/>
      <c r="U206" s="393"/>
      <c r="V206" s="393"/>
      <c r="W206" s="393"/>
      <c r="X206" s="393"/>
      <c r="Y206" s="393"/>
      <c r="Z206" s="393"/>
    </row>
    <row r="207" customFormat="false" ht="15.75" hidden="false" customHeight="true" outlineLevel="0" collapsed="false">
      <c r="A207" s="393"/>
      <c r="B207" s="393"/>
      <c r="C207" s="393"/>
      <c r="D207" s="393"/>
      <c r="E207" s="393"/>
      <c r="F207" s="393"/>
      <c r="G207" s="393"/>
      <c r="H207" s="393"/>
      <c r="I207" s="393"/>
      <c r="J207" s="393"/>
      <c r="K207" s="393"/>
      <c r="L207" s="393"/>
      <c r="M207" s="393"/>
      <c r="N207" s="393"/>
      <c r="O207" s="393"/>
      <c r="P207" s="393"/>
      <c r="Q207" s="393"/>
      <c r="R207" s="393"/>
      <c r="S207" s="393"/>
      <c r="T207" s="393"/>
      <c r="U207" s="393"/>
      <c r="V207" s="393"/>
      <c r="W207" s="393"/>
      <c r="X207" s="393"/>
      <c r="Y207" s="393"/>
      <c r="Z207" s="393"/>
    </row>
    <row r="208" customFormat="false" ht="15.75" hidden="false" customHeight="true" outlineLevel="0" collapsed="false">
      <c r="A208" s="393"/>
      <c r="B208" s="393"/>
      <c r="C208" s="393"/>
      <c r="D208" s="393"/>
      <c r="E208" s="393"/>
      <c r="F208" s="393"/>
      <c r="G208" s="393"/>
      <c r="H208" s="393"/>
      <c r="I208" s="393"/>
      <c r="J208" s="393"/>
      <c r="K208" s="393"/>
      <c r="L208" s="393"/>
      <c r="M208" s="393"/>
      <c r="N208" s="393"/>
      <c r="O208" s="393"/>
      <c r="P208" s="393"/>
      <c r="Q208" s="393"/>
      <c r="R208" s="393"/>
      <c r="S208" s="393"/>
      <c r="T208" s="393"/>
      <c r="U208" s="393"/>
      <c r="V208" s="393"/>
      <c r="W208" s="393"/>
      <c r="X208" s="393"/>
      <c r="Y208" s="393"/>
      <c r="Z208" s="393"/>
    </row>
    <row r="209" customFormat="false" ht="15.75" hidden="false" customHeight="true" outlineLevel="0" collapsed="false">
      <c r="A209" s="393"/>
      <c r="B209" s="393"/>
      <c r="C209" s="393"/>
      <c r="D209" s="393"/>
      <c r="E209" s="393"/>
      <c r="F209" s="393"/>
      <c r="G209" s="393"/>
      <c r="H209" s="393"/>
      <c r="I209" s="393"/>
      <c r="J209" s="393"/>
      <c r="K209" s="393"/>
      <c r="L209" s="393"/>
      <c r="M209" s="393"/>
      <c r="N209" s="393"/>
      <c r="O209" s="393"/>
      <c r="P209" s="393"/>
      <c r="Q209" s="393"/>
      <c r="R209" s="393"/>
      <c r="S209" s="393"/>
      <c r="T209" s="393"/>
      <c r="U209" s="393"/>
      <c r="V209" s="393"/>
      <c r="W209" s="393"/>
      <c r="X209" s="393"/>
      <c r="Y209" s="393"/>
      <c r="Z209" s="393"/>
    </row>
    <row r="210" customFormat="false" ht="15.75" hidden="false" customHeight="true" outlineLevel="0" collapsed="false">
      <c r="A210" s="393"/>
      <c r="B210" s="393"/>
      <c r="C210" s="393"/>
      <c r="D210" s="393"/>
      <c r="E210" s="393"/>
      <c r="F210" s="393"/>
      <c r="G210" s="393"/>
      <c r="H210" s="393"/>
      <c r="I210" s="393"/>
      <c r="J210" s="393"/>
      <c r="K210" s="393"/>
      <c r="L210" s="393"/>
      <c r="M210" s="393"/>
      <c r="N210" s="393"/>
      <c r="O210" s="393"/>
      <c r="P210" s="393"/>
      <c r="Q210" s="393"/>
      <c r="R210" s="393"/>
      <c r="S210" s="393"/>
      <c r="T210" s="393"/>
      <c r="U210" s="393"/>
      <c r="V210" s="393"/>
      <c r="W210" s="393"/>
      <c r="X210" s="393"/>
      <c r="Y210" s="393"/>
      <c r="Z210" s="393"/>
    </row>
    <row r="211" customFormat="false" ht="15.75" hidden="false" customHeight="true" outlineLevel="0" collapsed="false">
      <c r="A211" s="393"/>
      <c r="B211" s="393"/>
      <c r="C211" s="393"/>
      <c r="D211" s="393"/>
      <c r="E211" s="393"/>
      <c r="F211" s="393"/>
      <c r="G211" s="393"/>
      <c r="H211" s="393"/>
      <c r="I211" s="393"/>
      <c r="J211" s="393"/>
      <c r="K211" s="393"/>
      <c r="L211" s="393"/>
      <c r="M211" s="393"/>
      <c r="N211" s="393"/>
      <c r="O211" s="393"/>
      <c r="P211" s="393"/>
      <c r="Q211" s="393"/>
      <c r="R211" s="393"/>
      <c r="S211" s="393"/>
      <c r="T211" s="393"/>
      <c r="U211" s="393"/>
      <c r="V211" s="393"/>
      <c r="W211" s="393"/>
      <c r="X211" s="393"/>
      <c r="Y211" s="393"/>
      <c r="Z211" s="393"/>
    </row>
    <row r="212" customFormat="false" ht="15.75" hidden="false" customHeight="true" outlineLevel="0" collapsed="false">
      <c r="A212" s="393"/>
      <c r="B212" s="393"/>
      <c r="C212" s="393"/>
      <c r="D212" s="393"/>
      <c r="E212" s="393"/>
      <c r="F212" s="393"/>
      <c r="G212" s="393"/>
      <c r="H212" s="393"/>
      <c r="I212" s="393"/>
      <c r="J212" s="393"/>
      <c r="K212" s="393"/>
      <c r="L212" s="393"/>
      <c r="M212" s="393"/>
      <c r="N212" s="393"/>
      <c r="O212" s="393"/>
      <c r="P212" s="393"/>
      <c r="Q212" s="393"/>
      <c r="R212" s="393"/>
      <c r="S212" s="393"/>
      <c r="T212" s="393"/>
      <c r="U212" s="393"/>
      <c r="V212" s="393"/>
      <c r="W212" s="393"/>
      <c r="X212" s="393"/>
      <c r="Y212" s="393"/>
      <c r="Z212" s="393"/>
    </row>
    <row r="213" customFormat="false" ht="15.75" hidden="false" customHeight="true" outlineLevel="0" collapsed="false">
      <c r="A213" s="393"/>
      <c r="B213" s="393"/>
      <c r="C213" s="393"/>
      <c r="D213" s="393"/>
      <c r="E213" s="393"/>
      <c r="F213" s="393"/>
      <c r="G213" s="393"/>
      <c r="H213" s="393"/>
      <c r="I213" s="393"/>
      <c r="J213" s="393"/>
      <c r="K213" s="393"/>
      <c r="L213" s="393"/>
      <c r="M213" s="393"/>
      <c r="N213" s="393"/>
      <c r="O213" s="393"/>
      <c r="P213" s="393"/>
      <c r="Q213" s="393"/>
      <c r="R213" s="393"/>
      <c r="S213" s="393"/>
      <c r="T213" s="393"/>
      <c r="U213" s="393"/>
      <c r="V213" s="393"/>
      <c r="W213" s="393"/>
      <c r="X213" s="393"/>
      <c r="Y213" s="393"/>
      <c r="Z213" s="393"/>
    </row>
    <row r="214" customFormat="false" ht="15.75" hidden="false" customHeight="true" outlineLevel="0" collapsed="false">
      <c r="A214" s="393"/>
      <c r="B214" s="393"/>
      <c r="C214" s="393"/>
      <c r="D214" s="393"/>
      <c r="E214" s="393"/>
      <c r="F214" s="393"/>
      <c r="G214" s="393"/>
      <c r="H214" s="393"/>
      <c r="I214" s="393"/>
      <c r="J214" s="393"/>
      <c r="K214" s="393"/>
      <c r="L214" s="393"/>
      <c r="M214" s="393"/>
      <c r="N214" s="393"/>
      <c r="O214" s="393"/>
      <c r="P214" s="393"/>
      <c r="Q214" s="393"/>
      <c r="R214" s="393"/>
      <c r="S214" s="393"/>
      <c r="T214" s="393"/>
      <c r="U214" s="393"/>
      <c r="V214" s="393"/>
      <c r="W214" s="393"/>
      <c r="X214" s="393"/>
      <c r="Y214" s="393"/>
      <c r="Z214" s="393"/>
    </row>
    <row r="215" customFormat="false" ht="15.75" hidden="false" customHeight="true" outlineLevel="0" collapsed="false">
      <c r="A215" s="393"/>
      <c r="B215" s="393"/>
      <c r="C215" s="393"/>
      <c r="D215" s="393"/>
      <c r="E215" s="393"/>
      <c r="F215" s="393"/>
      <c r="G215" s="393"/>
      <c r="H215" s="393"/>
      <c r="I215" s="393"/>
      <c r="J215" s="393"/>
      <c r="K215" s="393"/>
      <c r="L215" s="393"/>
      <c r="M215" s="393"/>
      <c r="N215" s="393"/>
      <c r="O215" s="393"/>
      <c r="P215" s="393"/>
      <c r="Q215" s="393"/>
      <c r="R215" s="393"/>
      <c r="S215" s="393"/>
      <c r="T215" s="393"/>
      <c r="U215" s="393"/>
      <c r="V215" s="393"/>
      <c r="W215" s="393"/>
      <c r="X215" s="393"/>
      <c r="Y215" s="393"/>
      <c r="Z215" s="393"/>
    </row>
    <row r="216" customFormat="false" ht="15.75" hidden="false" customHeight="true" outlineLevel="0" collapsed="false">
      <c r="A216" s="393"/>
      <c r="B216" s="393"/>
      <c r="C216" s="393"/>
      <c r="D216" s="393"/>
      <c r="E216" s="393"/>
      <c r="F216" s="393"/>
      <c r="G216" s="393"/>
      <c r="H216" s="393"/>
      <c r="I216" s="393"/>
      <c r="J216" s="393"/>
      <c r="K216" s="393"/>
      <c r="L216" s="393"/>
      <c r="M216" s="393"/>
      <c r="N216" s="393"/>
      <c r="O216" s="393"/>
      <c r="P216" s="393"/>
      <c r="Q216" s="393"/>
      <c r="R216" s="393"/>
      <c r="S216" s="393"/>
      <c r="T216" s="393"/>
      <c r="U216" s="393"/>
      <c r="V216" s="393"/>
      <c r="W216" s="393"/>
      <c r="X216" s="393"/>
      <c r="Y216" s="393"/>
      <c r="Z216" s="393"/>
    </row>
    <row r="217" customFormat="false" ht="15.75" hidden="false" customHeight="true" outlineLevel="0" collapsed="false">
      <c r="A217" s="393"/>
      <c r="B217" s="393"/>
      <c r="C217" s="393"/>
      <c r="D217" s="393"/>
      <c r="E217" s="393"/>
      <c r="F217" s="393"/>
      <c r="G217" s="393"/>
      <c r="H217" s="393"/>
      <c r="I217" s="393"/>
      <c r="J217" s="393"/>
      <c r="K217" s="393"/>
      <c r="L217" s="393"/>
      <c r="M217" s="393"/>
      <c r="N217" s="393"/>
      <c r="O217" s="393"/>
      <c r="P217" s="393"/>
      <c r="Q217" s="393"/>
      <c r="R217" s="393"/>
      <c r="S217" s="393"/>
      <c r="T217" s="393"/>
      <c r="U217" s="393"/>
      <c r="V217" s="393"/>
      <c r="W217" s="393"/>
      <c r="X217" s="393"/>
      <c r="Y217" s="393"/>
      <c r="Z217" s="393"/>
    </row>
    <row r="218" customFormat="false" ht="15.75" hidden="false" customHeight="true" outlineLevel="0" collapsed="false">
      <c r="A218" s="393"/>
      <c r="B218" s="393"/>
      <c r="C218" s="393"/>
      <c r="D218" s="393"/>
      <c r="E218" s="393"/>
      <c r="F218" s="393"/>
      <c r="G218" s="393"/>
      <c r="H218" s="393"/>
      <c r="I218" s="393"/>
      <c r="J218" s="393"/>
      <c r="K218" s="393"/>
      <c r="L218" s="393"/>
      <c r="M218" s="393"/>
      <c r="N218" s="393"/>
      <c r="O218" s="393"/>
      <c r="P218" s="393"/>
      <c r="Q218" s="393"/>
      <c r="R218" s="393"/>
      <c r="S218" s="393"/>
      <c r="T218" s="393"/>
      <c r="U218" s="393"/>
      <c r="V218" s="393"/>
      <c r="W218" s="393"/>
      <c r="X218" s="393"/>
      <c r="Y218" s="393"/>
      <c r="Z218" s="393"/>
    </row>
    <row r="219" customFormat="false" ht="15.75" hidden="false" customHeight="true" outlineLevel="0" collapsed="false">
      <c r="A219" s="393"/>
      <c r="B219" s="393"/>
      <c r="C219" s="393"/>
      <c r="D219" s="393"/>
      <c r="E219" s="393"/>
      <c r="F219" s="393"/>
      <c r="G219" s="393"/>
      <c r="H219" s="393"/>
      <c r="I219" s="393"/>
      <c r="J219" s="393"/>
      <c r="K219" s="393"/>
      <c r="L219" s="393"/>
      <c r="M219" s="393"/>
      <c r="N219" s="393"/>
      <c r="O219" s="393"/>
      <c r="P219" s="393"/>
      <c r="Q219" s="393"/>
      <c r="R219" s="393"/>
      <c r="S219" s="393"/>
      <c r="T219" s="393"/>
      <c r="U219" s="393"/>
      <c r="V219" s="393"/>
      <c r="W219" s="393"/>
      <c r="X219" s="393"/>
      <c r="Y219" s="393"/>
      <c r="Z219" s="393"/>
    </row>
    <row r="220" customFormat="false" ht="15.75" hidden="false" customHeight="true" outlineLevel="0" collapsed="false">
      <c r="A220" s="393"/>
      <c r="B220" s="393"/>
      <c r="C220" s="393"/>
      <c r="D220" s="393"/>
      <c r="E220" s="393"/>
      <c r="F220" s="393"/>
      <c r="G220" s="393"/>
      <c r="H220" s="393"/>
      <c r="I220" s="393"/>
      <c r="J220" s="393"/>
      <c r="K220" s="393"/>
      <c r="L220" s="393"/>
      <c r="M220" s="393"/>
      <c r="N220" s="393"/>
      <c r="O220" s="393"/>
      <c r="P220" s="393"/>
      <c r="Q220" s="393"/>
      <c r="R220" s="393"/>
      <c r="S220" s="393"/>
      <c r="T220" s="393"/>
      <c r="U220" s="393"/>
      <c r="V220" s="393"/>
      <c r="W220" s="393"/>
      <c r="X220" s="393"/>
      <c r="Y220" s="393"/>
      <c r="Z220" s="393"/>
    </row>
    <row r="221" customFormat="false" ht="15.75" hidden="false" customHeight="true" outlineLevel="0" collapsed="false">
      <c r="A221" s="393"/>
      <c r="B221" s="393"/>
      <c r="C221" s="393"/>
      <c r="D221" s="393"/>
      <c r="E221" s="393"/>
      <c r="F221" s="393"/>
      <c r="G221" s="393"/>
      <c r="H221" s="393"/>
      <c r="I221" s="393"/>
      <c r="J221" s="393"/>
      <c r="K221" s="393"/>
      <c r="L221" s="393"/>
      <c r="M221" s="393"/>
      <c r="N221" s="393"/>
      <c r="O221" s="393"/>
      <c r="P221" s="393"/>
      <c r="Q221" s="393"/>
      <c r="R221" s="393"/>
      <c r="S221" s="393"/>
      <c r="T221" s="393"/>
      <c r="U221" s="393"/>
      <c r="V221" s="393"/>
      <c r="W221" s="393"/>
      <c r="X221" s="393"/>
      <c r="Y221" s="393"/>
      <c r="Z221" s="393"/>
    </row>
    <row r="222" customFormat="false" ht="15.75" hidden="false" customHeight="true" outlineLevel="0" collapsed="false">
      <c r="A222" s="393"/>
      <c r="B222" s="393"/>
      <c r="C222" s="393"/>
      <c r="D222" s="393"/>
      <c r="E222" s="393"/>
      <c r="F222" s="393"/>
      <c r="G222" s="393"/>
      <c r="H222" s="393"/>
      <c r="I222" s="393"/>
      <c r="J222" s="393"/>
      <c r="K222" s="393"/>
      <c r="L222" s="393"/>
      <c r="M222" s="393"/>
      <c r="N222" s="393"/>
      <c r="O222" s="393"/>
      <c r="P222" s="393"/>
      <c r="Q222" s="393"/>
      <c r="R222" s="393"/>
      <c r="S222" s="393"/>
      <c r="T222" s="393"/>
      <c r="U222" s="393"/>
      <c r="V222" s="393"/>
      <c r="W222" s="393"/>
      <c r="X222" s="393"/>
      <c r="Y222" s="393"/>
      <c r="Z222" s="393"/>
    </row>
    <row r="223" customFormat="false" ht="15.75" hidden="false" customHeight="true" outlineLevel="0" collapsed="false">
      <c r="A223" s="393"/>
      <c r="B223" s="393"/>
      <c r="C223" s="393"/>
      <c r="D223" s="393"/>
      <c r="E223" s="393"/>
      <c r="F223" s="393"/>
      <c r="G223" s="393"/>
      <c r="H223" s="393"/>
      <c r="I223" s="393"/>
      <c r="J223" s="393"/>
      <c r="K223" s="393"/>
      <c r="L223" s="393"/>
      <c r="M223" s="393"/>
      <c r="N223" s="393"/>
      <c r="O223" s="393"/>
      <c r="P223" s="393"/>
      <c r="Q223" s="393"/>
      <c r="R223" s="393"/>
      <c r="S223" s="393"/>
      <c r="T223" s="393"/>
      <c r="U223" s="393"/>
      <c r="V223" s="393"/>
      <c r="W223" s="393"/>
      <c r="X223" s="393"/>
      <c r="Y223" s="393"/>
      <c r="Z223" s="393"/>
    </row>
    <row r="224" customFormat="false" ht="15.75" hidden="false" customHeight="true" outlineLevel="0" collapsed="false">
      <c r="A224" s="393"/>
      <c r="B224" s="393"/>
      <c r="C224" s="393"/>
      <c r="D224" s="393"/>
      <c r="E224" s="393"/>
      <c r="F224" s="393"/>
      <c r="G224" s="393"/>
      <c r="H224" s="393"/>
      <c r="I224" s="393"/>
      <c r="J224" s="393"/>
      <c r="K224" s="393"/>
      <c r="L224" s="393"/>
      <c r="M224" s="393"/>
      <c r="N224" s="393"/>
      <c r="O224" s="393"/>
      <c r="P224" s="393"/>
      <c r="Q224" s="393"/>
      <c r="R224" s="393"/>
      <c r="S224" s="393"/>
      <c r="T224" s="393"/>
      <c r="U224" s="393"/>
      <c r="V224" s="393"/>
      <c r="W224" s="393"/>
      <c r="X224" s="393"/>
      <c r="Y224" s="393"/>
      <c r="Z224" s="393"/>
    </row>
    <row r="225" customFormat="false" ht="15.75" hidden="false" customHeight="true" outlineLevel="0" collapsed="false">
      <c r="A225" s="393"/>
      <c r="B225" s="393"/>
      <c r="C225" s="393"/>
      <c r="D225" s="393"/>
      <c r="E225" s="393"/>
      <c r="F225" s="393"/>
      <c r="G225" s="393"/>
      <c r="H225" s="393"/>
      <c r="I225" s="393"/>
      <c r="J225" s="393"/>
      <c r="K225" s="393"/>
      <c r="L225" s="393"/>
      <c r="M225" s="393"/>
      <c r="N225" s="393"/>
      <c r="O225" s="393"/>
      <c r="P225" s="393"/>
      <c r="Q225" s="393"/>
      <c r="R225" s="393"/>
      <c r="S225" s="393"/>
      <c r="T225" s="393"/>
      <c r="U225" s="393"/>
      <c r="V225" s="393"/>
      <c r="W225" s="393"/>
      <c r="X225" s="393"/>
      <c r="Y225" s="393"/>
      <c r="Z225" s="393"/>
    </row>
    <row r="226" customFormat="false" ht="15.75" hidden="false" customHeight="true" outlineLevel="0" collapsed="false">
      <c r="A226" s="393"/>
      <c r="B226" s="393"/>
      <c r="C226" s="393"/>
      <c r="D226" s="393"/>
      <c r="E226" s="393"/>
      <c r="F226" s="393"/>
      <c r="G226" s="393"/>
      <c r="H226" s="393"/>
      <c r="I226" s="393"/>
      <c r="J226" s="393"/>
      <c r="K226" s="393"/>
      <c r="L226" s="393"/>
      <c r="M226" s="393"/>
      <c r="N226" s="393"/>
      <c r="O226" s="393"/>
      <c r="P226" s="393"/>
      <c r="Q226" s="393"/>
      <c r="R226" s="393"/>
      <c r="S226" s="393"/>
      <c r="T226" s="393"/>
      <c r="U226" s="393"/>
      <c r="V226" s="393"/>
      <c r="W226" s="393"/>
      <c r="X226" s="393"/>
      <c r="Y226" s="393"/>
      <c r="Z226" s="393"/>
    </row>
    <row r="227" customFormat="false" ht="15.75" hidden="false" customHeight="true" outlineLevel="0" collapsed="false">
      <c r="A227" s="393"/>
      <c r="B227" s="393"/>
      <c r="C227" s="393"/>
      <c r="D227" s="393"/>
      <c r="E227" s="393"/>
      <c r="F227" s="393"/>
      <c r="G227" s="393"/>
      <c r="H227" s="393"/>
      <c r="I227" s="393"/>
      <c r="J227" s="393"/>
      <c r="K227" s="393"/>
      <c r="L227" s="393"/>
      <c r="M227" s="393"/>
      <c r="N227" s="393"/>
      <c r="O227" s="393"/>
      <c r="P227" s="393"/>
      <c r="Q227" s="393"/>
      <c r="R227" s="393"/>
      <c r="S227" s="393"/>
      <c r="T227" s="393"/>
      <c r="U227" s="393"/>
      <c r="V227" s="393"/>
      <c r="W227" s="393"/>
      <c r="X227" s="393"/>
      <c r="Y227" s="393"/>
      <c r="Z227" s="393"/>
    </row>
    <row r="228" customFormat="false" ht="15.75" hidden="false" customHeight="true" outlineLevel="0" collapsed="false">
      <c r="A228" s="393"/>
      <c r="B228" s="393"/>
      <c r="C228" s="393"/>
      <c r="D228" s="393"/>
      <c r="E228" s="393"/>
      <c r="F228" s="393"/>
      <c r="G228" s="393"/>
      <c r="H228" s="393"/>
      <c r="I228" s="393"/>
      <c r="J228" s="393"/>
      <c r="K228" s="393"/>
      <c r="L228" s="393"/>
      <c r="M228" s="393"/>
      <c r="N228" s="393"/>
      <c r="O228" s="393"/>
      <c r="P228" s="393"/>
      <c r="Q228" s="393"/>
      <c r="R228" s="393"/>
      <c r="S228" s="393"/>
      <c r="T228" s="393"/>
      <c r="U228" s="393"/>
      <c r="V228" s="393"/>
      <c r="W228" s="393"/>
      <c r="X228" s="393"/>
      <c r="Y228" s="393"/>
      <c r="Z228" s="393"/>
    </row>
    <row r="229" customFormat="false" ht="15.75" hidden="false" customHeight="true" outlineLevel="0" collapsed="false">
      <c r="A229" s="393"/>
      <c r="B229" s="393"/>
      <c r="C229" s="393"/>
      <c r="D229" s="393"/>
      <c r="E229" s="393"/>
      <c r="F229" s="393"/>
      <c r="G229" s="393"/>
      <c r="H229" s="393"/>
      <c r="I229" s="393"/>
      <c r="J229" s="393"/>
      <c r="K229" s="393"/>
      <c r="L229" s="393"/>
      <c r="M229" s="393"/>
      <c r="N229" s="393"/>
      <c r="O229" s="393"/>
      <c r="P229" s="393"/>
      <c r="Q229" s="393"/>
      <c r="R229" s="393"/>
      <c r="S229" s="393"/>
      <c r="T229" s="393"/>
      <c r="U229" s="393"/>
      <c r="V229" s="393"/>
      <c r="W229" s="393"/>
      <c r="X229" s="393"/>
      <c r="Y229" s="393"/>
      <c r="Z229" s="393"/>
    </row>
    <row r="230" customFormat="false" ht="15.75" hidden="false" customHeight="true" outlineLevel="0" collapsed="false">
      <c r="A230" s="393"/>
      <c r="B230" s="393"/>
      <c r="C230" s="393"/>
      <c r="D230" s="393"/>
      <c r="E230" s="393"/>
      <c r="F230" s="393"/>
      <c r="G230" s="393"/>
      <c r="H230" s="393"/>
      <c r="I230" s="393"/>
      <c r="J230" s="393"/>
      <c r="K230" s="393"/>
      <c r="L230" s="393"/>
      <c r="M230" s="393"/>
      <c r="N230" s="393"/>
      <c r="O230" s="393"/>
      <c r="P230" s="393"/>
      <c r="Q230" s="393"/>
      <c r="R230" s="393"/>
      <c r="S230" s="393"/>
      <c r="T230" s="393"/>
      <c r="U230" s="393"/>
      <c r="V230" s="393"/>
      <c r="W230" s="393"/>
      <c r="X230" s="393"/>
      <c r="Y230" s="393"/>
      <c r="Z230" s="393"/>
    </row>
    <row r="231" customFormat="false" ht="15.75" hidden="false" customHeight="true" outlineLevel="0" collapsed="false">
      <c r="A231" s="393"/>
      <c r="B231" s="393"/>
      <c r="C231" s="393"/>
      <c r="D231" s="393"/>
      <c r="E231" s="393"/>
      <c r="F231" s="393"/>
      <c r="G231" s="393"/>
      <c r="H231" s="393"/>
      <c r="I231" s="393"/>
      <c r="J231" s="393"/>
      <c r="K231" s="393"/>
      <c r="L231" s="393"/>
      <c r="M231" s="393"/>
      <c r="N231" s="393"/>
      <c r="O231" s="393"/>
      <c r="P231" s="393"/>
      <c r="Q231" s="393"/>
      <c r="R231" s="393"/>
      <c r="S231" s="393"/>
      <c r="T231" s="393"/>
      <c r="U231" s="393"/>
      <c r="V231" s="393"/>
      <c r="W231" s="393"/>
      <c r="X231" s="393"/>
      <c r="Y231" s="393"/>
      <c r="Z231" s="393"/>
    </row>
    <row r="232" customFormat="false" ht="15.75" hidden="false" customHeight="true" outlineLevel="0" collapsed="false">
      <c r="A232" s="393"/>
      <c r="B232" s="393"/>
      <c r="C232" s="393"/>
      <c r="D232" s="393"/>
      <c r="E232" s="393"/>
      <c r="F232" s="393"/>
      <c r="G232" s="393"/>
      <c r="H232" s="393"/>
      <c r="I232" s="393"/>
      <c r="J232" s="393"/>
      <c r="K232" s="393"/>
      <c r="L232" s="393"/>
      <c r="M232" s="393"/>
      <c r="N232" s="393"/>
      <c r="O232" s="393"/>
      <c r="P232" s="393"/>
      <c r="Q232" s="393"/>
      <c r="R232" s="393"/>
      <c r="S232" s="393"/>
      <c r="T232" s="393"/>
      <c r="U232" s="393"/>
      <c r="V232" s="393"/>
      <c r="W232" s="393"/>
      <c r="X232" s="393"/>
      <c r="Y232" s="393"/>
      <c r="Z232" s="393"/>
    </row>
    <row r="233" customFormat="false" ht="15.75" hidden="false" customHeight="true" outlineLevel="0" collapsed="false">
      <c r="A233" s="393"/>
      <c r="B233" s="393"/>
      <c r="C233" s="393"/>
      <c r="D233" s="393"/>
      <c r="E233" s="393"/>
      <c r="F233" s="393"/>
      <c r="G233" s="393"/>
      <c r="H233" s="393"/>
      <c r="I233" s="393"/>
      <c r="J233" s="393"/>
      <c r="K233" s="393"/>
      <c r="L233" s="393"/>
      <c r="M233" s="393"/>
      <c r="N233" s="393"/>
      <c r="O233" s="393"/>
      <c r="P233" s="393"/>
      <c r="Q233" s="393"/>
      <c r="R233" s="393"/>
      <c r="S233" s="393"/>
      <c r="T233" s="393"/>
      <c r="U233" s="393"/>
      <c r="V233" s="393"/>
      <c r="W233" s="393"/>
      <c r="X233" s="393"/>
      <c r="Y233" s="393"/>
      <c r="Z233" s="393"/>
    </row>
    <row r="234" customFormat="false" ht="15.75" hidden="false" customHeight="true" outlineLevel="0" collapsed="false">
      <c r="A234" s="393"/>
      <c r="B234" s="393"/>
      <c r="C234" s="393"/>
      <c r="D234" s="393"/>
      <c r="E234" s="393"/>
      <c r="F234" s="393"/>
      <c r="G234" s="393"/>
      <c r="H234" s="393"/>
      <c r="I234" s="393"/>
      <c r="J234" s="393"/>
      <c r="K234" s="393"/>
      <c r="L234" s="393"/>
      <c r="M234" s="393"/>
      <c r="N234" s="393"/>
      <c r="O234" s="393"/>
      <c r="P234" s="393"/>
      <c r="Q234" s="393"/>
      <c r="R234" s="393"/>
      <c r="S234" s="393"/>
      <c r="T234" s="393"/>
      <c r="U234" s="393"/>
      <c r="V234" s="393"/>
      <c r="W234" s="393"/>
      <c r="X234" s="393"/>
      <c r="Y234" s="393"/>
      <c r="Z234" s="393"/>
    </row>
    <row r="235" customFormat="false" ht="15.75" hidden="false" customHeight="true" outlineLevel="0" collapsed="false">
      <c r="A235" s="393"/>
      <c r="B235" s="393"/>
      <c r="C235" s="393"/>
      <c r="D235" s="393"/>
      <c r="E235" s="393"/>
      <c r="F235" s="393"/>
      <c r="G235" s="393"/>
      <c r="H235" s="393"/>
      <c r="I235" s="393"/>
      <c r="J235" s="393"/>
      <c r="K235" s="393"/>
      <c r="L235" s="393"/>
      <c r="M235" s="393"/>
      <c r="N235" s="393"/>
      <c r="O235" s="393"/>
      <c r="P235" s="393"/>
      <c r="Q235" s="393"/>
      <c r="R235" s="393"/>
      <c r="S235" s="393"/>
      <c r="T235" s="393"/>
      <c r="U235" s="393"/>
      <c r="V235" s="393"/>
      <c r="W235" s="393"/>
      <c r="X235" s="393"/>
      <c r="Y235" s="393"/>
      <c r="Z235" s="393"/>
    </row>
    <row r="236" customFormat="false" ht="15.75" hidden="false" customHeight="true" outlineLevel="0" collapsed="false">
      <c r="A236" s="393"/>
      <c r="B236" s="393"/>
      <c r="C236" s="393"/>
      <c r="D236" s="393"/>
      <c r="E236" s="393"/>
      <c r="F236" s="393"/>
      <c r="G236" s="393"/>
      <c r="H236" s="393"/>
      <c r="I236" s="393"/>
      <c r="J236" s="393"/>
      <c r="K236" s="393"/>
      <c r="L236" s="393"/>
      <c r="M236" s="393"/>
      <c r="N236" s="393"/>
      <c r="O236" s="393"/>
      <c r="P236" s="393"/>
      <c r="Q236" s="393"/>
      <c r="R236" s="393"/>
      <c r="S236" s="393"/>
      <c r="T236" s="393"/>
      <c r="U236" s="393"/>
      <c r="V236" s="393"/>
      <c r="W236" s="393"/>
      <c r="X236" s="393"/>
      <c r="Y236" s="393"/>
      <c r="Z236" s="393"/>
    </row>
    <row r="237" customFormat="false" ht="15.75" hidden="false" customHeight="true" outlineLevel="0" collapsed="false">
      <c r="A237" s="393"/>
      <c r="B237" s="393"/>
      <c r="C237" s="393"/>
      <c r="D237" s="393"/>
      <c r="E237" s="393"/>
      <c r="F237" s="393"/>
      <c r="G237" s="393"/>
      <c r="H237" s="393"/>
      <c r="I237" s="393"/>
      <c r="J237" s="393"/>
      <c r="K237" s="393"/>
      <c r="L237" s="393"/>
      <c r="M237" s="393"/>
      <c r="N237" s="393"/>
      <c r="O237" s="393"/>
      <c r="P237" s="393"/>
      <c r="Q237" s="393"/>
      <c r="R237" s="393"/>
      <c r="S237" s="393"/>
      <c r="T237" s="393"/>
      <c r="U237" s="393"/>
      <c r="V237" s="393"/>
      <c r="W237" s="393"/>
      <c r="X237" s="393"/>
      <c r="Y237" s="393"/>
      <c r="Z237" s="393"/>
    </row>
    <row r="238" customFormat="false" ht="15.75" hidden="false" customHeight="true" outlineLevel="0" collapsed="false">
      <c r="A238" s="393"/>
      <c r="B238" s="393"/>
      <c r="C238" s="393"/>
      <c r="D238" s="393"/>
      <c r="E238" s="393"/>
      <c r="F238" s="393"/>
      <c r="G238" s="393"/>
      <c r="H238" s="393"/>
      <c r="I238" s="393"/>
      <c r="J238" s="393"/>
      <c r="K238" s="393"/>
      <c r="L238" s="393"/>
      <c r="M238" s="393"/>
      <c r="N238" s="393"/>
      <c r="O238" s="393"/>
      <c r="P238" s="393"/>
      <c r="Q238" s="393"/>
      <c r="R238" s="393"/>
      <c r="S238" s="393"/>
      <c r="T238" s="393"/>
      <c r="U238" s="393"/>
      <c r="V238" s="393"/>
      <c r="W238" s="393"/>
      <c r="X238" s="393"/>
      <c r="Y238" s="393"/>
      <c r="Z238" s="393"/>
    </row>
    <row r="239" customFormat="false" ht="15.75" hidden="false" customHeight="true" outlineLevel="0" collapsed="false">
      <c r="A239" s="393"/>
      <c r="B239" s="393"/>
      <c r="C239" s="393"/>
      <c r="D239" s="393"/>
      <c r="E239" s="393"/>
      <c r="F239" s="393"/>
      <c r="G239" s="393"/>
      <c r="H239" s="393"/>
      <c r="I239" s="393"/>
      <c r="J239" s="393"/>
      <c r="K239" s="393"/>
      <c r="L239" s="393"/>
      <c r="M239" s="393"/>
      <c r="N239" s="393"/>
      <c r="O239" s="393"/>
      <c r="P239" s="393"/>
      <c r="Q239" s="393"/>
      <c r="R239" s="393"/>
      <c r="S239" s="393"/>
      <c r="T239" s="393"/>
      <c r="U239" s="393"/>
      <c r="V239" s="393"/>
      <c r="W239" s="393"/>
      <c r="X239" s="393"/>
      <c r="Y239" s="393"/>
      <c r="Z239" s="393"/>
    </row>
    <row r="240" customFormat="false" ht="15.75" hidden="false" customHeight="true" outlineLevel="0" collapsed="false">
      <c r="A240" s="393"/>
      <c r="B240" s="393"/>
      <c r="C240" s="393"/>
      <c r="D240" s="393"/>
      <c r="E240" s="393"/>
      <c r="F240" s="393"/>
      <c r="G240" s="393"/>
      <c r="H240" s="393"/>
      <c r="I240" s="393"/>
      <c r="J240" s="393"/>
      <c r="K240" s="393"/>
      <c r="L240" s="393"/>
      <c r="M240" s="393"/>
      <c r="N240" s="393"/>
      <c r="O240" s="393"/>
      <c r="P240" s="393"/>
      <c r="Q240" s="393"/>
      <c r="R240" s="393"/>
      <c r="S240" s="393"/>
      <c r="T240" s="393"/>
      <c r="U240" s="393"/>
      <c r="V240" s="393"/>
      <c r="W240" s="393"/>
      <c r="X240" s="393"/>
      <c r="Y240" s="393"/>
      <c r="Z240" s="393"/>
    </row>
    <row r="241" customFormat="false" ht="15.75" hidden="false" customHeight="true" outlineLevel="0" collapsed="false">
      <c r="A241" s="393"/>
      <c r="B241" s="393"/>
      <c r="C241" s="393"/>
      <c r="D241" s="393"/>
      <c r="E241" s="393"/>
      <c r="F241" s="393"/>
      <c r="G241" s="393"/>
      <c r="H241" s="393"/>
      <c r="I241" s="393"/>
      <c r="J241" s="393"/>
      <c r="K241" s="393"/>
      <c r="L241" s="393"/>
      <c r="M241" s="393"/>
      <c r="N241" s="393"/>
      <c r="O241" s="393"/>
      <c r="P241" s="393"/>
      <c r="Q241" s="393"/>
      <c r="R241" s="393"/>
      <c r="S241" s="393"/>
      <c r="T241" s="393"/>
      <c r="U241" s="393"/>
      <c r="V241" s="393"/>
      <c r="W241" s="393"/>
      <c r="X241" s="393"/>
      <c r="Y241" s="393"/>
      <c r="Z241" s="393"/>
    </row>
    <row r="242" customFormat="false" ht="15.75" hidden="false" customHeight="true" outlineLevel="0" collapsed="false">
      <c r="A242" s="393"/>
      <c r="B242" s="393"/>
      <c r="C242" s="393"/>
      <c r="D242" s="393"/>
      <c r="E242" s="393"/>
      <c r="F242" s="393"/>
      <c r="G242" s="393"/>
      <c r="H242" s="393"/>
      <c r="I242" s="393"/>
      <c r="J242" s="393"/>
      <c r="K242" s="393"/>
      <c r="L242" s="393"/>
      <c r="M242" s="393"/>
      <c r="N242" s="393"/>
      <c r="O242" s="393"/>
      <c r="P242" s="393"/>
      <c r="Q242" s="393"/>
      <c r="R242" s="393"/>
      <c r="S242" s="393"/>
      <c r="T242" s="393"/>
      <c r="U242" s="393"/>
      <c r="V242" s="393"/>
      <c r="W242" s="393"/>
      <c r="X242" s="393"/>
      <c r="Y242" s="393"/>
      <c r="Z242" s="393"/>
    </row>
    <row r="243" customFormat="false" ht="15.75" hidden="false" customHeight="true" outlineLevel="0" collapsed="false">
      <c r="A243" s="393"/>
      <c r="B243" s="393"/>
      <c r="C243" s="393"/>
      <c r="D243" s="393"/>
      <c r="E243" s="393"/>
      <c r="F243" s="393"/>
      <c r="G243" s="393"/>
      <c r="H243" s="393"/>
      <c r="I243" s="393"/>
      <c r="J243" s="393"/>
      <c r="K243" s="393"/>
      <c r="L243" s="393"/>
      <c r="M243" s="393"/>
      <c r="N243" s="393"/>
      <c r="O243" s="393"/>
      <c r="P243" s="393"/>
      <c r="Q243" s="393"/>
      <c r="R243" s="393"/>
      <c r="S243" s="393"/>
      <c r="T243" s="393"/>
      <c r="U243" s="393"/>
      <c r="V243" s="393"/>
      <c r="W243" s="393"/>
      <c r="X243" s="393"/>
      <c r="Y243" s="393"/>
      <c r="Z243" s="393"/>
    </row>
    <row r="244" customFormat="false" ht="15.75" hidden="false" customHeight="true" outlineLevel="0" collapsed="false">
      <c r="A244" s="393"/>
      <c r="B244" s="393"/>
      <c r="C244" s="393"/>
      <c r="D244" s="393"/>
      <c r="E244" s="393"/>
      <c r="F244" s="393"/>
      <c r="G244" s="393"/>
      <c r="H244" s="393"/>
      <c r="I244" s="393"/>
      <c r="J244" s="393"/>
      <c r="K244" s="393"/>
      <c r="L244" s="393"/>
      <c r="M244" s="393"/>
      <c r="N244" s="393"/>
      <c r="O244" s="393"/>
      <c r="P244" s="393"/>
      <c r="Q244" s="393"/>
      <c r="R244" s="393"/>
      <c r="S244" s="393"/>
      <c r="T244" s="393"/>
      <c r="U244" s="393"/>
      <c r="V244" s="393"/>
      <c r="W244" s="393"/>
      <c r="X244" s="393"/>
      <c r="Y244" s="393"/>
      <c r="Z244" s="393"/>
    </row>
    <row r="245" customFormat="false" ht="15.75" hidden="false" customHeight="true" outlineLevel="0" collapsed="false">
      <c r="A245" s="393"/>
      <c r="B245" s="393"/>
      <c r="C245" s="393"/>
      <c r="D245" s="393"/>
      <c r="E245" s="393"/>
      <c r="F245" s="393"/>
      <c r="G245" s="393"/>
      <c r="H245" s="393"/>
      <c r="I245" s="393"/>
      <c r="J245" s="393"/>
      <c r="K245" s="393"/>
      <c r="L245" s="393"/>
      <c r="M245" s="393"/>
      <c r="N245" s="393"/>
      <c r="O245" s="393"/>
      <c r="P245" s="393"/>
      <c r="Q245" s="393"/>
      <c r="R245" s="393"/>
      <c r="S245" s="393"/>
      <c r="T245" s="393"/>
      <c r="U245" s="393"/>
      <c r="V245" s="393"/>
      <c r="W245" s="393"/>
      <c r="X245" s="393"/>
      <c r="Y245" s="393"/>
      <c r="Z245" s="393"/>
    </row>
    <row r="246" customFormat="false" ht="15.75" hidden="false" customHeight="true" outlineLevel="0" collapsed="false">
      <c r="A246" s="393"/>
      <c r="B246" s="393"/>
      <c r="C246" s="393"/>
      <c r="D246" s="393"/>
      <c r="E246" s="393"/>
      <c r="F246" s="393"/>
      <c r="G246" s="393"/>
      <c r="H246" s="393"/>
      <c r="I246" s="393"/>
      <c r="J246" s="393"/>
      <c r="K246" s="393"/>
      <c r="L246" s="393"/>
      <c r="M246" s="393"/>
      <c r="N246" s="393"/>
      <c r="O246" s="393"/>
      <c r="P246" s="393"/>
      <c r="Q246" s="393"/>
      <c r="R246" s="393"/>
      <c r="S246" s="393"/>
      <c r="T246" s="393"/>
      <c r="U246" s="393"/>
      <c r="V246" s="393"/>
      <c r="W246" s="393"/>
      <c r="X246" s="393"/>
      <c r="Y246" s="393"/>
      <c r="Z246" s="393"/>
    </row>
    <row r="247" customFormat="false" ht="15.75" hidden="false" customHeight="true" outlineLevel="0" collapsed="false">
      <c r="A247" s="393"/>
      <c r="B247" s="393"/>
      <c r="C247" s="393"/>
      <c r="D247" s="393"/>
      <c r="E247" s="393"/>
      <c r="F247" s="393"/>
      <c r="G247" s="393"/>
      <c r="H247" s="393"/>
      <c r="I247" s="393"/>
      <c r="J247" s="393"/>
      <c r="K247" s="393"/>
      <c r="L247" s="393"/>
      <c r="M247" s="393"/>
      <c r="N247" s="393"/>
      <c r="O247" s="393"/>
      <c r="P247" s="393"/>
      <c r="Q247" s="393"/>
      <c r="R247" s="393"/>
      <c r="S247" s="393"/>
      <c r="T247" s="393"/>
      <c r="U247" s="393"/>
      <c r="V247" s="393"/>
      <c r="W247" s="393"/>
      <c r="X247" s="393"/>
      <c r="Y247" s="393"/>
      <c r="Z247" s="393"/>
    </row>
    <row r="248" customFormat="false" ht="15.75" hidden="false" customHeight="true" outlineLevel="0" collapsed="false">
      <c r="A248" s="393"/>
      <c r="B248" s="393"/>
      <c r="C248" s="393"/>
      <c r="D248" s="393"/>
      <c r="E248" s="393"/>
      <c r="F248" s="393"/>
      <c r="G248" s="393"/>
      <c r="H248" s="393"/>
      <c r="I248" s="393"/>
      <c r="J248" s="393"/>
      <c r="K248" s="393"/>
      <c r="L248" s="393"/>
      <c r="M248" s="393"/>
      <c r="N248" s="393"/>
      <c r="O248" s="393"/>
      <c r="P248" s="393"/>
      <c r="Q248" s="393"/>
      <c r="R248" s="393"/>
      <c r="S248" s="393"/>
      <c r="T248" s="393"/>
      <c r="U248" s="393"/>
      <c r="V248" s="393"/>
      <c r="W248" s="393"/>
      <c r="X248" s="393"/>
      <c r="Y248" s="393"/>
      <c r="Z248" s="393"/>
    </row>
    <row r="249" customFormat="false" ht="15.75" hidden="false" customHeight="true" outlineLevel="0" collapsed="false">
      <c r="A249" s="393"/>
      <c r="B249" s="393"/>
      <c r="C249" s="393"/>
      <c r="D249" s="393"/>
      <c r="E249" s="393"/>
      <c r="F249" s="393"/>
      <c r="G249" s="393"/>
      <c r="H249" s="393"/>
      <c r="I249" s="393"/>
      <c r="J249" s="393"/>
      <c r="K249" s="393"/>
      <c r="L249" s="393"/>
      <c r="M249" s="393"/>
      <c r="N249" s="393"/>
      <c r="O249" s="393"/>
      <c r="P249" s="393"/>
      <c r="Q249" s="393"/>
      <c r="R249" s="393"/>
      <c r="S249" s="393"/>
      <c r="T249" s="393"/>
      <c r="U249" s="393"/>
      <c r="V249" s="393"/>
      <c r="W249" s="393"/>
      <c r="X249" s="393"/>
      <c r="Y249" s="393"/>
      <c r="Z249" s="393"/>
    </row>
    <row r="250" customFormat="false" ht="15.75" hidden="false" customHeight="true" outlineLevel="0" collapsed="false">
      <c r="A250" s="393"/>
      <c r="B250" s="393"/>
      <c r="C250" s="393"/>
      <c r="D250" s="393"/>
      <c r="E250" s="393"/>
      <c r="F250" s="393"/>
      <c r="G250" s="393"/>
      <c r="H250" s="393"/>
      <c r="I250" s="393"/>
      <c r="J250" s="393"/>
      <c r="K250" s="393"/>
      <c r="L250" s="393"/>
      <c r="M250" s="393"/>
      <c r="N250" s="393"/>
      <c r="O250" s="393"/>
      <c r="P250" s="393"/>
      <c r="Q250" s="393"/>
      <c r="R250" s="393"/>
      <c r="S250" s="393"/>
      <c r="T250" s="393"/>
      <c r="U250" s="393"/>
      <c r="V250" s="393"/>
      <c r="W250" s="393"/>
      <c r="X250" s="393"/>
      <c r="Y250" s="393"/>
      <c r="Z250" s="393"/>
    </row>
    <row r="251" customFormat="false" ht="15.75" hidden="false" customHeight="true" outlineLevel="0" collapsed="false">
      <c r="A251" s="393"/>
      <c r="B251" s="393"/>
      <c r="C251" s="393"/>
      <c r="D251" s="393"/>
      <c r="E251" s="393"/>
      <c r="F251" s="393"/>
      <c r="G251" s="393"/>
      <c r="H251" s="393"/>
      <c r="I251" s="393"/>
      <c r="J251" s="393"/>
      <c r="K251" s="393"/>
      <c r="L251" s="393"/>
      <c r="M251" s="393"/>
      <c r="N251" s="393"/>
      <c r="O251" s="393"/>
      <c r="P251" s="393"/>
      <c r="Q251" s="393"/>
      <c r="R251" s="393"/>
      <c r="S251" s="393"/>
      <c r="T251" s="393"/>
      <c r="U251" s="393"/>
      <c r="V251" s="393"/>
      <c r="W251" s="393"/>
      <c r="X251" s="393"/>
      <c r="Y251" s="393"/>
      <c r="Z251" s="393"/>
    </row>
    <row r="252" customFormat="false" ht="15.75" hidden="false" customHeight="true" outlineLevel="0" collapsed="false">
      <c r="A252" s="393"/>
      <c r="B252" s="393"/>
      <c r="C252" s="393"/>
      <c r="D252" s="393"/>
      <c r="E252" s="393"/>
      <c r="F252" s="393"/>
      <c r="G252" s="393"/>
      <c r="H252" s="393"/>
      <c r="I252" s="393"/>
      <c r="J252" s="393"/>
      <c r="K252" s="393"/>
      <c r="L252" s="393"/>
      <c r="M252" s="393"/>
      <c r="N252" s="393"/>
      <c r="O252" s="393"/>
      <c r="P252" s="393"/>
      <c r="Q252" s="393"/>
      <c r="R252" s="393"/>
      <c r="S252" s="393"/>
      <c r="T252" s="393"/>
      <c r="U252" s="393"/>
      <c r="V252" s="393"/>
      <c r="W252" s="393"/>
      <c r="X252" s="393"/>
      <c r="Y252" s="393"/>
      <c r="Z252" s="393"/>
    </row>
    <row r="253" customFormat="false" ht="15.75" hidden="false" customHeight="true" outlineLevel="0" collapsed="false">
      <c r="A253" s="393"/>
      <c r="B253" s="393"/>
      <c r="C253" s="393"/>
      <c r="D253" s="393"/>
      <c r="E253" s="393"/>
      <c r="F253" s="393"/>
      <c r="G253" s="393"/>
      <c r="H253" s="393"/>
      <c r="I253" s="393"/>
      <c r="J253" s="393"/>
      <c r="K253" s="393"/>
      <c r="L253" s="393"/>
      <c r="M253" s="393"/>
      <c r="N253" s="393"/>
      <c r="O253" s="393"/>
      <c r="P253" s="393"/>
      <c r="Q253" s="393"/>
      <c r="R253" s="393"/>
      <c r="S253" s="393"/>
      <c r="T253" s="393"/>
      <c r="U253" s="393"/>
      <c r="V253" s="393"/>
      <c r="W253" s="393"/>
      <c r="X253" s="393"/>
      <c r="Y253" s="393"/>
      <c r="Z253" s="393"/>
    </row>
    <row r="254" customFormat="false" ht="15.75" hidden="false" customHeight="true" outlineLevel="0" collapsed="false">
      <c r="A254" s="393"/>
      <c r="B254" s="393"/>
      <c r="C254" s="393"/>
      <c r="D254" s="393"/>
      <c r="E254" s="393"/>
      <c r="F254" s="393"/>
      <c r="G254" s="393"/>
      <c r="H254" s="393"/>
      <c r="I254" s="393"/>
      <c r="J254" s="393"/>
      <c r="K254" s="393"/>
      <c r="L254" s="393"/>
      <c r="M254" s="393"/>
      <c r="N254" s="393"/>
      <c r="O254" s="393"/>
      <c r="P254" s="393"/>
      <c r="Q254" s="393"/>
      <c r="R254" s="393"/>
      <c r="S254" s="393"/>
      <c r="T254" s="393"/>
      <c r="U254" s="393"/>
      <c r="V254" s="393"/>
      <c r="W254" s="393"/>
      <c r="X254" s="393"/>
      <c r="Y254" s="393"/>
      <c r="Z254" s="393"/>
    </row>
    <row r="255" customFormat="false" ht="15.75" hidden="false" customHeight="true" outlineLevel="0" collapsed="false">
      <c r="A255" s="393"/>
      <c r="B255" s="393"/>
      <c r="C255" s="393"/>
      <c r="D255" s="393"/>
      <c r="E255" s="393"/>
      <c r="F255" s="393"/>
      <c r="G255" s="393"/>
      <c r="H255" s="393"/>
      <c r="I255" s="393"/>
      <c r="J255" s="393"/>
      <c r="K255" s="393"/>
      <c r="L255" s="393"/>
      <c r="M255" s="393"/>
      <c r="N255" s="393"/>
      <c r="O255" s="393"/>
      <c r="P255" s="393"/>
      <c r="Q255" s="393"/>
      <c r="R255" s="393"/>
      <c r="S255" s="393"/>
      <c r="T255" s="393"/>
      <c r="U255" s="393"/>
      <c r="V255" s="393"/>
      <c r="W255" s="393"/>
      <c r="X255" s="393"/>
      <c r="Y255" s="393"/>
      <c r="Z255" s="393"/>
    </row>
    <row r="256" customFormat="false" ht="15.75" hidden="false" customHeight="true" outlineLevel="0" collapsed="false">
      <c r="A256" s="393"/>
      <c r="B256" s="393"/>
      <c r="C256" s="393"/>
      <c r="D256" s="393"/>
      <c r="E256" s="393"/>
      <c r="F256" s="393"/>
      <c r="G256" s="393"/>
      <c r="H256" s="393"/>
      <c r="I256" s="393"/>
      <c r="J256" s="393"/>
      <c r="K256" s="393"/>
      <c r="L256" s="393"/>
      <c r="M256" s="393"/>
      <c r="N256" s="393"/>
      <c r="O256" s="393"/>
      <c r="P256" s="393"/>
      <c r="Q256" s="393"/>
      <c r="R256" s="393"/>
      <c r="S256" s="393"/>
      <c r="T256" s="393"/>
      <c r="U256" s="393"/>
      <c r="V256" s="393"/>
      <c r="W256" s="393"/>
      <c r="X256" s="393"/>
      <c r="Y256" s="393"/>
      <c r="Z256" s="393"/>
    </row>
    <row r="257" customFormat="false" ht="15.75" hidden="false" customHeight="true" outlineLevel="0" collapsed="false">
      <c r="A257" s="393"/>
      <c r="B257" s="393"/>
      <c r="C257" s="393"/>
      <c r="D257" s="393"/>
      <c r="E257" s="393"/>
      <c r="F257" s="393"/>
      <c r="G257" s="393"/>
      <c r="H257" s="393"/>
      <c r="I257" s="393"/>
      <c r="J257" s="393"/>
      <c r="K257" s="393"/>
      <c r="L257" s="393"/>
      <c r="M257" s="393"/>
      <c r="N257" s="393"/>
      <c r="O257" s="393"/>
      <c r="P257" s="393"/>
      <c r="Q257" s="393"/>
      <c r="R257" s="393"/>
      <c r="S257" s="393"/>
      <c r="T257" s="393"/>
      <c r="U257" s="393"/>
      <c r="V257" s="393"/>
      <c r="W257" s="393"/>
      <c r="X257" s="393"/>
      <c r="Y257" s="393"/>
      <c r="Z257" s="393"/>
    </row>
    <row r="258" customFormat="false" ht="15.75" hidden="false" customHeight="true" outlineLevel="0" collapsed="false">
      <c r="A258" s="393"/>
      <c r="B258" s="393"/>
      <c r="C258" s="393"/>
      <c r="D258" s="393"/>
      <c r="E258" s="393"/>
      <c r="F258" s="393"/>
      <c r="G258" s="393"/>
      <c r="H258" s="393"/>
      <c r="I258" s="393"/>
      <c r="J258" s="393"/>
      <c r="K258" s="393"/>
      <c r="L258" s="393"/>
      <c r="M258" s="393"/>
      <c r="N258" s="393"/>
      <c r="O258" s="393"/>
      <c r="P258" s="393"/>
      <c r="Q258" s="393"/>
      <c r="R258" s="393"/>
      <c r="S258" s="393"/>
      <c r="T258" s="393"/>
      <c r="U258" s="393"/>
      <c r="V258" s="393"/>
      <c r="W258" s="393"/>
      <c r="X258" s="393"/>
      <c r="Y258" s="393"/>
      <c r="Z258" s="393"/>
    </row>
    <row r="259" customFormat="false" ht="15.75" hidden="false" customHeight="true" outlineLevel="0" collapsed="false">
      <c r="A259" s="393"/>
      <c r="B259" s="393"/>
      <c r="C259" s="393"/>
      <c r="D259" s="393"/>
      <c r="E259" s="393"/>
      <c r="F259" s="393"/>
      <c r="G259" s="393"/>
      <c r="H259" s="393"/>
      <c r="I259" s="393"/>
      <c r="J259" s="393"/>
      <c r="K259" s="393"/>
      <c r="L259" s="393"/>
      <c r="M259" s="393"/>
      <c r="N259" s="393"/>
      <c r="O259" s="393"/>
      <c r="P259" s="393"/>
      <c r="Q259" s="393"/>
      <c r="R259" s="393"/>
      <c r="S259" s="393"/>
      <c r="T259" s="393"/>
      <c r="U259" s="393"/>
      <c r="V259" s="393"/>
      <c r="W259" s="393"/>
      <c r="X259" s="393"/>
      <c r="Y259" s="393"/>
      <c r="Z259" s="393"/>
    </row>
    <row r="260" customFormat="false" ht="15.75" hidden="false" customHeight="true" outlineLevel="0" collapsed="false">
      <c r="A260" s="393"/>
      <c r="B260" s="393"/>
      <c r="C260" s="393"/>
      <c r="D260" s="393"/>
      <c r="E260" s="393"/>
      <c r="F260" s="393"/>
      <c r="G260" s="393"/>
      <c r="H260" s="393"/>
      <c r="I260" s="393"/>
      <c r="J260" s="393"/>
      <c r="K260" s="393"/>
      <c r="L260" s="393"/>
      <c r="M260" s="393"/>
      <c r="N260" s="393"/>
      <c r="O260" s="393"/>
      <c r="P260" s="393"/>
      <c r="Q260" s="393"/>
      <c r="R260" s="393"/>
      <c r="S260" s="393"/>
      <c r="T260" s="393"/>
      <c r="U260" s="393"/>
      <c r="V260" s="393"/>
      <c r="W260" s="393"/>
      <c r="X260" s="393"/>
      <c r="Y260" s="393"/>
      <c r="Z260" s="393"/>
    </row>
    <row r="261" customFormat="false" ht="15.75" hidden="false" customHeight="true" outlineLevel="0" collapsed="false">
      <c r="A261" s="393"/>
      <c r="B261" s="393"/>
      <c r="C261" s="393"/>
      <c r="D261" s="393"/>
      <c r="E261" s="393"/>
      <c r="F261" s="393"/>
      <c r="G261" s="393"/>
      <c r="H261" s="393"/>
      <c r="I261" s="393"/>
      <c r="J261" s="393"/>
      <c r="K261" s="393"/>
      <c r="L261" s="393"/>
      <c r="M261" s="393"/>
      <c r="N261" s="393"/>
      <c r="O261" s="393"/>
      <c r="P261" s="393"/>
      <c r="Q261" s="393"/>
      <c r="R261" s="393"/>
      <c r="S261" s="393"/>
      <c r="T261" s="393"/>
      <c r="U261" s="393"/>
      <c r="V261" s="393"/>
      <c r="W261" s="393"/>
      <c r="X261" s="393"/>
      <c r="Y261" s="393"/>
      <c r="Z261" s="393"/>
    </row>
    <row r="262" customFormat="false" ht="15.75" hidden="false" customHeight="true" outlineLevel="0" collapsed="false">
      <c r="A262" s="393"/>
      <c r="B262" s="393"/>
      <c r="C262" s="393"/>
      <c r="D262" s="393"/>
      <c r="E262" s="393"/>
      <c r="F262" s="393"/>
      <c r="G262" s="393"/>
      <c r="H262" s="393"/>
      <c r="I262" s="393"/>
      <c r="J262" s="393"/>
      <c r="K262" s="393"/>
      <c r="L262" s="393"/>
      <c r="M262" s="393"/>
      <c r="N262" s="393"/>
      <c r="O262" s="393"/>
      <c r="P262" s="393"/>
      <c r="Q262" s="393"/>
      <c r="R262" s="393"/>
      <c r="S262" s="393"/>
      <c r="T262" s="393"/>
      <c r="U262" s="393"/>
      <c r="V262" s="393"/>
      <c r="W262" s="393"/>
      <c r="X262" s="393"/>
      <c r="Y262" s="393"/>
      <c r="Z262" s="393"/>
    </row>
    <row r="263" customFormat="false" ht="15.75" hidden="false" customHeight="true" outlineLevel="0" collapsed="false">
      <c r="A263" s="393"/>
      <c r="B263" s="393"/>
      <c r="C263" s="393"/>
      <c r="D263" s="393"/>
      <c r="E263" s="393"/>
      <c r="F263" s="393"/>
      <c r="G263" s="393"/>
      <c r="H263" s="393"/>
      <c r="I263" s="393"/>
      <c r="J263" s="393"/>
      <c r="K263" s="393"/>
      <c r="L263" s="393"/>
      <c r="M263" s="393"/>
      <c r="N263" s="393"/>
      <c r="O263" s="393"/>
      <c r="P263" s="393"/>
      <c r="Q263" s="393"/>
      <c r="R263" s="393"/>
      <c r="S263" s="393"/>
      <c r="T263" s="393"/>
      <c r="U263" s="393"/>
      <c r="V263" s="393"/>
      <c r="W263" s="393"/>
      <c r="X263" s="393"/>
      <c r="Y263" s="393"/>
      <c r="Z263" s="393"/>
    </row>
    <row r="264" customFormat="false" ht="15.75" hidden="false" customHeight="true" outlineLevel="0" collapsed="false">
      <c r="A264" s="393"/>
      <c r="B264" s="393"/>
      <c r="C264" s="393"/>
      <c r="D264" s="393"/>
      <c r="E264" s="393"/>
      <c r="F264" s="393"/>
      <c r="G264" s="393"/>
      <c r="H264" s="393"/>
      <c r="I264" s="393"/>
      <c r="J264" s="393"/>
      <c r="K264" s="393"/>
      <c r="L264" s="393"/>
      <c r="M264" s="393"/>
      <c r="N264" s="393"/>
      <c r="O264" s="393"/>
      <c r="P264" s="393"/>
      <c r="Q264" s="393"/>
      <c r="R264" s="393"/>
      <c r="S264" s="393"/>
      <c r="T264" s="393"/>
      <c r="U264" s="393"/>
      <c r="V264" s="393"/>
      <c r="W264" s="393"/>
      <c r="X264" s="393"/>
      <c r="Y264" s="393"/>
      <c r="Z264" s="393"/>
    </row>
    <row r="265" customFormat="false" ht="15.75" hidden="false" customHeight="true" outlineLevel="0" collapsed="false">
      <c r="A265" s="393"/>
      <c r="B265" s="393"/>
      <c r="C265" s="393"/>
      <c r="D265" s="393"/>
      <c r="E265" s="393"/>
      <c r="F265" s="393"/>
      <c r="G265" s="393"/>
      <c r="H265" s="393"/>
      <c r="I265" s="393"/>
      <c r="J265" s="393"/>
      <c r="K265" s="393"/>
      <c r="L265" s="393"/>
      <c r="M265" s="393"/>
      <c r="N265" s="393"/>
      <c r="O265" s="393"/>
      <c r="P265" s="393"/>
      <c r="Q265" s="393"/>
      <c r="R265" s="393"/>
      <c r="S265" s="393"/>
      <c r="T265" s="393"/>
      <c r="U265" s="393"/>
      <c r="V265" s="393"/>
      <c r="W265" s="393"/>
      <c r="X265" s="393"/>
      <c r="Y265" s="393"/>
      <c r="Z265" s="393"/>
    </row>
    <row r="266" customFormat="false" ht="15.75" hidden="false" customHeight="true" outlineLevel="0" collapsed="false">
      <c r="A266" s="393"/>
      <c r="B266" s="393"/>
      <c r="C266" s="393"/>
      <c r="D266" s="393"/>
      <c r="E266" s="393"/>
      <c r="F266" s="393"/>
      <c r="G266" s="393"/>
      <c r="H266" s="393"/>
      <c r="I266" s="393"/>
      <c r="J266" s="393"/>
      <c r="K266" s="393"/>
      <c r="L266" s="393"/>
      <c r="M266" s="393"/>
      <c r="N266" s="393"/>
      <c r="O266" s="393"/>
      <c r="P266" s="393"/>
      <c r="Q266" s="393"/>
      <c r="R266" s="393"/>
      <c r="S266" s="393"/>
      <c r="T266" s="393"/>
      <c r="U266" s="393"/>
      <c r="V266" s="393"/>
      <c r="W266" s="393"/>
      <c r="X266" s="393"/>
      <c r="Y266" s="393"/>
      <c r="Z266" s="393"/>
    </row>
    <row r="267" customFormat="false" ht="15.75" hidden="false" customHeight="true" outlineLevel="0" collapsed="false">
      <c r="A267" s="393"/>
      <c r="B267" s="393"/>
      <c r="C267" s="393"/>
      <c r="D267" s="393"/>
      <c r="E267" s="393"/>
      <c r="F267" s="393"/>
      <c r="G267" s="393"/>
      <c r="H267" s="393"/>
      <c r="I267" s="393"/>
      <c r="J267" s="393"/>
      <c r="K267" s="393"/>
      <c r="L267" s="393"/>
      <c r="M267" s="393"/>
      <c r="N267" s="393"/>
      <c r="O267" s="393"/>
      <c r="P267" s="393"/>
      <c r="Q267" s="393"/>
      <c r="R267" s="393"/>
      <c r="S267" s="393"/>
      <c r="T267" s="393"/>
      <c r="U267" s="393"/>
      <c r="V267" s="393"/>
      <c r="W267" s="393"/>
      <c r="X267" s="393"/>
      <c r="Y267" s="393"/>
      <c r="Z267" s="393"/>
    </row>
    <row r="268" customFormat="false" ht="15.75" hidden="false" customHeight="true" outlineLevel="0" collapsed="false">
      <c r="A268" s="393"/>
      <c r="B268" s="393"/>
      <c r="C268" s="393"/>
      <c r="D268" s="393"/>
      <c r="E268" s="393"/>
      <c r="F268" s="393"/>
      <c r="G268" s="393"/>
      <c r="H268" s="393"/>
      <c r="I268" s="393"/>
      <c r="J268" s="393"/>
      <c r="K268" s="393"/>
      <c r="L268" s="393"/>
      <c r="M268" s="393"/>
      <c r="N268" s="393"/>
      <c r="O268" s="393"/>
      <c r="P268" s="393"/>
      <c r="Q268" s="393"/>
      <c r="R268" s="393"/>
      <c r="S268" s="393"/>
      <c r="T268" s="393"/>
      <c r="U268" s="393"/>
      <c r="V268" s="393"/>
      <c r="W268" s="393"/>
      <c r="X268" s="393"/>
      <c r="Y268" s="393"/>
      <c r="Z268" s="393"/>
    </row>
    <row r="269" customFormat="false" ht="15.75" hidden="false" customHeight="true" outlineLevel="0" collapsed="false">
      <c r="A269" s="393"/>
      <c r="B269" s="393"/>
      <c r="C269" s="393"/>
      <c r="D269" s="393"/>
      <c r="E269" s="393"/>
      <c r="F269" s="393"/>
      <c r="G269" s="393"/>
      <c r="H269" s="393"/>
      <c r="I269" s="393"/>
      <c r="J269" s="393"/>
      <c r="K269" s="393"/>
      <c r="L269" s="393"/>
      <c r="M269" s="393"/>
      <c r="N269" s="393"/>
      <c r="O269" s="393"/>
      <c r="P269" s="393"/>
      <c r="Q269" s="393"/>
      <c r="R269" s="393"/>
      <c r="S269" s="393"/>
      <c r="T269" s="393"/>
      <c r="U269" s="393"/>
      <c r="V269" s="393"/>
      <c r="W269" s="393"/>
      <c r="X269" s="393"/>
      <c r="Y269" s="393"/>
      <c r="Z269" s="393"/>
    </row>
    <row r="270" customFormat="false" ht="15.75" hidden="false" customHeight="true" outlineLevel="0" collapsed="false">
      <c r="A270" s="393"/>
      <c r="B270" s="393"/>
      <c r="C270" s="393"/>
      <c r="D270" s="393"/>
      <c r="E270" s="393"/>
      <c r="F270" s="393"/>
      <c r="G270" s="393"/>
      <c r="H270" s="393"/>
      <c r="I270" s="393"/>
      <c r="J270" s="393"/>
      <c r="K270" s="393"/>
      <c r="L270" s="393"/>
      <c r="M270" s="393"/>
      <c r="N270" s="393"/>
      <c r="O270" s="393"/>
      <c r="P270" s="393"/>
      <c r="Q270" s="393"/>
      <c r="R270" s="393"/>
      <c r="S270" s="393"/>
      <c r="T270" s="393"/>
      <c r="U270" s="393"/>
      <c r="V270" s="393"/>
      <c r="W270" s="393"/>
      <c r="X270" s="393"/>
      <c r="Y270" s="393"/>
      <c r="Z270" s="393"/>
    </row>
    <row r="271" customFormat="false" ht="15.75" hidden="false" customHeight="true" outlineLevel="0" collapsed="false">
      <c r="A271" s="393"/>
      <c r="B271" s="393"/>
      <c r="C271" s="393"/>
      <c r="D271" s="393"/>
      <c r="E271" s="393"/>
      <c r="F271" s="393"/>
      <c r="G271" s="393"/>
      <c r="H271" s="393"/>
      <c r="I271" s="393"/>
      <c r="J271" s="393"/>
      <c r="K271" s="393"/>
      <c r="L271" s="393"/>
      <c r="M271" s="393"/>
      <c r="N271" s="393"/>
      <c r="O271" s="393"/>
      <c r="P271" s="393"/>
      <c r="Q271" s="393"/>
      <c r="R271" s="393"/>
      <c r="S271" s="393"/>
      <c r="T271" s="393"/>
      <c r="U271" s="393"/>
      <c r="V271" s="393"/>
      <c r="W271" s="393"/>
      <c r="X271" s="393"/>
      <c r="Y271" s="393"/>
      <c r="Z271" s="393"/>
    </row>
    <row r="272" customFormat="false" ht="15.75" hidden="false" customHeight="true" outlineLevel="0" collapsed="false">
      <c r="A272" s="393"/>
      <c r="B272" s="393"/>
      <c r="C272" s="393"/>
      <c r="D272" s="393"/>
      <c r="E272" s="393"/>
      <c r="F272" s="393"/>
      <c r="G272" s="393"/>
      <c r="H272" s="393"/>
      <c r="I272" s="393"/>
      <c r="J272" s="393"/>
      <c r="K272" s="393"/>
      <c r="L272" s="393"/>
      <c r="M272" s="393"/>
      <c r="N272" s="393"/>
      <c r="O272" s="393"/>
      <c r="P272" s="393"/>
      <c r="Q272" s="393"/>
      <c r="R272" s="393"/>
      <c r="S272" s="393"/>
      <c r="T272" s="393"/>
      <c r="U272" s="393"/>
      <c r="V272" s="393"/>
      <c r="W272" s="393"/>
      <c r="X272" s="393"/>
      <c r="Y272" s="393"/>
      <c r="Z272" s="393"/>
    </row>
    <row r="273" customFormat="false" ht="15.75" hidden="false" customHeight="true" outlineLevel="0" collapsed="false">
      <c r="A273" s="393"/>
      <c r="B273" s="393"/>
      <c r="C273" s="393"/>
      <c r="D273" s="393"/>
      <c r="E273" s="393"/>
      <c r="F273" s="393"/>
      <c r="G273" s="393"/>
      <c r="H273" s="393"/>
      <c r="I273" s="393"/>
      <c r="J273" s="393"/>
      <c r="K273" s="393"/>
      <c r="L273" s="393"/>
      <c r="M273" s="393"/>
      <c r="N273" s="393"/>
      <c r="O273" s="393"/>
      <c r="P273" s="393"/>
      <c r="Q273" s="393"/>
      <c r="R273" s="393"/>
      <c r="S273" s="393"/>
      <c r="T273" s="393"/>
      <c r="U273" s="393"/>
      <c r="V273" s="393"/>
      <c r="W273" s="393"/>
      <c r="X273" s="393"/>
      <c r="Y273" s="393"/>
      <c r="Z273" s="393"/>
    </row>
    <row r="274" customFormat="false" ht="15.75" hidden="false" customHeight="true" outlineLevel="0" collapsed="false">
      <c r="A274" s="393"/>
      <c r="B274" s="393"/>
      <c r="C274" s="393"/>
      <c r="D274" s="393"/>
      <c r="E274" s="393"/>
      <c r="F274" s="393"/>
      <c r="G274" s="393"/>
      <c r="H274" s="393"/>
      <c r="I274" s="393"/>
      <c r="J274" s="393"/>
      <c r="K274" s="393"/>
      <c r="L274" s="393"/>
      <c r="M274" s="393"/>
      <c r="N274" s="393"/>
      <c r="O274" s="393"/>
      <c r="P274" s="393"/>
      <c r="Q274" s="393"/>
      <c r="R274" s="393"/>
      <c r="S274" s="393"/>
      <c r="T274" s="393"/>
      <c r="U274" s="393"/>
      <c r="V274" s="393"/>
      <c r="W274" s="393"/>
      <c r="X274" s="393"/>
      <c r="Y274" s="393"/>
      <c r="Z274" s="393"/>
    </row>
    <row r="275" customFormat="false" ht="15.75" hidden="false" customHeight="true" outlineLevel="0" collapsed="false">
      <c r="A275" s="393"/>
      <c r="B275" s="393"/>
      <c r="C275" s="393"/>
      <c r="D275" s="393"/>
      <c r="E275" s="393"/>
      <c r="F275" s="393"/>
      <c r="G275" s="393"/>
      <c r="H275" s="393"/>
      <c r="I275" s="393"/>
      <c r="J275" s="393"/>
      <c r="K275" s="393"/>
      <c r="L275" s="393"/>
      <c r="M275" s="393"/>
      <c r="N275" s="393"/>
      <c r="O275" s="393"/>
      <c r="P275" s="393"/>
      <c r="Q275" s="393"/>
      <c r="R275" s="393"/>
      <c r="S275" s="393"/>
      <c r="T275" s="393"/>
      <c r="U275" s="393"/>
      <c r="V275" s="393"/>
      <c r="W275" s="393"/>
      <c r="X275" s="393"/>
      <c r="Y275" s="393"/>
      <c r="Z275" s="393"/>
    </row>
    <row r="276" customFormat="false" ht="15.75" hidden="false" customHeight="true" outlineLevel="0" collapsed="false">
      <c r="A276" s="393"/>
      <c r="B276" s="393"/>
      <c r="C276" s="393"/>
      <c r="D276" s="393"/>
      <c r="E276" s="393"/>
      <c r="F276" s="393"/>
      <c r="G276" s="393"/>
      <c r="H276" s="393"/>
      <c r="I276" s="393"/>
      <c r="J276" s="393"/>
      <c r="K276" s="393"/>
      <c r="L276" s="393"/>
      <c r="M276" s="393"/>
      <c r="N276" s="393"/>
      <c r="O276" s="393"/>
      <c r="P276" s="393"/>
      <c r="Q276" s="393"/>
      <c r="R276" s="393"/>
      <c r="S276" s="393"/>
      <c r="T276" s="393"/>
      <c r="U276" s="393"/>
      <c r="V276" s="393"/>
      <c r="W276" s="393"/>
      <c r="X276" s="393"/>
      <c r="Y276" s="393"/>
      <c r="Z276" s="393"/>
    </row>
    <row r="277" customFormat="false" ht="15.75" hidden="false" customHeight="true" outlineLevel="0" collapsed="false">
      <c r="A277" s="393"/>
      <c r="B277" s="393"/>
      <c r="C277" s="393"/>
      <c r="D277" s="393"/>
      <c r="E277" s="393"/>
      <c r="F277" s="393"/>
      <c r="G277" s="393"/>
      <c r="H277" s="393"/>
      <c r="I277" s="393"/>
      <c r="J277" s="393"/>
      <c r="K277" s="393"/>
      <c r="L277" s="393"/>
      <c r="M277" s="393"/>
      <c r="N277" s="393"/>
      <c r="O277" s="393"/>
      <c r="P277" s="393"/>
      <c r="Q277" s="393"/>
      <c r="R277" s="393"/>
      <c r="S277" s="393"/>
      <c r="T277" s="393"/>
      <c r="U277" s="393"/>
      <c r="V277" s="393"/>
      <c r="W277" s="393"/>
      <c r="X277" s="393"/>
      <c r="Y277" s="393"/>
      <c r="Z277" s="393"/>
    </row>
    <row r="278" customFormat="false" ht="15.75" hidden="false" customHeight="true" outlineLevel="0" collapsed="false">
      <c r="A278" s="393"/>
      <c r="B278" s="393"/>
      <c r="C278" s="393"/>
      <c r="D278" s="393"/>
      <c r="E278" s="393"/>
      <c r="F278" s="393"/>
      <c r="G278" s="393"/>
      <c r="H278" s="393"/>
      <c r="I278" s="393"/>
      <c r="J278" s="393"/>
      <c r="K278" s="393"/>
      <c r="L278" s="393"/>
      <c r="M278" s="393"/>
      <c r="N278" s="393"/>
      <c r="O278" s="393"/>
      <c r="P278" s="393"/>
      <c r="Q278" s="393"/>
      <c r="R278" s="393"/>
      <c r="S278" s="393"/>
      <c r="T278" s="393"/>
      <c r="U278" s="393"/>
      <c r="V278" s="393"/>
      <c r="W278" s="393"/>
      <c r="X278" s="393"/>
      <c r="Y278" s="393"/>
      <c r="Z278" s="393"/>
    </row>
    <row r="279" customFormat="false" ht="15.75" hidden="false" customHeight="true" outlineLevel="0" collapsed="false">
      <c r="A279" s="393"/>
      <c r="B279" s="393"/>
      <c r="C279" s="393"/>
      <c r="D279" s="393"/>
      <c r="E279" s="393"/>
      <c r="F279" s="393"/>
      <c r="G279" s="393"/>
      <c r="H279" s="393"/>
      <c r="I279" s="393"/>
      <c r="J279" s="393"/>
      <c r="K279" s="393"/>
      <c r="L279" s="393"/>
      <c r="M279" s="393"/>
      <c r="N279" s="393"/>
      <c r="O279" s="393"/>
      <c r="P279" s="393"/>
      <c r="Q279" s="393"/>
      <c r="R279" s="393"/>
      <c r="S279" s="393"/>
      <c r="T279" s="393"/>
      <c r="U279" s="393"/>
      <c r="V279" s="393"/>
      <c r="W279" s="393"/>
      <c r="X279" s="393"/>
      <c r="Y279" s="393"/>
      <c r="Z279" s="393"/>
    </row>
    <row r="280" customFormat="false" ht="15.75" hidden="false" customHeight="true" outlineLevel="0" collapsed="false">
      <c r="A280" s="393"/>
      <c r="B280" s="393"/>
      <c r="C280" s="393"/>
      <c r="D280" s="393"/>
      <c r="E280" s="393"/>
      <c r="F280" s="393"/>
      <c r="G280" s="393"/>
      <c r="H280" s="393"/>
      <c r="I280" s="393"/>
      <c r="J280" s="393"/>
      <c r="K280" s="393"/>
      <c r="L280" s="393"/>
      <c r="M280" s="393"/>
      <c r="N280" s="393"/>
      <c r="O280" s="393"/>
      <c r="P280" s="393"/>
      <c r="Q280" s="393"/>
      <c r="R280" s="393"/>
      <c r="S280" s="393"/>
      <c r="T280" s="393"/>
      <c r="U280" s="393"/>
      <c r="V280" s="393"/>
      <c r="W280" s="393"/>
      <c r="X280" s="393"/>
      <c r="Y280" s="393"/>
      <c r="Z280" s="393"/>
    </row>
    <row r="281" customFormat="false" ht="15.75" hidden="false" customHeight="true" outlineLevel="0" collapsed="false">
      <c r="A281" s="393"/>
      <c r="B281" s="393"/>
      <c r="C281" s="393"/>
      <c r="D281" s="393"/>
      <c r="E281" s="393"/>
      <c r="F281" s="393"/>
      <c r="G281" s="393"/>
      <c r="H281" s="393"/>
      <c r="I281" s="393"/>
      <c r="J281" s="393"/>
      <c r="K281" s="393"/>
      <c r="L281" s="393"/>
      <c r="M281" s="393"/>
      <c r="N281" s="393"/>
      <c r="O281" s="393"/>
      <c r="P281" s="393"/>
      <c r="Q281" s="393"/>
      <c r="R281" s="393"/>
      <c r="S281" s="393"/>
      <c r="T281" s="393"/>
      <c r="U281" s="393"/>
      <c r="V281" s="393"/>
      <c r="W281" s="393"/>
      <c r="X281" s="393"/>
      <c r="Y281" s="393"/>
      <c r="Z281" s="393"/>
    </row>
    <row r="282" customFormat="false" ht="15.75" hidden="false" customHeight="true" outlineLevel="0" collapsed="false">
      <c r="A282" s="393"/>
      <c r="B282" s="393"/>
      <c r="C282" s="393"/>
      <c r="D282" s="393"/>
      <c r="E282" s="393"/>
      <c r="F282" s="393"/>
      <c r="G282" s="393"/>
      <c r="H282" s="393"/>
      <c r="I282" s="393"/>
      <c r="J282" s="393"/>
      <c r="K282" s="393"/>
      <c r="L282" s="393"/>
      <c r="M282" s="393"/>
      <c r="N282" s="393"/>
      <c r="O282" s="393"/>
      <c r="P282" s="393"/>
      <c r="Q282" s="393"/>
      <c r="R282" s="393"/>
      <c r="S282" s="393"/>
      <c r="T282" s="393"/>
      <c r="U282" s="393"/>
      <c r="V282" s="393"/>
      <c r="W282" s="393"/>
      <c r="X282" s="393"/>
      <c r="Y282" s="393"/>
      <c r="Z282" s="393"/>
    </row>
    <row r="283" customFormat="false" ht="15.75" hidden="false" customHeight="true" outlineLevel="0" collapsed="false">
      <c r="A283" s="393"/>
      <c r="B283" s="393"/>
      <c r="C283" s="393"/>
      <c r="D283" s="393"/>
      <c r="E283" s="393"/>
      <c r="F283" s="393"/>
      <c r="G283" s="393"/>
      <c r="H283" s="393"/>
      <c r="I283" s="393"/>
      <c r="J283" s="393"/>
      <c r="K283" s="393"/>
      <c r="L283" s="393"/>
      <c r="M283" s="393"/>
      <c r="N283" s="393"/>
      <c r="O283" s="393"/>
      <c r="P283" s="393"/>
      <c r="Q283" s="393"/>
      <c r="R283" s="393"/>
      <c r="S283" s="393"/>
      <c r="T283" s="393"/>
      <c r="U283" s="393"/>
      <c r="V283" s="393"/>
      <c r="W283" s="393"/>
      <c r="X283" s="393"/>
      <c r="Y283" s="393"/>
      <c r="Z283" s="393"/>
    </row>
    <row r="284" customFormat="false" ht="15.75" hidden="false" customHeight="true" outlineLevel="0" collapsed="false">
      <c r="A284" s="393"/>
      <c r="B284" s="393"/>
      <c r="C284" s="393"/>
      <c r="D284" s="393"/>
      <c r="E284" s="393"/>
      <c r="F284" s="393"/>
      <c r="G284" s="393"/>
      <c r="H284" s="393"/>
      <c r="I284" s="393"/>
      <c r="J284" s="393"/>
      <c r="K284" s="393"/>
      <c r="L284" s="393"/>
      <c r="M284" s="393"/>
      <c r="N284" s="393"/>
      <c r="O284" s="393"/>
      <c r="P284" s="393"/>
      <c r="Q284" s="393"/>
      <c r="R284" s="393"/>
      <c r="S284" s="393"/>
      <c r="T284" s="393"/>
      <c r="U284" s="393"/>
      <c r="V284" s="393"/>
      <c r="W284" s="393"/>
      <c r="X284" s="393"/>
      <c r="Y284" s="393"/>
      <c r="Z284" s="393"/>
    </row>
    <row r="285" customFormat="false" ht="15.75" hidden="false" customHeight="true" outlineLevel="0" collapsed="false">
      <c r="A285" s="393"/>
      <c r="B285" s="393"/>
      <c r="C285" s="393"/>
      <c r="D285" s="393"/>
      <c r="E285" s="393"/>
      <c r="F285" s="393"/>
      <c r="G285" s="393"/>
      <c r="H285" s="393"/>
      <c r="I285" s="393"/>
      <c r="J285" s="393"/>
      <c r="K285" s="393"/>
      <c r="L285" s="393"/>
      <c r="M285" s="393"/>
      <c r="N285" s="393"/>
      <c r="O285" s="393"/>
      <c r="P285" s="393"/>
      <c r="Q285" s="393"/>
      <c r="R285" s="393"/>
      <c r="S285" s="393"/>
      <c r="T285" s="393"/>
      <c r="U285" s="393"/>
      <c r="V285" s="393"/>
      <c r="W285" s="393"/>
      <c r="X285" s="393"/>
      <c r="Y285" s="393"/>
      <c r="Z285" s="393"/>
    </row>
    <row r="286" customFormat="false" ht="15.75" hidden="false" customHeight="true" outlineLevel="0" collapsed="false">
      <c r="A286" s="393"/>
      <c r="B286" s="393"/>
      <c r="C286" s="393"/>
      <c r="D286" s="393"/>
      <c r="E286" s="393"/>
      <c r="F286" s="393"/>
      <c r="G286" s="393"/>
      <c r="H286" s="393"/>
      <c r="I286" s="393"/>
      <c r="J286" s="393"/>
      <c r="K286" s="393"/>
      <c r="L286" s="393"/>
      <c r="M286" s="393"/>
      <c r="N286" s="393"/>
      <c r="O286" s="393"/>
      <c r="P286" s="393"/>
      <c r="Q286" s="393"/>
      <c r="R286" s="393"/>
      <c r="S286" s="393"/>
      <c r="T286" s="393"/>
      <c r="U286" s="393"/>
      <c r="V286" s="393"/>
      <c r="W286" s="393"/>
      <c r="X286" s="393"/>
      <c r="Y286" s="393"/>
      <c r="Z286" s="393"/>
    </row>
    <row r="287" customFormat="false" ht="15.75" hidden="false" customHeight="true" outlineLevel="0" collapsed="false">
      <c r="A287" s="393"/>
      <c r="B287" s="393"/>
      <c r="C287" s="393"/>
      <c r="D287" s="393"/>
      <c r="E287" s="393"/>
      <c r="F287" s="393"/>
      <c r="G287" s="393"/>
      <c r="H287" s="393"/>
      <c r="I287" s="393"/>
      <c r="J287" s="393"/>
      <c r="K287" s="393"/>
      <c r="L287" s="393"/>
      <c r="M287" s="393"/>
      <c r="N287" s="393"/>
      <c r="O287" s="393"/>
      <c r="P287" s="393"/>
      <c r="Q287" s="393"/>
      <c r="R287" s="393"/>
      <c r="S287" s="393"/>
      <c r="T287" s="393"/>
      <c r="U287" s="393"/>
      <c r="V287" s="393"/>
      <c r="W287" s="393"/>
      <c r="X287" s="393"/>
      <c r="Y287" s="393"/>
      <c r="Z287" s="393"/>
    </row>
    <row r="288" customFormat="false" ht="15.75" hidden="false" customHeight="true" outlineLevel="0" collapsed="false">
      <c r="A288" s="393"/>
      <c r="B288" s="393"/>
      <c r="C288" s="393"/>
      <c r="D288" s="393"/>
      <c r="E288" s="393"/>
      <c r="F288" s="393"/>
      <c r="G288" s="393"/>
      <c r="H288" s="393"/>
      <c r="I288" s="393"/>
      <c r="J288" s="393"/>
      <c r="K288" s="393"/>
      <c r="L288" s="393"/>
      <c r="M288" s="393"/>
      <c r="N288" s="393"/>
      <c r="O288" s="393"/>
      <c r="P288" s="393"/>
      <c r="Q288" s="393"/>
      <c r="R288" s="393"/>
      <c r="S288" s="393"/>
      <c r="T288" s="393"/>
      <c r="U288" s="393"/>
      <c r="V288" s="393"/>
      <c r="W288" s="393"/>
      <c r="X288" s="393"/>
      <c r="Y288" s="393"/>
      <c r="Z288" s="393"/>
    </row>
    <row r="289" customFormat="false" ht="15.75" hidden="false" customHeight="true" outlineLevel="0" collapsed="false">
      <c r="A289" s="393"/>
      <c r="B289" s="393"/>
      <c r="C289" s="393"/>
      <c r="D289" s="393"/>
      <c r="E289" s="393"/>
      <c r="F289" s="393"/>
      <c r="G289" s="393"/>
      <c r="H289" s="393"/>
      <c r="I289" s="393"/>
      <c r="J289" s="393"/>
      <c r="K289" s="393"/>
      <c r="L289" s="393"/>
      <c r="M289" s="393"/>
      <c r="N289" s="393"/>
      <c r="O289" s="393"/>
      <c r="P289" s="393"/>
      <c r="Q289" s="393"/>
      <c r="R289" s="393"/>
      <c r="S289" s="393"/>
      <c r="T289" s="393"/>
      <c r="U289" s="393"/>
      <c r="V289" s="393"/>
      <c r="W289" s="393"/>
      <c r="X289" s="393"/>
      <c r="Y289" s="393"/>
      <c r="Z289" s="393"/>
    </row>
    <row r="290" customFormat="false" ht="15.75" hidden="false" customHeight="true" outlineLevel="0" collapsed="false">
      <c r="A290" s="393"/>
      <c r="B290" s="393"/>
      <c r="C290" s="393"/>
      <c r="D290" s="393"/>
      <c r="E290" s="393"/>
      <c r="F290" s="393"/>
      <c r="G290" s="393"/>
      <c r="H290" s="393"/>
      <c r="I290" s="393"/>
      <c r="J290" s="393"/>
      <c r="K290" s="393"/>
      <c r="L290" s="393"/>
      <c r="M290" s="393"/>
      <c r="N290" s="393"/>
      <c r="O290" s="393"/>
      <c r="P290" s="393"/>
      <c r="Q290" s="393"/>
      <c r="R290" s="393"/>
      <c r="S290" s="393"/>
      <c r="T290" s="393"/>
      <c r="U290" s="393"/>
      <c r="V290" s="393"/>
      <c r="W290" s="393"/>
      <c r="X290" s="393"/>
      <c r="Y290" s="393"/>
      <c r="Z290" s="393"/>
    </row>
    <row r="291" customFormat="false" ht="15.75" hidden="false" customHeight="true" outlineLevel="0" collapsed="false">
      <c r="A291" s="393"/>
      <c r="B291" s="393"/>
      <c r="C291" s="393"/>
      <c r="D291" s="393"/>
      <c r="E291" s="393"/>
      <c r="F291" s="393"/>
      <c r="G291" s="393"/>
      <c r="H291" s="393"/>
      <c r="I291" s="393"/>
      <c r="J291" s="393"/>
      <c r="K291" s="393"/>
      <c r="L291" s="393"/>
      <c r="M291" s="393"/>
      <c r="N291" s="393"/>
      <c r="O291" s="393"/>
      <c r="P291" s="393"/>
      <c r="Q291" s="393"/>
      <c r="R291" s="393"/>
      <c r="S291" s="393"/>
      <c r="T291" s="393"/>
      <c r="U291" s="393"/>
      <c r="V291" s="393"/>
      <c r="W291" s="393"/>
      <c r="X291" s="393"/>
      <c r="Y291" s="393"/>
      <c r="Z291" s="393"/>
    </row>
    <row r="292" customFormat="false" ht="15.75" hidden="false" customHeight="true" outlineLevel="0" collapsed="false">
      <c r="A292" s="393"/>
      <c r="B292" s="393"/>
      <c r="C292" s="393"/>
      <c r="D292" s="393"/>
      <c r="E292" s="393"/>
      <c r="F292" s="393"/>
      <c r="G292" s="393"/>
      <c r="H292" s="393"/>
      <c r="I292" s="393"/>
      <c r="J292" s="393"/>
      <c r="K292" s="393"/>
      <c r="L292" s="393"/>
      <c r="M292" s="393"/>
      <c r="N292" s="393"/>
      <c r="O292" s="393"/>
      <c r="P292" s="393"/>
      <c r="Q292" s="393"/>
      <c r="R292" s="393"/>
      <c r="S292" s="393"/>
      <c r="T292" s="393"/>
      <c r="U292" s="393"/>
      <c r="V292" s="393"/>
      <c r="W292" s="393"/>
      <c r="X292" s="393"/>
      <c r="Y292" s="393"/>
      <c r="Z292" s="393"/>
    </row>
    <row r="293" customFormat="false" ht="15.75" hidden="false" customHeight="true" outlineLevel="0" collapsed="false">
      <c r="A293" s="393"/>
      <c r="B293" s="393"/>
      <c r="C293" s="393"/>
      <c r="D293" s="393"/>
      <c r="E293" s="393"/>
      <c r="F293" s="393"/>
      <c r="G293" s="393"/>
      <c r="H293" s="393"/>
      <c r="I293" s="393"/>
      <c r="J293" s="393"/>
      <c r="K293" s="393"/>
      <c r="L293" s="393"/>
      <c r="M293" s="393"/>
      <c r="N293" s="393"/>
      <c r="O293" s="393"/>
      <c r="P293" s="393"/>
      <c r="Q293" s="393"/>
      <c r="R293" s="393"/>
      <c r="S293" s="393"/>
      <c r="T293" s="393"/>
      <c r="U293" s="393"/>
      <c r="V293" s="393"/>
      <c r="W293" s="393"/>
      <c r="X293" s="393"/>
      <c r="Y293" s="393"/>
      <c r="Z293" s="393"/>
    </row>
    <row r="294" customFormat="false" ht="15.75" hidden="false" customHeight="true" outlineLevel="0" collapsed="false">
      <c r="A294" s="393"/>
      <c r="B294" s="393"/>
      <c r="C294" s="393"/>
      <c r="D294" s="393"/>
      <c r="E294" s="393"/>
      <c r="F294" s="393"/>
      <c r="G294" s="393"/>
      <c r="H294" s="393"/>
      <c r="I294" s="393"/>
      <c r="J294" s="393"/>
      <c r="K294" s="393"/>
      <c r="L294" s="393"/>
      <c r="M294" s="393"/>
      <c r="N294" s="393"/>
      <c r="O294" s="393"/>
      <c r="P294" s="393"/>
      <c r="Q294" s="393"/>
      <c r="R294" s="393"/>
      <c r="S294" s="393"/>
      <c r="T294" s="393"/>
      <c r="U294" s="393"/>
      <c r="V294" s="393"/>
      <c r="W294" s="393"/>
      <c r="X294" s="393"/>
      <c r="Y294" s="393"/>
      <c r="Z294" s="393"/>
    </row>
    <row r="295" customFormat="false" ht="15.75" hidden="false" customHeight="true" outlineLevel="0" collapsed="false">
      <c r="A295" s="393"/>
      <c r="B295" s="393"/>
      <c r="C295" s="393"/>
      <c r="D295" s="393"/>
      <c r="E295" s="393"/>
      <c r="F295" s="393"/>
      <c r="G295" s="393"/>
      <c r="H295" s="393"/>
      <c r="I295" s="393"/>
      <c r="J295" s="393"/>
      <c r="K295" s="393"/>
      <c r="L295" s="393"/>
      <c r="M295" s="393"/>
      <c r="N295" s="393"/>
      <c r="O295" s="393"/>
      <c r="P295" s="393"/>
      <c r="Q295" s="393"/>
      <c r="R295" s="393"/>
      <c r="S295" s="393"/>
      <c r="T295" s="393"/>
      <c r="U295" s="393"/>
      <c r="V295" s="393"/>
      <c r="W295" s="393"/>
      <c r="X295" s="393"/>
      <c r="Y295" s="393"/>
      <c r="Z295" s="393"/>
    </row>
    <row r="296" customFormat="false" ht="15.75" hidden="false" customHeight="true" outlineLevel="0" collapsed="false">
      <c r="A296" s="393"/>
      <c r="B296" s="393"/>
      <c r="C296" s="393"/>
      <c r="D296" s="393"/>
      <c r="E296" s="393"/>
      <c r="F296" s="393"/>
      <c r="G296" s="393"/>
      <c r="H296" s="393"/>
      <c r="I296" s="393"/>
      <c r="J296" s="393"/>
      <c r="K296" s="393"/>
      <c r="L296" s="393"/>
      <c r="M296" s="393"/>
      <c r="N296" s="393"/>
      <c r="O296" s="393"/>
      <c r="P296" s="393"/>
      <c r="Q296" s="393"/>
      <c r="R296" s="393"/>
      <c r="S296" s="393"/>
      <c r="T296" s="393"/>
      <c r="U296" s="393"/>
      <c r="V296" s="393"/>
      <c r="W296" s="393"/>
      <c r="X296" s="393"/>
      <c r="Y296" s="393"/>
      <c r="Z296" s="393"/>
    </row>
    <row r="297" customFormat="false" ht="15.75" hidden="false" customHeight="true" outlineLevel="0" collapsed="false">
      <c r="A297" s="393"/>
      <c r="B297" s="393"/>
      <c r="C297" s="393"/>
      <c r="D297" s="393"/>
      <c r="E297" s="393"/>
      <c r="F297" s="393"/>
      <c r="G297" s="393"/>
      <c r="H297" s="393"/>
      <c r="I297" s="393"/>
      <c r="J297" s="393"/>
      <c r="K297" s="393"/>
      <c r="L297" s="393"/>
      <c r="M297" s="393"/>
      <c r="N297" s="393"/>
      <c r="O297" s="393"/>
      <c r="P297" s="393"/>
      <c r="Q297" s="393"/>
      <c r="R297" s="393"/>
      <c r="S297" s="393"/>
      <c r="T297" s="393"/>
      <c r="U297" s="393"/>
      <c r="V297" s="393"/>
      <c r="W297" s="393"/>
      <c r="X297" s="393"/>
      <c r="Y297" s="393"/>
      <c r="Z297" s="393"/>
    </row>
    <row r="298" customFormat="false" ht="15.75" hidden="false" customHeight="true" outlineLevel="0" collapsed="false">
      <c r="A298" s="393"/>
      <c r="B298" s="393"/>
      <c r="C298" s="393"/>
      <c r="D298" s="393"/>
      <c r="E298" s="393"/>
      <c r="F298" s="393"/>
      <c r="G298" s="393"/>
      <c r="H298" s="393"/>
      <c r="I298" s="393"/>
      <c r="J298" s="393"/>
      <c r="K298" s="393"/>
      <c r="L298" s="393"/>
      <c r="M298" s="393"/>
      <c r="N298" s="393"/>
      <c r="O298" s="393"/>
      <c r="P298" s="393"/>
      <c r="Q298" s="393"/>
      <c r="R298" s="393"/>
      <c r="S298" s="393"/>
      <c r="T298" s="393"/>
      <c r="U298" s="393"/>
      <c r="V298" s="393"/>
      <c r="W298" s="393"/>
      <c r="X298" s="393"/>
      <c r="Y298" s="393"/>
      <c r="Z298" s="393"/>
    </row>
    <row r="299" customFormat="false" ht="15.75" hidden="false" customHeight="true" outlineLevel="0" collapsed="false">
      <c r="A299" s="393"/>
      <c r="B299" s="393"/>
      <c r="C299" s="393"/>
      <c r="D299" s="393"/>
      <c r="E299" s="393"/>
      <c r="F299" s="393"/>
      <c r="G299" s="393"/>
      <c r="H299" s="393"/>
      <c r="I299" s="393"/>
      <c r="J299" s="393"/>
      <c r="K299" s="393"/>
      <c r="L299" s="393"/>
      <c r="M299" s="393"/>
      <c r="N299" s="393"/>
      <c r="O299" s="393"/>
      <c r="P299" s="393"/>
      <c r="Q299" s="393"/>
      <c r="R299" s="393"/>
      <c r="S299" s="393"/>
      <c r="T299" s="393"/>
      <c r="U299" s="393"/>
      <c r="V299" s="393"/>
      <c r="W299" s="393"/>
      <c r="X299" s="393"/>
      <c r="Y299" s="393"/>
      <c r="Z299" s="393"/>
    </row>
    <row r="300" customFormat="false" ht="15.75" hidden="false" customHeight="true" outlineLevel="0" collapsed="false">
      <c r="A300" s="393"/>
      <c r="B300" s="393"/>
      <c r="C300" s="393"/>
      <c r="D300" s="393"/>
      <c r="E300" s="393"/>
      <c r="F300" s="393"/>
      <c r="G300" s="393"/>
      <c r="H300" s="393"/>
      <c r="I300" s="393"/>
      <c r="J300" s="393"/>
      <c r="K300" s="393"/>
      <c r="L300" s="393"/>
      <c r="M300" s="393"/>
      <c r="N300" s="393"/>
      <c r="O300" s="393"/>
      <c r="P300" s="393"/>
      <c r="Q300" s="393"/>
      <c r="R300" s="393"/>
      <c r="S300" s="393"/>
      <c r="T300" s="393"/>
      <c r="U300" s="393"/>
      <c r="V300" s="393"/>
      <c r="W300" s="393"/>
      <c r="X300" s="393"/>
      <c r="Y300" s="393"/>
      <c r="Z300" s="393"/>
    </row>
    <row r="301" customFormat="false" ht="15.75" hidden="false" customHeight="true" outlineLevel="0" collapsed="false">
      <c r="A301" s="393"/>
      <c r="B301" s="393"/>
      <c r="C301" s="393"/>
      <c r="D301" s="393"/>
      <c r="E301" s="393"/>
      <c r="F301" s="393"/>
      <c r="G301" s="393"/>
      <c r="H301" s="393"/>
      <c r="I301" s="393"/>
      <c r="J301" s="393"/>
      <c r="K301" s="393"/>
      <c r="L301" s="393"/>
      <c r="M301" s="393"/>
      <c r="N301" s="393"/>
      <c r="O301" s="393"/>
      <c r="P301" s="393"/>
      <c r="Q301" s="393"/>
      <c r="R301" s="393"/>
      <c r="S301" s="393"/>
      <c r="T301" s="393"/>
      <c r="U301" s="393"/>
      <c r="V301" s="393"/>
      <c r="W301" s="393"/>
      <c r="X301" s="393"/>
      <c r="Y301" s="393"/>
      <c r="Z301" s="393"/>
    </row>
    <row r="302" customFormat="false" ht="15.75" hidden="false" customHeight="true" outlineLevel="0" collapsed="false">
      <c r="A302" s="393"/>
      <c r="B302" s="393"/>
      <c r="C302" s="393"/>
      <c r="D302" s="393"/>
      <c r="E302" s="393"/>
      <c r="F302" s="393"/>
      <c r="G302" s="393"/>
      <c r="H302" s="393"/>
      <c r="I302" s="393"/>
      <c r="J302" s="393"/>
      <c r="K302" s="393"/>
      <c r="L302" s="393"/>
      <c r="M302" s="393"/>
      <c r="N302" s="393"/>
      <c r="O302" s="393"/>
      <c r="P302" s="393"/>
      <c r="Q302" s="393"/>
      <c r="R302" s="393"/>
      <c r="S302" s="393"/>
      <c r="T302" s="393"/>
      <c r="U302" s="393"/>
      <c r="V302" s="393"/>
      <c r="W302" s="393"/>
      <c r="X302" s="393"/>
      <c r="Y302" s="393"/>
      <c r="Z302" s="393"/>
    </row>
    <row r="303" customFormat="false" ht="15.75" hidden="false" customHeight="true" outlineLevel="0" collapsed="false">
      <c r="A303" s="393"/>
      <c r="B303" s="393"/>
      <c r="C303" s="393"/>
      <c r="D303" s="393"/>
      <c r="E303" s="393"/>
      <c r="F303" s="393"/>
      <c r="G303" s="393"/>
      <c r="H303" s="393"/>
      <c r="I303" s="393"/>
      <c r="J303" s="393"/>
      <c r="K303" s="393"/>
      <c r="L303" s="393"/>
      <c r="M303" s="393"/>
      <c r="N303" s="393"/>
      <c r="O303" s="393"/>
      <c r="P303" s="393"/>
      <c r="Q303" s="393"/>
      <c r="R303" s="393"/>
      <c r="S303" s="393"/>
      <c r="T303" s="393"/>
      <c r="U303" s="393"/>
      <c r="V303" s="393"/>
      <c r="W303" s="393"/>
      <c r="X303" s="393"/>
      <c r="Y303" s="393"/>
      <c r="Z303" s="393"/>
    </row>
    <row r="304" customFormat="false" ht="15.75" hidden="false" customHeight="true" outlineLevel="0" collapsed="false">
      <c r="A304" s="393"/>
      <c r="B304" s="393"/>
      <c r="C304" s="393"/>
      <c r="D304" s="393"/>
      <c r="E304" s="393"/>
      <c r="F304" s="393"/>
      <c r="G304" s="393"/>
      <c r="H304" s="393"/>
      <c r="I304" s="393"/>
      <c r="J304" s="393"/>
      <c r="K304" s="393"/>
      <c r="L304" s="393"/>
      <c r="M304" s="393"/>
      <c r="N304" s="393"/>
      <c r="O304" s="393"/>
      <c r="P304" s="393"/>
      <c r="Q304" s="393"/>
      <c r="R304" s="393"/>
      <c r="S304" s="393"/>
      <c r="T304" s="393"/>
      <c r="U304" s="393"/>
      <c r="V304" s="393"/>
      <c r="W304" s="393"/>
      <c r="X304" s="393"/>
      <c r="Y304" s="393"/>
      <c r="Z304" s="393"/>
    </row>
    <row r="305" customFormat="false" ht="15.75" hidden="false" customHeight="true" outlineLevel="0" collapsed="false">
      <c r="A305" s="393"/>
      <c r="B305" s="393"/>
      <c r="C305" s="393"/>
      <c r="D305" s="393"/>
      <c r="E305" s="393"/>
      <c r="F305" s="393"/>
      <c r="G305" s="393"/>
      <c r="H305" s="393"/>
      <c r="I305" s="393"/>
      <c r="J305" s="393"/>
      <c r="K305" s="393"/>
      <c r="L305" s="393"/>
      <c r="M305" s="393"/>
      <c r="N305" s="393"/>
      <c r="O305" s="393"/>
      <c r="P305" s="393"/>
      <c r="Q305" s="393"/>
      <c r="R305" s="393"/>
      <c r="S305" s="393"/>
      <c r="T305" s="393"/>
      <c r="U305" s="393"/>
      <c r="V305" s="393"/>
      <c r="W305" s="393"/>
      <c r="X305" s="393"/>
      <c r="Y305" s="393"/>
      <c r="Z305" s="393"/>
    </row>
    <row r="306" customFormat="false" ht="15.75" hidden="false" customHeight="true" outlineLevel="0" collapsed="false">
      <c r="A306" s="393"/>
      <c r="B306" s="393"/>
      <c r="C306" s="393"/>
      <c r="D306" s="393"/>
      <c r="E306" s="393"/>
      <c r="F306" s="393"/>
      <c r="G306" s="393"/>
      <c r="H306" s="393"/>
      <c r="I306" s="393"/>
      <c r="J306" s="393"/>
      <c r="K306" s="393"/>
      <c r="L306" s="393"/>
      <c r="M306" s="393"/>
      <c r="N306" s="393"/>
      <c r="O306" s="393"/>
      <c r="P306" s="393"/>
      <c r="Q306" s="393"/>
      <c r="R306" s="393"/>
      <c r="S306" s="393"/>
      <c r="T306" s="393"/>
      <c r="U306" s="393"/>
      <c r="V306" s="393"/>
      <c r="W306" s="393"/>
      <c r="X306" s="393"/>
      <c r="Y306" s="393"/>
      <c r="Z306" s="393"/>
    </row>
    <row r="307" customFormat="false" ht="15.75" hidden="false" customHeight="true" outlineLevel="0" collapsed="false">
      <c r="A307" s="393"/>
      <c r="B307" s="393"/>
      <c r="C307" s="393"/>
      <c r="D307" s="393"/>
      <c r="E307" s="393"/>
      <c r="F307" s="393"/>
      <c r="G307" s="393"/>
      <c r="H307" s="393"/>
      <c r="I307" s="393"/>
      <c r="J307" s="393"/>
      <c r="K307" s="393"/>
      <c r="L307" s="393"/>
      <c r="M307" s="393"/>
      <c r="N307" s="393"/>
      <c r="O307" s="393"/>
      <c r="P307" s="393"/>
      <c r="Q307" s="393"/>
      <c r="R307" s="393"/>
      <c r="S307" s="393"/>
      <c r="T307" s="393"/>
      <c r="U307" s="393"/>
      <c r="V307" s="393"/>
      <c r="W307" s="393"/>
      <c r="X307" s="393"/>
      <c r="Y307" s="393"/>
      <c r="Z307" s="393"/>
    </row>
    <row r="308" customFormat="false" ht="15.75" hidden="false" customHeight="true" outlineLevel="0" collapsed="false">
      <c r="A308" s="393"/>
      <c r="B308" s="393"/>
      <c r="C308" s="393"/>
      <c r="D308" s="393"/>
      <c r="E308" s="393"/>
      <c r="F308" s="393"/>
      <c r="G308" s="393"/>
      <c r="H308" s="393"/>
      <c r="I308" s="393"/>
      <c r="J308" s="393"/>
      <c r="K308" s="393"/>
      <c r="L308" s="393"/>
      <c r="M308" s="393"/>
      <c r="N308" s="393"/>
      <c r="O308" s="393"/>
      <c r="P308" s="393"/>
      <c r="Q308" s="393"/>
      <c r="R308" s="393"/>
      <c r="S308" s="393"/>
      <c r="T308" s="393"/>
      <c r="U308" s="393"/>
      <c r="V308" s="393"/>
      <c r="W308" s="393"/>
      <c r="X308" s="393"/>
      <c r="Y308" s="393"/>
      <c r="Z308" s="393"/>
    </row>
    <row r="309" customFormat="false" ht="15.75" hidden="false" customHeight="true" outlineLevel="0" collapsed="false">
      <c r="A309" s="393"/>
      <c r="B309" s="393"/>
      <c r="C309" s="393"/>
      <c r="D309" s="393"/>
      <c r="E309" s="393"/>
      <c r="F309" s="393"/>
      <c r="G309" s="393"/>
      <c r="H309" s="393"/>
      <c r="I309" s="393"/>
      <c r="J309" s="393"/>
      <c r="K309" s="393"/>
      <c r="L309" s="393"/>
      <c r="M309" s="393"/>
      <c r="N309" s="393"/>
      <c r="O309" s="393"/>
      <c r="P309" s="393"/>
      <c r="Q309" s="393"/>
      <c r="R309" s="393"/>
      <c r="S309" s="393"/>
      <c r="T309" s="393"/>
      <c r="U309" s="393"/>
      <c r="V309" s="393"/>
      <c r="W309" s="393"/>
      <c r="X309" s="393"/>
      <c r="Y309" s="393"/>
      <c r="Z309" s="393"/>
    </row>
    <row r="310" customFormat="false" ht="15.75" hidden="false" customHeight="true" outlineLevel="0" collapsed="false">
      <c r="A310" s="393"/>
      <c r="B310" s="393"/>
      <c r="C310" s="393"/>
      <c r="D310" s="393"/>
      <c r="E310" s="393"/>
      <c r="F310" s="393"/>
      <c r="G310" s="393"/>
      <c r="H310" s="393"/>
      <c r="I310" s="393"/>
      <c r="J310" s="393"/>
      <c r="K310" s="393"/>
      <c r="L310" s="393"/>
      <c r="M310" s="393"/>
      <c r="N310" s="393"/>
      <c r="O310" s="393"/>
      <c r="P310" s="393"/>
      <c r="Q310" s="393"/>
      <c r="R310" s="393"/>
      <c r="S310" s="393"/>
      <c r="T310" s="393"/>
      <c r="U310" s="393"/>
      <c r="V310" s="393"/>
      <c r="W310" s="393"/>
      <c r="X310" s="393"/>
      <c r="Y310" s="393"/>
      <c r="Z310" s="393"/>
    </row>
    <row r="311" customFormat="false" ht="15.75" hidden="false" customHeight="true" outlineLevel="0" collapsed="false">
      <c r="A311" s="393"/>
      <c r="B311" s="393"/>
      <c r="C311" s="393"/>
      <c r="D311" s="393"/>
      <c r="E311" s="393"/>
      <c r="F311" s="393"/>
      <c r="G311" s="393"/>
      <c r="H311" s="393"/>
      <c r="I311" s="393"/>
      <c r="J311" s="393"/>
      <c r="K311" s="393"/>
      <c r="L311" s="393"/>
      <c r="M311" s="393"/>
      <c r="N311" s="393"/>
      <c r="O311" s="393"/>
      <c r="P311" s="393"/>
      <c r="Q311" s="393"/>
      <c r="R311" s="393"/>
      <c r="S311" s="393"/>
      <c r="T311" s="393"/>
      <c r="U311" s="393"/>
      <c r="V311" s="393"/>
      <c r="W311" s="393"/>
      <c r="X311" s="393"/>
      <c r="Y311" s="393"/>
      <c r="Z311" s="393"/>
    </row>
    <row r="312" customFormat="false" ht="15.75" hidden="false" customHeight="true" outlineLevel="0" collapsed="false">
      <c r="A312" s="393"/>
      <c r="B312" s="393"/>
      <c r="C312" s="393"/>
      <c r="D312" s="393"/>
      <c r="E312" s="393"/>
      <c r="F312" s="393"/>
      <c r="G312" s="393"/>
      <c r="H312" s="393"/>
      <c r="I312" s="393"/>
      <c r="J312" s="393"/>
      <c r="K312" s="393"/>
      <c r="L312" s="393"/>
      <c r="M312" s="393"/>
      <c r="N312" s="393"/>
      <c r="O312" s="393"/>
      <c r="P312" s="393"/>
      <c r="Q312" s="393"/>
      <c r="R312" s="393"/>
      <c r="S312" s="393"/>
      <c r="T312" s="393"/>
      <c r="U312" s="393"/>
      <c r="V312" s="393"/>
      <c r="W312" s="393"/>
      <c r="X312" s="393"/>
      <c r="Y312" s="393"/>
      <c r="Z312" s="393"/>
    </row>
    <row r="313" customFormat="false" ht="15.75" hidden="false" customHeight="true" outlineLevel="0" collapsed="false">
      <c r="A313" s="393"/>
      <c r="B313" s="393"/>
      <c r="C313" s="393"/>
      <c r="D313" s="393"/>
      <c r="E313" s="393"/>
      <c r="F313" s="393"/>
      <c r="G313" s="393"/>
      <c r="H313" s="393"/>
      <c r="I313" s="393"/>
      <c r="J313" s="393"/>
      <c r="K313" s="393"/>
      <c r="L313" s="393"/>
      <c r="M313" s="393"/>
      <c r="N313" s="393"/>
      <c r="O313" s="393"/>
      <c r="P313" s="393"/>
      <c r="Q313" s="393"/>
      <c r="R313" s="393"/>
      <c r="S313" s="393"/>
      <c r="T313" s="393"/>
      <c r="U313" s="393"/>
      <c r="V313" s="393"/>
      <c r="W313" s="393"/>
      <c r="X313" s="393"/>
      <c r="Y313" s="393"/>
      <c r="Z313" s="393"/>
    </row>
    <row r="314" customFormat="false" ht="15.75" hidden="false" customHeight="true" outlineLevel="0" collapsed="false">
      <c r="A314" s="393"/>
      <c r="B314" s="393"/>
      <c r="C314" s="393"/>
      <c r="D314" s="393"/>
      <c r="E314" s="393"/>
      <c r="F314" s="393"/>
      <c r="G314" s="393"/>
      <c r="H314" s="393"/>
      <c r="I314" s="393"/>
      <c r="J314" s="393"/>
      <c r="K314" s="393"/>
      <c r="L314" s="393"/>
      <c r="M314" s="393"/>
      <c r="N314" s="393"/>
      <c r="O314" s="393"/>
      <c r="P314" s="393"/>
      <c r="Q314" s="393"/>
      <c r="R314" s="393"/>
      <c r="S314" s="393"/>
      <c r="T314" s="393"/>
      <c r="U314" s="393"/>
      <c r="V314" s="393"/>
      <c r="W314" s="393"/>
      <c r="X314" s="393"/>
      <c r="Y314" s="393"/>
      <c r="Z314" s="393"/>
    </row>
    <row r="315" customFormat="false" ht="15.75" hidden="false" customHeight="true" outlineLevel="0" collapsed="false">
      <c r="A315" s="393"/>
      <c r="B315" s="393"/>
      <c r="C315" s="393"/>
      <c r="D315" s="393"/>
      <c r="E315" s="393"/>
      <c r="F315" s="393"/>
      <c r="G315" s="393"/>
      <c r="H315" s="393"/>
      <c r="I315" s="393"/>
      <c r="J315" s="393"/>
      <c r="K315" s="393"/>
      <c r="L315" s="393"/>
      <c r="M315" s="393"/>
      <c r="N315" s="393"/>
      <c r="O315" s="393"/>
      <c r="P315" s="393"/>
      <c r="Q315" s="393"/>
      <c r="R315" s="393"/>
      <c r="S315" s="393"/>
      <c r="T315" s="393"/>
      <c r="U315" s="393"/>
      <c r="V315" s="393"/>
      <c r="W315" s="393"/>
      <c r="X315" s="393"/>
      <c r="Y315" s="393"/>
      <c r="Z315" s="393"/>
    </row>
    <row r="316" customFormat="false" ht="15.75" hidden="false" customHeight="true" outlineLevel="0" collapsed="false">
      <c r="A316" s="393"/>
      <c r="B316" s="393"/>
      <c r="C316" s="393"/>
      <c r="D316" s="393"/>
      <c r="E316" s="393"/>
      <c r="F316" s="393"/>
      <c r="G316" s="393"/>
      <c r="H316" s="393"/>
      <c r="I316" s="393"/>
      <c r="J316" s="393"/>
      <c r="K316" s="393"/>
      <c r="L316" s="393"/>
      <c r="M316" s="393"/>
      <c r="N316" s="393"/>
      <c r="O316" s="393"/>
      <c r="P316" s="393"/>
      <c r="Q316" s="393"/>
      <c r="R316" s="393"/>
      <c r="S316" s="393"/>
      <c r="T316" s="393"/>
      <c r="U316" s="393"/>
      <c r="V316" s="393"/>
      <c r="W316" s="393"/>
      <c r="X316" s="393"/>
      <c r="Y316" s="393"/>
      <c r="Z316" s="393"/>
    </row>
    <row r="317" customFormat="false" ht="15.75" hidden="false" customHeight="true" outlineLevel="0" collapsed="false">
      <c r="A317" s="393"/>
      <c r="B317" s="393"/>
      <c r="C317" s="393"/>
      <c r="D317" s="393"/>
      <c r="E317" s="393"/>
      <c r="F317" s="393"/>
      <c r="G317" s="393"/>
      <c r="H317" s="393"/>
      <c r="I317" s="393"/>
      <c r="J317" s="393"/>
      <c r="K317" s="393"/>
      <c r="L317" s="393"/>
      <c r="M317" s="393"/>
      <c r="N317" s="393"/>
      <c r="O317" s="393"/>
      <c r="P317" s="393"/>
      <c r="Q317" s="393"/>
      <c r="R317" s="393"/>
      <c r="S317" s="393"/>
      <c r="T317" s="393"/>
      <c r="U317" s="393"/>
      <c r="V317" s="393"/>
      <c r="W317" s="393"/>
      <c r="X317" s="393"/>
      <c r="Y317" s="393"/>
      <c r="Z317" s="393"/>
    </row>
    <row r="318" customFormat="false" ht="15.75" hidden="false" customHeight="true" outlineLevel="0" collapsed="false">
      <c r="A318" s="393"/>
      <c r="B318" s="393"/>
      <c r="C318" s="393"/>
      <c r="D318" s="393"/>
      <c r="E318" s="393"/>
      <c r="F318" s="393"/>
      <c r="G318" s="393"/>
      <c r="H318" s="393"/>
      <c r="I318" s="393"/>
      <c r="J318" s="393"/>
      <c r="K318" s="393"/>
      <c r="L318" s="393"/>
      <c r="M318" s="393"/>
      <c r="N318" s="393"/>
      <c r="O318" s="393"/>
      <c r="P318" s="393"/>
      <c r="Q318" s="393"/>
      <c r="R318" s="393"/>
      <c r="S318" s="393"/>
      <c r="T318" s="393"/>
      <c r="U318" s="393"/>
      <c r="V318" s="393"/>
      <c r="W318" s="393"/>
      <c r="X318" s="393"/>
      <c r="Y318" s="393"/>
      <c r="Z318" s="393"/>
    </row>
    <row r="319" customFormat="false" ht="15.75" hidden="false" customHeight="true" outlineLevel="0" collapsed="false">
      <c r="A319" s="393"/>
      <c r="B319" s="393"/>
      <c r="C319" s="393"/>
      <c r="D319" s="393"/>
      <c r="E319" s="393"/>
      <c r="F319" s="393"/>
      <c r="G319" s="393"/>
      <c r="H319" s="393"/>
      <c r="I319" s="393"/>
      <c r="J319" s="393"/>
      <c r="K319" s="393"/>
      <c r="L319" s="393"/>
      <c r="M319" s="393"/>
      <c r="N319" s="393"/>
      <c r="O319" s="393"/>
      <c r="P319" s="393"/>
      <c r="Q319" s="393"/>
      <c r="R319" s="393"/>
      <c r="S319" s="393"/>
      <c r="T319" s="393"/>
      <c r="U319" s="393"/>
      <c r="V319" s="393"/>
      <c r="W319" s="393"/>
      <c r="X319" s="393"/>
      <c r="Y319" s="393"/>
      <c r="Z319" s="393"/>
    </row>
    <row r="320" customFormat="false" ht="15.75" hidden="false" customHeight="true" outlineLevel="0" collapsed="false">
      <c r="A320" s="393"/>
      <c r="B320" s="393"/>
      <c r="C320" s="393"/>
      <c r="D320" s="393"/>
      <c r="E320" s="393"/>
      <c r="F320" s="393"/>
      <c r="G320" s="393"/>
      <c r="H320" s="393"/>
      <c r="I320" s="393"/>
      <c r="J320" s="393"/>
      <c r="K320" s="393"/>
      <c r="L320" s="393"/>
      <c r="M320" s="393"/>
      <c r="N320" s="393"/>
      <c r="O320" s="393"/>
      <c r="P320" s="393"/>
      <c r="Q320" s="393"/>
      <c r="R320" s="393"/>
      <c r="S320" s="393"/>
      <c r="T320" s="393"/>
      <c r="U320" s="393"/>
      <c r="V320" s="393"/>
      <c r="W320" s="393"/>
      <c r="X320" s="393"/>
      <c r="Y320" s="393"/>
      <c r="Z320" s="393"/>
    </row>
    <row r="321" customFormat="false" ht="15.75" hidden="false" customHeight="true" outlineLevel="0" collapsed="false">
      <c r="A321" s="393"/>
      <c r="B321" s="393"/>
      <c r="C321" s="393"/>
      <c r="D321" s="393"/>
      <c r="E321" s="393"/>
      <c r="F321" s="393"/>
      <c r="G321" s="393"/>
      <c r="H321" s="393"/>
      <c r="I321" s="393"/>
      <c r="J321" s="393"/>
      <c r="K321" s="393"/>
      <c r="L321" s="393"/>
      <c r="M321" s="393"/>
      <c r="N321" s="393"/>
      <c r="O321" s="393"/>
      <c r="P321" s="393"/>
      <c r="Q321" s="393"/>
      <c r="R321" s="393"/>
      <c r="S321" s="393"/>
      <c r="T321" s="393"/>
      <c r="U321" s="393"/>
      <c r="V321" s="393"/>
      <c r="W321" s="393"/>
      <c r="X321" s="393"/>
      <c r="Y321" s="393"/>
      <c r="Z321" s="393"/>
    </row>
    <row r="322" customFormat="false" ht="15.75" hidden="false" customHeight="true" outlineLevel="0" collapsed="false">
      <c r="A322" s="393"/>
      <c r="B322" s="393"/>
      <c r="C322" s="393"/>
      <c r="D322" s="393"/>
      <c r="E322" s="393"/>
      <c r="F322" s="393"/>
      <c r="G322" s="393"/>
      <c r="H322" s="393"/>
      <c r="I322" s="393"/>
      <c r="J322" s="393"/>
      <c r="K322" s="393"/>
      <c r="L322" s="393"/>
      <c r="M322" s="393"/>
      <c r="N322" s="393"/>
      <c r="O322" s="393"/>
      <c r="P322" s="393"/>
      <c r="Q322" s="393"/>
      <c r="R322" s="393"/>
      <c r="S322" s="393"/>
      <c r="T322" s="393"/>
      <c r="U322" s="393"/>
      <c r="V322" s="393"/>
      <c r="W322" s="393"/>
      <c r="X322" s="393"/>
      <c r="Y322" s="393"/>
      <c r="Z322" s="393"/>
    </row>
    <row r="323" customFormat="false" ht="15.75" hidden="false" customHeight="true" outlineLevel="0" collapsed="false">
      <c r="A323" s="393"/>
      <c r="B323" s="393"/>
      <c r="C323" s="393"/>
      <c r="D323" s="393"/>
      <c r="E323" s="393"/>
      <c r="F323" s="393"/>
      <c r="G323" s="393"/>
      <c r="H323" s="393"/>
      <c r="I323" s="393"/>
      <c r="J323" s="393"/>
      <c r="K323" s="393"/>
      <c r="L323" s="393"/>
      <c r="M323" s="393"/>
      <c r="N323" s="393"/>
      <c r="O323" s="393"/>
      <c r="P323" s="393"/>
      <c r="Q323" s="393"/>
      <c r="R323" s="393"/>
      <c r="S323" s="393"/>
      <c r="T323" s="393"/>
      <c r="U323" s="393"/>
      <c r="V323" s="393"/>
      <c r="W323" s="393"/>
      <c r="X323" s="393"/>
      <c r="Y323" s="393"/>
      <c r="Z323" s="393"/>
    </row>
    <row r="324" customFormat="false" ht="15.75" hidden="false" customHeight="true" outlineLevel="0" collapsed="false">
      <c r="A324" s="393"/>
      <c r="B324" s="393"/>
      <c r="C324" s="393"/>
      <c r="D324" s="393"/>
      <c r="E324" s="393"/>
      <c r="F324" s="393"/>
      <c r="G324" s="393"/>
      <c r="H324" s="393"/>
      <c r="I324" s="393"/>
      <c r="J324" s="393"/>
      <c r="K324" s="393"/>
      <c r="L324" s="393"/>
      <c r="M324" s="393"/>
      <c r="N324" s="393"/>
      <c r="O324" s="393"/>
      <c r="P324" s="393"/>
      <c r="Q324" s="393"/>
      <c r="R324" s="393"/>
      <c r="S324" s="393"/>
      <c r="T324" s="393"/>
      <c r="U324" s="393"/>
      <c r="V324" s="393"/>
      <c r="W324" s="393"/>
      <c r="X324" s="393"/>
      <c r="Y324" s="393"/>
      <c r="Z324" s="393"/>
    </row>
    <row r="325" customFormat="false" ht="15.75" hidden="false" customHeight="true" outlineLevel="0" collapsed="false">
      <c r="A325" s="393"/>
      <c r="B325" s="393"/>
      <c r="C325" s="393"/>
      <c r="D325" s="393"/>
      <c r="E325" s="393"/>
      <c r="F325" s="393"/>
      <c r="G325" s="393"/>
      <c r="H325" s="393"/>
      <c r="I325" s="393"/>
      <c r="J325" s="393"/>
      <c r="K325" s="393"/>
      <c r="L325" s="393"/>
      <c r="M325" s="393"/>
      <c r="N325" s="393"/>
      <c r="O325" s="393"/>
      <c r="P325" s="393"/>
      <c r="Q325" s="393"/>
      <c r="R325" s="393"/>
      <c r="S325" s="393"/>
      <c r="T325" s="393"/>
      <c r="U325" s="393"/>
      <c r="V325" s="393"/>
      <c r="W325" s="393"/>
      <c r="X325" s="393"/>
      <c r="Y325" s="393"/>
      <c r="Z325" s="393"/>
    </row>
    <row r="326" customFormat="false" ht="15.75" hidden="false" customHeight="true" outlineLevel="0" collapsed="false">
      <c r="A326" s="393"/>
      <c r="B326" s="393"/>
      <c r="C326" s="393"/>
      <c r="D326" s="393"/>
      <c r="E326" s="393"/>
      <c r="F326" s="393"/>
      <c r="G326" s="393"/>
      <c r="H326" s="393"/>
      <c r="I326" s="393"/>
      <c r="J326" s="393"/>
      <c r="K326" s="393"/>
      <c r="L326" s="393"/>
      <c r="M326" s="393"/>
      <c r="N326" s="393"/>
      <c r="O326" s="393"/>
      <c r="P326" s="393"/>
      <c r="Q326" s="393"/>
      <c r="R326" s="393"/>
      <c r="S326" s="393"/>
      <c r="T326" s="393"/>
      <c r="U326" s="393"/>
      <c r="V326" s="393"/>
      <c r="W326" s="393"/>
      <c r="X326" s="393"/>
      <c r="Y326" s="393"/>
      <c r="Z326" s="393"/>
    </row>
    <row r="327" customFormat="false" ht="15.75" hidden="false" customHeight="true" outlineLevel="0" collapsed="false">
      <c r="A327" s="393"/>
      <c r="B327" s="393"/>
      <c r="C327" s="393"/>
      <c r="D327" s="393"/>
      <c r="E327" s="393"/>
      <c r="F327" s="393"/>
      <c r="G327" s="393"/>
      <c r="H327" s="393"/>
      <c r="I327" s="393"/>
      <c r="J327" s="393"/>
      <c r="K327" s="393"/>
      <c r="L327" s="393"/>
      <c r="M327" s="393"/>
      <c r="N327" s="393"/>
      <c r="O327" s="393"/>
      <c r="P327" s="393"/>
      <c r="Q327" s="393"/>
      <c r="R327" s="393"/>
      <c r="S327" s="393"/>
      <c r="T327" s="393"/>
      <c r="U327" s="393"/>
      <c r="V327" s="393"/>
      <c r="W327" s="393"/>
      <c r="X327" s="393"/>
      <c r="Y327" s="393"/>
      <c r="Z327" s="393"/>
    </row>
    <row r="328" customFormat="false" ht="15.75" hidden="false" customHeight="true" outlineLevel="0" collapsed="false">
      <c r="A328" s="393"/>
      <c r="B328" s="393"/>
      <c r="C328" s="393"/>
      <c r="D328" s="393"/>
      <c r="E328" s="393"/>
      <c r="F328" s="393"/>
      <c r="G328" s="393"/>
      <c r="H328" s="393"/>
      <c r="I328" s="393"/>
      <c r="J328" s="393"/>
      <c r="K328" s="393"/>
      <c r="L328" s="393"/>
      <c r="M328" s="393"/>
      <c r="N328" s="393"/>
      <c r="O328" s="393"/>
      <c r="P328" s="393"/>
      <c r="Q328" s="393"/>
      <c r="R328" s="393"/>
      <c r="S328" s="393"/>
      <c r="T328" s="393"/>
      <c r="U328" s="393"/>
      <c r="V328" s="393"/>
      <c r="W328" s="393"/>
      <c r="X328" s="393"/>
      <c r="Y328" s="393"/>
      <c r="Z328" s="393"/>
    </row>
    <row r="329" customFormat="false" ht="15.75" hidden="false" customHeight="true" outlineLevel="0" collapsed="false">
      <c r="A329" s="393"/>
      <c r="B329" s="393"/>
      <c r="C329" s="393"/>
      <c r="D329" s="393"/>
      <c r="E329" s="393"/>
      <c r="F329" s="393"/>
      <c r="G329" s="393"/>
      <c r="H329" s="393"/>
      <c r="I329" s="393"/>
      <c r="J329" s="393"/>
      <c r="K329" s="393"/>
      <c r="L329" s="393"/>
      <c r="M329" s="393"/>
      <c r="N329" s="393"/>
      <c r="O329" s="393"/>
      <c r="P329" s="393"/>
      <c r="Q329" s="393"/>
      <c r="R329" s="393"/>
      <c r="S329" s="393"/>
      <c r="T329" s="393"/>
      <c r="U329" s="393"/>
      <c r="V329" s="393"/>
      <c r="W329" s="393"/>
      <c r="X329" s="393"/>
      <c r="Y329" s="393"/>
      <c r="Z329" s="393"/>
    </row>
    <row r="330" customFormat="false" ht="15.75" hidden="false" customHeight="true" outlineLevel="0" collapsed="false">
      <c r="A330" s="393"/>
      <c r="B330" s="393"/>
      <c r="C330" s="393"/>
      <c r="D330" s="393"/>
      <c r="E330" s="393"/>
      <c r="F330" s="393"/>
      <c r="G330" s="393"/>
      <c r="H330" s="393"/>
      <c r="I330" s="393"/>
      <c r="J330" s="393"/>
      <c r="K330" s="393"/>
      <c r="L330" s="393"/>
      <c r="M330" s="393"/>
      <c r="N330" s="393"/>
      <c r="O330" s="393"/>
      <c r="P330" s="393"/>
      <c r="Q330" s="393"/>
      <c r="R330" s="393"/>
      <c r="S330" s="393"/>
      <c r="T330" s="393"/>
      <c r="U330" s="393"/>
      <c r="V330" s="393"/>
      <c r="W330" s="393"/>
      <c r="X330" s="393"/>
      <c r="Y330" s="393"/>
      <c r="Z330" s="393"/>
    </row>
    <row r="331" customFormat="false" ht="15.75" hidden="false" customHeight="true" outlineLevel="0" collapsed="false">
      <c r="A331" s="393"/>
      <c r="B331" s="393"/>
      <c r="C331" s="393"/>
      <c r="D331" s="393"/>
      <c r="E331" s="393"/>
      <c r="F331" s="393"/>
      <c r="G331" s="393"/>
      <c r="H331" s="393"/>
      <c r="I331" s="393"/>
      <c r="J331" s="393"/>
      <c r="K331" s="393"/>
      <c r="L331" s="393"/>
      <c r="M331" s="393"/>
      <c r="N331" s="393"/>
      <c r="O331" s="393"/>
      <c r="P331" s="393"/>
      <c r="Q331" s="393"/>
      <c r="R331" s="393"/>
      <c r="S331" s="393"/>
      <c r="T331" s="393"/>
      <c r="U331" s="393"/>
      <c r="V331" s="393"/>
      <c r="W331" s="393"/>
      <c r="X331" s="393"/>
      <c r="Y331" s="393"/>
      <c r="Z331" s="393"/>
    </row>
    <row r="332" customFormat="false" ht="15.75" hidden="false" customHeight="true" outlineLevel="0" collapsed="false">
      <c r="A332" s="393"/>
      <c r="B332" s="393"/>
      <c r="C332" s="393"/>
      <c r="D332" s="393"/>
      <c r="E332" s="393"/>
      <c r="F332" s="393"/>
      <c r="G332" s="393"/>
      <c r="H332" s="393"/>
      <c r="I332" s="393"/>
      <c r="J332" s="393"/>
      <c r="K332" s="393"/>
      <c r="L332" s="393"/>
      <c r="M332" s="393"/>
      <c r="N332" s="393"/>
      <c r="O332" s="393"/>
      <c r="P332" s="393"/>
      <c r="Q332" s="393"/>
      <c r="R332" s="393"/>
      <c r="S332" s="393"/>
      <c r="T332" s="393"/>
      <c r="U332" s="393"/>
      <c r="V332" s="393"/>
      <c r="W332" s="393"/>
      <c r="X332" s="393"/>
      <c r="Y332" s="393"/>
      <c r="Z332" s="393"/>
    </row>
    <row r="333" customFormat="false" ht="15.75" hidden="false" customHeight="true" outlineLevel="0" collapsed="false">
      <c r="A333" s="393"/>
      <c r="B333" s="393"/>
      <c r="C333" s="393"/>
      <c r="D333" s="393"/>
      <c r="E333" s="393"/>
      <c r="F333" s="393"/>
      <c r="G333" s="393"/>
      <c r="H333" s="393"/>
      <c r="I333" s="393"/>
      <c r="J333" s="393"/>
      <c r="K333" s="393"/>
      <c r="L333" s="393"/>
      <c r="M333" s="393"/>
      <c r="N333" s="393"/>
      <c r="O333" s="393"/>
      <c r="P333" s="393"/>
      <c r="Q333" s="393"/>
      <c r="R333" s="393"/>
      <c r="S333" s="393"/>
      <c r="T333" s="393"/>
      <c r="U333" s="393"/>
      <c r="V333" s="393"/>
      <c r="W333" s="393"/>
      <c r="X333" s="393"/>
      <c r="Y333" s="393"/>
      <c r="Z333" s="393"/>
    </row>
    <row r="334" customFormat="false" ht="15.75" hidden="false" customHeight="true" outlineLevel="0" collapsed="false">
      <c r="A334" s="393"/>
      <c r="B334" s="393"/>
      <c r="C334" s="393"/>
      <c r="D334" s="393"/>
      <c r="E334" s="393"/>
      <c r="F334" s="393"/>
      <c r="G334" s="393"/>
      <c r="H334" s="393"/>
      <c r="I334" s="393"/>
      <c r="J334" s="393"/>
      <c r="K334" s="393"/>
      <c r="L334" s="393"/>
      <c r="M334" s="393"/>
      <c r="N334" s="393"/>
      <c r="O334" s="393"/>
      <c r="P334" s="393"/>
      <c r="Q334" s="393"/>
      <c r="R334" s="393"/>
      <c r="S334" s="393"/>
      <c r="T334" s="393"/>
      <c r="U334" s="393"/>
      <c r="V334" s="393"/>
      <c r="W334" s="393"/>
      <c r="X334" s="393"/>
      <c r="Y334" s="393"/>
      <c r="Z334" s="393"/>
    </row>
    <row r="335" customFormat="false" ht="15.75" hidden="false" customHeight="true" outlineLevel="0" collapsed="false">
      <c r="A335" s="393"/>
      <c r="B335" s="393"/>
      <c r="C335" s="393"/>
      <c r="D335" s="393"/>
      <c r="E335" s="393"/>
      <c r="F335" s="393"/>
      <c r="G335" s="393"/>
      <c r="H335" s="393"/>
      <c r="I335" s="393"/>
      <c r="J335" s="393"/>
      <c r="K335" s="393"/>
      <c r="L335" s="393"/>
      <c r="M335" s="393"/>
      <c r="N335" s="393"/>
      <c r="O335" s="393"/>
      <c r="P335" s="393"/>
      <c r="Q335" s="393"/>
      <c r="R335" s="393"/>
      <c r="S335" s="393"/>
      <c r="T335" s="393"/>
      <c r="U335" s="393"/>
      <c r="V335" s="393"/>
      <c r="W335" s="393"/>
      <c r="X335" s="393"/>
      <c r="Y335" s="393"/>
      <c r="Z335" s="393"/>
    </row>
    <row r="336" customFormat="false" ht="15.75" hidden="false" customHeight="true" outlineLevel="0" collapsed="false">
      <c r="A336" s="393"/>
      <c r="B336" s="393"/>
      <c r="C336" s="393"/>
      <c r="D336" s="393"/>
      <c r="E336" s="393"/>
      <c r="F336" s="393"/>
      <c r="G336" s="393"/>
      <c r="H336" s="393"/>
      <c r="I336" s="393"/>
      <c r="J336" s="393"/>
      <c r="K336" s="393"/>
      <c r="L336" s="393"/>
      <c r="M336" s="393"/>
      <c r="N336" s="393"/>
      <c r="O336" s="393"/>
      <c r="P336" s="393"/>
      <c r="Q336" s="393"/>
      <c r="R336" s="393"/>
      <c r="S336" s="393"/>
      <c r="T336" s="393"/>
      <c r="U336" s="393"/>
      <c r="V336" s="393"/>
      <c r="W336" s="393"/>
      <c r="X336" s="393"/>
      <c r="Y336" s="393"/>
      <c r="Z336" s="393"/>
    </row>
    <row r="337" customFormat="false" ht="15.75" hidden="false" customHeight="true" outlineLevel="0" collapsed="false">
      <c r="A337" s="393"/>
      <c r="B337" s="393"/>
      <c r="C337" s="393"/>
      <c r="D337" s="393"/>
      <c r="E337" s="393"/>
      <c r="F337" s="393"/>
      <c r="G337" s="393"/>
      <c r="H337" s="393"/>
      <c r="I337" s="393"/>
      <c r="J337" s="393"/>
      <c r="K337" s="393"/>
      <c r="L337" s="393"/>
      <c r="M337" s="393"/>
      <c r="N337" s="393"/>
      <c r="O337" s="393"/>
      <c r="P337" s="393"/>
      <c r="Q337" s="393"/>
      <c r="R337" s="393"/>
      <c r="S337" s="393"/>
      <c r="T337" s="393"/>
      <c r="U337" s="393"/>
      <c r="V337" s="393"/>
      <c r="W337" s="393"/>
      <c r="X337" s="393"/>
      <c r="Y337" s="393"/>
      <c r="Z337" s="393"/>
    </row>
    <row r="338" customFormat="false" ht="15.75" hidden="false" customHeight="true" outlineLevel="0" collapsed="false">
      <c r="A338" s="393"/>
      <c r="B338" s="393"/>
      <c r="C338" s="393"/>
      <c r="D338" s="393"/>
      <c r="E338" s="393"/>
      <c r="F338" s="393"/>
      <c r="G338" s="393"/>
      <c r="H338" s="393"/>
      <c r="I338" s="393"/>
      <c r="J338" s="393"/>
      <c r="K338" s="393"/>
      <c r="L338" s="393"/>
      <c r="M338" s="393"/>
      <c r="N338" s="393"/>
      <c r="O338" s="393"/>
      <c r="P338" s="393"/>
      <c r="Q338" s="393"/>
      <c r="R338" s="393"/>
      <c r="S338" s="393"/>
      <c r="T338" s="393"/>
      <c r="U338" s="393"/>
      <c r="V338" s="393"/>
      <c r="W338" s="393"/>
      <c r="X338" s="393"/>
      <c r="Y338" s="393"/>
      <c r="Z338" s="393"/>
    </row>
    <row r="339" customFormat="false" ht="15.75" hidden="false" customHeight="true" outlineLevel="0" collapsed="false">
      <c r="A339" s="393"/>
      <c r="B339" s="393"/>
      <c r="C339" s="393"/>
      <c r="D339" s="393"/>
      <c r="E339" s="393"/>
      <c r="F339" s="393"/>
      <c r="G339" s="393"/>
      <c r="H339" s="393"/>
      <c r="I339" s="393"/>
      <c r="J339" s="393"/>
      <c r="K339" s="393"/>
      <c r="L339" s="393"/>
      <c r="M339" s="393"/>
      <c r="N339" s="393"/>
      <c r="O339" s="393"/>
      <c r="P339" s="393"/>
      <c r="Q339" s="393"/>
      <c r="R339" s="393"/>
      <c r="S339" s="393"/>
      <c r="T339" s="393"/>
      <c r="U339" s="393"/>
      <c r="V339" s="393"/>
      <c r="W339" s="393"/>
      <c r="X339" s="393"/>
      <c r="Y339" s="393"/>
      <c r="Z339" s="393"/>
    </row>
    <row r="340" customFormat="false" ht="15.75" hidden="false" customHeight="true" outlineLevel="0" collapsed="false">
      <c r="A340" s="393"/>
      <c r="B340" s="393"/>
      <c r="C340" s="393"/>
      <c r="D340" s="393"/>
      <c r="E340" s="393"/>
      <c r="F340" s="393"/>
      <c r="G340" s="393"/>
      <c r="H340" s="393"/>
      <c r="I340" s="393"/>
      <c r="J340" s="393"/>
      <c r="K340" s="393"/>
      <c r="L340" s="393"/>
      <c r="M340" s="393"/>
      <c r="N340" s="393"/>
      <c r="O340" s="393"/>
      <c r="P340" s="393"/>
      <c r="Q340" s="393"/>
      <c r="R340" s="393"/>
      <c r="S340" s="393"/>
      <c r="T340" s="393"/>
      <c r="U340" s="393"/>
      <c r="V340" s="393"/>
      <c r="W340" s="393"/>
      <c r="X340" s="393"/>
      <c r="Y340" s="393"/>
      <c r="Z340" s="393"/>
    </row>
    <row r="341" customFormat="false" ht="15.75" hidden="false" customHeight="true" outlineLevel="0" collapsed="false">
      <c r="A341" s="393"/>
      <c r="B341" s="393"/>
      <c r="C341" s="393"/>
      <c r="D341" s="393"/>
      <c r="E341" s="393"/>
      <c r="F341" s="393"/>
      <c r="G341" s="393"/>
      <c r="H341" s="393"/>
      <c r="I341" s="393"/>
      <c r="J341" s="393"/>
      <c r="K341" s="393"/>
      <c r="L341" s="393"/>
      <c r="M341" s="393"/>
      <c r="N341" s="393"/>
      <c r="O341" s="393"/>
      <c r="P341" s="393"/>
      <c r="Q341" s="393"/>
      <c r="R341" s="393"/>
      <c r="S341" s="393"/>
      <c r="T341" s="393"/>
      <c r="U341" s="393"/>
      <c r="V341" s="393"/>
      <c r="W341" s="393"/>
      <c r="X341" s="393"/>
      <c r="Y341" s="393"/>
      <c r="Z341" s="393"/>
    </row>
    <row r="342" customFormat="false" ht="15.75" hidden="false" customHeight="true" outlineLevel="0" collapsed="false">
      <c r="A342" s="393"/>
      <c r="B342" s="393"/>
      <c r="C342" s="393"/>
      <c r="D342" s="393"/>
      <c r="E342" s="393"/>
      <c r="F342" s="393"/>
      <c r="G342" s="393"/>
      <c r="H342" s="393"/>
      <c r="I342" s="393"/>
      <c r="J342" s="393"/>
      <c r="K342" s="393"/>
      <c r="L342" s="393"/>
      <c r="M342" s="393"/>
      <c r="N342" s="393"/>
      <c r="O342" s="393"/>
      <c r="P342" s="393"/>
      <c r="Q342" s="393"/>
      <c r="R342" s="393"/>
      <c r="S342" s="393"/>
      <c r="T342" s="393"/>
      <c r="U342" s="393"/>
      <c r="V342" s="393"/>
      <c r="W342" s="393"/>
      <c r="X342" s="393"/>
      <c r="Y342" s="393"/>
      <c r="Z342" s="393"/>
    </row>
    <row r="343" customFormat="false" ht="15.75" hidden="false" customHeight="true" outlineLevel="0" collapsed="false">
      <c r="A343" s="393"/>
      <c r="B343" s="393"/>
      <c r="C343" s="393"/>
      <c r="D343" s="393"/>
      <c r="E343" s="393"/>
      <c r="F343" s="393"/>
      <c r="G343" s="393"/>
      <c r="H343" s="393"/>
      <c r="I343" s="393"/>
      <c r="J343" s="393"/>
      <c r="K343" s="393"/>
      <c r="L343" s="393"/>
      <c r="M343" s="393"/>
      <c r="N343" s="393"/>
      <c r="O343" s="393"/>
      <c r="P343" s="393"/>
      <c r="Q343" s="393"/>
      <c r="R343" s="393"/>
      <c r="S343" s="393"/>
      <c r="T343" s="393"/>
      <c r="U343" s="393"/>
      <c r="V343" s="393"/>
      <c r="W343" s="393"/>
      <c r="X343" s="393"/>
      <c r="Y343" s="393"/>
      <c r="Z343" s="393"/>
    </row>
    <row r="344" customFormat="false" ht="15.75" hidden="false" customHeight="true" outlineLevel="0" collapsed="false">
      <c r="A344" s="393"/>
      <c r="B344" s="393"/>
      <c r="C344" s="393"/>
      <c r="D344" s="393"/>
      <c r="E344" s="393"/>
      <c r="F344" s="393"/>
      <c r="G344" s="393"/>
      <c r="H344" s="393"/>
      <c r="I344" s="393"/>
      <c r="J344" s="393"/>
      <c r="K344" s="393"/>
      <c r="L344" s="393"/>
      <c r="M344" s="393"/>
      <c r="N344" s="393"/>
      <c r="O344" s="393"/>
      <c r="P344" s="393"/>
      <c r="Q344" s="393"/>
      <c r="R344" s="393"/>
      <c r="S344" s="393"/>
      <c r="T344" s="393"/>
      <c r="U344" s="393"/>
      <c r="V344" s="393"/>
      <c r="W344" s="393"/>
      <c r="X344" s="393"/>
      <c r="Y344" s="393"/>
      <c r="Z344" s="393"/>
    </row>
    <row r="345" customFormat="false" ht="15.75" hidden="false" customHeight="true" outlineLevel="0" collapsed="false">
      <c r="A345" s="393"/>
      <c r="B345" s="393"/>
      <c r="C345" s="393"/>
      <c r="D345" s="393"/>
      <c r="E345" s="393"/>
      <c r="F345" s="393"/>
      <c r="G345" s="393"/>
      <c r="H345" s="393"/>
      <c r="I345" s="393"/>
      <c r="J345" s="393"/>
      <c r="K345" s="393"/>
      <c r="L345" s="393"/>
      <c r="M345" s="393"/>
      <c r="N345" s="393"/>
      <c r="O345" s="393"/>
      <c r="P345" s="393"/>
      <c r="Q345" s="393"/>
      <c r="R345" s="393"/>
      <c r="S345" s="393"/>
      <c r="T345" s="393"/>
      <c r="U345" s="393"/>
      <c r="V345" s="393"/>
      <c r="W345" s="393"/>
      <c r="X345" s="393"/>
      <c r="Y345" s="393"/>
      <c r="Z345" s="393"/>
    </row>
    <row r="346" customFormat="false" ht="15.75" hidden="false" customHeight="true" outlineLevel="0" collapsed="false">
      <c r="A346" s="393"/>
      <c r="B346" s="393"/>
      <c r="C346" s="393"/>
      <c r="D346" s="393"/>
      <c r="E346" s="393"/>
      <c r="F346" s="393"/>
      <c r="G346" s="393"/>
      <c r="H346" s="393"/>
      <c r="I346" s="393"/>
      <c r="J346" s="393"/>
      <c r="K346" s="393"/>
      <c r="L346" s="393"/>
      <c r="M346" s="393"/>
      <c r="N346" s="393"/>
      <c r="O346" s="393"/>
      <c r="P346" s="393"/>
      <c r="Q346" s="393"/>
      <c r="R346" s="393"/>
      <c r="S346" s="393"/>
      <c r="T346" s="393"/>
      <c r="U346" s="393"/>
      <c r="V346" s="393"/>
      <c r="W346" s="393"/>
      <c r="X346" s="393"/>
      <c r="Y346" s="393"/>
      <c r="Z346" s="393"/>
    </row>
    <row r="347" customFormat="false" ht="15.75" hidden="false" customHeight="true" outlineLevel="0" collapsed="false">
      <c r="A347" s="393"/>
      <c r="B347" s="393"/>
      <c r="C347" s="393"/>
      <c r="D347" s="393"/>
      <c r="E347" s="393"/>
      <c r="F347" s="393"/>
      <c r="G347" s="393"/>
      <c r="H347" s="393"/>
      <c r="I347" s="393"/>
      <c r="J347" s="393"/>
      <c r="K347" s="393"/>
      <c r="L347" s="393"/>
      <c r="M347" s="393"/>
      <c r="N347" s="393"/>
      <c r="O347" s="393"/>
      <c r="P347" s="393"/>
      <c r="Q347" s="393"/>
      <c r="R347" s="393"/>
      <c r="S347" s="393"/>
      <c r="T347" s="393"/>
      <c r="U347" s="393"/>
      <c r="V347" s="393"/>
      <c r="W347" s="393"/>
      <c r="X347" s="393"/>
      <c r="Y347" s="393"/>
      <c r="Z347" s="393"/>
    </row>
    <row r="348" customFormat="false" ht="15.75" hidden="false" customHeight="true" outlineLevel="0" collapsed="false">
      <c r="A348" s="393"/>
      <c r="B348" s="393"/>
      <c r="C348" s="393"/>
      <c r="D348" s="393"/>
      <c r="E348" s="393"/>
      <c r="F348" s="393"/>
      <c r="G348" s="393"/>
      <c r="H348" s="393"/>
      <c r="I348" s="393"/>
      <c r="J348" s="393"/>
      <c r="K348" s="393"/>
      <c r="L348" s="393"/>
      <c r="M348" s="393"/>
      <c r="N348" s="393"/>
      <c r="O348" s="393"/>
      <c r="P348" s="393"/>
      <c r="Q348" s="393"/>
      <c r="R348" s="393"/>
      <c r="S348" s="393"/>
      <c r="T348" s="393"/>
      <c r="U348" s="393"/>
      <c r="V348" s="393"/>
      <c r="W348" s="393"/>
      <c r="X348" s="393"/>
      <c r="Y348" s="393"/>
      <c r="Z348" s="393"/>
    </row>
    <row r="349" customFormat="false" ht="15.75" hidden="false" customHeight="true" outlineLevel="0" collapsed="false">
      <c r="A349" s="393"/>
      <c r="B349" s="393"/>
      <c r="C349" s="393"/>
      <c r="D349" s="393"/>
      <c r="E349" s="393"/>
      <c r="F349" s="393"/>
      <c r="G349" s="393"/>
      <c r="H349" s="393"/>
      <c r="I349" s="393"/>
      <c r="J349" s="393"/>
      <c r="K349" s="393"/>
      <c r="L349" s="393"/>
      <c r="M349" s="393"/>
      <c r="N349" s="393"/>
      <c r="O349" s="393"/>
      <c r="P349" s="393"/>
      <c r="Q349" s="393"/>
      <c r="R349" s="393"/>
      <c r="S349" s="393"/>
      <c r="T349" s="393"/>
      <c r="U349" s="393"/>
      <c r="V349" s="393"/>
      <c r="W349" s="393"/>
      <c r="X349" s="393"/>
      <c r="Y349" s="393"/>
      <c r="Z349" s="393"/>
    </row>
    <row r="350" customFormat="false" ht="15.75" hidden="false" customHeight="true" outlineLevel="0" collapsed="false">
      <c r="A350" s="393"/>
      <c r="B350" s="393"/>
      <c r="C350" s="393"/>
      <c r="D350" s="393"/>
      <c r="E350" s="393"/>
      <c r="F350" s="393"/>
      <c r="G350" s="393"/>
      <c r="H350" s="393"/>
      <c r="I350" s="393"/>
      <c r="J350" s="393"/>
      <c r="K350" s="393"/>
      <c r="L350" s="393"/>
      <c r="M350" s="393"/>
      <c r="N350" s="393"/>
      <c r="O350" s="393"/>
      <c r="P350" s="393"/>
      <c r="Q350" s="393"/>
      <c r="R350" s="393"/>
      <c r="S350" s="393"/>
      <c r="T350" s="393"/>
      <c r="U350" s="393"/>
      <c r="V350" s="393"/>
      <c r="W350" s="393"/>
      <c r="X350" s="393"/>
      <c r="Y350" s="393"/>
      <c r="Z350" s="393"/>
    </row>
    <row r="351" customFormat="false" ht="15.75" hidden="false" customHeight="true" outlineLevel="0" collapsed="false">
      <c r="A351" s="393"/>
      <c r="B351" s="393"/>
      <c r="C351" s="393"/>
      <c r="D351" s="393"/>
      <c r="E351" s="393"/>
      <c r="F351" s="393"/>
      <c r="G351" s="393"/>
      <c r="H351" s="393"/>
      <c r="I351" s="393"/>
      <c r="J351" s="393"/>
      <c r="K351" s="393"/>
      <c r="L351" s="393"/>
      <c r="M351" s="393"/>
      <c r="N351" s="393"/>
      <c r="O351" s="393"/>
      <c r="P351" s="393"/>
      <c r="Q351" s="393"/>
      <c r="R351" s="393"/>
      <c r="S351" s="393"/>
      <c r="T351" s="393"/>
      <c r="U351" s="393"/>
      <c r="V351" s="393"/>
      <c r="W351" s="393"/>
      <c r="X351" s="393"/>
      <c r="Y351" s="393"/>
      <c r="Z351" s="393"/>
    </row>
    <row r="352" customFormat="false" ht="15.75" hidden="false" customHeight="true" outlineLevel="0" collapsed="false">
      <c r="A352" s="393"/>
      <c r="B352" s="393"/>
      <c r="C352" s="393"/>
      <c r="D352" s="393"/>
      <c r="E352" s="393"/>
      <c r="F352" s="393"/>
      <c r="G352" s="393"/>
      <c r="H352" s="393"/>
      <c r="I352" s="393"/>
      <c r="J352" s="393"/>
      <c r="K352" s="393"/>
      <c r="L352" s="393"/>
      <c r="M352" s="393"/>
      <c r="N352" s="393"/>
      <c r="O352" s="393"/>
      <c r="P352" s="393"/>
      <c r="Q352" s="393"/>
      <c r="R352" s="393"/>
      <c r="S352" s="393"/>
      <c r="T352" s="393"/>
      <c r="U352" s="393"/>
      <c r="V352" s="393"/>
      <c r="W352" s="393"/>
      <c r="X352" s="393"/>
      <c r="Y352" s="393"/>
      <c r="Z352" s="393"/>
    </row>
    <row r="353" customFormat="false" ht="15.75" hidden="false" customHeight="true" outlineLevel="0" collapsed="false">
      <c r="A353" s="393"/>
      <c r="B353" s="393"/>
      <c r="C353" s="393"/>
      <c r="D353" s="393"/>
      <c r="E353" s="393"/>
      <c r="F353" s="393"/>
      <c r="G353" s="393"/>
      <c r="H353" s="393"/>
      <c r="I353" s="393"/>
      <c r="J353" s="393"/>
      <c r="K353" s="393"/>
      <c r="L353" s="393"/>
      <c r="M353" s="393"/>
      <c r="N353" s="393"/>
      <c r="O353" s="393"/>
      <c r="P353" s="393"/>
      <c r="Q353" s="393"/>
      <c r="R353" s="393"/>
      <c r="S353" s="393"/>
      <c r="T353" s="393"/>
      <c r="U353" s="393"/>
      <c r="V353" s="393"/>
      <c r="W353" s="393"/>
      <c r="X353" s="393"/>
      <c r="Y353" s="393"/>
      <c r="Z353" s="393"/>
    </row>
    <row r="354" customFormat="false" ht="15.75" hidden="false" customHeight="true" outlineLevel="0" collapsed="false">
      <c r="A354" s="393"/>
      <c r="B354" s="393"/>
      <c r="C354" s="393"/>
      <c r="D354" s="393"/>
      <c r="E354" s="393"/>
      <c r="F354" s="393"/>
      <c r="G354" s="393"/>
      <c r="H354" s="393"/>
      <c r="I354" s="393"/>
      <c r="J354" s="393"/>
      <c r="K354" s="393"/>
      <c r="L354" s="393"/>
      <c r="M354" s="393"/>
      <c r="N354" s="393"/>
      <c r="O354" s="393"/>
      <c r="P354" s="393"/>
      <c r="Q354" s="393"/>
      <c r="R354" s="393"/>
      <c r="S354" s="393"/>
      <c r="T354" s="393"/>
      <c r="U354" s="393"/>
      <c r="V354" s="393"/>
      <c r="W354" s="393"/>
      <c r="X354" s="393"/>
      <c r="Y354" s="393"/>
      <c r="Z354" s="393"/>
    </row>
    <row r="355" customFormat="false" ht="15.75" hidden="false" customHeight="true" outlineLevel="0" collapsed="false">
      <c r="A355" s="393"/>
      <c r="B355" s="393"/>
      <c r="C355" s="393"/>
      <c r="D355" s="393"/>
      <c r="E355" s="393"/>
      <c r="F355" s="393"/>
      <c r="G355" s="393"/>
      <c r="H355" s="393"/>
      <c r="I355" s="393"/>
      <c r="J355" s="393"/>
      <c r="K355" s="393"/>
      <c r="L355" s="393"/>
      <c r="M355" s="393"/>
      <c r="N355" s="393"/>
      <c r="O355" s="393"/>
      <c r="P355" s="393"/>
      <c r="Q355" s="393"/>
      <c r="R355" s="393"/>
      <c r="S355" s="393"/>
      <c r="T355" s="393"/>
      <c r="U355" s="393"/>
      <c r="V355" s="393"/>
      <c r="W355" s="393"/>
      <c r="X355" s="393"/>
      <c r="Y355" s="393"/>
      <c r="Z355" s="393"/>
    </row>
    <row r="356" customFormat="false" ht="15.75" hidden="false" customHeight="true" outlineLevel="0" collapsed="false">
      <c r="A356" s="393"/>
      <c r="B356" s="393"/>
      <c r="C356" s="393"/>
      <c r="D356" s="393"/>
      <c r="E356" s="393"/>
      <c r="F356" s="393"/>
      <c r="G356" s="393"/>
      <c r="H356" s="393"/>
      <c r="I356" s="393"/>
      <c r="J356" s="393"/>
      <c r="K356" s="393"/>
      <c r="L356" s="393"/>
      <c r="M356" s="393"/>
      <c r="N356" s="393"/>
      <c r="O356" s="393"/>
      <c r="P356" s="393"/>
      <c r="Q356" s="393"/>
      <c r="R356" s="393"/>
      <c r="S356" s="393"/>
      <c r="T356" s="393"/>
      <c r="U356" s="393"/>
      <c r="V356" s="393"/>
      <c r="W356" s="393"/>
      <c r="X356" s="393"/>
      <c r="Y356" s="393"/>
      <c r="Z356" s="393"/>
    </row>
    <row r="357" customFormat="false" ht="15.75" hidden="false" customHeight="true" outlineLevel="0" collapsed="false">
      <c r="A357" s="393"/>
      <c r="B357" s="393"/>
      <c r="C357" s="393"/>
      <c r="D357" s="393"/>
      <c r="E357" s="393"/>
      <c r="F357" s="393"/>
      <c r="G357" s="393"/>
      <c r="H357" s="393"/>
      <c r="I357" s="393"/>
      <c r="J357" s="393"/>
      <c r="K357" s="393"/>
      <c r="L357" s="393"/>
      <c r="M357" s="393"/>
      <c r="N357" s="393"/>
      <c r="O357" s="393"/>
      <c r="P357" s="393"/>
      <c r="Q357" s="393"/>
      <c r="R357" s="393"/>
      <c r="S357" s="393"/>
      <c r="T357" s="393"/>
      <c r="U357" s="393"/>
      <c r="V357" s="393"/>
      <c r="W357" s="393"/>
      <c r="X357" s="393"/>
      <c r="Y357" s="393"/>
      <c r="Z357" s="393"/>
    </row>
    <row r="358" customFormat="false" ht="15.75" hidden="false" customHeight="true" outlineLevel="0" collapsed="false">
      <c r="A358" s="393"/>
      <c r="B358" s="393"/>
      <c r="C358" s="393"/>
      <c r="D358" s="393"/>
      <c r="E358" s="393"/>
      <c r="F358" s="393"/>
      <c r="G358" s="393"/>
      <c r="H358" s="393"/>
      <c r="I358" s="393"/>
      <c r="J358" s="393"/>
      <c r="K358" s="393"/>
      <c r="L358" s="393"/>
      <c r="M358" s="393"/>
      <c r="N358" s="393"/>
      <c r="O358" s="393"/>
      <c r="P358" s="393"/>
      <c r="Q358" s="393"/>
      <c r="R358" s="393"/>
      <c r="S358" s="393"/>
      <c r="T358" s="393"/>
      <c r="U358" s="393"/>
      <c r="V358" s="393"/>
      <c r="W358" s="393"/>
      <c r="X358" s="393"/>
      <c r="Y358" s="393"/>
      <c r="Z358" s="393"/>
    </row>
    <row r="359" customFormat="false" ht="15.75" hidden="false" customHeight="true" outlineLevel="0" collapsed="false">
      <c r="A359" s="393"/>
      <c r="B359" s="393"/>
      <c r="C359" s="393"/>
      <c r="D359" s="393"/>
      <c r="E359" s="393"/>
      <c r="F359" s="393"/>
      <c r="G359" s="393"/>
      <c r="H359" s="393"/>
      <c r="I359" s="393"/>
      <c r="J359" s="393"/>
      <c r="K359" s="393"/>
      <c r="L359" s="393"/>
      <c r="M359" s="393"/>
      <c r="N359" s="393"/>
      <c r="O359" s="393"/>
      <c r="P359" s="393"/>
      <c r="Q359" s="393"/>
      <c r="R359" s="393"/>
      <c r="S359" s="393"/>
      <c r="T359" s="393"/>
      <c r="U359" s="393"/>
      <c r="V359" s="393"/>
      <c r="W359" s="393"/>
      <c r="X359" s="393"/>
      <c r="Y359" s="393"/>
      <c r="Z359" s="393"/>
    </row>
    <row r="360" customFormat="false" ht="15.75" hidden="false" customHeight="true" outlineLevel="0" collapsed="false">
      <c r="A360" s="393"/>
      <c r="B360" s="393"/>
      <c r="C360" s="393"/>
      <c r="D360" s="393"/>
      <c r="E360" s="393"/>
      <c r="F360" s="393"/>
      <c r="G360" s="393"/>
      <c r="H360" s="393"/>
      <c r="I360" s="393"/>
      <c r="J360" s="393"/>
      <c r="K360" s="393"/>
      <c r="L360" s="393"/>
      <c r="M360" s="393"/>
      <c r="N360" s="393"/>
      <c r="O360" s="393"/>
      <c r="P360" s="393"/>
      <c r="Q360" s="393"/>
      <c r="R360" s="393"/>
      <c r="S360" s="393"/>
      <c r="T360" s="393"/>
      <c r="U360" s="393"/>
      <c r="V360" s="393"/>
      <c r="W360" s="393"/>
      <c r="X360" s="393"/>
      <c r="Y360" s="393"/>
      <c r="Z360" s="393"/>
    </row>
    <row r="361" customFormat="false" ht="15.75" hidden="false" customHeight="true" outlineLevel="0" collapsed="false">
      <c r="A361" s="393"/>
      <c r="B361" s="393"/>
      <c r="C361" s="393"/>
      <c r="D361" s="393"/>
      <c r="E361" s="393"/>
      <c r="F361" s="393"/>
      <c r="G361" s="393"/>
      <c r="H361" s="393"/>
      <c r="I361" s="393"/>
      <c r="J361" s="393"/>
      <c r="K361" s="393"/>
      <c r="L361" s="393"/>
      <c r="M361" s="393"/>
      <c r="N361" s="393"/>
      <c r="O361" s="393"/>
      <c r="P361" s="393"/>
      <c r="Q361" s="393"/>
      <c r="R361" s="393"/>
      <c r="S361" s="393"/>
      <c r="T361" s="393"/>
      <c r="U361" s="393"/>
      <c r="V361" s="393"/>
      <c r="W361" s="393"/>
      <c r="X361" s="393"/>
      <c r="Y361" s="393"/>
      <c r="Z361" s="393"/>
    </row>
    <row r="362" customFormat="false" ht="15.75" hidden="false" customHeight="true" outlineLevel="0" collapsed="false">
      <c r="A362" s="393"/>
      <c r="B362" s="393"/>
      <c r="C362" s="393"/>
      <c r="D362" s="393"/>
      <c r="E362" s="393"/>
      <c r="F362" s="393"/>
      <c r="G362" s="393"/>
      <c r="H362" s="393"/>
      <c r="I362" s="393"/>
      <c r="J362" s="393"/>
      <c r="K362" s="393"/>
      <c r="L362" s="393"/>
      <c r="M362" s="393"/>
      <c r="N362" s="393"/>
      <c r="O362" s="393"/>
      <c r="P362" s="393"/>
      <c r="Q362" s="393"/>
      <c r="R362" s="393"/>
      <c r="S362" s="393"/>
      <c r="T362" s="393"/>
      <c r="U362" s="393"/>
      <c r="V362" s="393"/>
      <c r="W362" s="393"/>
      <c r="X362" s="393"/>
      <c r="Y362" s="393"/>
      <c r="Z362" s="393"/>
    </row>
    <row r="363" customFormat="false" ht="15.75" hidden="false" customHeight="true" outlineLevel="0" collapsed="false">
      <c r="A363" s="393"/>
      <c r="B363" s="393"/>
      <c r="C363" s="393"/>
      <c r="D363" s="393"/>
      <c r="E363" s="393"/>
      <c r="F363" s="393"/>
      <c r="G363" s="393"/>
      <c r="H363" s="393"/>
      <c r="I363" s="393"/>
      <c r="J363" s="393"/>
      <c r="K363" s="393"/>
      <c r="L363" s="393"/>
      <c r="M363" s="393"/>
      <c r="N363" s="393"/>
      <c r="O363" s="393"/>
      <c r="P363" s="393"/>
      <c r="Q363" s="393"/>
      <c r="R363" s="393"/>
      <c r="S363" s="393"/>
      <c r="T363" s="393"/>
      <c r="U363" s="393"/>
      <c r="V363" s="393"/>
      <c r="W363" s="393"/>
      <c r="X363" s="393"/>
      <c r="Y363" s="393"/>
      <c r="Z363" s="393"/>
    </row>
    <row r="364" customFormat="false" ht="15.75" hidden="false" customHeight="true" outlineLevel="0" collapsed="false">
      <c r="A364" s="393"/>
      <c r="B364" s="393"/>
      <c r="C364" s="393"/>
      <c r="D364" s="393"/>
      <c r="E364" s="393"/>
      <c r="F364" s="393"/>
      <c r="G364" s="393"/>
      <c r="H364" s="393"/>
      <c r="I364" s="393"/>
      <c r="J364" s="393"/>
      <c r="K364" s="393"/>
      <c r="L364" s="393"/>
      <c r="M364" s="393"/>
      <c r="N364" s="393"/>
      <c r="O364" s="393"/>
      <c r="P364" s="393"/>
      <c r="Q364" s="393"/>
      <c r="R364" s="393"/>
      <c r="S364" s="393"/>
      <c r="T364" s="393"/>
      <c r="U364" s="393"/>
      <c r="V364" s="393"/>
      <c r="W364" s="393"/>
      <c r="X364" s="393"/>
      <c r="Y364" s="393"/>
      <c r="Z364" s="393"/>
    </row>
    <row r="365" customFormat="false" ht="15.75" hidden="false" customHeight="true" outlineLevel="0" collapsed="false">
      <c r="A365" s="393"/>
      <c r="B365" s="393"/>
      <c r="C365" s="393"/>
      <c r="D365" s="393"/>
      <c r="E365" s="393"/>
      <c r="F365" s="393"/>
      <c r="G365" s="393"/>
      <c r="H365" s="393"/>
      <c r="I365" s="393"/>
      <c r="J365" s="393"/>
      <c r="K365" s="393"/>
      <c r="L365" s="393"/>
      <c r="M365" s="393"/>
      <c r="N365" s="393"/>
      <c r="O365" s="393"/>
      <c r="P365" s="393"/>
      <c r="Q365" s="393"/>
      <c r="R365" s="393"/>
      <c r="S365" s="393"/>
      <c r="T365" s="393"/>
      <c r="U365" s="393"/>
      <c r="V365" s="393"/>
      <c r="W365" s="393"/>
      <c r="X365" s="393"/>
      <c r="Y365" s="393"/>
      <c r="Z365" s="393"/>
    </row>
    <row r="366" customFormat="false" ht="15.75" hidden="false" customHeight="true" outlineLevel="0" collapsed="false">
      <c r="A366" s="393"/>
      <c r="B366" s="393"/>
      <c r="C366" s="393"/>
      <c r="D366" s="393"/>
      <c r="E366" s="393"/>
      <c r="F366" s="393"/>
      <c r="G366" s="393"/>
      <c r="H366" s="393"/>
      <c r="I366" s="393"/>
      <c r="J366" s="393"/>
      <c r="K366" s="393"/>
      <c r="L366" s="393"/>
      <c r="M366" s="393"/>
      <c r="N366" s="393"/>
      <c r="O366" s="393"/>
      <c r="P366" s="393"/>
      <c r="Q366" s="393"/>
      <c r="R366" s="393"/>
      <c r="S366" s="393"/>
      <c r="T366" s="393"/>
      <c r="U366" s="393"/>
      <c r="V366" s="393"/>
      <c r="W366" s="393"/>
      <c r="X366" s="393"/>
      <c r="Y366" s="393"/>
      <c r="Z366" s="393"/>
    </row>
    <row r="367" customFormat="false" ht="15.75" hidden="false" customHeight="true" outlineLevel="0" collapsed="false">
      <c r="A367" s="393"/>
      <c r="B367" s="393"/>
      <c r="C367" s="393"/>
      <c r="D367" s="393"/>
      <c r="E367" s="393"/>
      <c r="F367" s="393"/>
      <c r="G367" s="393"/>
      <c r="H367" s="393"/>
      <c r="I367" s="393"/>
      <c r="J367" s="393"/>
      <c r="K367" s="393"/>
      <c r="L367" s="393"/>
      <c r="M367" s="393"/>
      <c r="N367" s="393"/>
      <c r="O367" s="393"/>
      <c r="P367" s="393"/>
      <c r="Q367" s="393"/>
      <c r="R367" s="393"/>
      <c r="S367" s="393"/>
      <c r="T367" s="393"/>
      <c r="U367" s="393"/>
      <c r="V367" s="393"/>
      <c r="W367" s="393"/>
      <c r="X367" s="393"/>
      <c r="Y367" s="393"/>
      <c r="Z367" s="393"/>
    </row>
    <row r="368" customFormat="false" ht="15.75" hidden="false" customHeight="true" outlineLevel="0" collapsed="false">
      <c r="A368" s="393"/>
      <c r="B368" s="393"/>
      <c r="C368" s="393"/>
      <c r="D368" s="393"/>
      <c r="E368" s="393"/>
      <c r="F368" s="393"/>
      <c r="G368" s="393"/>
      <c r="H368" s="393"/>
      <c r="I368" s="393"/>
      <c r="J368" s="393"/>
      <c r="K368" s="393"/>
      <c r="L368" s="393"/>
      <c r="M368" s="393"/>
      <c r="N368" s="393"/>
      <c r="O368" s="393"/>
      <c r="P368" s="393"/>
      <c r="Q368" s="393"/>
      <c r="R368" s="393"/>
      <c r="S368" s="393"/>
      <c r="T368" s="393"/>
      <c r="U368" s="393"/>
      <c r="V368" s="393"/>
      <c r="W368" s="393"/>
      <c r="X368" s="393"/>
      <c r="Y368" s="393"/>
      <c r="Z368" s="393"/>
    </row>
    <row r="369" customFormat="false" ht="15.75" hidden="false" customHeight="true" outlineLevel="0" collapsed="false">
      <c r="A369" s="393"/>
      <c r="B369" s="393"/>
      <c r="C369" s="393"/>
      <c r="D369" s="393"/>
      <c r="E369" s="393"/>
      <c r="F369" s="393"/>
      <c r="G369" s="393"/>
      <c r="H369" s="393"/>
      <c r="I369" s="393"/>
      <c r="J369" s="393"/>
      <c r="K369" s="393"/>
      <c r="L369" s="393"/>
      <c r="M369" s="393"/>
      <c r="N369" s="393"/>
      <c r="O369" s="393"/>
      <c r="P369" s="393"/>
      <c r="Q369" s="393"/>
      <c r="R369" s="393"/>
      <c r="S369" s="393"/>
      <c r="T369" s="393"/>
      <c r="U369" s="393"/>
      <c r="V369" s="393"/>
      <c r="W369" s="393"/>
      <c r="X369" s="393"/>
      <c r="Y369" s="393"/>
      <c r="Z369" s="393"/>
    </row>
    <row r="370" customFormat="false" ht="15.75" hidden="false" customHeight="true" outlineLevel="0" collapsed="false">
      <c r="A370" s="393"/>
      <c r="B370" s="393"/>
      <c r="C370" s="393"/>
      <c r="D370" s="393"/>
      <c r="E370" s="393"/>
      <c r="F370" s="393"/>
      <c r="G370" s="393"/>
      <c r="H370" s="393"/>
      <c r="I370" s="393"/>
      <c r="J370" s="393"/>
      <c r="K370" s="393"/>
      <c r="L370" s="393"/>
      <c r="M370" s="393"/>
      <c r="N370" s="393"/>
      <c r="O370" s="393"/>
      <c r="P370" s="393"/>
      <c r="Q370" s="393"/>
      <c r="R370" s="393"/>
      <c r="S370" s="393"/>
      <c r="T370" s="393"/>
      <c r="U370" s="393"/>
      <c r="V370" s="393"/>
      <c r="W370" s="393"/>
      <c r="X370" s="393"/>
      <c r="Y370" s="393"/>
      <c r="Z370" s="393"/>
    </row>
    <row r="371" customFormat="false" ht="15.75" hidden="false" customHeight="true" outlineLevel="0" collapsed="false">
      <c r="A371" s="393"/>
      <c r="B371" s="393"/>
      <c r="C371" s="393"/>
      <c r="D371" s="393"/>
      <c r="E371" s="393"/>
      <c r="F371" s="393"/>
      <c r="G371" s="393"/>
      <c r="H371" s="393"/>
      <c r="I371" s="393"/>
      <c r="J371" s="393"/>
      <c r="K371" s="393"/>
      <c r="L371" s="393"/>
      <c r="M371" s="393"/>
      <c r="N371" s="393"/>
      <c r="O371" s="393"/>
      <c r="P371" s="393"/>
      <c r="Q371" s="393"/>
      <c r="R371" s="393"/>
      <c r="S371" s="393"/>
      <c r="T371" s="393"/>
      <c r="U371" s="393"/>
      <c r="V371" s="393"/>
      <c r="W371" s="393"/>
      <c r="X371" s="393"/>
      <c r="Y371" s="393"/>
      <c r="Z371" s="393"/>
    </row>
    <row r="372" customFormat="false" ht="15.75" hidden="false" customHeight="true" outlineLevel="0" collapsed="false">
      <c r="A372" s="393"/>
      <c r="B372" s="393"/>
      <c r="C372" s="393"/>
      <c r="D372" s="393"/>
      <c r="E372" s="393"/>
      <c r="F372" s="393"/>
      <c r="G372" s="393"/>
      <c r="H372" s="393"/>
      <c r="I372" s="393"/>
      <c r="J372" s="393"/>
      <c r="K372" s="393"/>
      <c r="L372" s="393"/>
      <c r="M372" s="393"/>
      <c r="N372" s="393"/>
      <c r="O372" s="393"/>
      <c r="P372" s="393"/>
      <c r="Q372" s="393"/>
      <c r="R372" s="393"/>
      <c r="S372" s="393"/>
      <c r="T372" s="393"/>
      <c r="U372" s="393"/>
      <c r="V372" s="393"/>
      <c r="W372" s="393"/>
      <c r="X372" s="393"/>
      <c r="Y372" s="393"/>
      <c r="Z372" s="393"/>
    </row>
    <row r="373" customFormat="false" ht="15.75" hidden="false" customHeight="true" outlineLevel="0" collapsed="false">
      <c r="A373" s="393"/>
      <c r="B373" s="393"/>
      <c r="C373" s="393"/>
      <c r="D373" s="393"/>
      <c r="E373" s="393"/>
      <c r="F373" s="393"/>
      <c r="G373" s="393"/>
      <c r="H373" s="393"/>
      <c r="I373" s="393"/>
      <c r="J373" s="393"/>
      <c r="K373" s="393"/>
      <c r="L373" s="393"/>
      <c r="M373" s="393"/>
      <c r="N373" s="393"/>
      <c r="O373" s="393"/>
      <c r="P373" s="393"/>
      <c r="Q373" s="393"/>
      <c r="R373" s="393"/>
      <c r="S373" s="393"/>
      <c r="T373" s="393"/>
      <c r="U373" s="393"/>
      <c r="V373" s="393"/>
      <c r="W373" s="393"/>
      <c r="X373" s="393"/>
      <c r="Y373" s="393"/>
      <c r="Z373" s="393"/>
    </row>
    <row r="374" customFormat="false" ht="15.75" hidden="false" customHeight="true" outlineLevel="0" collapsed="false">
      <c r="A374" s="393"/>
      <c r="B374" s="393"/>
      <c r="C374" s="393"/>
      <c r="D374" s="393"/>
      <c r="E374" s="393"/>
      <c r="F374" s="393"/>
      <c r="G374" s="393"/>
      <c r="H374" s="393"/>
      <c r="I374" s="393"/>
      <c r="J374" s="393"/>
      <c r="K374" s="393"/>
      <c r="L374" s="393"/>
      <c r="M374" s="393"/>
      <c r="N374" s="393"/>
      <c r="O374" s="393"/>
      <c r="P374" s="393"/>
      <c r="Q374" s="393"/>
      <c r="R374" s="393"/>
      <c r="S374" s="393"/>
      <c r="T374" s="393"/>
      <c r="U374" s="393"/>
      <c r="V374" s="393"/>
      <c r="W374" s="393"/>
      <c r="X374" s="393"/>
      <c r="Y374" s="393"/>
      <c r="Z374" s="393"/>
    </row>
    <row r="375" customFormat="false" ht="15.75" hidden="false" customHeight="true" outlineLevel="0" collapsed="false">
      <c r="A375" s="393"/>
      <c r="B375" s="393"/>
      <c r="C375" s="393"/>
      <c r="D375" s="393"/>
      <c r="E375" s="393"/>
      <c r="F375" s="393"/>
      <c r="G375" s="393"/>
      <c r="H375" s="393"/>
      <c r="I375" s="393"/>
      <c r="J375" s="393"/>
      <c r="K375" s="393"/>
      <c r="L375" s="393"/>
      <c r="M375" s="393"/>
      <c r="N375" s="393"/>
      <c r="O375" s="393"/>
      <c r="P375" s="393"/>
      <c r="Q375" s="393"/>
      <c r="R375" s="393"/>
      <c r="S375" s="393"/>
      <c r="T375" s="393"/>
      <c r="U375" s="393"/>
      <c r="V375" s="393"/>
      <c r="W375" s="393"/>
      <c r="X375" s="393"/>
      <c r="Y375" s="393"/>
      <c r="Z375" s="393"/>
    </row>
    <row r="376" customFormat="false" ht="15.75" hidden="false" customHeight="true" outlineLevel="0" collapsed="false">
      <c r="A376" s="393"/>
      <c r="B376" s="393"/>
      <c r="C376" s="393"/>
      <c r="D376" s="393"/>
      <c r="E376" s="393"/>
      <c r="F376" s="393"/>
      <c r="G376" s="393"/>
      <c r="H376" s="393"/>
      <c r="I376" s="393"/>
      <c r="J376" s="393"/>
      <c r="K376" s="393"/>
      <c r="L376" s="393"/>
      <c r="M376" s="393"/>
      <c r="N376" s="393"/>
      <c r="O376" s="393"/>
      <c r="P376" s="393"/>
      <c r="Q376" s="393"/>
      <c r="R376" s="393"/>
      <c r="S376" s="393"/>
      <c r="T376" s="393"/>
      <c r="U376" s="393"/>
      <c r="V376" s="393"/>
      <c r="W376" s="393"/>
      <c r="X376" s="393"/>
      <c r="Y376" s="393"/>
      <c r="Z376" s="393"/>
    </row>
    <row r="377" customFormat="false" ht="15.75" hidden="false" customHeight="true" outlineLevel="0" collapsed="false">
      <c r="A377" s="393"/>
      <c r="B377" s="393"/>
      <c r="C377" s="393"/>
      <c r="D377" s="393"/>
      <c r="E377" s="393"/>
      <c r="F377" s="393"/>
      <c r="G377" s="393"/>
      <c r="H377" s="393"/>
      <c r="I377" s="393"/>
      <c r="J377" s="393"/>
      <c r="K377" s="393"/>
      <c r="L377" s="393"/>
      <c r="M377" s="393"/>
      <c r="N377" s="393"/>
      <c r="O377" s="393"/>
      <c r="P377" s="393"/>
      <c r="Q377" s="393"/>
      <c r="R377" s="393"/>
      <c r="S377" s="393"/>
      <c r="T377" s="393"/>
      <c r="U377" s="393"/>
      <c r="V377" s="393"/>
      <c r="W377" s="393"/>
      <c r="X377" s="393"/>
      <c r="Y377" s="393"/>
      <c r="Z377" s="393"/>
    </row>
    <row r="378" customFormat="false" ht="15.75" hidden="false" customHeight="true" outlineLevel="0" collapsed="false">
      <c r="A378" s="393"/>
      <c r="B378" s="393"/>
      <c r="C378" s="393"/>
      <c r="D378" s="393"/>
      <c r="E378" s="393"/>
      <c r="F378" s="393"/>
      <c r="G378" s="393"/>
      <c r="H378" s="393"/>
      <c r="I378" s="393"/>
      <c r="J378" s="393"/>
      <c r="K378" s="393"/>
      <c r="L378" s="393"/>
      <c r="M378" s="393"/>
      <c r="N378" s="393"/>
      <c r="O378" s="393"/>
      <c r="P378" s="393"/>
      <c r="Q378" s="393"/>
      <c r="R378" s="393"/>
      <c r="S378" s="393"/>
      <c r="T378" s="393"/>
      <c r="U378" s="393"/>
      <c r="V378" s="393"/>
      <c r="W378" s="393"/>
      <c r="X378" s="393"/>
      <c r="Y378" s="393"/>
      <c r="Z378" s="393"/>
    </row>
    <row r="379" customFormat="false" ht="15.75" hidden="false" customHeight="true" outlineLevel="0" collapsed="false">
      <c r="A379" s="393"/>
      <c r="B379" s="393"/>
      <c r="C379" s="393"/>
      <c r="D379" s="393"/>
      <c r="E379" s="393"/>
      <c r="F379" s="393"/>
      <c r="G379" s="393"/>
      <c r="H379" s="393"/>
      <c r="I379" s="393"/>
      <c r="J379" s="393"/>
      <c r="K379" s="393"/>
      <c r="L379" s="393"/>
      <c r="M379" s="393"/>
      <c r="N379" s="393"/>
      <c r="O379" s="393"/>
      <c r="P379" s="393"/>
      <c r="Q379" s="393"/>
      <c r="R379" s="393"/>
      <c r="S379" s="393"/>
      <c r="T379" s="393"/>
      <c r="U379" s="393"/>
      <c r="V379" s="393"/>
      <c r="W379" s="393"/>
      <c r="X379" s="393"/>
      <c r="Y379" s="393"/>
      <c r="Z379" s="393"/>
    </row>
    <row r="380" customFormat="false" ht="15.75" hidden="false" customHeight="true" outlineLevel="0" collapsed="false">
      <c r="A380" s="393"/>
      <c r="B380" s="393"/>
      <c r="C380" s="393"/>
      <c r="D380" s="393"/>
      <c r="E380" s="393"/>
      <c r="F380" s="393"/>
      <c r="G380" s="393"/>
      <c r="H380" s="393"/>
      <c r="I380" s="393"/>
      <c r="J380" s="393"/>
      <c r="K380" s="393"/>
      <c r="L380" s="393"/>
      <c r="M380" s="393"/>
      <c r="N380" s="393"/>
      <c r="O380" s="393"/>
      <c r="P380" s="393"/>
      <c r="Q380" s="393"/>
      <c r="R380" s="393"/>
      <c r="S380" s="393"/>
      <c r="T380" s="393"/>
      <c r="U380" s="393"/>
      <c r="V380" s="393"/>
      <c r="W380" s="393"/>
      <c r="X380" s="393"/>
      <c r="Y380" s="393"/>
      <c r="Z380" s="393"/>
    </row>
    <row r="381" customFormat="false" ht="15.75" hidden="false" customHeight="true" outlineLevel="0" collapsed="false">
      <c r="A381" s="393"/>
      <c r="B381" s="393"/>
      <c r="C381" s="393"/>
      <c r="D381" s="393"/>
      <c r="E381" s="393"/>
      <c r="F381" s="393"/>
      <c r="G381" s="393"/>
      <c r="H381" s="393"/>
      <c r="I381" s="393"/>
      <c r="J381" s="393"/>
      <c r="K381" s="393"/>
      <c r="L381" s="393"/>
      <c r="M381" s="393"/>
      <c r="N381" s="393"/>
      <c r="O381" s="393"/>
      <c r="P381" s="393"/>
      <c r="Q381" s="393"/>
      <c r="R381" s="393"/>
      <c r="S381" s="393"/>
      <c r="T381" s="393"/>
      <c r="U381" s="393"/>
      <c r="V381" s="393"/>
      <c r="W381" s="393"/>
      <c r="X381" s="393"/>
      <c r="Y381" s="393"/>
      <c r="Z381" s="393"/>
    </row>
    <row r="382" customFormat="false" ht="15.75" hidden="false" customHeight="true" outlineLevel="0" collapsed="false">
      <c r="A382" s="393"/>
      <c r="B382" s="393"/>
      <c r="C382" s="393"/>
      <c r="D382" s="393"/>
      <c r="E382" s="393"/>
      <c r="F382" s="393"/>
      <c r="G382" s="393"/>
      <c r="H382" s="393"/>
      <c r="I382" s="393"/>
      <c r="J382" s="393"/>
      <c r="K382" s="393"/>
      <c r="L382" s="393"/>
      <c r="M382" s="393"/>
      <c r="N382" s="393"/>
      <c r="O382" s="393"/>
      <c r="P382" s="393"/>
      <c r="Q382" s="393"/>
      <c r="R382" s="393"/>
      <c r="S382" s="393"/>
      <c r="T382" s="393"/>
      <c r="U382" s="393"/>
      <c r="V382" s="393"/>
      <c r="W382" s="393"/>
      <c r="X382" s="393"/>
      <c r="Y382" s="393"/>
      <c r="Z382" s="393"/>
    </row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9">
    <mergeCell ref="A1:J1"/>
    <mergeCell ref="A3:J3"/>
    <mergeCell ref="A4:J4"/>
    <mergeCell ref="A6:J6"/>
    <mergeCell ref="A7:J7"/>
    <mergeCell ref="A9:J9"/>
    <mergeCell ref="A10:J10"/>
    <mergeCell ref="A12:J12"/>
    <mergeCell ref="A13:J13"/>
    <mergeCell ref="A15:J15"/>
    <mergeCell ref="A16:J16"/>
    <mergeCell ref="A18:J18"/>
    <mergeCell ref="A19:J19"/>
    <mergeCell ref="B142:F142"/>
    <mergeCell ref="B145:F145"/>
    <mergeCell ref="B157:F157"/>
    <mergeCell ref="B167:F167"/>
    <mergeCell ref="B175:F175"/>
    <mergeCell ref="B185:F1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4D2B"/>
    <outlinePr summaryBelow="0"/>
    <pageSetUpPr fitToPage="tru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2.15"/>
    <col collapsed="false" customWidth="true" hidden="false" outlineLevel="0" max="2" min="2" style="1" width="31.86"/>
    <col collapsed="false" customWidth="true" hidden="false" outlineLevel="0" max="4" min="3" style="1" width="22.15"/>
    <col collapsed="false" customWidth="true" hidden="false" outlineLevel="0" max="5" min="5" style="1" width="24.57"/>
    <col collapsed="false" customWidth="true" hidden="false" outlineLevel="0" max="6" min="6" style="1" width="26.71"/>
    <col collapsed="false" customWidth="true" hidden="false" outlineLevel="0" max="7" min="7" style="1" width="32.57"/>
    <col collapsed="false" customWidth="true" hidden="false" outlineLevel="0" max="12" min="8" style="1" width="22.15"/>
  </cols>
  <sheetData>
    <row r="1" customFormat="false" ht="19.5" hidden="false" customHeight="true" outlineLevel="0" collapsed="false">
      <c r="A1" s="446" t="s">
        <v>1849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</row>
    <row r="2" customFormat="false" ht="15" hidden="false" customHeight="true" outlineLevel="0" collapsed="false">
      <c r="A2" s="184" t="s">
        <v>1850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</row>
    <row r="3" customFormat="false" ht="15" hidden="false" customHeight="true" outlineLevel="0" collapsed="false">
      <c r="A3" s="347"/>
      <c r="B3" s="347"/>
      <c r="C3" s="347"/>
      <c r="D3" s="347"/>
      <c r="E3" s="347"/>
      <c r="F3" s="347"/>
      <c r="G3" s="347"/>
      <c r="H3" s="347"/>
      <c r="I3" s="347"/>
      <c r="J3" s="347"/>
      <c r="K3" s="347"/>
      <c r="L3" s="347"/>
    </row>
    <row r="4" customFormat="false" ht="15" hidden="false" customHeight="true" outlineLevel="0" collapsed="false">
      <c r="A4" s="447" t="s">
        <v>1851</v>
      </c>
      <c r="B4" s="447"/>
      <c r="C4" s="447"/>
      <c r="D4" s="447"/>
      <c r="E4" s="447"/>
      <c r="F4" s="447"/>
      <c r="G4" s="447"/>
      <c r="H4" s="447"/>
      <c r="I4" s="447"/>
      <c r="J4" s="447"/>
      <c r="K4" s="447"/>
      <c r="L4" s="447"/>
    </row>
    <row r="5" customFormat="false" ht="15" hidden="false" customHeight="true" outlineLevel="0" collapsed="false">
      <c r="A5" s="448" t="s">
        <v>1852</v>
      </c>
      <c r="B5" s="448" t="s">
        <v>1853</v>
      </c>
      <c r="C5" s="448" t="s">
        <v>99</v>
      </c>
      <c r="D5" s="448" t="s">
        <v>1854</v>
      </c>
      <c r="E5" s="448" t="s">
        <v>1855</v>
      </c>
      <c r="F5" s="448" t="s">
        <v>1856</v>
      </c>
      <c r="G5" s="448" t="s">
        <v>1857</v>
      </c>
      <c r="H5" s="448" t="s">
        <v>1858</v>
      </c>
      <c r="I5" s="448" t="s">
        <v>1859</v>
      </c>
      <c r="J5" s="448" t="s">
        <v>1860</v>
      </c>
      <c r="K5" s="449"/>
      <c r="L5" s="449"/>
    </row>
    <row r="6" customFormat="false" ht="15" hidden="false" customHeight="true" outlineLevel="0" collapsed="false">
      <c r="A6" s="450" t="s">
        <v>1861</v>
      </c>
      <c r="B6" s="450" t="s">
        <v>1862</v>
      </c>
      <c r="C6" s="450" t="s">
        <v>110</v>
      </c>
      <c r="D6" s="450" t="s">
        <v>1863</v>
      </c>
      <c r="E6" s="450" t="s">
        <v>1864</v>
      </c>
      <c r="F6" s="450" t="s">
        <v>1865</v>
      </c>
      <c r="G6" s="450" t="s">
        <v>1866</v>
      </c>
      <c r="H6" s="450" t="s">
        <v>1867</v>
      </c>
      <c r="I6" s="450" t="s">
        <v>1868</v>
      </c>
      <c r="J6" s="450" t="s">
        <v>1869</v>
      </c>
      <c r="K6" s="220"/>
      <c r="L6" s="220"/>
    </row>
    <row r="7" customFormat="false" ht="15" hidden="false" customHeight="true" outlineLevel="0" collapsed="false">
      <c r="A7" s="451" t="s">
        <v>1870</v>
      </c>
      <c r="B7" s="451" t="s">
        <v>1862</v>
      </c>
      <c r="C7" s="451" t="s">
        <v>110</v>
      </c>
      <c r="D7" s="451" t="s">
        <v>1871</v>
      </c>
      <c r="E7" s="451" t="s">
        <v>1872</v>
      </c>
      <c r="F7" s="451" t="s">
        <v>1873</v>
      </c>
      <c r="G7" s="451" t="s">
        <v>1874</v>
      </c>
      <c r="H7" s="451" t="s">
        <v>1875</v>
      </c>
      <c r="I7" s="451" t="s">
        <v>1876</v>
      </c>
      <c r="J7" s="451" t="s">
        <v>1877</v>
      </c>
      <c r="K7" s="353"/>
      <c r="L7" s="353"/>
    </row>
    <row r="8" customFormat="false" ht="15" hidden="false" customHeight="true" outlineLevel="0" collapsed="false">
      <c r="A8" s="450" t="s">
        <v>1878</v>
      </c>
      <c r="B8" s="450" t="s">
        <v>1879</v>
      </c>
      <c r="C8" s="450" t="s">
        <v>110</v>
      </c>
      <c r="D8" s="450" t="s">
        <v>1880</v>
      </c>
      <c r="E8" s="450" t="s">
        <v>1881</v>
      </c>
      <c r="F8" s="450" t="s">
        <v>1882</v>
      </c>
      <c r="G8" s="450" t="s">
        <v>1883</v>
      </c>
      <c r="H8" s="450" t="s">
        <v>1884</v>
      </c>
      <c r="I8" s="450" t="s">
        <v>1885</v>
      </c>
      <c r="J8" s="450" t="s">
        <v>1886</v>
      </c>
      <c r="K8" s="220"/>
      <c r="L8" s="220"/>
    </row>
    <row r="9" customFormat="false" ht="15" hidden="false" customHeight="true" outlineLevel="0" collapsed="false">
      <c r="A9" s="451" t="s">
        <v>1887</v>
      </c>
      <c r="B9" s="451" t="s">
        <v>1879</v>
      </c>
      <c r="C9" s="451" t="s">
        <v>110</v>
      </c>
      <c r="D9" s="451" t="s">
        <v>1888</v>
      </c>
      <c r="E9" s="451" t="s">
        <v>1889</v>
      </c>
      <c r="F9" s="451" t="s">
        <v>1890</v>
      </c>
      <c r="G9" s="451" t="s">
        <v>1891</v>
      </c>
      <c r="H9" s="451" t="s">
        <v>1892</v>
      </c>
      <c r="I9" s="451" t="s">
        <v>1893</v>
      </c>
      <c r="J9" s="451" t="s">
        <v>1894</v>
      </c>
      <c r="K9" s="353"/>
      <c r="L9" s="353"/>
    </row>
    <row r="10" customFormat="false" ht="15" hidden="false" customHeight="true" outlineLevel="0" collapsed="false">
      <c r="A10" s="450" t="s">
        <v>1895</v>
      </c>
      <c r="B10" s="450" t="s">
        <v>1896</v>
      </c>
      <c r="C10" s="450" t="s">
        <v>110</v>
      </c>
      <c r="D10" s="450" t="s">
        <v>1897</v>
      </c>
      <c r="E10" s="450" t="s">
        <v>1898</v>
      </c>
      <c r="F10" s="450" t="s">
        <v>1899</v>
      </c>
      <c r="G10" s="450" t="s">
        <v>1900</v>
      </c>
      <c r="H10" s="450" t="s">
        <v>1892</v>
      </c>
      <c r="I10" s="450" t="s">
        <v>1876</v>
      </c>
      <c r="J10" s="450" t="s">
        <v>1901</v>
      </c>
      <c r="K10" s="220"/>
      <c r="L10" s="220"/>
    </row>
    <row r="11" customFormat="false" ht="15" hidden="false" customHeight="true" outlineLevel="0" collapsed="false">
      <c r="A11" s="451" t="s">
        <v>1902</v>
      </c>
      <c r="B11" s="451" t="s">
        <v>1896</v>
      </c>
      <c r="C11" s="451" t="s">
        <v>110</v>
      </c>
      <c r="D11" s="451" t="s">
        <v>1903</v>
      </c>
      <c r="E11" s="451" t="s">
        <v>1904</v>
      </c>
      <c r="F11" s="451" t="s">
        <v>1905</v>
      </c>
      <c r="G11" s="451" t="s">
        <v>1906</v>
      </c>
      <c r="H11" s="451" t="s">
        <v>1907</v>
      </c>
      <c r="I11" s="451" t="s">
        <v>1908</v>
      </c>
      <c r="J11" s="451" t="s">
        <v>1909</v>
      </c>
      <c r="K11" s="353"/>
      <c r="L11" s="353"/>
    </row>
    <row r="12" customFormat="false" ht="15" hidden="false" customHeight="true" outlineLevel="0" collapsed="false">
      <c r="A12" s="452"/>
      <c r="B12" s="452"/>
      <c r="C12" s="452"/>
      <c r="D12" s="452"/>
      <c r="E12" s="452"/>
      <c r="F12" s="452"/>
      <c r="G12" s="452"/>
      <c r="H12" s="452"/>
      <c r="I12" s="452"/>
      <c r="J12" s="452"/>
      <c r="K12" s="220"/>
      <c r="L12" s="220"/>
    </row>
    <row r="13" customFormat="false" ht="15" hidden="false" customHeight="true" outlineLevel="0" collapsed="false">
      <c r="A13" s="447" t="s">
        <v>1910</v>
      </c>
      <c r="B13" s="447"/>
      <c r="C13" s="447"/>
      <c r="D13" s="447"/>
      <c r="E13" s="447"/>
      <c r="F13" s="447"/>
      <c r="G13" s="447"/>
      <c r="H13" s="447"/>
      <c r="I13" s="447"/>
      <c r="J13" s="447"/>
      <c r="K13" s="447"/>
      <c r="L13" s="447"/>
    </row>
    <row r="14" customFormat="false" ht="15" hidden="false" customHeight="true" outlineLevel="0" collapsed="false">
      <c r="A14" s="448" t="s">
        <v>1852</v>
      </c>
      <c r="B14" s="448" t="s">
        <v>1853</v>
      </c>
      <c r="C14" s="448" t="s">
        <v>99</v>
      </c>
      <c r="D14" s="448" t="s">
        <v>1854</v>
      </c>
      <c r="E14" s="448" t="s">
        <v>1911</v>
      </c>
      <c r="F14" s="448" t="s">
        <v>1912</v>
      </c>
      <c r="G14" s="448" t="s">
        <v>1913</v>
      </c>
      <c r="H14" s="448" t="s">
        <v>1858</v>
      </c>
      <c r="I14" s="448" t="s">
        <v>1859</v>
      </c>
      <c r="J14" s="448" t="s">
        <v>1860</v>
      </c>
      <c r="K14" s="449"/>
      <c r="L14" s="449"/>
    </row>
    <row r="15" customFormat="false" ht="15" hidden="false" customHeight="true" outlineLevel="0" collapsed="false">
      <c r="A15" s="450" t="s">
        <v>337</v>
      </c>
      <c r="B15" s="450" t="s">
        <v>1914</v>
      </c>
      <c r="C15" s="450" t="s">
        <v>110</v>
      </c>
      <c r="D15" s="450" t="s">
        <v>1915</v>
      </c>
      <c r="E15" s="450" t="s">
        <v>1916</v>
      </c>
      <c r="F15" s="450" t="s">
        <v>1917</v>
      </c>
      <c r="G15" s="450" t="s">
        <v>1918</v>
      </c>
      <c r="H15" s="450" t="s">
        <v>1884</v>
      </c>
      <c r="I15" s="450" t="s">
        <v>1919</v>
      </c>
      <c r="J15" s="450" t="s">
        <v>1920</v>
      </c>
      <c r="K15" s="220"/>
      <c r="L15" s="220"/>
    </row>
    <row r="16" customFormat="false" ht="15" hidden="false" customHeight="true" outlineLevel="0" collapsed="false">
      <c r="A16" s="451" t="s">
        <v>1921</v>
      </c>
      <c r="B16" s="451" t="s">
        <v>1914</v>
      </c>
      <c r="C16" s="451" t="s">
        <v>110</v>
      </c>
      <c r="D16" s="451" t="s">
        <v>1922</v>
      </c>
      <c r="E16" s="451" t="s">
        <v>1923</v>
      </c>
      <c r="F16" s="451" t="s">
        <v>1924</v>
      </c>
      <c r="G16" s="451" t="s">
        <v>1925</v>
      </c>
      <c r="H16" s="451" t="s">
        <v>1892</v>
      </c>
      <c r="I16" s="451" t="s">
        <v>1926</v>
      </c>
      <c r="J16" s="451" t="s">
        <v>1927</v>
      </c>
      <c r="K16" s="353"/>
      <c r="L16" s="353"/>
    </row>
    <row r="17" customFormat="false" ht="15" hidden="false" customHeight="true" outlineLevel="0" collapsed="false">
      <c r="A17" s="450" t="s">
        <v>1928</v>
      </c>
      <c r="B17" s="450" t="s">
        <v>1929</v>
      </c>
      <c r="C17" s="450" t="s">
        <v>114</v>
      </c>
      <c r="D17" s="450" t="s">
        <v>1930</v>
      </c>
      <c r="E17" s="450" t="s">
        <v>1931</v>
      </c>
      <c r="F17" s="450" t="s">
        <v>1932</v>
      </c>
      <c r="G17" s="450" t="s">
        <v>1933</v>
      </c>
      <c r="H17" s="450" t="s">
        <v>1934</v>
      </c>
      <c r="I17" s="450" t="s">
        <v>1908</v>
      </c>
      <c r="J17" s="450" t="s">
        <v>1935</v>
      </c>
      <c r="K17" s="220"/>
      <c r="L17" s="220"/>
    </row>
    <row r="18" customFormat="false" ht="15" hidden="false" customHeight="true" outlineLevel="0" collapsed="false">
      <c r="A18" s="451" t="s">
        <v>1936</v>
      </c>
      <c r="B18" s="451" t="s">
        <v>1937</v>
      </c>
      <c r="C18" s="451" t="s">
        <v>114</v>
      </c>
      <c r="D18" s="451" t="s">
        <v>1938</v>
      </c>
      <c r="E18" s="451" t="s">
        <v>1939</v>
      </c>
      <c r="F18" s="451" t="s">
        <v>1940</v>
      </c>
      <c r="G18" s="451" t="s">
        <v>1941</v>
      </c>
      <c r="H18" s="451" t="s">
        <v>1942</v>
      </c>
      <c r="I18" s="451" t="s">
        <v>1943</v>
      </c>
      <c r="J18" s="451" t="s">
        <v>1944</v>
      </c>
      <c r="K18" s="353"/>
      <c r="L18" s="353"/>
    </row>
    <row r="19" customFormat="false" ht="15" hidden="false" customHeight="true" outlineLevel="0" collapsed="false">
      <c r="A19" s="450" t="s">
        <v>1945</v>
      </c>
      <c r="B19" s="450" t="s">
        <v>1946</v>
      </c>
      <c r="C19" s="450" t="s">
        <v>114</v>
      </c>
      <c r="D19" s="450" t="s">
        <v>1947</v>
      </c>
      <c r="E19" s="450" t="s">
        <v>1948</v>
      </c>
      <c r="F19" s="450" t="s">
        <v>1949</v>
      </c>
      <c r="G19" s="450" t="s">
        <v>1950</v>
      </c>
      <c r="H19" s="450" t="s">
        <v>1934</v>
      </c>
      <c r="I19" s="450" t="s">
        <v>1926</v>
      </c>
      <c r="J19" s="450" t="s">
        <v>1951</v>
      </c>
      <c r="K19" s="220"/>
      <c r="L19" s="220"/>
    </row>
    <row r="20" customFormat="false" ht="15" hidden="false" customHeight="true" outlineLevel="0" collapsed="false">
      <c r="A20" s="451" t="s">
        <v>1952</v>
      </c>
      <c r="B20" s="451" t="s">
        <v>1929</v>
      </c>
      <c r="C20" s="451" t="s">
        <v>110</v>
      </c>
      <c r="D20" s="451" t="s">
        <v>1953</v>
      </c>
      <c r="E20" s="451" t="s">
        <v>1954</v>
      </c>
      <c r="F20" s="451" t="s">
        <v>1955</v>
      </c>
      <c r="G20" s="451" t="s">
        <v>1956</v>
      </c>
      <c r="H20" s="451" t="s">
        <v>1892</v>
      </c>
      <c r="I20" s="451" t="s">
        <v>1885</v>
      </c>
      <c r="J20" s="451" t="s">
        <v>1957</v>
      </c>
      <c r="K20" s="353"/>
      <c r="L20" s="353"/>
    </row>
    <row r="21" customFormat="false" ht="15.75" hidden="false" customHeight="true" outlineLevel="0" collapsed="false">
      <c r="A21" s="452"/>
      <c r="B21" s="452"/>
      <c r="C21" s="452"/>
      <c r="D21" s="452"/>
      <c r="E21" s="452"/>
      <c r="F21" s="452"/>
      <c r="G21" s="452"/>
      <c r="H21" s="452"/>
      <c r="I21" s="452"/>
      <c r="J21" s="452"/>
      <c r="K21" s="452"/>
      <c r="L21" s="452"/>
    </row>
    <row r="22" customFormat="false" ht="15.75" hidden="false" customHeight="true" outlineLevel="0" collapsed="false">
      <c r="A22" s="453" t="s">
        <v>1958</v>
      </c>
      <c r="B22" s="345"/>
      <c r="C22" s="345"/>
      <c r="D22" s="345"/>
      <c r="E22" s="345"/>
      <c r="F22" s="345"/>
      <c r="G22" s="345"/>
      <c r="H22" s="345"/>
      <c r="I22" s="345"/>
      <c r="J22" s="345"/>
      <c r="K22" s="345"/>
      <c r="L22" s="345"/>
    </row>
    <row r="23" customFormat="false" ht="15.75" hidden="false" customHeight="true" outlineLevel="0" collapsed="false">
      <c r="A23" s="448" t="s">
        <v>1959</v>
      </c>
      <c r="B23" s="448" t="s">
        <v>1960</v>
      </c>
      <c r="C23" s="448" t="s">
        <v>1961</v>
      </c>
      <c r="D23" s="448" t="s">
        <v>1962</v>
      </c>
      <c r="E23" s="448" t="s">
        <v>1963</v>
      </c>
      <c r="F23" s="448" t="s">
        <v>1964</v>
      </c>
      <c r="G23" s="448" t="s">
        <v>1965</v>
      </c>
      <c r="H23" s="448" t="s">
        <v>1966</v>
      </c>
      <c r="I23" s="448" t="s">
        <v>1967</v>
      </c>
      <c r="J23" s="448" t="s">
        <v>1968</v>
      </c>
      <c r="K23" s="449"/>
      <c r="L23" s="449"/>
    </row>
    <row r="24" customFormat="false" ht="15.75" hidden="false" customHeight="true" outlineLevel="0" collapsed="false">
      <c r="A24" s="450" t="s">
        <v>179</v>
      </c>
      <c r="B24" s="450" t="s">
        <v>1969</v>
      </c>
      <c r="C24" s="450" t="s">
        <v>1970</v>
      </c>
      <c r="D24" s="450" t="s">
        <v>1971</v>
      </c>
      <c r="E24" s="450" t="s">
        <v>1972</v>
      </c>
      <c r="F24" s="450" t="s">
        <v>1973</v>
      </c>
      <c r="G24" s="450" t="s">
        <v>1974</v>
      </c>
      <c r="H24" s="450" t="s">
        <v>1975</v>
      </c>
      <c r="I24" s="450" t="s">
        <v>1976</v>
      </c>
      <c r="J24" s="450" t="s">
        <v>1977</v>
      </c>
      <c r="K24" s="220"/>
      <c r="L24" s="220"/>
    </row>
    <row r="25" customFormat="false" ht="15.75" hidden="false" customHeight="true" outlineLevel="0" collapsed="false">
      <c r="A25" s="451" t="s">
        <v>179</v>
      </c>
      <c r="B25" s="451" t="s">
        <v>1978</v>
      </c>
      <c r="C25" s="451" t="s">
        <v>1979</v>
      </c>
      <c r="D25" s="451" t="s">
        <v>1980</v>
      </c>
      <c r="E25" s="451" t="s">
        <v>1981</v>
      </c>
      <c r="F25" s="451" t="s">
        <v>1982</v>
      </c>
      <c r="G25" s="451" t="s">
        <v>1983</v>
      </c>
      <c r="H25" s="451" t="s">
        <v>1984</v>
      </c>
      <c r="I25" s="451" t="s">
        <v>1985</v>
      </c>
      <c r="J25" s="451" t="s">
        <v>1986</v>
      </c>
      <c r="K25" s="353"/>
      <c r="L25" s="353"/>
    </row>
    <row r="26" customFormat="false" ht="15.75" hidden="false" customHeight="true" outlineLevel="0" collapsed="false">
      <c r="A26" s="450" t="s">
        <v>182</v>
      </c>
      <c r="B26" s="450" t="s">
        <v>1987</v>
      </c>
      <c r="C26" s="450" t="s">
        <v>1988</v>
      </c>
      <c r="D26" s="450" t="s">
        <v>1989</v>
      </c>
      <c r="E26" s="450" t="s">
        <v>1990</v>
      </c>
      <c r="F26" s="450" t="s">
        <v>1991</v>
      </c>
      <c r="G26" s="450" t="s">
        <v>1992</v>
      </c>
      <c r="H26" s="450" t="s">
        <v>1993</v>
      </c>
      <c r="I26" s="450" t="s">
        <v>1994</v>
      </c>
      <c r="J26" s="450" t="s">
        <v>1995</v>
      </c>
      <c r="K26" s="220"/>
      <c r="L26" s="220"/>
    </row>
    <row r="27" customFormat="false" ht="15.75" hidden="false" customHeight="true" outlineLevel="0" collapsed="false">
      <c r="A27" s="451" t="s">
        <v>181</v>
      </c>
      <c r="B27" s="451" t="s">
        <v>1996</v>
      </c>
      <c r="C27" s="451" t="s">
        <v>1997</v>
      </c>
      <c r="D27" s="451" t="s">
        <v>1998</v>
      </c>
      <c r="E27" s="451" t="s">
        <v>1864</v>
      </c>
      <c r="F27" s="451" t="s">
        <v>1999</v>
      </c>
      <c r="G27" s="451" t="s">
        <v>2000</v>
      </c>
      <c r="H27" s="451" t="s">
        <v>2001</v>
      </c>
      <c r="I27" s="451" t="s">
        <v>2002</v>
      </c>
      <c r="J27" s="451" t="s">
        <v>2003</v>
      </c>
      <c r="K27" s="353"/>
      <c r="L27" s="353"/>
    </row>
    <row r="28" customFormat="false" ht="15.75" hidden="false" customHeight="true" outlineLevel="0" collapsed="false">
      <c r="A28" s="450" t="s">
        <v>181</v>
      </c>
      <c r="B28" s="450" t="s">
        <v>2004</v>
      </c>
      <c r="C28" s="450" t="s">
        <v>1970</v>
      </c>
      <c r="D28" s="450" t="s">
        <v>2005</v>
      </c>
      <c r="E28" s="450" t="s">
        <v>1981</v>
      </c>
      <c r="F28" s="450" t="s">
        <v>2006</v>
      </c>
      <c r="G28" s="450" t="s">
        <v>2007</v>
      </c>
      <c r="H28" s="450" t="s">
        <v>1975</v>
      </c>
      <c r="I28" s="450" t="s">
        <v>2008</v>
      </c>
      <c r="J28" s="450" t="s">
        <v>2009</v>
      </c>
      <c r="K28" s="220"/>
      <c r="L28" s="220"/>
    </row>
    <row r="29" customFormat="false" ht="15.75" hidden="false" customHeight="true" outlineLevel="0" collapsed="false">
      <c r="A29" s="451" t="s">
        <v>180</v>
      </c>
      <c r="B29" s="451" t="s">
        <v>2010</v>
      </c>
      <c r="C29" s="451" t="s">
        <v>2005</v>
      </c>
      <c r="D29" s="451" t="s">
        <v>1889</v>
      </c>
      <c r="E29" s="451" t="s">
        <v>2011</v>
      </c>
      <c r="F29" s="451" t="s">
        <v>2012</v>
      </c>
      <c r="G29" s="451" t="s">
        <v>2013</v>
      </c>
      <c r="H29" s="451" t="s">
        <v>2014</v>
      </c>
      <c r="I29" s="451" t="s">
        <v>2015</v>
      </c>
      <c r="J29" s="451" t="s">
        <v>2016</v>
      </c>
      <c r="K29" s="353"/>
      <c r="L29" s="353"/>
    </row>
    <row r="30" customFormat="false" ht="15.75" hidden="false" customHeight="true" outlineLevel="0" collapsed="false">
      <c r="A30" s="450" t="s">
        <v>2017</v>
      </c>
      <c r="B30" s="450" t="s">
        <v>2018</v>
      </c>
      <c r="C30" s="450" t="s">
        <v>2019</v>
      </c>
      <c r="D30" s="450" t="s">
        <v>1997</v>
      </c>
      <c r="E30" s="450" t="s">
        <v>2020</v>
      </c>
      <c r="F30" s="450" t="s">
        <v>1990</v>
      </c>
      <c r="G30" s="450" t="s">
        <v>2021</v>
      </c>
      <c r="H30" s="450" t="s">
        <v>2001</v>
      </c>
      <c r="I30" s="450" t="s">
        <v>2022</v>
      </c>
      <c r="J30" s="450" t="s">
        <v>2023</v>
      </c>
      <c r="K30" s="220"/>
      <c r="L30" s="220"/>
    </row>
    <row r="31" customFormat="false" ht="15.75" hidden="false" customHeight="true" outlineLevel="0" collapsed="false">
      <c r="A31" s="454"/>
      <c r="B31" s="454"/>
      <c r="C31" s="454"/>
      <c r="D31" s="454"/>
      <c r="E31" s="454"/>
      <c r="F31" s="454"/>
      <c r="G31" s="454"/>
      <c r="H31" s="454"/>
      <c r="I31" s="454"/>
      <c r="J31" s="454"/>
      <c r="K31" s="454"/>
      <c r="L31" s="454"/>
    </row>
    <row r="32" customFormat="false" ht="15.75" hidden="false" customHeight="true" outlineLevel="0" collapsed="false">
      <c r="A32" s="453" t="s">
        <v>2024</v>
      </c>
      <c r="B32" s="345"/>
      <c r="C32" s="345"/>
      <c r="D32" s="345"/>
      <c r="E32" s="345"/>
      <c r="F32" s="345"/>
      <c r="G32" s="345"/>
      <c r="H32" s="345"/>
      <c r="I32" s="345"/>
      <c r="J32" s="345"/>
      <c r="K32" s="345"/>
      <c r="L32" s="345"/>
    </row>
    <row r="33" customFormat="false" ht="15.75" hidden="false" customHeight="true" outlineLevel="0" collapsed="false">
      <c r="A33" s="448" t="s">
        <v>2025</v>
      </c>
      <c r="B33" s="448" t="s">
        <v>2026</v>
      </c>
      <c r="C33" s="448" t="s">
        <v>2027</v>
      </c>
      <c r="D33" s="448" t="s">
        <v>2028</v>
      </c>
      <c r="E33" s="448" t="s">
        <v>2029</v>
      </c>
      <c r="F33" s="448" t="s">
        <v>2030</v>
      </c>
      <c r="G33" s="448" t="s">
        <v>2031</v>
      </c>
      <c r="H33" s="448" t="s">
        <v>1694</v>
      </c>
      <c r="I33" s="449"/>
      <c r="J33" s="449"/>
      <c r="K33" s="449"/>
      <c r="L33" s="449"/>
    </row>
    <row r="34" customFormat="false" ht="15.75" hidden="false" customHeight="true" outlineLevel="0" collapsed="false">
      <c r="A34" s="450" t="s">
        <v>2032</v>
      </c>
      <c r="B34" s="455" t="n">
        <v>0.15</v>
      </c>
      <c r="C34" s="455" t="n">
        <v>0.25</v>
      </c>
      <c r="D34" s="455" t="n">
        <v>0.4</v>
      </c>
      <c r="E34" s="455" t="n">
        <v>0.25</v>
      </c>
      <c r="F34" s="450" t="s">
        <v>2033</v>
      </c>
      <c r="G34" s="450" t="s">
        <v>2033</v>
      </c>
      <c r="H34" s="450" t="s">
        <v>2034</v>
      </c>
      <c r="I34" s="220"/>
      <c r="J34" s="220"/>
      <c r="K34" s="220"/>
      <c r="L34" s="220"/>
    </row>
    <row r="35" customFormat="false" ht="15.75" hidden="false" customHeight="true" outlineLevel="0" collapsed="false">
      <c r="A35" s="451" t="s">
        <v>2035</v>
      </c>
      <c r="B35" s="456" t="n">
        <v>0.3</v>
      </c>
      <c r="C35" s="456" t="n">
        <v>0.5</v>
      </c>
      <c r="D35" s="456" t="n">
        <v>0.75</v>
      </c>
      <c r="E35" s="456" t="n">
        <v>0.4</v>
      </c>
      <c r="F35" s="451" t="s">
        <v>2036</v>
      </c>
      <c r="G35" s="451" t="s">
        <v>2036</v>
      </c>
      <c r="H35" s="451" t="s">
        <v>2037</v>
      </c>
      <c r="I35" s="353"/>
      <c r="J35" s="353"/>
      <c r="K35" s="353"/>
      <c r="L35" s="353"/>
    </row>
    <row r="36" customFormat="false" ht="15.75" hidden="false" customHeight="true" outlineLevel="0" collapsed="false">
      <c r="A36" s="450" t="s">
        <v>2038</v>
      </c>
      <c r="B36" s="455" t="n">
        <v>0.15</v>
      </c>
      <c r="C36" s="455" t="n">
        <v>0.25</v>
      </c>
      <c r="D36" s="455" t="n">
        <v>0.35</v>
      </c>
      <c r="E36" s="455" t="n">
        <v>0.2</v>
      </c>
      <c r="F36" s="450" t="s">
        <v>2039</v>
      </c>
      <c r="G36" s="450" t="s">
        <v>2039</v>
      </c>
      <c r="H36" s="450" t="s">
        <v>2040</v>
      </c>
      <c r="I36" s="220"/>
      <c r="J36" s="220"/>
      <c r="K36" s="220"/>
      <c r="L36" s="220"/>
    </row>
    <row r="37" customFormat="false" ht="15.75" hidden="false" customHeight="true" outlineLevel="0" collapsed="false">
      <c r="A37" s="451" t="s">
        <v>2041</v>
      </c>
      <c r="B37" s="456" t="n">
        <v>0.2</v>
      </c>
      <c r="C37" s="456" t="n">
        <v>0.35</v>
      </c>
      <c r="D37" s="456" t="n">
        <v>0.5</v>
      </c>
      <c r="E37" s="456" t="n">
        <v>0.3</v>
      </c>
      <c r="F37" s="451" t="s">
        <v>2039</v>
      </c>
      <c r="G37" s="451" t="s">
        <v>2039</v>
      </c>
      <c r="H37" s="451" t="s">
        <v>2042</v>
      </c>
      <c r="I37" s="353"/>
      <c r="J37" s="353"/>
      <c r="K37" s="353"/>
      <c r="L37" s="353"/>
    </row>
    <row r="38" customFormat="false" ht="15.75" hidden="false" customHeight="true" outlineLevel="0" collapsed="false">
      <c r="A38" s="450" t="s">
        <v>2043</v>
      </c>
      <c r="B38" s="455" t="n">
        <v>0.4</v>
      </c>
      <c r="C38" s="455" t="n">
        <v>0.6</v>
      </c>
      <c r="D38" s="455" t="n">
        <v>0.8</v>
      </c>
      <c r="E38" s="455" t="n">
        <v>0.5</v>
      </c>
      <c r="F38" s="450" t="s">
        <v>2036</v>
      </c>
      <c r="G38" s="450" t="s">
        <v>2036</v>
      </c>
      <c r="H38" s="450" t="s">
        <v>2042</v>
      </c>
      <c r="I38" s="220"/>
      <c r="J38" s="220"/>
      <c r="K38" s="220"/>
      <c r="L38" s="220"/>
    </row>
    <row r="39" customFormat="false" ht="15.75" hidden="false" customHeight="true" outlineLevel="0" collapsed="false">
      <c r="A39" s="451" t="s">
        <v>2044</v>
      </c>
      <c r="B39" s="456" t="n">
        <v>0.15</v>
      </c>
      <c r="C39" s="456" t="n">
        <v>0.25</v>
      </c>
      <c r="D39" s="456" t="n">
        <v>0.4</v>
      </c>
      <c r="E39" s="456" t="n">
        <v>0.2</v>
      </c>
      <c r="F39" s="451" t="s">
        <v>2039</v>
      </c>
      <c r="G39" s="451" t="s">
        <v>2039</v>
      </c>
      <c r="H39" s="451" t="s">
        <v>2045</v>
      </c>
      <c r="I39" s="353"/>
      <c r="J39" s="353"/>
      <c r="K39" s="353"/>
      <c r="L39" s="353"/>
    </row>
    <row r="40" customFormat="false" ht="15.75" hidden="false" customHeight="true" outlineLevel="0" collapsed="false">
      <c r="A40" s="450" t="s">
        <v>2046</v>
      </c>
      <c r="B40" s="455" t="n">
        <v>0.25</v>
      </c>
      <c r="C40" s="455" t="n">
        <v>0.35</v>
      </c>
      <c r="D40" s="455" t="n">
        <v>0.5</v>
      </c>
      <c r="E40" s="455" t="n">
        <v>0.35</v>
      </c>
      <c r="F40" s="450" t="s">
        <v>2033</v>
      </c>
      <c r="G40" s="450" t="s">
        <v>2033</v>
      </c>
      <c r="H40" s="450" t="s">
        <v>2047</v>
      </c>
      <c r="I40" s="220"/>
      <c r="J40" s="220"/>
      <c r="K40" s="220"/>
      <c r="L40" s="220"/>
    </row>
    <row r="41" customFormat="false" ht="15.75" hidden="false" customHeight="true" outlineLevel="0" collapsed="false">
      <c r="A41" s="454"/>
      <c r="B41" s="454"/>
      <c r="C41" s="454"/>
      <c r="D41" s="454"/>
      <c r="E41" s="454"/>
      <c r="F41" s="454"/>
      <c r="G41" s="454"/>
      <c r="H41" s="454"/>
      <c r="I41" s="454"/>
      <c r="J41" s="454"/>
      <c r="K41" s="454"/>
      <c r="L41" s="454"/>
    </row>
    <row r="42" customFormat="false" ht="15.75" hidden="false" customHeight="true" outlineLevel="0" collapsed="false">
      <c r="A42" s="453" t="s">
        <v>2048</v>
      </c>
      <c r="B42" s="345"/>
      <c r="C42" s="345"/>
      <c r="D42" s="345"/>
      <c r="E42" s="345"/>
      <c r="F42" s="345"/>
      <c r="G42" s="345"/>
      <c r="H42" s="345"/>
      <c r="I42" s="345"/>
      <c r="J42" s="345"/>
      <c r="K42" s="345"/>
      <c r="L42" s="345"/>
    </row>
    <row r="43" customFormat="false" ht="15.75" hidden="false" customHeight="true" outlineLevel="0" collapsed="false">
      <c r="A43" s="448" t="s">
        <v>2049</v>
      </c>
      <c r="B43" s="448" t="s">
        <v>337</v>
      </c>
      <c r="C43" s="448" t="s">
        <v>2050</v>
      </c>
      <c r="D43" s="448" t="s">
        <v>2051</v>
      </c>
      <c r="E43" s="448" t="s">
        <v>2052</v>
      </c>
      <c r="F43" s="448" t="s">
        <v>2053</v>
      </c>
      <c r="G43" s="448" t="s">
        <v>2054</v>
      </c>
      <c r="H43" s="449"/>
      <c r="I43" s="449"/>
      <c r="J43" s="449"/>
      <c r="K43" s="449"/>
      <c r="L43" s="449"/>
    </row>
    <row r="44" customFormat="false" ht="15.75" hidden="false" customHeight="true" outlineLevel="0" collapsed="false">
      <c r="A44" s="450" t="s">
        <v>2055</v>
      </c>
      <c r="B44" s="450" t="s">
        <v>2056</v>
      </c>
      <c r="C44" s="450" t="s">
        <v>2057</v>
      </c>
      <c r="D44" s="450" t="s">
        <v>2058</v>
      </c>
      <c r="E44" s="450" t="s">
        <v>2059</v>
      </c>
      <c r="F44" s="450" t="s">
        <v>2060</v>
      </c>
      <c r="G44" s="450" t="s">
        <v>2061</v>
      </c>
      <c r="H44" s="220"/>
      <c r="I44" s="220"/>
      <c r="J44" s="220"/>
      <c r="K44" s="220"/>
      <c r="L44" s="220"/>
    </row>
    <row r="45" customFormat="false" ht="15.75" hidden="false" customHeight="true" outlineLevel="0" collapsed="false">
      <c r="A45" s="451" t="s">
        <v>2062</v>
      </c>
      <c r="B45" s="451" t="s">
        <v>2063</v>
      </c>
      <c r="C45" s="451" t="s">
        <v>2064</v>
      </c>
      <c r="D45" s="451" t="s">
        <v>2065</v>
      </c>
      <c r="E45" s="451" t="s">
        <v>2066</v>
      </c>
      <c r="F45" s="451" t="s">
        <v>2060</v>
      </c>
      <c r="G45" s="451" t="s">
        <v>2067</v>
      </c>
      <c r="H45" s="353"/>
      <c r="I45" s="353"/>
      <c r="J45" s="353"/>
      <c r="K45" s="353"/>
      <c r="L45" s="353"/>
    </row>
    <row r="46" customFormat="false" ht="15.75" hidden="false" customHeight="true" outlineLevel="0" collapsed="false">
      <c r="A46" s="450" t="s">
        <v>2068</v>
      </c>
      <c r="B46" s="450" t="s">
        <v>2069</v>
      </c>
      <c r="C46" s="450" t="s">
        <v>2070</v>
      </c>
      <c r="D46" s="450" t="s">
        <v>1973</v>
      </c>
      <c r="E46" s="450" t="s">
        <v>2066</v>
      </c>
      <c r="F46" s="450" t="s">
        <v>2071</v>
      </c>
      <c r="G46" s="450" t="s">
        <v>2072</v>
      </c>
      <c r="H46" s="220"/>
      <c r="I46" s="220"/>
      <c r="J46" s="220"/>
      <c r="K46" s="220"/>
      <c r="L46" s="220"/>
    </row>
    <row r="47" customFormat="false" ht="15.75" hidden="false" customHeight="true" outlineLevel="0" collapsed="false">
      <c r="A47" s="451" t="s">
        <v>2073</v>
      </c>
      <c r="B47" s="451" t="s">
        <v>2074</v>
      </c>
      <c r="C47" s="451" t="s">
        <v>2075</v>
      </c>
      <c r="D47" s="451" t="s">
        <v>2076</v>
      </c>
      <c r="E47" s="451" t="s">
        <v>2077</v>
      </c>
      <c r="F47" s="451" t="s">
        <v>2078</v>
      </c>
      <c r="G47" s="451" t="s">
        <v>2079</v>
      </c>
      <c r="H47" s="353"/>
      <c r="I47" s="353"/>
      <c r="J47" s="353"/>
      <c r="K47" s="353"/>
      <c r="L47" s="353"/>
    </row>
    <row r="48" customFormat="false" ht="15.75" hidden="false" customHeight="true" outlineLevel="0" collapsed="false">
      <c r="A48" s="450" t="s">
        <v>1283</v>
      </c>
      <c r="B48" s="450" t="s">
        <v>2080</v>
      </c>
      <c r="C48" s="450" t="s">
        <v>2081</v>
      </c>
      <c r="D48" s="450" t="s">
        <v>2075</v>
      </c>
      <c r="E48" s="450" t="s">
        <v>2082</v>
      </c>
      <c r="F48" s="450" t="s">
        <v>2078</v>
      </c>
      <c r="G48" s="450" t="s">
        <v>2083</v>
      </c>
      <c r="H48" s="220"/>
      <c r="I48" s="220"/>
      <c r="J48" s="220"/>
      <c r="K48" s="220"/>
      <c r="L48" s="220"/>
    </row>
    <row r="49" customFormat="false" ht="15.75" hidden="false" customHeight="true" outlineLevel="0" collapsed="false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</row>
    <row r="50" customFormat="false" ht="15.75" hidden="false" customHeight="true" outlineLevel="0" collapsed="false">
      <c r="A50" s="345"/>
      <c r="B50" s="345"/>
    </row>
    <row r="51" customFormat="false" ht="15.75" hidden="false" customHeight="true" outlineLevel="0" collapsed="false">
      <c r="A51" s="457"/>
      <c r="B51" s="457"/>
    </row>
    <row r="52" customFormat="false" ht="15.75" hidden="false" customHeight="true" outlineLevel="0" collapsed="false">
      <c r="A52" s="458" t="s">
        <v>2084</v>
      </c>
      <c r="B52" s="458"/>
      <c r="C52" s="458"/>
      <c r="D52" s="458"/>
      <c r="E52" s="458"/>
      <c r="F52" s="458"/>
      <c r="G52" s="458"/>
      <c r="H52" s="458"/>
      <c r="I52" s="458"/>
      <c r="J52" s="458"/>
    </row>
    <row r="53" customFormat="false" ht="15.75" hidden="false" customHeight="true" outlineLevel="0" collapsed="false">
      <c r="A53" s="459"/>
      <c r="B53" s="459"/>
    </row>
    <row r="54" customFormat="false" ht="15.75" hidden="false" customHeight="true" outlineLevel="0" collapsed="false">
      <c r="A54" s="460" t="s">
        <v>2085</v>
      </c>
      <c r="B54" s="460" t="s">
        <v>101</v>
      </c>
      <c r="C54" s="461" t="s">
        <v>1288</v>
      </c>
      <c r="D54" s="461" t="s">
        <v>2086</v>
      </c>
      <c r="E54" s="461" t="s">
        <v>2087</v>
      </c>
      <c r="F54" s="461" t="s">
        <v>2088</v>
      </c>
      <c r="G54" s="461" t="s">
        <v>2089</v>
      </c>
      <c r="H54" s="461" t="s">
        <v>104</v>
      </c>
      <c r="I54" s="461" t="s">
        <v>2090</v>
      </c>
      <c r="J54" s="461" t="s">
        <v>105</v>
      </c>
    </row>
    <row r="55" customFormat="false" ht="15.75" hidden="false" customHeight="true" outlineLevel="0" collapsed="false">
      <c r="A55" s="462" t="s">
        <v>106</v>
      </c>
      <c r="B55" s="462" t="s">
        <v>2091</v>
      </c>
      <c r="C55" s="463" t="s">
        <v>1499</v>
      </c>
      <c r="D55" s="463" t="s">
        <v>2092</v>
      </c>
      <c r="E55" s="463" t="s">
        <v>2093</v>
      </c>
      <c r="F55" s="463" t="s">
        <v>2094</v>
      </c>
      <c r="G55" s="463" t="s">
        <v>2095</v>
      </c>
      <c r="H55" s="463" t="s">
        <v>2096</v>
      </c>
      <c r="I55" s="463" t="s">
        <v>2097</v>
      </c>
      <c r="J55" s="463" t="s">
        <v>2098</v>
      </c>
    </row>
    <row r="56" customFormat="false" ht="15.75" hidden="false" customHeight="true" outlineLevel="0" collapsed="false">
      <c r="A56" s="462" t="s">
        <v>110</v>
      </c>
      <c r="B56" s="462" t="s">
        <v>1501</v>
      </c>
      <c r="C56" s="463" t="s">
        <v>1505</v>
      </c>
      <c r="D56" s="463" t="s">
        <v>2099</v>
      </c>
      <c r="E56" s="463" t="s">
        <v>2100</v>
      </c>
      <c r="F56" s="463" t="s">
        <v>2101</v>
      </c>
      <c r="G56" s="463" t="s">
        <v>2102</v>
      </c>
      <c r="H56" s="463" t="s">
        <v>2103</v>
      </c>
      <c r="I56" s="463" t="s">
        <v>2104</v>
      </c>
      <c r="J56" s="463" t="s">
        <v>2105</v>
      </c>
    </row>
    <row r="57" customFormat="false" ht="15.75" hidden="false" customHeight="true" outlineLevel="0" collapsed="false">
      <c r="A57" s="462" t="s">
        <v>114</v>
      </c>
      <c r="B57" s="462" t="s">
        <v>1507</v>
      </c>
      <c r="C57" s="462" t="s">
        <v>1510</v>
      </c>
      <c r="D57" s="462" t="s">
        <v>2106</v>
      </c>
      <c r="E57" s="462" t="s">
        <v>2107</v>
      </c>
      <c r="F57" s="464" t="s">
        <v>2108</v>
      </c>
      <c r="G57" s="464" t="s">
        <v>2109</v>
      </c>
      <c r="H57" s="464" t="s">
        <v>2110</v>
      </c>
      <c r="I57" s="464" t="s">
        <v>2111</v>
      </c>
      <c r="J57" s="464" t="s">
        <v>2112</v>
      </c>
      <c r="K57" s="350"/>
      <c r="L57" s="350"/>
    </row>
    <row r="58" customFormat="false" ht="15.75" hidden="false" customHeight="true" outlineLevel="0" collapsed="false">
      <c r="A58" s="462" t="s">
        <v>118</v>
      </c>
      <c r="B58" s="462" t="s">
        <v>1512</v>
      </c>
      <c r="C58" s="462" t="s">
        <v>1516</v>
      </c>
      <c r="D58" s="462" t="s">
        <v>2113</v>
      </c>
      <c r="E58" s="462" t="s">
        <v>2114</v>
      </c>
      <c r="F58" s="464" t="s">
        <v>2115</v>
      </c>
      <c r="G58" s="464" t="s">
        <v>2116</v>
      </c>
      <c r="H58" s="464" t="s">
        <v>2117</v>
      </c>
      <c r="I58" s="464" t="s">
        <v>135</v>
      </c>
      <c r="J58" s="464" t="s">
        <v>2118</v>
      </c>
      <c r="K58" s="350"/>
      <c r="L58" s="350"/>
    </row>
    <row r="59" customFormat="false" ht="15.75" hidden="false" customHeight="true" outlineLevel="0" collapsed="false">
      <c r="A59" s="462" t="s">
        <v>122</v>
      </c>
      <c r="B59" s="462" t="s">
        <v>2119</v>
      </c>
      <c r="C59" s="462" t="s">
        <v>1521</v>
      </c>
      <c r="D59" s="462" t="s">
        <v>2120</v>
      </c>
      <c r="E59" s="462" t="s">
        <v>2121</v>
      </c>
      <c r="F59" s="464" t="s">
        <v>2122</v>
      </c>
      <c r="G59" s="464" t="s">
        <v>2122</v>
      </c>
      <c r="H59" s="464" t="s">
        <v>2123</v>
      </c>
      <c r="I59" s="464" t="s">
        <v>2124</v>
      </c>
      <c r="J59" s="464" t="s">
        <v>2125</v>
      </c>
      <c r="K59" s="350"/>
      <c r="L59" s="350"/>
    </row>
    <row r="60" customFormat="false" ht="15.75" hidden="false" customHeight="true" outlineLevel="0" collapsed="false">
      <c r="A60" s="465"/>
      <c r="B60" s="465"/>
      <c r="C60" s="465"/>
      <c r="D60" s="465"/>
      <c r="E60" s="465"/>
      <c r="F60" s="350"/>
      <c r="G60" s="350"/>
      <c r="H60" s="350"/>
      <c r="I60" s="350"/>
      <c r="J60" s="350"/>
      <c r="K60" s="350"/>
      <c r="L60" s="350"/>
    </row>
    <row r="61" customFormat="false" ht="15.75" hidden="false" customHeight="true" outlineLevel="0" collapsed="false">
      <c r="A61" s="345"/>
      <c r="B61" s="345"/>
      <c r="C61" s="345"/>
      <c r="D61" s="345"/>
      <c r="E61" s="345"/>
      <c r="F61" s="345"/>
      <c r="G61" s="345"/>
      <c r="H61" s="345"/>
      <c r="I61" s="345"/>
      <c r="J61" s="345"/>
      <c r="K61" s="345"/>
      <c r="L61" s="345"/>
    </row>
    <row r="62" customFormat="false" ht="15.75" hidden="false" customHeight="true" outlineLevel="0" collapsed="false">
      <c r="A62" s="358"/>
      <c r="B62" s="358"/>
      <c r="C62" s="358"/>
      <c r="D62" s="358"/>
      <c r="E62" s="358"/>
      <c r="F62" s="358"/>
      <c r="G62" s="358"/>
      <c r="H62" s="358"/>
      <c r="I62" s="358"/>
      <c r="J62" s="358"/>
      <c r="K62" s="358"/>
      <c r="L62" s="358"/>
    </row>
    <row r="63" customFormat="false" ht="15.75" hidden="false" customHeight="true" outlineLevel="0" collapsed="false">
      <c r="A63" s="458" t="s">
        <v>2126</v>
      </c>
      <c r="B63" s="458"/>
      <c r="C63" s="458"/>
      <c r="D63" s="458"/>
      <c r="E63" s="458"/>
      <c r="F63" s="458"/>
      <c r="G63" s="458"/>
      <c r="H63" s="458"/>
      <c r="I63" s="458"/>
      <c r="J63" s="458"/>
      <c r="K63" s="358"/>
      <c r="L63" s="358"/>
    </row>
    <row r="64" customFormat="false" ht="15.75" hidden="false" customHeight="true" outlineLevel="0" collapsed="false">
      <c r="A64" s="358"/>
      <c r="B64" s="358"/>
      <c r="C64" s="358"/>
      <c r="D64" s="358"/>
      <c r="E64" s="358"/>
      <c r="F64" s="358"/>
      <c r="G64" s="358"/>
      <c r="H64" s="358"/>
      <c r="I64" s="358"/>
      <c r="J64" s="358"/>
      <c r="K64" s="358"/>
      <c r="L64" s="358"/>
    </row>
    <row r="65" customFormat="false" ht="31.5" hidden="false" customHeight="true" outlineLevel="0" collapsed="false">
      <c r="A65" s="466" t="s">
        <v>2127</v>
      </c>
      <c r="B65" s="466"/>
      <c r="C65" s="466"/>
      <c r="D65" s="466"/>
      <c r="E65" s="466"/>
      <c r="F65" s="466"/>
      <c r="G65" s="466"/>
      <c r="H65" s="466"/>
      <c r="I65" s="466"/>
      <c r="J65" s="466"/>
      <c r="K65" s="358"/>
      <c r="L65" s="358"/>
    </row>
    <row r="66" customFormat="false" ht="31.5" hidden="false" customHeight="true" outlineLevel="0" collapsed="false">
      <c r="A66" s="466" t="s">
        <v>2128</v>
      </c>
      <c r="B66" s="466"/>
      <c r="C66" s="466"/>
      <c r="D66" s="466"/>
      <c r="E66" s="466"/>
      <c r="F66" s="466"/>
      <c r="G66" s="466"/>
      <c r="H66" s="466"/>
      <c r="I66" s="466"/>
      <c r="J66" s="466"/>
      <c r="K66" s="358"/>
      <c r="L66" s="358"/>
    </row>
    <row r="67" customFormat="false" ht="31.5" hidden="false" customHeight="true" outlineLevel="0" collapsed="false">
      <c r="A67" s="466" t="s">
        <v>2129</v>
      </c>
      <c r="B67" s="466"/>
      <c r="C67" s="466"/>
      <c r="D67" s="466"/>
      <c r="E67" s="466"/>
      <c r="F67" s="466"/>
      <c r="G67" s="466"/>
      <c r="H67" s="466"/>
      <c r="I67" s="466"/>
      <c r="J67" s="466"/>
      <c r="K67" s="358"/>
      <c r="L67" s="358"/>
    </row>
    <row r="68" customFormat="false" ht="31.5" hidden="false" customHeight="true" outlineLevel="0" collapsed="false">
      <c r="A68" s="466" t="s">
        <v>2130</v>
      </c>
      <c r="B68" s="466"/>
      <c r="C68" s="466"/>
      <c r="D68" s="466"/>
      <c r="E68" s="466"/>
      <c r="F68" s="466"/>
      <c r="G68" s="466"/>
      <c r="H68" s="466"/>
      <c r="I68" s="466"/>
      <c r="J68" s="466"/>
      <c r="K68" s="358"/>
      <c r="L68" s="358"/>
    </row>
    <row r="69" customFormat="false" ht="15.75" hidden="false" customHeight="true" outlineLevel="0" collapsed="false">
      <c r="A69" s="345"/>
      <c r="B69" s="345"/>
      <c r="C69" s="345"/>
      <c r="D69" s="345"/>
      <c r="E69" s="345"/>
      <c r="F69" s="345"/>
      <c r="G69" s="345"/>
      <c r="H69" s="345"/>
      <c r="I69" s="345"/>
      <c r="J69" s="345"/>
      <c r="K69" s="345"/>
      <c r="L69" s="345"/>
    </row>
    <row r="70" customFormat="false" ht="15.75" hidden="false" customHeight="true" outlineLevel="0" collapsed="false">
      <c r="A70" s="449"/>
      <c r="B70" s="449"/>
      <c r="C70" s="449"/>
      <c r="D70" s="449"/>
      <c r="E70" s="449"/>
      <c r="F70" s="449"/>
      <c r="G70" s="449"/>
      <c r="H70" s="449"/>
      <c r="I70" s="449"/>
      <c r="J70" s="449"/>
      <c r="K70" s="449"/>
      <c r="L70" s="449"/>
    </row>
    <row r="71" customFormat="false" ht="15.75" hidden="false" customHeight="true" outlineLevel="0" collapsed="false">
      <c r="A71" s="467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</row>
    <row r="72" customFormat="false" ht="15.75" hidden="false" customHeight="true" outlineLevel="0" collapsed="false">
      <c r="A72" s="360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</row>
    <row r="73" customFormat="false" ht="15.75" hidden="false" customHeight="true" outlineLevel="0" collapsed="false">
      <c r="A73" s="467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</row>
    <row r="74" customFormat="false" ht="15.75" hidden="false" customHeight="true" outlineLevel="0" collapsed="false">
      <c r="A74" s="360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</row>
    <row r="75" customFormat="false" ht="15.75" hidden="false" customHeight="true" outlineLevel="0" collapsed="false">
      <c r="A75" s="467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</row>
    <row r="76" customFormat="false" ht="15.75" hidden="false" customHeight="true" outlineLevel="0" collapsed="false">
      <c r="A76" s="360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</row>
    <row r="77" customFormat="false" ht="15.75" hidden="false" customHeight="true" outlineLevel="0" collapsed="false">
      <c r="A77" s="467"/>
      <c r="B77" s="467"/>
      <c r="C77" s="467"/>
      <c r="D77" s="467"/>
      <c r="E77" s="467"/>
      <c r="F77" s="467"/>
      <c r="G77" s="467"/>
      <c r="H77" s="467"/>
      <c r="I77" s="467"/>
      <c r="J77" s="467"/>
      <c r="K77" s="467"/>
      <c r="L77" s="467"/>
    </row>
    <row r="78" customFormat="false" ht="15.75" hidden="false" customHeight="true" outlineLevel="0" collapsed="false">
      <c r="A78" s="360"/>
      <c r="B78" s="360"/>
      <c r="C78" s="360"/>
      <c r="D78" s="360"/>
      <c r="E78" s="360"/>
      <c r="F78" s="360"/>
      <c r="G78" s="360"/>
      <c r="H78" s="360"/>
      <c r="I78" s="360"/>
      <c r="J78" s="360"/>
      <c r="K78" s="360"/>
      <c r="L78" s="360"/>
    </row>
    <row r="79" customFormat="false" ht="15.75" hidden="false" customHeight="true" outlineLevel="0" collapsed="false">
      <c r="A79" s="467"/>
      <c r="B79" s="467"/>
      <c r="C79" s="467"/>
      <c r="D79" s="467"/>
      <c r="E79" s="467"/>
      <c r="F79" s="467"/>
      <c r="G79" s="467"/>
      <c r="H79" s="467"/>
      <c r="I79" s="467"/>
      <c r="J79" s="467"/>
      <c r="K79" s="467"/>
      <c r="L79" s="467"/>
    </row>
    <row r="80" customFormat="false" ht="15.75" hidden="false" customHeight="true" outlineLevel="0" collapsed="false">
      <c r="A80" s="347"/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</row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4">
    <mergeCell ref="A1:L1"/>
    <mergeCell ref="A2:L2"/>
    <mergeCell ref="A4:L4"/>
    <mergeCell ref="A13:L13"/>
    <mergeCell ref="A21:L21"/>
    <mergeCell ref="A31:L31"/>
    <mergeCell ref="A41:L41"/>
    <mergeCell ref="A49:L49"/>
    <mergeCell ref="A52:J52"/>
    <mergeCell ref="A63:J63"/>
    <mergeCell ref="A65:J65"/>
    <mergeCell ref="A66:J66"/>
    <mergeCell ref="A67:J67"/>
    <mergeCell ref="A68:J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4D2B"/>
    <outlinePr summaryBelow="0"/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3.43"/>
    <col collapsed="false" customWidth="true" hidden="false" outlineLevel="0" max="2" min="2" style="1" width="38.29"/>
    <col collapsed="false" customWidth="true" hidden="false" outlineLevel="0" max="3" min="3" style="1" width="17.29"/>
    <col collapsed="false" customWidth="true" hidden="false" outlineLevel="0" max="5" min="4" style="1" width="28.71"/>
    <col collapsed="false" customWidth="true" hidden="false" outlineLevel="0" max="6" min="6" style="1" width="15.85"/>
    <col collapsed="false" customWidth="true" hidden="false" outlineLevel="0" max="7" min="7" style="1" width="70.57"/>
    <col collapsed="false" customWidth="true" hidden="false" outlineLevel="0" max="8" min="8" style="1" width="15.85"/>
    <col collapsed="false" customWidth="true" hidden="false" outlineLevel="0" max="9" min="9" style="1" width="31.57"/>
    <col collapsed="false" customWidth="true" hidden="false" outlineLevel="0" max="10" min="10" style="1" width="17.29"/>
    <col collapsed="false" customWidth="true" hidden="false" outlineLevel="0" max="11" min="11" style="1" width="31.57"/>
  </cols>
  <sheetData>
    <row r="1" customFormat="false" ht="36" hidden="false" customHeight="true" outlineLevel="0" collapsed="false">
      <c r="A1" s="468" t="s">
        <v>2131</v>
      </c>
      <c r="B1" s="342"/>
      <c r="C1" s="469"/>
      <c r="D1" s="469"/>
      <c r="E1" s="469"/>
      <c r="F1" s="469"/>
      <c r="G1" s="469"/>
      <c r="H1" s="469"/>
      <c r="I1" s="469"/>
      <c r="J1" s="469"/>
      <c r="K1" s="469"/>
      <c r="L1" s="469"/>
    </row>
    <row r="2" customFormat="false" ht="21" hidden="false" customHeight="true" outlineLevel="0" collapsed="false">
      <c r="A2" s="470" t="s">
        <v>2132</v>
      </c>
      <c r="B2" s="471"/>
      <c r="C2" s="472"/>
      <c r="D2" s="472"/>
      <c r="E2" s="472"/>
      <c r="F2" s="472"/>
      <c r="G2" s="472"/>
      <c r="H2" s="472"/>
      <c r="I2" s="472"/>
      <c r="J2" s="472"/>
      <c r="K2" s="472"/>
      <c r="L2" s="472"/>
    </row>
    <row r="3" customFormat="false" ht="15" hidden="false" customHeight="true" outlineLevel="0" collapsed="false">
      <c r="A3" s="347"/>
      <c r="B3" s="347"/>
      <c r="C3" s="473"/>
      <c r="D3" s="473"/>
      <c r="E3" s="473"/>
      <c r="F3" s="473"/>
      <c r="G3" s="473"/>
      <c r="H3" s="473"/>
      <c r="I3" s="473"/>
      <c r="J3" s="473"/>
      <c r="K3" s="473"/>
      <c r="L3" s="473"/>
    </row>
    <row r="4" customFormat="false" ht="27" hidden="false" customHeight="true" outlineLevel="0" collapsed="false">
      <c r="A4" s="453" t="s">
        <v>2133</v>
      </c>
      <c r="B4" s="474"/>
      <c r="C4" s="474"/>
      <c r="D4" s="474"/>
      <c r="E4" s="474"/>
      <c r="F4" s="474"/>
      <c r="G4" s="474"/>
      <c r="H4" s="474"/>
      <c r="I4" s="474"/>
      <c r="J4" s="474"/>
      <c r="K4" s="474"/>
      <c r="L4" s="474"/>
    </row>
    <row r="5" customFormat="false" ht="22.5" hidden="false" customHeight="true" outlineLevel="0" collapsed="false">
      <c r="A5" s="448" t="s">
        <v>154</v>
      </c>
      <c r="B5" s="475" t="s">
        <v>2134</v>
      </c>
      <c r="C5" s="475" t="s">
        <v>157</v>
      </c>
      <c r="D5" s="475" t="s">
        <v>2135</v>
      </c>
      <c r="E5" s="475" t="s">
        <v>2136</v>
      </c>
      <c r="F5" s="475" t="s">
        <v>2137</v>
      </c>
      <c r="G5" s="475" t="s">
        <v>2138</v>
      </c>
      <c r="H5" s="475" t="s">
        <v>2139</v>
      </c>
      <c r="I5" s="475" t="s">
        <v>2140</v>
      </c>
      <c r="J5" s="475" t="s">
        <v>2141</v>
      </c>
      <c r="K5" s="475" t="s">
        <v>2142</v>
      </c>
      <c r="L5" s="476"/>
    </row>
    <row r="6" customFormat="false" ht="27" hidden="false" customHeight="true" outlineLevel="0" collapsed="false">
      <c r="A6" s="450" t="s">
        <v>2143</v>
      </c>
      <c r="B6" s="477" t="s">
        <v>2144</v>
      </c>
      <c r="C6" s="477" t="s">
        <v>2145</v>
      </c>
      <c r="D6" s="477" t="s">
        <v>2146</v>
      </c>
      <c r="E6" s="477" t="s">
        <v>2147</v>
      </c>
      <c r="F6" s="477" t="s">
        <v>2148</v>
      </c>
      <c r="G6" s="477" t="s">
        <v>2149</v>
      </c>
      <c r="H6" s="477" t="s">
        <v>2150</v>
      </c>
      <c r="I6" s="477" t="s">
        <v>2151</v>
      </c>
      <c r="J6" s="477" t="s">
        <v>2152</v>
      </c>
      <c r="K6" s="477" t="s">
        <v>2153</v>
      </c>
      <c r="L6" s="478"/>
    </row>
    <row r="7" customFormat="false" ht="27" hidden="false" customHeight="true" outlineLevel="0" collapsed="false">
      <c r="A7" s="451" t="s">
        <v>2154</v>
      </c>
      <c r="B7" s="479" t="s">
        <v>2155</v>
      </c>
      <c r="C7" s="479" t="s">
        <v>2145</v>
      </c>
      <c r="D7" s="479" t="s">
        <v>2156</v>
      </c>
      <c r="E7" s="479" t="s">
        <v>2157</v>
      </c>
      <c r="F7" s="479" t="s">
        <v>2158</v>
      </c>
      <c r="G7" s="479" t="s">
        <v>2159</v>
      </c>
      <c r="H7" s="479" t="s">
        <v>2160</v>
      </c>
      <c r="I7" s="479" t="s">
        <v>2161</v>
      </c>
      <c r="J7" s="479" t="s">
        <v>2162</v>
      </c>
      <c r="K7" s="479" t="s">
        <v>2163</v>
      </c>
      <c r="L7" s="480"/>
    </row>
    <row r="8" customFormat="false" ht="27" hidden="false" customHeight="true" outlineLevel="0" collapsed="false">
      <c r="A8" s="450" t="s">
        <v>2164</v>
      </c>
      <c r="B8" s="477" t="s">
        <v>2165</v>
      </c>
      <c r="C8" s="477" t="s">
        <v>2166</v>
      </c>
      <c r="D8" s="477" t="s">
        <v>2167</v>
      </c>
      <c r="E8" s="477" t="s">
        <v>2168</v>
      </c>
      <c r="F8" s="477" t="s">
        <v>2169</v>
      </c>
      <c r="G8" s="477" t="s">
        <v>2170</v>
      </c>
      <c r="H8" s="477" t="s">
        <v>2171</v>
      </c>
      <c r="I8" s="477" t="s">
        <v>2172</v>
      </c>
      <c r="J8" s="477" t="s">
        <v>2173</v>
      </c>
      <c r="K8" s="477" t="s">
        <v>2174</v>
      </c>
      <c r="L8" s="478"/>
    </row>
    <row r="9" customFormat="false" ht="27" hidden="false" customHeight="true" outlineLevel="0" collapsed="false">
      <c r="A9" s="451" t="s">
        <v>2175</v>
      </c>
      <c r="B9" s="479" t="s">
        <v>2176</v>
      </c>
      <c r="C9" s="479" t="s">
        <v>2177</v>
      </c>
      <c r="D9" s="479" t="s">
        <v>2178</v>
      </c>
      <c r="E9" s="479" t="s">
        <v>2179</v>
      </c>
      <c r="F9" s="479" t="s">
        <v>2180</v>
      </c>
      <c r="G9" s="479" t="s">
        <v>2181</v>
      </c>
      <c r="H9" s="479" t="s">
        <v>2182</v>
      </c>
      <c r="I9" s="479" t="s">
        <v>2183</v>
      </c>
      <c r="J9" s="479" t="s">
        <v>2184</v>
      </c>
      <c r="K9" s="479" t="s">
        <v>2185</v>
      </c>
      <c r="L9" s="480"/>
    </row>
    <row r="10" customFormat="false" ht="27" hidden="false" customHeight="true" outlineLevel="0" collapsed="false">
      <c r="A10" s="450" t="s">
        <v>2186</v>
      </c>
      <c r="B10" s="477" t="s">
        <v>2187</v>
      </c>
      <c r="C10" s="477" t="s">
        <v>559</v>
      </c>
      <c r="D10" s="477" t="s">
        <v>2188</v>
      </c>
      <c r="E10" s="477" t="s">
        <v>2189</v>
      </c>
      <c r="F10" s="477" t="s">
        <v>2190</v>
      </c>
      <c r="G10" s="477" t="s">
        <v>2191</v>
      </c>
      <c r="H10" s="477" t="s">
        <v>2192</v>
      </c>
      <c r="I10" s="477" t="s">
        <v>2193</v>
      </c>
      <c r="J10" s="477" t="s">
        <v>2194</v>
      </c>
      <c r="K10" s="477" t="s">
        <v>2195</v>
      </c>
      <c r="L10" s="478"/>
    </row>
    <row r="11" customFormat="false" ht="27" hidden="false" customHeight="true" outlineLevel="0" collapsed="false">
      <c r="A11" s="451" t="s">
        <v>2196</v>
      </c>
      <c r="B11" s="479" t="s">
        <v>2197</v>
      </c>
      <c r="C11" s="479" t="s">
        <v>938</v>
      </c>
      <c r="D11" s="479" t="s">
        <v>2198</v>
      </c>
      <c r="E11" s="479" t="s">
        <v>2199</v>
      </c>
      <c r="F11" s="479" t="s">
        <v>2200</v>
      </c>
      <c r="G11" s="479" t="s">
        <v>2201</v>
      </c>
      <c r="H11" s="479" t="s">
        <v>2202</v>
      </c>
      <c r="I11" s="479" t="s">
        <v>2203</v>
      </c>
      <c r="J11" s="479" t="s">
        <v>2204</v>
      </c>
      <c r="K11" s="479" t="s">
        <v>2205</v>
      </c>
      <c r="L11" s="480"/>
    </row>
    <row r="12" customFormat="false" ht="27" hidden="false" customHeight="true" outlineLevel="0" collapsed="false">
      <c r="A12" s="450" t="s">
        <v>2206</v>
      </c>
      <c r="B12" s="477" t="s">
        <v>2207</v>
      </c>
      <c r="C12" s="477" t="s">
        <v>559</v>
      </c>
      <c r="D12" s="477" t="s">
        <v>2208</v>
      </c>
      <c r="E12" s="477" t="s">
        <v>2209</v>
      </c>
      <c r="F12" s="477" t="s">
        <v>2210</v>
      </c>
      <c r="G12" s="477" t="s">
        <v>2211</v>
      </c>
      <c r="H12" s="477" t="s">
        <v>2212</v>
      </c>
      <c r="I12" s="477" t="s">
        <v>2213</v>
      </c>
      <c r="J12" s="477" t="s">
        <v>2214</v>
      </c>
      <c r="K12" s="477" t="s">
        <v>2215</v>
      </c>
      <c r="L12" s="478"/>
    </row>
    <row r="13" customFormat="false" ht="27" hidden="false" customHeight="true" outlineLevel="0" collapsed="false">
      <c r="A13" s="451" t="s">
        <v>2216</v>
      </c>
      <c r="B13" s="479" t="s">
        <v>2217</v>
      </c>
      <c r="C13" s="479" t="s">
        <v>2218</v>
      </c>
      <c r="D13" s="479" t="s">
        <v>2219</v>
      </c>
      <c r="E13" s="479" t="s">
        <v>2220</v>
      </c>
      <c r="F13" s="479" t="s">
        <v>2221</v>
      </c>
      <c r="G13" s="479" t="s">
        <v>2222</v>
      </c>
      <c r="H13" s="479" t="s">
        <v>2223</v>
      </c>
      <c r="I13" s="479" t="s">
        <v>2224</v>
      </c>
      <c r="J13" s="479" t="s">
        <v>2225</v>
      </c>
      <c r="K13" s="479" t="s">
        <v>2226</v>
      </c>
      <c r="L13" s="480"/>
    </row>
    <row r="14" customFormat="false" ht="27" hidden="false" customHeight="true" outlineLevel="0" collapsed="false">
      <c r="A14" s="452"/>
      <c r="B14" s="481"/>
      <c r="C14" s="481"/>
      <c r="D14" s="481"/>
      <c r="E14" s="481"/>
      <c r="F14" s="481"/>
      <c r="G14" s="481"/>
      <c r="H14" s="481"/>
      <c r="I14" s="481"/>
      <c r="J14" s="481"/>
      <c r="K14" s="481"/>
      <c r="L14" s="478"/>
    </row>
    <row r="15" customFormat="false" ht="27" hidden="false" customHeight="true" outlineLevel="0" collapsed="false">
      <c r="A15" s="453" t="s">
        <v>2227</v>
      </c>
      <c r="B15" s="474"/>
      <c r="C15" s="474"/>
      <c r="D15" s="474"/>
      <c r="E15" s="474"/>
      <c r="F15" s="474"/>
      <c r="G15" s="474"/>
      <c r="H15" s="474"/>
      <c r="I15" s="474"/>
      <c r="J15" s="474"/>
      <c r="K15" s="474"/>
      <c r="L15" s="474"/>
    </row>
    <row r="16" customFormat="false" ht="22.5" hidden="false" customHeight="true" outlineLevel="0" collapsed="false">
      <c r="A16" s="448" t="s">
        <v>154</v>
      </c>
      <c r="B16" s="475" t="s">
        <v>2134</v>
      </c>
      <c r="C16" s="475" t="s">
        <v>157</v>
      </c>
      <c r="D16" s="475" t="s">
        <v>2135</v>
      </c>
      <c r="E16" s="475" t="s">
        <v>2136</v>
      </c>
      <c r="F16" s="475" t="s">
        <v>2228</v>
      </c>
      <c r="G16" s="475" t="s">
        <v>2229</v>
      </c>
      <c r="H16" s="475" t="s">
        <v>2230</v>
      </c>
      <c r="I16" s="475" t="s">
        <v>2140</v>
      </c>
      <c r="J16" s="475" t="s">
        <v>2231</v>
      </c>
      <c r="K16" s="475" t="s">
        <v>2142</v>
      </c>
      <c r="L16" s="476"/>
    </row>
    <row r="17" customFormat="false" ht="27" hidden="false" customHeight="true" outlineLevel="0" collapsed="false">
      <c r="A17" s="450" t="s">
        <v>2232</v>
      </c>
      <c r="B17" s="477" t="s">
        <v>2233</v>
      </c>
      <c r="C17" s="477" t="s">
        <v>2234</v>
      </c>
      <c r="D17" s="477" t="s">
        <v>2235</v>
      </c>
      <c r="E17" s="477" t="s">
        <v>2236</v>
      </c>
      <c r="F17" s="477" t="s">
        <v>2237</v>
      </c>
      <c r="G17" s="477" t="s">
        <v>2238</v>
      </c>
      <c r="H17" s="477" t="s">
        <v>2239</v>
      </c>
      <c r="I17" s="477" t="s">
        <v>2240</v>
      </c>
      <c r="J17" s="477" t="s">
        <v>2241</v>
      </c>
      <c r="K17" s="477" t="s">
        <v>2242</v>
      </c>
      <c r="L17" s="478"/>
    </row>
    <row r="18" customFormat="false" ht="27" hidden="false" customHeight="true" outlineLevel="0" collapsed="false">
      <c r="A18" s="451" t="s">
        <v>2243</v>
      </c>
      <c r="B18" s="479" t="s">
        <v>2244</v>
      </c>
      <c r="C18" s="479" t="s">
        <v>2245</v>
      </c>
      <c r="D18" s="479" t="s">
        <v>2246</v>
      </c>
      <c r="E18" s="479" t="s">
        <v>2247</v>
      </c>
      <c r="F18" s="479" t="s">
        <v>2248</v>
      </c>
      <c r="G18" s="479" t="s">
        <v>2249</v>
      </c>
      <c r="H18" s="479" t="s">
        <v>2250</v>
      </c>
      <c r="I18" s="479" t="s">
        <v>2251</v>
      </c>
      <c r="J18" s="479" t="s">
        <v>2252</v>
      </c>
      <c r="K18" s="479" t="s">
        <v>2253</v>
      </c>
      <c r="L18" s="480"/>
    </row>
    <row r="19" customFormat="false" ht="27" hidden="false" customHeight="true" outlineLevel="0" collapsed="false">
      <c r="A19" s="450" t="s">
        <v>2254</v>
      </c>
      <c r="B19" s="477" t="s">
        <v>2255</v>
      </c>
      <c r="C19" s="477" t="s">
        <v>2256</v>
      </c>
      <c r="D19" s="477" t="s">
        <v>2257</v>
      </c>
      <c r="E19" s="477" t="s">
        <v>2258</v>
      </c>
      <c r="F19" s="477" t="s">
        <v>2259</v>
      </c>
      <c r="G19" s="477" t="s">
        <v>2260</v>
      </c>
      <c r="H19" s="477" t="s">
        <v>2261</v>
      </c>
      <c r="I19" s="477" t="s">
        <v>2262</v>
      </c>
      <c r="J19" s="477" t="s">
        <v>2263</v>
      </c>
      <c r="K19" s="477" t="s">
        <v>2264</v>
      </c>
      <c r="L19" s="478"/>
    </row>
    <row r="20" customFormat="false" ht="27" hidden="false" customHeight="true" outlineLevel="0" collapsed="false">
      <c r="A20" s="451" t="s">
        <v>2265</v>
      </c>
      <c r="B20" s="479" t="s">
        <v>2266</v>
      </c>
      <c r="C20" s="479" t="s">
        <v>2267</v>
      </c>
      <c r="D20" s="479" t="s">
        <v>2268</v>
      </c>
      <c r="E20" s="479" t="s">
        <v>2269</v>
      </c>
      <c r="F20" s="479" t="s">
        <v>2270</v>
      </c>
      <c r="G20" s="479" t="s">
        <v>2271</v>
      </c>
      <c r="H20" s="479" t="s">
        <v>2272</v>
      </c>
      <c r="I20" s="479" t="s">
        <v>2273</v>
      </c>
      <c r="J20" s="479" t="s">
        <v>2274</v>
      </c>
      <c r="K20" s="479" t="s">
        <v>2275</v>
      </c>
      <c r="L20" s="480"/>
    </row>
    <row r="21" customFormat="false" ht="27" hidden="false" customHeight="true" outlineLevel="0" collapsed="false">
      <c r="A21" s="450" t="s">
        <v>2276</v>
      </c>
      <c r="B21" s="477" t="s">
        <v>2277</v>
      </c>
      <c r="C21" s="477" t="s">
        <v>2278</v>
      </c>
      <c r="D21" s="477" t="s">
        <v>2279</v>
      </c>
      <c r="E21" s="477" t="s">
        <v>2280</v>
      </c>
      <c r="F21" s="477" t="s">
        <v>2281</v>
      </c>
      <c r="G21" s="477" t="s">
        <v>2282</v>
      </c>
      <c r="H21" s="477" t="s">
        <v>2283</v>
      </c>
      <c r="I21" s="477" t="s">
        <v>2284</v>
      </c>
      <c r="J21" s="477" t="s">
        <v>2285</v>
      </c>
      <c r="K21" s="477" t="s">
        <v>2286</v>
      </c>
      <c r="L21" s="478"/>
    </row>
    <row r="22" customFormat="false" ht="27" hidden="false" customHeight="true" outlineLevel="0" collapsed="false">
      <c r="A22" s="451" t="s">
        <v>2287</v>
      </c>
      <c r="B22" s="479" t="s">
        <v>2288</v>
      </c>
      <c r="C22" s="479" t="s">
        <v>2289</v>
      </c>
      <c r="D22" s="479" t="s">
        <v>2290</v>
      </c>
      <c r="E22" s="479" t="s">
        <v>2291</v>
      </c>
      <c r="F22" s="479" t="s">
        <v>2292</v>
      </c>
      <c r="G22" s="479" t="s">
        <v>2293</v>
      </c>
      <c r="H22" s="479" t="s">
        <v>2294</v>
      </c>
      <c r="I22" s="479" t="s">
        <v>2295</v>
      </c>
      <c r="J22" s="479" t="s">
        <v>2296</v>
      </c>
      <c r="K22" s="479" t="s">
        <v>2297</v>
      </c>
      <c r="L22" s="480"/>
    </row>
    <row r="23" customFormat="false" ht="27" hidden="false" customHeight="true" outlineLevel="0" collapsed="false">
      <c r="A23" s="450" t="s">
        <v>2298</v>
      </c>
      <c r="B23" s="477" t="s">
        <v>2299</v>
      </c>
      <c r="C23" s="477" t="s">
        <v>2300</v>
      </c>
      <c r="D23" s="477" t="s">
        <v>2301</v>
      </c>
      <c r="E23" s="477" t="s">
        <v>2302</v>
      </c>
      <c r="F23" s="477" t="s">
        <v>2303</v>
      </c>
      <c r="G23" s="477" t="s">
        <v>2304</v>
      </c>
      <c r="H23" s="477" t="s">
        <v>2305</v>
      </c>
      <c r="I23" s="477" t="s">
        <v>2306</v>
      </c>
      <c r="J23" s="477" t="s">
        <v>2307</v>
      </c>
      <c r="K23" s="477" t="s">
        <v>2308</v>
      </c>
      <c r="L23" s="478"/>
    </row>
    <row r="24" customFormat="false" ht="27" hidden="false" customHeight="true" outlineLevel="0" collapsed="false">
      <c r="A24" s="451" t="s">
        <v>2309</v>
      </c>
      <c r="B24" s="479" t="s">
        <v>2310</v>
      </c>
      <c r="C24" s="479" t="s">
        <v>2311</v>
      </c>
      <c r="D24" s="479" t="s">
        <v>2312</v>
      </c>
      <c r="E24" s="479" t="s">
        <v>2313</v>
      </c>
      <c r="F24" s="479" t="s">
        <v>2314</v>
      </c>
      <c r="G24" s="479" t="s">
        <v>2315</v>
      </c>
      <c r="H24" s="479" t="s">
        <v>2316</v>
      </c>
      <c r="I24" s="479" t="s">
        <v>2317</v>
      </c>
      <c r="J24" s="479" t="s">
        <v>2318</v>
      </c>
      <c r="K24" s="479" t="s">
        <v>2319</v>
      </c>
      <c r="L24" s="480"/>
    </row>
    <row r="25" customFormat="false" ht="27" hidden="false" customHeight="true" outlineLevel="0" collapsed="false">
      <c r="A25" s="452"/>
      <c r="B25" s="481"/>
      <c r="C25" s="481"/>
      <c r="D25" s="481"/>
      <c r="E25" s="481"/>
      <c r="F25" s="481"/>
      <c r="G25" s="481"/>
      <c r="H25" s="481"/>
      <c r="I25" s="481"/>
      <c r="J25" s="481"/>
      <c r="K25" s="481"/>
      <c r="L25" s="478"/>
    </row>
    <row r="26" customFormat="false" ht="27" hidden="false" customHeight="true" outlineLevel="0" collapsed="false">
      <c r="A26" s="453" t="s">
        <v>2320</v>
      </c>
      <c r="B26" s="474"/>
      <c r="C26" s="474"/>
      <c r="D26" s="474"/>
      <c r="E26" s="474"/>
      <c r="F26" s="474"/>
      <c r="G26" s="474"/>
      <c r="H26" s="474"/>
      <c r="I26" s="474"/>
      <c r="J26" s="474"/>
      <c r="K26" s="474"/>
      <c r="L26" s="474"/>
    </row>
    <row r="27" customFormat="false" ht="15.75" hidden="false" customHeight="true" outlineLevel="0" collapsed="false">
      <c r="A27" s="482" t="s">
        <v>2321</v>
      </c>
      <c r="B27" s="483"/>
      <c r="C27" s="483"/>
      <c r="D27" s="483"/>
      <c r="E27" s="483"/>
      <c r="F27" s="483"/>
      <c r="G27" s="483"/>
      <c r="H27" s="483"/>
      <c r="I27" s="483"/>
      <c r="J27" s="483"/>
      <c r="K27" s="483"/>
      <c r="L27" s="483"/>
    </row>
    <row r="28" customFormat="false" ht="22.5" hidden="false" customHeight="true" outlineLevel="0" collapsed="false">
      <c r="A28" s="475" t="s">
        <v>2322</v>
      </c>
      <c r="B28" s="475" t="s">
        <v>2323</v>
      </c>
      <c r="C28" s="475" t="s">
        <v>2324</v>
      </c>
      <c r="D28" s="475" t="s">
        <v>2325</v>
      </c>
      <c r="E28" s="475" t="s">
        <v>2326</v>
      </c>
      <c r="F28" s="475" t="s">
        <v>2327</v>
      </c>
      <c r="G28" s="475" t="s">
        <v>105</v>
      </c>
      <c r="H28" s="476"/>
      <c r="I28" s="476"/>
      <c r="J28" s="476"/>
      <c r="K28" s="476"/>
      <c r="L28" s="476"/>
    </row>
    <row r="29" customFormat="false" ht="21" hidden="false" customHeight="true" outlineLevel="0" collapsed="false">
      <c r="A29" s="477" t="s">
        <v>2328</v>
      </c>
      <c r="B29" s="477" t="s">
        <v>2329</v>
      </c>
      <c r="C29" s="477" t="s">
        <v>2330</v>
      </c>
      <c r="D29" s="477" t="s">
        <v>2331</v>
      </c>
      <c r="E29" s="477" t="s">
        <v>2332</v>
      </c>
      <c r="F29" s="477" t="s">
        <v>2333</v>
      </c>
      <c r="G29" s="477" t="s">
        <v>2334</v>
      </c>
      <c r="H29" s="478"/>
      <c r="I29" s="478"/>
      <c r="J29" s="478"/>
      <c r="K29" s="478"/>
      <c r="L29" s="478"/>
    </row>
    <row r="30" customFormat="false" ht="21" hidden="false" customHeight="true" outlineLevel="0" collapsed="false">
      <c r="A30" s="479" t="s">
        <v>2335</v>
      </c>
      <c r="B30" s="479" t="s">
        <v>2333</v>
      </c>
      <c r="C30" s="479" t="s">
        <v>2331</v>
      </c>
      <c r="D30" s="479" t="s">
        <v>2336</v>
      </c>
      <c r="E30" s="479" t="s">
        <v>2337</v>
      </c>
      <c r="F30" s="479" t="s">
        <v>2338</v>
      </c>
      <c r="G30" s="479" t="s">
        <v>2339</v>
      </c>
      <c r="H30" s="480"/>
      <c r="I30" s="480"/>
      <c r="J30" s="480"/>
      <c r="K30" s="480"/>
      <c r="L30" s="480"/>
    </row>
    <row r="31" customFormat="false" ht="21" hidden="false" customHeight="true" outlineLevel="0" collapsed="false">
      <c r="A31" s="477" t="s">
        <v>2340</v>
      </c>
      <c r="B31" s="477" t="s">
        <v>2341</v>
      </c>
      <c r="C31" s="477" t="s">
        <v>2342</v>
      </c>
      <c r="D31" s="477" t="s">
        <v>2343</v>
      </c>
      <c r="E31" s="477" t="s">
        <v>2344</v>
      </c>
      <c r="F31" s="477" t="s">
        <v>2332</v>
      </c>
      <c r="G31" s="477" t="s">
        <v>2345</v>
      </c>
      <c r="H31" s="478"/>
      <c r="I31" s="478"/>
      <c r="J31" s="478"/>
      <c r="K31" s="478"/>
      <c r="L31" s="478"/>
    </row>
    <row r="32" customFormat="false" ht="21" hidden="false" customHeight="true" outlineLevel="0" collapsed="false">
      <c r="A32" s="479" t="s">
        <v>2346</v>
      </c>
      <c r="B32" s="479" t="s">
        <v>2347</v>
      </c>
      <c r="C32" s="479" t="s">
        <v>2348</v>
      </c>
      <c r="D32" s="479" t="s">
        <v>2333</v>
      </c>
      <c r="E32" s="479" t="s">
        <v>2332</v>
      </c>
      <c r="F32" s="479" t="s">
        <v>2344</v>
      </c>
      <c r="G32" s="479" t="s">
        <v>2349</v>
      </c>
      <c r="H32" s="480"/>
      <c r="I32" s="480"/>
      <c r="J32" s="480"/>
      <c r="K32" s="480"/>
      <c r="L32" s="480"/>
    </row>
    <row r="33" customFormat="false" ht="21" hidden="false" customHeight="true" outlineLevel="0" collapsed="false">
      <c r="A33" s="477" t="s">
        <v>2350</v>
      </c>
      <c r="B33" s="477" t="s">
        <v>2351</v>
      </c>
      <c r="C33" s="477" t="s">
        <v>2352</v>
      </c>
      <c r="D33" s="477" t="s">
        <v>2353</v>
      </c>
      <c r="E33" s="477" t="s">
        <v>2354</v>
      </c>
      <c r="F33" s="477" t="s">
        <v>2355</v>
      </c>
      <c r="G33" s="477" t="s">
        <v>2356</v>
      </c>
      <c r="H33" s="478"/>
      <c r="I33" s="478"/>
      <c r="J33" s="478"/>
      <c r="K33" s="478"/>
      <c r="L33" s="478"/>
    </row>
    <row r="34" customFormat="false" ht="21" hidden="false" customHeight="true" outlineLevel="0" collapsed="false">
      <c r="A34" s="479" t="s">
        <v>2357</v>
      </c>
      <c r="B34" s="484" t="n">
        <v>0</v>
      </c>
      <c r="C34" s="484" t="n">
        <v>0</v>
      </c>
      <c r="D34" s="479" t="s">
        <v>2358</v>
      </c>
      <c r="E34" s="479" t="s">
        <v>2359</v>
      </c>
      <c r="F34" s="479" t="s">
        <v>2360</v>
      </c>
      <c r="G34" s="479" t="s">
        <v>2361</v>
      </c>
      <c r="H34" s="480"/>
      <c r="I34" s="480"/>
      <c r="J34" s="480"/>
      <c r="K34" s="480"/>
      <c r="L34" s="480"/>
    </row>
    <row r="35" customFormat="false" ht="21" hidden="false" customHeight="true" outlineLevel="0" collapsed="false">
      <c r="A35" s="477" t="s">
        <v>2362</v>
      </c>
      <c r="B35" s="477" t="s">
        <v>2332</v>
      </c>
      <c r="C35" s="477" t="s">
        <v>2332</v>
      </c>
      <c r="D35" s="477" t="s">
        <v>2332</v>
      </c>
      <c r="E35" s="477" t="s">
        <v>2363</v>
      </c>
      <c r="F35" s="477" t="s">
        <v>2364</v>
      </c>
      <c r="G35" s="477" t="s">
        <v>2365</v>
      </c>
      <c r="H35" s="478"/>
      <c r="I35" s="478"/>
      <c r="J35" s="478"/>
      <c r="K35" s="478"/>
      <c r="L35" s="478"/>
    </row>
    <row r="36" customFormat="false" ht="21" hidden="false" customHeight="true" outlineLevel="0" collapsed="false">
      <c r="A36" s="479" t="s">
        <v>2366</v>
      </c>
      <c r="B36" s="479" t="s">
        <v>2347</v>
      </c>
      <c r="C36" s="479" t="s">
        <v>2348</v>
      </c>
      <c r="D36" s="479" t="s">
        <v>2364</v>
      </c>
      <c r="E36" s="479" t="s">
        <v>2364</v>
      </c>
      <c r="F36" s="479" t="s">
        <v>2333</v>
      </c>
      <c r="G36" s="479" t="s">
        <v>2367</v>
      </c>
      <c r="H36" s="480"/>
      <c r="I36" s="480"/>
      <c r="J36" s="480"/>
      <c r="K36" s="480"/>
      <c r="L36" s="480"/>
    </row>
    <row r="37" customFormat="false" ht="21" hidden="false" customHeight="true" outlineLevel="0" collapsed="false">
      <c r="A37" s="481"/>
      <c r="B37" s="481"/>
      <c r="C37" s="481"/>
      <c r="D37" s="481"/>
      <c r="E37" s="481"/>
      <c r="F37" s="481"/>
      <c r="G37" s="481"/>
      <c r="H37" s="478"/>
      <c r="I37" s="478"/>
      <c r="J37" s="478"/>
      <c r="K37" s="478"/>
      <c r="L37" s="478"/>
    </row>
    <row r="38" customFormat="false" ht="27" hidden="false" customHeight="true" outlineLevel="0" collapsed="false">
      <c r="A38" s="453" t="s">
        <v>2368</v>
      </c>
      <c r="B38" s="474"/>
      <c r="C38" s="474"/>
      <c r="D38" s="474"/>
      <c r="E38" s="474"/>
      <c r="F38" s="474"/>
      <c r="G38" s="474"/>
      <c r="H38" s="474"/>
      <c r="I38" s="474"/>
      <c r="J38" s="474"/>
      <c r="K38" s="474"/>
      <c r="L38" s="474"/>
    </row>
    <row r="39" customFormat="false" ht="15.75" hidden="false" customHeight="true" outlineLevel="0" collapsed="false">
      <c r="A39" s="482" t="s">
        <v>2369</v>
      </c>
      <c r="B39" s="483"/>
      <c r="C39" s="483"/>
      <c r="D39" s="483"/>
      <c r="E39" s="483"/>
      <c r="F39" s="483"/>
      <c r="G39" s="483"/>
      <c r="H39" s="483"/>
      <c r="I39" s="483"/>
      <c r="J39" s="483"/>
      <c r="K39" s="483"/>
      <c r="L39" s="483"/>
    </row>
    <row r="40" customFormat="false" ht="15.75" hidden="false" customHeight="true" outlineLevel="0" collapsed="false">
      <c r="A40" s="347"/>
      <c r="B40" s="473"/>
      <c r="C40" s="473"/>
      <c r="D40" s="473"/>
      <c r="E40" s="473"/>
      <c r="F40" s="473"/>
      <c r="G40" s="473"/>
      <c r="H40" s="473"/>
      <c r="I40" s="473"/>
      <c r="J40" s="473"/>
      <c r="K40" s="473"/>
      <c r="L40" s="473"/>
    </row>
    <row r="41" customFormat="false" ht="22.5" hidden="false" customHeight="true" outlineLevel="0" collapsed="false">
      <c r="A41" s="448" t="s">
        <v>2370</v>
      </c>
      <c r="B41" s="475" t="s">
        <v>2371</v>
      </c>
      <c r="C41" s="475" t="s">
        <v>2372</v>
      </c>
      <c r="D41" s="475" t="s">
        <v>2373</v>
      </c>
      <c r="E41" s="475" t="s">
        <v>2374</v>
      </c>
      <c r="F41" s="475" t="s">
        <v>2375</v>
      </c>
      <c r="G41" s="475" t="s">
        <v>2376</v>
      </c>
      <c r="H41" s="476"/>
      <c r="I41" s="476"/>
      <c r="J41" s="476"/>
      <c r="K41" s="476"/>
      <c r="L41" s="476"/>
    </row>
    <row r="42" customFormat="false" ht="30" hidden="false" customHeight="true" outlineLevel="0" collapsed="false">
      <c r="A42" s="485" t="s">
        <v>2377</v>
      </c>
      <c r="B42" s="486" t="s">
        <v>2378</v>
      </c>
      <c r="C42" s="486" t="s">
        <v>2379</v>
      </c>
      <c r="D42" s="486" t="s">
        <v>2380</v>
      </c>
      <c r="E42" s="486" t="s">
        <v>2381</v>
      </c>
      <c r="F42" s="486" t="s">
        <v>2382</v>
      </c>
      <c r="G42" s="486" t="s">
        <v>2383</v>
      </c>
      <c r="H42" s="487"/>
      <c r="I42" s="487"/>
      <c r="J42" s="487"/>
      <c r="K42" s="487"/>
      <c r="L42" s="487"/>
    </row>
    <row r="43" customFormat="false" ht="30" hidden="false" customHeight="true" outlineLevel="0" collapsed="false">
      <c r="A43" s="485" t="s">
        <v>2384</v>
      </c>
      <c r="B43" s="486" t="s">
        <v>2385</v>
      </c>
      <c r="C43" s="486" t="s">
        <v>2386</v>
      </c>
      <c r="D43" s="486" t="s">
        <v>2387</v>
      </c>
      <c r="E43" s="486" t="s">
        <v>2388</v>
      </c>
      <c r="F43" s="486" t="s">
        <v>2389</v>
      </c>
      <c r="G43" s="486" t="s">
        <v>2390</v>
      </c>
      <c r="H43" s="487"/>
      <c r="I43" s="487"/>
      <c r="J43" s="487"/>
      <c r="K43" s="487"/>
      <c r="L43" s="487"/>
    </row>
    <row r="44" customFormat="false" ht="30" hidden="false" customHeight="true" outlineLevel="0" collapsed="false">
      <c r="A44" s="485" t="s">
        <v>2391</v>
      </c>
      <c r="B44" s="486" t="s">
        <v>2392</v>
      </c>
      <c r="C44" s="486" t="s">
        <v>2393</v>
      </c>
      <c r="D44" s="486" t="s">
        <v>2394</v>
      </c>
      <c r="E44" s="486" t="s">
        <v>2395</v>
      </c>
      <c r="F44" s="486" t="s">
        <v>2396</v>
      </c>
      <c r="G44" s="486" t="s">
        <v>2397</v>
      </c>
      <c r="H44" s="487"/>
      <c r="I44" s="487"/>
      <c r="J44" s="487"/>
      <c r="K44" s="487"/>
      <c r="L44" s="487"/>
    </row>
    <row r="45" customFormat="false" ht="30" hidden="false" customHeight="true" outlineLevel="0" collapsed="false">
      <c r="A45" s="485" t="s">
        <v>2398</v>
      </c>
      <c r="B45" s="486" t="s">
        <v>2399</v>
      </c>
      <c r="C45" s="486" t="s">
        <v>2400</v>
      </c>
      <c r="D45" s="486" t="s">
        <v>2401</v>
      </c>
      <c r="E45" s="486" t="s">
        <v>2402</v>
      </c>
      <c r="F45" s="486" t="s">
        <v>2403</v>
      </c>
      <c r="G45" s="486" t="s">
        <v>2404</v>
      </c>
      <c r="H45" s="487"/>
      <c r="I45" s="487"/>
      <c r="J45" s="487"/>
      <c r="K45" s="487"/>
      <c r="L45" s="487"/>
    </row>
    <row r="46" customFormat="false" ht="30" hidden="false" customHeight="true" outlineLevel="0" collapsed="false">
      <c r="A46" s="465"/>
      <c r="B46" s="488"/>
      <c r="C46" s="488"/>
      <c r="D46" s="488"/>
      <c r="E46" s="488"/>
      <c r="F46" s="488"/>
      <c r="G46" s="488"/>
      <c r="H46" s="487"/>
      <c r="I46" s="487"/>
      <c r="J46" s="487"/>
      <c r="K46" s="487"/>
      <c r="L46" s="487"/>
    </row>
    <row r="47" customFormat="false" ht="27" hidden="false" customHeight="true" outlineLevel="0" collapsed="false">
      <c r="A47" s="453" t="s">
        <v>2405</v>
      </c>
      <c r="B47" s="474"/>
      <c r="C47" s="474"/>
      <c r="D47" s="474"/>
      <c r="E47" s="474"/>
      <c r="F47" s="474"/>
      <c r="G47" s="474"/>
      <c r="H47" s="474"/>
      <c r="I47" s="474"/>
      <c r="J47" s="474"/>
      <c r="K47" s="474"/>
      <c r="L47" s="474"/>
    </row>
    <row r="48" customFormat="false" ht="15.75" hidden="false" customHeight="true" outlineLevel="0" collapsed="false">
      <c r="A48" s="347"/>
      <c r="B48" s="473"/>
      <c r="C48" s="473"/>
      <c r="D48" s="473"/>
      <c r="E48" s="473"/>
      <c r="F48" s="473"/>
      <c r="G48" s="473"/>
      <c r="H48" s="473"/>
      <c r="I48" s="473"/>
      <c r="J48" s="473"/>
      <c r="K48" s="473"/>
      <c r="L48" s="473"/>
    </row>
    <row r="49" customFormat="false" ht="27" hidden="false" customHeight="true" outlineLevel="0" collapsed="false">
      <c r="A49" s="489" t="s">
        <v>2406</v>
      </c>
      <c r="B49" s="490" t="s">
        <v>2407</v>
      </c>
      <c r="C49" s="491"/>
      <c r="D49" s="491"/>
      <c r="E49" s="491"/>
      <c r="F49" s="491"/>
      <c r="G49" s="491"/>
      <c r="H49" s="491"/>
      <c r="I49" s="491"/>
      <c r="J49" s="491"/>
      <c r="K49" s="491"/>
      <c r="L49" s="491"/>
    </row>
    <row r="50" customFormat="false" ht="27" hidden="false" customHeight="true" outlineLevel="0" collapsed="false">
      <c r="A50" s="489" t="s">
        <v>2408</v>
      </c>
      <c r="B50" s="490" t="s">
        <v>2409</v>
      </c>
      <c r="C50" s="491"/>
      <c r="D50" s="491"/>
      <c r="E50" s="491"/>
      <c r="F50" s="491"/>
      <c r="G50" s="491"/>
      <c r="H50" s="491"/>
      <c r="I50" s="491"/>
      <c r="J50" s="491"/>
      <c r="K50" s="491"/>
      <c r="L50" s="491"/>
    </row>
    <row r="51" customFormat="false" ht="27" hidden="false" customHeight="true" outlineLevel="0" collapsed="false">
      <c r="A51" s="489" t="s">
        <v>2410</v>
      </c>
      <c r="B51" s="490" t="s">
        <v>2411</v>
      </c>
      <c r="C51" s="491"/>
      <c r="D51" s="491"/>
      <c r="E51" s="491"/>
      <c r="F51" s="491"/>
      <c r="G51" s="491"/>
      <c r="H51" s="491"/>
      <c r="I51" s="491"/>
      <c r="J51" s="491"/>
      <c r="K51" s="491"/>
      <c r="L51" s="491"/>
    </row>
    <row r="52" customFormat="false" ht="27" hidden="false" customHeight="true" outlineLevel="0" collapsed="false">
      <c r="A52" s="489" t="s">
        <v>2412</v>
      </c>
      <c r="B52" s="490" t="s">
        <v>2413</v>
      </c>
      <c r="C52" s="491"/>
      <c r="D52" s="491"/>
      <c r="E52" s="491"/>
      <c r="F52" s="491"/>
      <c r="G52" s="491"/>
      <c r="H52" s="491"/>
      <c r="I52" s="491"/>
      <c r="J52" s="491"/>
      <c r="K52" s="491"/>
      <c r="L52" s="491"/>
    </row>
    <row r="53" customFormat="false" ht="27" hidden="false" customHeight="true" outlineLevel="0" collapsed="false">
      <c r="A53" s="489" t="s">
        <v>2414</v>
      </c>
      <c r="B53" s="490" t="s">
        <v>2415</v>
      </c>
      <c r="C53" s="491"/>
      <c r="D53" s="491"/>
      <c r="E53" s="491"/>
      <c r="F53" s="491"/>
      <c r="G53" s="491"/>
      <c r="H53" s="491"/>
      <c r="I53" s="491"/>
      <c r="J53" s="491"/>
      <c r="K53" s="491"/>
      <c r="L53" s="491"/>
    </row>
    <row r="54" customFormat="false" ht="27" hidden="false" customHeight="true" outlineLevel="0" collapsed="false">
      <c r="A54" s="489" t="s">
        <v>2416</v>
      </c>
      <c r="B54" s="490" t="s">
        <v>2417</v>
      </c>
      <c r="C54" s="491"/>
      <c r="D54" s="491"/>
      <c r="E54" s="491"/>
      <c r="F54" s="491"/>
      <c r="G54" s="491"/>
      <c r="H54" s="491"/>
      <c r="I54" s="491"/>
      <c r="J54" s="491"/>
      <c r="K54" s="491"/>
      <c r="L54" s="491"/>
    </row>
    <row r="55" customFormat="false" ht="27" hidden="false" customHeight="true" outlineLevel="0" collapsed="false">
      <c r="A55" s="358"/>
      <c r="B55" s="491"/>
      <c r="C55" s="491"/>
      <c r="D55" s="491"/>
      <c r="E55" s="491"/>
      <c r="F55" s="491"/>
      <c r="G55" s="491"/>
      <c r="H55" s="491"/>
      <c r="I55" s="491"/>
      <c r="J55" s="491"/>
      <c r="K55" s="491"/>
      <c r="L55" s="491"/>
    </row>
    <row r="56" customFormat="false" ht="15.75" hidden="false" customHeight="true" outlineLevel="0" collapsed="false">
      <c r="A56" s="362" t="s">
        <v>2418</v>
      </c>
      <c r="B56" s="473"/>
      <c r="C56" s="473"/>
      <c r="D56" s="473"/>
      <c r="E56" s="473"/>
      <c r="F56" s="473"/>
      <c r="G56" s="473"/>
      <c r="H56" s="473"/>
      <c r="I56" s="473"/>
      <c r="J56" s="473"/>
      <c r="K56" s="473"/>
      <c r="L56" s="473"/>
    </row>
    <row r="57" customFormat="false" ht="27" hidden="false" customHeight="true" outlineLevel="0" collapsed="false">
      <c r="A57" s="453" t="s">
        <v>1694</v>
      </c>
      <c r="B57" s="492" t="s">
        <v>2419</v>
      </c>
      <c r="C57" s="474"/>
      <c r="D57" s="474"/>
      <c r="E57" s="474"/>
      <c r="F57" s="474"/>
      <c r="G57" s="474"/>
      <c r="H57" s="474"/>
      <c r="I57" s="474"/>
      <c r="J57" s="474"/>
      <c r="K57" s="474"/>
      <c r="L57" s="474"/>
    </row>
    <row r="58" customFormat="false" ht="18" hidden="false" customHeight="true" outlineLevel="0" collapsed="false">
      <c r="A58" s="493" t="s">
        <v>2420</v>
      </c>
      <c r="B58" s="494" t="s">
        <v>2421</v>
      </c>
      <c r="C58" s="495"/>
      <c r="D58" s="495"/>
      <c r="E58" s="495"/>
      <c r="F58" s="495"/>
      <c r="G58" s="495"/>
      <c r="H58" s="495"/>
      <c r="I58" s="495"/>
      <c r="J58" s="495"/>
      <c r="K58" s="495"/>
      <c r="L58" s="495"/>
    </row>
    <row r="59" customFormat="false" ht="18" hidden="false" customHeight="true" outlineLevel="0" collapsed="false">
      <c r="A59" s="247" t="s">
        <v>2422</v>
      </c>
      <c r="B59" s="496" t="s">
        <v>2423</v>
      </c>
      <c r="C59" s="497"/>
      <c r="D59" s="497"/>
      <c r="E59" s="497"/>
      <c r="F59" s="497"/>
      <c r="G59" s="497"/>
      <c r="H59" s="497"/>
      <c r="I59" s="497"/>
      <c r="J59" s="497"/>
      <c r="K59" s="497"/>
      <c r="L59" s="497"/>
    </row>
    <row r="60" customFormat="false" ht="18" hidden="false" customHeight="true" outlineLevel="0" collapsed="false">
      <c r="A60" s="493" t="s">
        <v>2424</v>
      </c>
      <c r="B60" s="494" t="s">
        <v>2425</v>
      </c>
      <c r="C60" s="495"/>
      <c r="D60" s="495"/>
      <c r="E60" s="495"/>
      <c r="F60" s="495"/>
      <c r="G60" s="495"/>
      <c r="H60" s="495"/>
      <c r="I60" s="495"/>
      <c r="J60" s="495"/>
      <c r="K60" s="495"/>
      <c r="L60" s="495"/>
    </row>
    <row r="61" customFormat="false" ht="18" hidden="false" customHeight="true" outlineLevel="0" collapsed="false">
      <c r="A61" s="247" t="s">
        <v>1901</v>
      </c>
      <c r="B61" s="496" t="s">
        <v>2426</v>
      </c>
      <c r="C61" s="497"/>
      <c r="D61" s="497"/>
      <c r="E61" s="497"/>
      <c r="F61" s="497"/>
      <c r="G61" s="497"/>
      <c r="H61" s="497"/>
      <c r="I61" s="497"/>
      <c r="J61" s="497"/>
      <c r="K61" s="497"/>
      <c r="L61" s="497"/>
    </row>
    <row r="62" customFormat="false" ht="18" hidden="false" customHeight="true" outlineLevel="0" collapsed="false">
      <c r="A62" s="493" t="s">
        <v>2427</v>
      </c>
      <c r="B62" s="494" t="s">
        <v>2428</v>
      </c>
      <c r="C62" s="495"/>
      <c r="D62" s="495"/>
      <c r="E62" s="495"/>
      <c r="F62" s="495"/>
      <c r="G62" s="495"/>
      <c r="H62" s="495"/>
      <c r="I62" s="495"/>
      <c r="J62" s="495"/>
      <c r="K62" s="495"/>
      <c r="L62" s="495"/>
    </row>
    <row r="63" customFormat="false" ht="18" hidden="false" customHeight="true" outlineLevel="0" collapsed="false">
      <c r="A63" s="247" t="s">
        <v>2429</v>
      </c>
      <c r="B63" s="496" t="s">
        <v>2430</v>
      </c>
      <c r="C63" s="497"/>
      <c r="D63" s="497"/>
      <c r="E63" s="497"/>
      <c r="F63" s="497"/>
      <c r="G63" s="497"/>
      <c r="H63" s="497"/>
      <c r="I63" s="497"/>
      <c r="J63" s="497"/>
      <c r="K63" s="497"/>
      <c r="L63" s="497"/>
    </row>
    <row r="64" customFormat="false" ht="18" hidden="false" customHeight="true" outlineLevel="0" collapsed="false">
      <c r="A64" s="493" t="s">
        <v>2431</v>
      </c>
      <c r="B64" s="494" t="s">
        <v>2432</v>
      </c>
      <c r="C64" s="495"/>
      <c r="D64" s="495"/>
      <c r="E64" s="495"/>
      <c r="F64" s="495"/>
      <c r="G64" s="495"/>
      <c r="H64" s="495"/>
      <c r="I64" s="495"/>
      <c r="J64" s="495"/>
      <c r="K64" s="495"/>
      <c r="L64" s="495"/>
    </row>
    <row r="65" customFormat="false" ht="18" hidden="false" customHeight="true" outlineLevel="0" collapsed="false">
      <c r="A65" s="360"/>
      <c r="B65" s="497"/>
      <c r="C65" s="497"/>
      <c r="D65" s="497"/>
      <c r="E65" s="497"/>
      <c r="F65" s="497"/>
      <c r="G65" s="497"/>
      <c r="H65" s="497"/>
      <c r="I65" s="497"/>
      <c r="J65" s="497"/>
      <c r="K65" s="497"/>
      <c r="L65" s="497"/>
    </row>
    <row r="66" customFormat="false" ht="15.75" hidden="false" customHeight="true" outlineLevel="0" collapsed="false">
      <c r="A66" s="347"/>
      <c r="B66" s="473"/>
      <c r="C66" s="473"/>
      <c r="D66" s="473"/>
      <c r="E66" s="473"/>
      <c r="F66" s="473"/>
      <c r="G66" s="473"/>
      <c r="H66" s="473"/>
      <c r="I66" s="473"/>
      <c r="J66" s="473"/>
      <c r="K66" s="473"/>
      <c r="L66" s="473"/>
    </row>
    <row r="67" customFormat="false" ht="15.75" hidden="false" customHeight="true" outlineLevel="0" collapsed="false">
      <c r="A67" s="347"/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</row>
    <row r="68" customFormat="false" ht="15.75" hidden="false" customHeight="true" outlineLevel="0" collapsed="false">
      <c r="A68" s="347"/>
      <c r="B68" s="473"/>
      <c r="C68" s="473"/>
      <c r="D68" s="473"/>
      <c r="E68" s="473"/>
      <c r="F68" s="473"/>
      <c r="G68" s="473"/>
      <c r="H68" s="473"/>
      <c r="I68" s="473"/>
      <c r="J68" s="473"/>
      <c r="K68" s="473"/>
      <c r="L68" s="473"/>
    </row>
    <row r="69" customFormat="false" ht="15.75" hidden="false" customHeight="true" outlineLevel="0" collapsed="false">
      <c r="A69" s="347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</row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4D2B"/>
    <outlinePr summaryBelow="0"/>
    <pageSetUpPr fitToPage="tru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4" min="3" style="1" width="24"/>
    <col collapsed="false" customWidth="true" hidden="false" outlineLevel="0" max="5" min="5" style="1" width="18"/>
    <col collapsed="false" customWidth="true" hidden="false" outlineLevel="0" max="6" min="6" style="1" width="42"/>
  </cols>
  <sheetData>
    <row r="1" customFormat="false" ht="19.5" hidden="false" customHeight="true" outlineLevel="0" collapsed="false">
      <c r="A1" s="498" t="s">
        <v>2433</v>
      </c>
      <c r="B1" s="498"/>
      <c r="C1" s="498"/>
      <c r="D1" s="498"/>
      <c r="E1" s="498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customFormat="false" ht="15" hidden="false" customHeight="true" outlineLevel="0" collapsed="false">
      <c r="A2" s="499"/>
      <c r="B2" s="499"/>
      <c r="C2" s="499"/>
      <c r="D2" s="499"/>
      <c r="E2" s="499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customFormat="false" ht="15" hidden="false" customHeight="true" outlineLevel="0" collapsed="false">
      <c r="A3" s="500" t="s">
        <v>2434</v>
      </c>
      <c r="B3" s="500"/>
      <c r="C3" s="500"/>
      <c r="D3" s="500"/>
      <c r="E3" s="500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customFormat="false" ht="135.75" hidden="false" customHeight="true" outlineLevel="0" collapsed="false">
      <c r="A4" s="463" t="s">
        <v>2435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customFormat="false" ht="15.75" hidden="false" customHeight="true" outlineLevel="0" collapsed="false">
      <c r="A5" s="501"/>
      <c r="B5" s="501"/>
      <c r="C5" s="501"/>
      <c r="D5" s="501"/>
      <c r="E5" s="501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customFormat="false" ht="15" hidden="false" customHeight="true" outlineLevel="0" collapsed="false">
      <c r="A6" s="502" t="s">
        <v>2436</v>
      </c>
      <c r="B6" s="502"/>
      <c r="C6" s="502"/>
      <c r="D6" s="502"/>
      <c r="E6" s="502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customFormat="false" ht="15" hidden="false" customHeight="true" outlineLevel="0" collapsed="false">
      <c r="A7" s="55" t="s">
        <v>2437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customFormat="false" ht="15.75" hidden="false" customHeight="true" outlineLevel="0" collapsed="false">
      <c r="A8" s="503" t="s">
        <v>2438</v>
      </c>
      <c r="B8" s="503"/>
      <c r="C8" s="503"/>
      <c r="D8" s="503"/>
      <c r="E8" s="503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customFormat="false" ht="15" hidden="false" customHeight="true" outlineLevel="0" collapsed="false">
      <c r="A9" s="504" t="s">
        <v>2439</v>
      </c>
      <c r="B9" s="504"/>
      <c r="C9" s="504"/>
      <c r="D9" s="504"/>
      <c r="E9" s="504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customFormat="false" ht="77.25" hidden="false" customHeight="true" outlineLevel="0" collapsed="false">
      <c r="A10" s="505" t="s">
        <v>2440</v>
      </c>
      <c r="B10" s="505" t="s">
        <v>2441</v>
      </c>
      <c r="C10" s="505" t="s">
        <v>2442</v>
      </c>
      <c r="D10" s="505" t="s">
        <v>2443</v>
      </c>
      <c r="E10" s="505" t="s">
        <v>2444</v>
      </c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customFormat="false" ht="63.75" hidden="false" customHeight="true" outlineLevel="0" collapsed="false">
      <c r="A11" s="506"/>
      <c r="B11" s="507" t="s">
        <v>2445</v>
      </c>
      <c r="C11" s="508" t="s">
        <v>2446</v>
      </c>
      <c r="D11" s="509" t="s">
        <v>2447</v>
      </c>
      <c r="E11" s="510" t="s">
        <v>2448</v>
      </c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customFormat="false" ht="84.75" hidden="false" customHeight="true" outlineLevel="0" collapsed="false">
      <c r="A12" s="511" t="s">
        <v>2449</v>
      </c>
      <c r="B12" s="511" t="s">
        <v>2450</v>
      </c>
      <c r="C12" s="512" t="s">
        <v>2451</v>
      </c>
      <c r="D12" s="513" t="s">
        <v>2452</v>
      </c>
      <c r="E12" s="514" t="s">
        <v>2453</v>
      </c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customFormat="false" ht="84.75" hidden="false" customHeight="true" outlineLevel="0" collapsed="false">
      <c r="A13" s="507" t="s">
        <v>2454</v>
      </c>
      <c r="B13" s="507" t="s">
        <v>2455</v>
      </c>
      <c r="C13" s="508" t="s">
        <v>2456</v>
      </c>
      <c r="D13" s="509" t="s">
        <v>2457</v>
      </c>
      <c r="E13" s="510" t="s">
        <v>2458</v>
      </c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customFormat="false" ht="84.75" hidden="false" customHeight="true" outlineLevel="0" collapsed="false">
      <c r="A14" s="511" t="s">
        <v>2459</v>
      </c>
      <c r="B14" s="511" t="s">
        <v>2460</v>
      </c>
      <c r="C14" s="512" t="s">
        <v>2461</v>
      </c>
      <c r="D14" s="513" t="s">
        <v>2462</v>
      </c>
      <c r="E14" s="514" t="s">
        <v>2463</v>
      </c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customFormat="false" ht="95.25" hidden="false" customHeight="true" outlineLevel="0" collapsed="false">
      <c r="A15" s="507" t="s">
        <v>2464</v>
      </c>
      <c r="B15" s="507" t="s">
        <v>2465</v>
      </c>
      <c r="C15" s="508" t="s">
        <v>2466</v>
      </c>
      <c r="D15" s="509" t="s">
        <v>2467</v>
      </c>
      <c r="E15" s="510" t="s">
        <v>2468</v>
      </c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customFormat="false" ht="74.25" hidden="false" customHeight="true" outlineLevel="0" collapsed="false">
      <c r="A16" s="511" t="s">
        <v>2469</v>
      </c>
      <c r="B16" s="511" t="s">
        <v>2470</v>
      </c>
      <c r="C16" s="512" t="s">
        <v>2471</v>
      </c>
      <c r="D16" s="513" t="s">
        <v>2472</v>
      </c>
      <c r="E16" s="514" t="s">
        <v>2473</v>
      </c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customFormat="false" ht="84.75" hidden="false" customHeight="true" outlineLevel="0" collapsed="false">
      <c r="A17" s="507" t="s">
        <v>2474</v>
      </c>
      <c r="B17" s="507" t="s">
        <v>2475</v>
      </c>
      <c r="C17" s="508" t="s">
        <v>2476</v>
      </c>
      <c r="D17" s="509" t="s">
        <v>2477</v>
      </c>
      <c r="E17" s="510" t="s">
        <v>2478</v>
      </c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customFormat="false" ht="84.75" hidden="false" customHeight="true" outlineLevel="0" collapsed="false">
      <c r="A18" s="511" t="s">
        <v>2479</v>
      </c>
      <c r="B18" s="511" t="s">
        <v>2480</v>
      </c>
      <c r="C18" s="512" t="s">
        <v>2481</v>
      </c>
      <c r="D18" s="513" t="s">
        <v>2482</v>
      </c>
      <c r="E18" s="514" t="s">
        <v>2483</v>
      </c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customFormat="false" ht="116.25" hidden="false" customHeight="true" outlineLevel="0" collapsed="false">
      <c r="A19" s="507" t="s">
        <v>2484</v>
      </c>
      <c r="B19" s="507" t="s">
        <v>2485</v>
      </c>
      <c r="C19" s="508" t="s">
        <v>2486</v>
      </c>
      <c r="D19" s="509" t="s">
        <v>2487</v>
      </c>
      <c r="E19" s="510" t="s">
        <v>2488</v>
      </c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customFormat="false" ht="74.25" hidden="false" customHeight="true" outlineLevel="0" collapsed="false">
      <c r="A20" s="515"/>
      <c r="B20" s="511" t="s">
        <v>2489</v>
      </c>
      <c r="C20" s="512" t="s">
        <v>2490</v>
      </c>
      <c r="D20" s="513" t="s">
        <v>2491</v>
      </c>
      <c r="E20" s="514" t="s">
        <v>2492</v>
      </c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customFormat="false" ht="15.75" hidden="false" customHeight="true" outlineLevel="0" collapsed="false">
      <c r="A21" s="55" t="s">
        <v>2493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customFormat="false" ht="15.75" hidden="false" customHeight="true" outlineLevel="0" collapsed="false">
      <c r="A22" s="503" t="s">
        <v>2494</v>
      </c>
      <c r="B22" s="503"/>
      <c r="C22" s="503"/>
      <c r="D22" s="503"/>
      <c r="E22" s="503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customFormat="false" ht="15" hidden="false" customHeight="true" outlineLevel="0" collapsed="false">
      <c r="A23" s="516" t="s">
        <v>2495</v>
      </c>
      <c r="B23" s="516"/>
      <c r="C23" s="516"/>
      <c r="D23" s="516"/>
      <c r="E23" s="516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customFormat="false" ht="15" hidden="false" customHeight="true" outlineLevel="0" collapsed="false">
      <c r="A24" s="517" t="s">
        <v>2496</v>
      </c>
      <c r="B24" s="517"/>
      <c r="C24" s="517"/>
      <c r="D24" s="517"/>
      <c r="E24" s="517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customFormat="false" ht="15.75" hidden="false" customHeight="true" outlineLevel="0" collapsed="false">
      <c r="A25" s="55" t="s">
        <v>2497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customFormat="false" ht="15.75" hidden="false" customHeight="true" outlineLevel="0" collapsed="false">
      <c r="A26" s="55" t="s">
        <v>2498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customFormat="false" ht="15.75" hidden="false" customHeight="true" outlineLevel="0" collapsed="false">
      <c r="A27" s="503" t="s">
        <v>2499</v>
      </c>
      <c r="B27" s="503"/>
      <c r="C27" s="503"/>
      <c r="D27" s="503"/>
      <c r="E27" s="503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customFormat="false" ht="15.75" hidden="false" customHeight="true" outlineLevel="0" collapsed="false">
      <c r="A28" s="518"/>
      <c r="B28" s="518"/>
      <c r="C28" s="518"/>
      <c r="D28" s="518"/>
      <c r="E28" s="518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customFormat="false" ht="15.75" hidden="false" customHeight="true" outlineLevel="0" collapsed="false">
      <c r="A29" s="505" t="s">
        <v>2500</v>
      </c>
      <c r="B29" s="505" t="s">
        <v>2501</v>
      </c>
      <c r="C29" s="505" t="s">
        <v>2502</v>
      </c>
      <c r="D29" s="505" t="s">
        <v>2503</v>
      </c>
      <c r="E29" s="505" t="s">
        <v>2504</v>
      </c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customFormat="false" ht="15.75" hidden="false" customHeight="true" outlineLevel="0" collapsed="false">
      <c r="A30" s="519" t="s">
        <v>2505</v>
      </c>
      <c r="B30" s="520" t="s">
        <v>2506</v>
      </c>
      <c r="C30" s="521" t="s">
        <v>2507</v>
      </c>
      <c r="D30" s="522" t="s">
        <v>2508</v>
      </c>
      <c r="E30" s="523" t="s">
        <v>2509</v>
      </c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customFormat="false" ht="15.75" hidden="false" customHeight="true" outlineLevel="0" collapsed="false">
      <c r="A31" s="524"/>
      <c r="B31" s="525" t="s">
        <v>2510</v>
      </c>
      <c r="C31" s="526" t="s">
        <v>2511</v>
      </c>
      <c r="D31" s="527" t="s">
        <v>2512</v>
      </c>
      <c r="E31" s="528" t="s">
        <v>2513</v>
      </c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customFormat="false" ht="15.75" hidden="false" customHeight="true" outlineLevel="0" collapsed="false">
      <c r="A32" s="529" t="s">
        <v>2514</v>
      </c>
      <c r="B32" s="525" t="s">
        <v>2515</v>
      </c>
      <c r="C32" s="526" t="s">
        <v>2516</v>
      </c>
      <c r="D32" s="527" t="s">
        <v>2517</v>
      </c>
      <c r="E32" s="528" t="s">
        <v>2518</v>
      </c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customFormat="false" ht="15.75" hidden="false" customHeight="true" outlineLevel="0" collapsed="false">
      <c r="A33" s="530" t="s">
        <v>2519</v>
      </c>
      <c r="B33" s="531" t="s">
        <v>2520</v>
      </c>
      <c r="C33" s="532" t="s">
        <v>2521</v>
      </c>
      <c r="D33" s="533" t="s">
        <v>2522</v>
      </c>
      <c r="E33" s="534" t="s">
        <v>2523</v>
      </c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customFormat="false" ht="15.75" hidden="false" customHeight="true" outlineLevel="0" collapsed="false">
      <c r="A34" s="535" t="s">
        <v>2524</v>
      </c>
      <c r="B34" s="536" t="s">
        <v>2525</v>
      </c>
      <c r="C34" s="537" t="s">
        <v>2526</v>
      </c>
      <c r="D34" s="538" t="s">
        <v>2527</v>
      </c>
      <c r="E34" s="539" t="s">
        <v>2528</v>
      </c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customFormat="false" ht="15.75" hidden="false" customHeight="true" outlineLevel="0" collapsed="false">
      <c r="A35" s="535" t="s">
        <v>2529</v>
      </c>
      <c r="B35" s="536" t="s">
        <v>2530</v>
      </c>
      <c r="C35" s="537" t="s">
        <v>2531</v>
      </c>
      <c r="D35" s="538" t="s">
        <v>2532</v>
      </c>
      <c r="E35" s="539" t="s">
        <v>2528</v>
      </c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customFormat="false" ht="15.75" hidden="false" customHeight="true" outlineLevel="0" collapsed="false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customFormat="false" ht="15.75" hidden="false" customHeight="true" outlineLevel="0" collapsed="false">
      <c r="A37" s="503" t="s">
        <v>2533</v>
      </c>
      <c r="B37" s="503"/>
      <c r="C37" s="503"/>
      <c r="D37" s="503"/>
      <c r="E37" s="503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customFormat="false" ht="15" hidden="false" customHeight="true" outlineLevel="0" collapsed="false">
      <c r="A38" s="540" t="s">
        <v>2534</v>
      </c>
      <c r="B38" s="540"/>
      <c r="C38" s="540"/>
      <c r="D38" s="540"/>
      <c r="E38" s="540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customFormat="false" ht="15.75" hidden="false" customHeight="true" outlineLevel="0" collapsed="false">
      <c r="A39" s="55" t="s">
        <v>2535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customFormat="false" ht="15.75" hidden="false" customHeight="true" outlineLevel="0" collapsed="false">
      <c r="A40" s="541" t="s">
        <v>2536</v>
      </c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customFormat="false" ht="15.75" hidden="false" customHeight="true" outlineLevel="0" collapsed="false">
      <c r="A41" s="505" t="s">
        <v>2537</v>
      </c>
      <c r="B41" s="505" t="s">
        <v>2538</v>
      </c>
      <c r="C41" s="505" t="s">
        <v>2539</v>
      </c>
      <c r="D41" s="505" t="s">
        <v>2540</v>
      </c>
      <c r="E41" s="505" t="s">
        <v>2541</v>
      </c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customFormat="false" ht="15.75" hidden="false" customHeight="true" outlineLevel="0" collapsed="false">
      <c r="A42" s="542" t="s">
        <v>2542</v>
      </c>
      <c r="B42" s="543"/>
      <c r="C42" s="544"/>
      <c r="D42" s="545"/>
      <c r="E42" s="546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customFormat="false" ht="15.75" hidden="false" customHeight="true" outlineLevel="0" collapsed="false">
      <c r="A43" s="547" t="s">
        <v>99</v>
      </c>
      <c r="B43" s="547" t="s">
        <v>100</v>
      </c>
      <c r="C43" s="547" t="s">
        <v>101</v>
      </c>
      <c r="D43" s="547" t="s">
        <v>1494</v>
      </c>
      <c r="E43" s="547" t="s">
        <v>104</v>
      </c>
      <c r="F43" s="548" t="s">
        <v>2543</v>
      </c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customFormat="false" ht="15.75" hidden="false" customHeight="true" outlineLevel="0" collapsed="false">
      <c r="A44" s="549" t="s">
        <v>106</v>
      </c>
      <c r="B44" s="549" t="s">
        <v>107</v>
      </c>
      <c r="C44" s="549" t="s">
        <v>108</v>
      </c>
      <c r="D44" s="549" t="s">
        <v>1499</v>
      </c>
      <c r="E44" s="549" t="s">
        <v>2096</v>
      </c>
      <c r="F44" s="463" t="s">
        <v>2544</v>
      </c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customFormat="false" ht="15.75" hidden="false" customHeight="true" outlineLevel="0" collapsed="false">
      <c r="A45" s="550" t="s">
        <v>110</v>
      </c>
      <c r="B45" s="550" t="s">
        <v>111</v>
      </c>
      <c r="C45" s="550" t="s">
        <v>1501</v>
      </c>
      <c r="D45" s="550" t="s">
        <v>1505</v>
      </c>
      <c r="E45" s="550" t="s">
        <v>2103</v>
      </c>
      <c r="F45" s="463" t="s">
        <v>2545</v>
      </c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customFormat="false" ht="15.75" hidden="false" customHeight="true" outlineLevel="0" collapsed="false">
      <c r="A46" s="549" t="s">
        <v>114</v>
      </c>
      <c r="B46" s="549" t="s">
        <v>115</v>
      </c>
      <c r="C46" s="549" t="s">
        <v>1507</v>
      </c>
      <c r="D46" s="549" t="s">
        <v>1510</v>
      </c>
      <c r="E46" s="549" t="s">
        <v>2110</v>
      </c>
      <c r="F46" s="463" t="s">
        <v>2112</v>
      </c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customFormat="false" ht="15.75" hidden="false" customHeight="true" outlineLevel="0" collapsed="false">
      <c r="A47" s="550" t="s">
        <v>118</v>
      </c>
      <c r="B47" s="550" t="s">
        <v>119</v>
      </c>
      <c r="C47" s="550" t="s">
        <v>1512</v>
      </c>
      <c r="D47" s="550" t="s">
        <v>1516</v>
      </c>
      <c r="E47" s="550" t="s">
        <v>2117</v>
      </c>
      <c r="F47" s="463" t="s">
        <v>2546</v>
      </c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customFormat="false" ht="15.75" hidden="false" customHeight="true" outlineLevel="0" collapsed="false">
      <c r="A48" s="549" t="s">
        <v>122</v>
      </c>
      <c r="B48" s="549" t="s">
        <v>123</v>
      </c>
      <c r="C48" s="549" t="s">
        <v>2547</v>
      </c>
      <c r="D48" s="549" t="s">
        <v>1521</v>
      </c>
      <c r="E48" s="549" t="s">
        <v>2123</v>
      </c>
      <c r="F48" s="463" t="s">
        <v>2548</v>
      </c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customFormat="false" ht="15.75" hidden="false" customHeight="true" outlineLevel="0" collapsed="false">
      <c r="A49" s="506"/>
      <c r="B49" s="551"/>
      <c r="C49" s="552"/>
      <c r="D49" s="553"/>
      <c r="E49" s="554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customFormat="false" ht="15.75" hidden="false" customHeight="true" outlineLevel="0" collapsed="false">
      <c r="A50" s="515"/>
      <c r="B50" s="543"/>
      <c r="C50" s="544"/>
      <c r="D50" s="545"/>
      <c r="E50" s="546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customFormat="false" ht="15.75" hidden="false" customHeight="true" outlineLevel="0" collapsed="false">
      <c r="A51" s="555" t="s">
        <v>2549</v>
      </c>
      <c r="B51" s="551"/>
      <c r="C51" s="552"/>
      <c r="D51" s="553"/>
      <c r="E51" s="554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customFormat="false" ht="15.75" hidden="false" customHeight="true" outlineLevel="0" collapsed="false">
      <c r="A52" s="463" t="s">
        <v>2550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customFormat="false" ht="15.75" hidden="false" customHeight="true" outlineLevel="0" collapsed="false">
      <c r="A53" s="556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customFormat="false" ht="15.75" hidden="false" customHeight="true" outlineLevel="0" collapsed="false">
      <c r="A54" s="557" t="s">
        <v>2551</v>
      </c>
      <c r="B54" s="558"/>
      <c r="C54" s="558"/>
      <c r="D54" s="558"/>
      <c r="E54" s="558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customFormat="false" ht="15.75" hidden="false" customHeight="true" outlineLevel="0" collapsed="false">
      <c r="A55" s="559" t="s">
        <v>2552</v>
      </c>
      <c r="B55" s="560"/>
      <c r="C55" s="560"/>
      <c r="D55" s="561"/>
      <c r="E55" s="562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customFormat="false" ht="15.75" hidden="false" customHeight="true" outlineLevel="0" collapsed="false">
      <c r="A56" s="563" t="s">
        <v>2553</v>
      </c>
      <c r="B56" s="564"/>
      <c r="C56" s="564"/>
      <c r="D56" s="565"/>
      <c r="E56" s="566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customFormat="false" ht="15.75" hidden="false" customHeight="true" outlineLevel="0" collapsed="false">
      <c r="A57" s="567" t="s">
        <v>2554</v>
      </c>
      <c r="B57" s="560"/>
      <c r="C57" s="560"/>
      <c r="D57" s="561"/>
      <c r="E57" s="562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customFormat="false" ht="15.75" hidden="false" customHeight="true" outlineLevel="0" collapsed="false">
      <c r="A58" s="568"/>
      <c r="B58" s="564"/>
      <c r="C58" s="564"/>
      <c r="D58" s="565"/>
      <c r="E58" s="566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customFormat="false" ht="15.75" hidden="false" customHeight="true" outlineLevel="0" collapsed="false">
      <c r="A59" s="569"/>
      <c r="B59" s="560"/>
      <c r="C59" s="560"/>
      <c r="D59" s="561"/>
      <c r="E59" s="562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customFormat="false" ht="15.75" hidden="false" customHeight="true" outlineLevel="0" collapsed="false">
      <c r="A60" s="542" t="s">
        <v>2555</v>
      </c>
      <c r="B60" s="564"/>
      <c r="C60" s="564"/>
      <c r="D60" s="565"/>
      <c r="E60" s="566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customFormat="false" ht="15.75" hidden="false" customHeight="true" outlineLevel="0" collapsed="false">
      <c r="A61" s="570" t="s">
        <v>2556</v>
      </c>
      <c r="B61" s="571"/>
      <c r="C61" s="571"/>
      <c r="D61" s="572"/>
      <c r="E61" s="573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customFormat="false" ht="15.75" hidden="false" customHeight="true" outlineLevel="0" collapsed="false">
      <c r="A62" s="574"/>
      <c r="B62" s="571"/>
      <c r="C62" s="571"/>
      <c r="D62" s="572"/>
      <c r="E62" s="573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customFormat="false" ht="15.75" hidden="false" customHeight="true" outlineLevel="0" collapsed="false">
      <c r="A63" s="575" t="s">
        <v>127</v>
      </c>
      <c r="B63" s="575" t="s">
        <v>128</v>
      </c>
      <c r="C63" s="575" t="s">
        <v>2557</v>
      </c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customFormat="false" ht="15" hidden="false" customHeight="true" outlineLevel="0" collapsed="false">
      <c r="A64" s="576" t="s">
        <v>130</v>
      </c>
      <c r="B64" s="463" t="s">
        <v>131</v>
      </c>
      <c r="C64" s="463" t="s">
        <v>2558</v>
      </c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customFormat="false" ht="15.75" hidden="false" customHeight="true" outlineLevel="0" collapsed="false">
      <c r="A65" s="463" t="s">
        <v>133</v>
      </c>
      <c r="B65" s="463" t="s">
        <v>2559</v>
      </c>
      <c r="C65" s="463" t="s">
        <v>2558</v>
      </c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customFormat="false" ht="15.75" hidden="false" customHeight="true" outlineLevel="0" collapsed="false">
      <c r="A66" s="463" t="s">
        <v>135</v>
      </c>
      <c r="B66" s="463" t="s">
        <v>2560</v>
      </c>
      <c r="C66" s="463" t="s">
        <v>2561</v>
      </c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customFormat="false" ht="15.75" hidden="false" customHeight="true" outlineLevel="0" collapsed="false">
      <c r="A67" s="463" t="s">
        <v>138</v>
      </c>
      <c r="B67" s="463" t="s">
        <v>139</v>
      </c>
      <c r="C67" s="463" t="s">
        <v>2562</v>
      </c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customFormat="false" ht="15.75" hidden="false" customHeight="true" outlineLevel="0" collapsed="false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customFormat="false" ht="15.75" hidden="false" customHeight="true" outlineLevel="0" collapsed="false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customFormat="false" ht="15.75" hidden="false" customHeight="true" outlineLevel="0" collapsed="false">
      <c r="A70" s="577" t="s">
        <v>2563</v>
      </c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customFormat="false" ht="15.75" hidden="false" customHeight="true" outlineLevel="0" collapsed="false">
      <c r="A71" s="308" t="s">
        <v>2564</v>
      </c>
      <c r="B71" s="308"/>
      <c r="C71" s="308"/>
      <c r="D71" s="308"/>
      <c r="E71" s="308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customFormat="false" ht="15.75" hidden="false" customHeight="true" outlineLevel="0" collapsed="false">
      <c r="A72" s="308" t="s">
        <v>2565</v>
      </c>
      <c r="B72" s="308"/>
      <c r="C72" s="308"/>
      <c r="D72" s="308"/>
      <c r="E72" s="308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customFormat="false" ht="15.75" hidden="false" customHeight="true" outlineLevel="0" collapsed="false">
      <c r="A73" s="308" t="s">
        <v>2566</v>
      </c>
      <c r="B73" s="308"/>
      <c r="C73" s="308"/>
      <c r="D73" s="308"/>
      <c r="E73" s="308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customFormat="false" ht="15.75" hidden="false" customHeight="true" outlineLevel="0" collapsed="false">
      <c r="A74" s="308" t="s">
        <v>2567</v>
      </c>
      <c r="B74" s="308"/>
      <c r="C74" s="308"/>
      <c r="D74" s="308"/>
      <c r="E74" s="308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customFormat="false" ht="15.75" hidden="false" customHeight="true" outlineLevel="0" collapsed="false">
      <c r="A75" s="308" t="s">
        <v>2568</v>
      </c>
      <c r="B75" s="308"/>
      <c r="C75" s="308"/>
      <c r="D75" s="308"/>
      <c r="E75" s="308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customFormat="false" ht="15.75" hidden="false" customHeight="true" outlineLevel="0" collapsed="false">
      <c r="A76" s="308" t="s">
        <v>2569</v>
      </c>
      <c r="B76" s="308"/>
      <c r="C76" s="308"/>
      <c r="D76" s="308"/>
      <c r="E76" s="308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customFormat="false" ht="15.75" hidden="false" customHeight="true" outlineLevel="0" collapsed="false">
      <c r="A77" s="308" t="s">
        <v>2570</v>
      </c>
      <c r="B77" s="308"/>
      <c r="C77" s="308"/>
      <c r="D77" s="308"/>
      <c r="E77" s="308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customFormat="false" ht="15.75" hidden="false" customHeight="true" outlineLevel="0" collapsed="false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customFormat="false" ht="15.75" hidden="false" customHeight="true" outlineLevel="0" collapsed="false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customFormat="false" ht="15.75" hidden="false" customHeight="true" outlineLevel="0" collapsed="false">
      <c r="A80" s="578" t="s">
        <v>2571</v>
      </c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customFormat="false" ht="15.75" hidden="false" customHeight="true" outlineLevel="0" collapsed="false">
      <c r="A81" s="575" t="s">
        <v>2370</v>
      </c>
      <c r="B81" s="575" t="s">
        <v>2371</v>
      </c>
      <c r="C81" s="575" t="s">
        <v>2372</v>
      </c>
      <c r="D81" s="575" t="s">
        <v>2572</v>
      </c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customFormat="false" ht="15.75" hidden="false" customHeight="true" outlineLevel="0" collapsed="false">
      <c r="A82" s="463" t="s">
        <v>2573</v>
      </c>
      <c r="B82" s="463" t="s">
        <v>2574</v>
      </c>
      <c r="C82" s="463" t="s">
        <v>2575</v>
      </c>
      <c r="D82" s="463" t="s">
        <v>2576</v>
      </c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customFormat="false" ht="15.75" hidden="false" customHeight="true" outlineLevel="0" collapsed="false">
      <c r="A83" s="463" t="s">
        <v>2577</v>
      </c>
      <c r="B83" s="463" t="s">
        <v>2578</v>
      </c>
      <c r="C83" s="463" t="s">
        <v>2579</v>
      </c>
      <c r="D83" s="463" t="s">
        <v>2580</v>
      </c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customFormat="false" ht="15.75" hidden="false" customHeight="true" outlineLevel="0" collapsed="false">
      <c r="A84" s="463" t="s">
        <v>2581</v>
      </c>
      <c r="B84" s="463" t="s">
        <v>2582</v>
      </c>
      <c r="C84" s="463" t="s">
        <v>2583</v>
      </c>
      <c r="D84" s="463" t="s">
        <v>2584</v>
      </c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customFormat="false" ht="15.75" hidden="false" customHeight="true" outlineLevel="0" collapsed="false">
      <c r="A85" s="463" t="s">
        <v>2585</v>
      </c>
      <c r="B85" s="463" t="s">
        <v>2586</v>
      </c>
      <c r="C85" s="463" t="s">
        <v>2587</v>
      </c>
      <c r="D85" s="463" t="s">
        <v>2584</v>
      </c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customFormat="false" ht="15.75" hidden="false" customHeight="true" outlineLevel="0" collapsed="false">
      <c r="A86" s="463" t="s">
        <v>2588</v>
      </c>
      <c r="B86" s="463" t="s">
        <v>2589</v>
      </c>
      <c r="C86" s="463" t="s">
        <v>2590</v>
      </c>
      <c r="D86" s="463" t="s">
        <v>2591</v>
      </c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customFormat="false" ht="15.75" hidden="false" customHeight="true" outlineLevel="0" collapsed="false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customFormat="false" ht="15.75" hidden="false" customHeight="true" outlineLevel="0" collapsed="false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customFormat="false" ht="15.75" hidden="false" customHeight="true" outlineLevel="0" collapsed="false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customFormat="false" ht="15.75" hidden="false" customHeight="true" outlineLevel="0" collapsed="false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customFormat="false" ht="15.75" hidden="false" customHeight="true" outlineLevel="0" collapsed="false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customFormat="false" ht="15.75" hidden="false" customHeight="true" outlineLevel="0" collapsed="false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customFormat="false" ht="15.75" hidden="false" customHeight="true" outlineLevel="0" collapsed="false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customFormat="false" ht="15.75" hidden="false" customHeight="true" outlineLevel="0" collapsed="false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customFormat="false" ht="15.75" hidden="false" customHeight="true" outlineLevel="0" collapsed="false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customFormat="false" ht="15.75" hidden="false" customHeight="true" outlineLevel="0" collapsed="false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customFormat="false" ht="15.75" hidden="false" customHeight="true" outlineLevel="0" collapsed="false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customFormat="false" ht="15.75" hidden="false" customHeight="true" outlineLevel="0" collapsed="false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customFormat="false" ht="15.75" hidden="false" customHeight="true" outlineLevel="0" collapsed="false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customFormat="false" ht="15.75" hidden="false" customHeight="true" outlineLevel="0" collapsed="false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customFormat="false" ht="15.75" hidden="false" customHeight="true" outlineLevel="0" collapsed="false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customFormat="false" ht="15.75" hidden="false" customHeight="true" outlineLevel="0" collapsed="false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customFormat="false" ht="15.75" hidden="false" customHeight="true" outlineLevel="0" collapsed="false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customFormat="false" ht="15.75" hidden="false" customHeight="true" outlineLevel="0" collapsed="false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customFormat="false" ht="15.75" hidden="false" customHeight="true" outlineLevel="0" collapsed="false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customFormat="false" ht="15.75" hidden="false" customHeight="true" outlineLevel="0" collapsed="false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customFormat="false" ht="15.75" hidden="false" customHeight="true" outlineLevel="0" collapsed="false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customFormat="false" ht="15.75" hidden="false" customHeight="true" outlineLevel="0" collapsed="false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customFormat="false" ht="15.75" hidden="false" customHeight="true" outlineLevel="0" collapsed="false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customFormat="false" ht="15.75" hidden="false" customHeight="true" outlineLevel="0" collapsed="false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customFormat="false" ht="15.75" hidden="false" customHeight="true" outlineLevel="0" collapsed="false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customFormat="false" ht="15.75" hidden="false" customHeight="true" outlineLevel="0" collapsed="false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customFormat="false" ht="15.75" hidden="false" customHeight="true" outlineLevel="0" collapsed="false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customFormat="false" ht="15.75" hidden="false" customHeight="true" outlineLevel="0" collapsed="false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customFormat="false" ht="15.75" hidden="false" customHeight="true" outlineLevel="0" collapsed="false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customFormat="false" ht="15.75" hidden="false" customHeight="true" outlineLevel="0" collapsed="false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customFormat="false" ht="15.75" hidden="false" customHeight="true" outlineLevel="0" collapsed="false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customFormat="false" ht="15.75" hidden="false" customHeight="true" outlineLevel="0" collapsed="false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customFormat="false" ht="15.75" hidden="false" customHeight="true" outlineLevel="0" collapsed="false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customFormat="false" ht="15.75" hidden="false" customHeight="true" outlineLevel="0" collapsed="false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customFormat="false" ht="15.75" hidden="false" customHeight="true" outlineLevel="0" collapsed="false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customFormat="false" ht="15.75" hidden="false" customHeight="true" outlineLevel="0" collapsed="false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customFormat="false" ht="15.75" hidden="false" customHeight="true" outlineLevel="0" collapsed="false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customFormat="false" ht="15.75" hidden="false" customHeight="true" outlineLevel="0" collapsed="false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customFormat="false" ht="15.75" hidden="false" customHeight="true" outlineLevel="0" collapsed="false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customFormat="false" ht="15.75" hidden="false" customHeight="true" outlineLevel="0" collapsed="false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customFormat="false" ht="15.75" hidden="false" customHeight="true" outlineLevel="0" collapsed="false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customFormat="false" ht="15.75" hidden="false" customHeight="true" outlineLevel="0" collapsed="false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customFormat="false" ht="15.75" hidden="false" customHeight="true" outlineLevel="0" collapsed="false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customFormat="false" ht="15.75" hidden="false" customHeight="true" outlineLevel="0" collapsed="false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customFormat="false" ht="15.75" hidden="false" customHeight="true" outlineLevel="0" collapsed="false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customFormat="false" ht="15.75" hidden="false" customHeight="true" outlineLevel="0" collapsed="false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customFormat="false" ht="15.75" hidden="false" customHeight="true" outlineLevel="0" collapsed="false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customFormat="false" ht="15.75" hidden="false" customHeight="true" outlineLevel="0" collapsed="false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customFormat="false" ht="15.75" hidden="false" customHeight="true" outlineLevel="0" collapsed="false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customFormat="false" ht="15.75" hidden="false" customHeight="true" outlineLevel="0" collapsed="false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customFormat="false" ht="15.75" hidden="false" customHeight="true" outlineLevel="0" collapsed="false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customFormat="false" ht="15.75" hidden="false" customHeight="true" outlineLevel="0" collapsed="false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customFormat="false" ht="15.75" hidden="false" customHeight="true" outlineLevel="0" collapsed="false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customFormat="false" ht="15.75" hidden="false" customHeight="true" outlineLevel="0" collapsed="false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customFormat="false" ht="15.75" hidden="false" customHeight="true" outlineLevel="0" collapsed="false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customFormat="false" ht="15.75" hidden="false" customHeight="true" outlineLevel="0" collapsed="false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customFormat="false" ht="15.75" hidden="false" customHeight="true" outlineLevel="0" collapsed="false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customFormat="false" ht="15.75" hidden="false" customHeight="true" outlineLevel="0" collapsed="false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customFormat="false" ht="15.75" hidden="false" customHeight="true" outlineLevel="0" collapsed="false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customFormat="false" ht="15.75" hidden="false" customHeight="true" outlineLevel="0" collapsed="false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customFormat="false" ht="15.75" hidden="false" customHeight="true" outlineLevel="0" collapsed="false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customFormat="false" ht="15.75" hidden="false" customHeight="true" outlineLevel="0" collapsed="false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customFormat="false" ht="15.75" hidden="false" customHeight="true" outlineLevel="0" collapsed="false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customFormat="false" ht="15.75" hidden="false" customHeight="true" outlineLevel="0" collapsed="false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customFormat="false" ht="15.75" hidden="false" customHeight="true" outlineLevel="0" collapsed="false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customFormat="false" ht="15.75" hidden="false" customHeight="true" outlineLevel="0" collapsed="false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customFormat="false" ht="15.75" hidden="false" customHeight="true" outlineLevel="0" collapsed="false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customFormat="false" ht="15.75" hidden="false" customHeight="true" outlineLevel="0" collapsed="false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customFormat="false" ht="15.75" hidden="false" customHeight="true" outlineLevel="0" collapsed="false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customFormat="false" ht="15.75" hidden="false" customHeight="true" outlineLevel="0" collapsed="false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customFormat="false" ht="15.75" hidden="false" customHeight="true" outlineLevel="0" collapsed="false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customFormat="false" ht="15.75" hidden="false" customHeight="true" outlineLevel="0" collapsed="false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customFormat="false" ht="15.75" hidden="false" customHeight="true" outlineLevel="0" collapsed="false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customFormat="false" ht="15.75" hidden="false" customHeight="true" outlineLevel="0" collapsed="false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customFormat="false" ht="15.75" hidden="false" customHeight="true" outlineLevel="0" collapsed="false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customFormat="false" ht="15.75" hidden="false" customHeight="true" outlineLevel="0" collapsed="false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customFormat="false" ht="15.75" hidden="false" customHeight="true" outlineLevel="0" collapsed="false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customFormat="false" ht="15.75" hidden="false" customHeight="true" outlineLevel="0" collapsed="false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customFormat="false" ht="15.75" hidden="false" customHeight="true" outlineLevel="0" collapsed="false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customFormat="false" ht="15.75" hidden="false" customHeight="true" outlineLevel="0" collapsed="false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customFormat="false" ht="15.75" hidden="false" customHeight="true" outlineLevel="0" collapsed="false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customFormat="false" ht="15.75" hidden="false" customHeight="true" outlineLevel="0" collapsed="false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customFormat="false" ht="15.75" hidden="false" customHeight="true" outlineLevel="0" collapsed="false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customFormat="false" ht="15.75" hidden="false" customHeight="true" outlineLevel="0" collapsed="false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customFormat="false" ht="15.75" hidden="false" customHeight="true" outlineLevel="0" collapsed="false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customFormat="false" ht="15.75" hidden="false" customHeight="true" outlineLevel="0" collapsed="false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customFormat="false" ht="15.75" hidden="false" customHeight="true" outlineLevel="0" collapsed="false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customFormat="false" ht="15.75" hidden="false" customHeight="true" outlineLevel="0" collapsed="false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customFormat="false" ht="15.75" hidden="false" customHeight="true" outlineLevel="0" collapsed="false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customFormat="false" ht="15.75" hidden="false" customHeight="true" outlineLevel="0" collapsed="false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customFormat="false" ht="15.75" hidden="false" customHeight="true" outlineLevel="0" collapsed="false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customFormat="false" ht="15.75" hidden="false" customHeight="true" outlineLevel="0" collapsed="false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customFormat="false" ht="15.75" hidden="false" customHeight="true" outlineLevel="0" collapsed="false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customFormat="false" ht="15.75" hidden="false" customHeight="true" outlineLevel="0" collapsed="false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customFormat="false" ht="15.75" hidden="false" customHeight="true" outlineLevel="0" collapsed="false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customFormat="false" ht="15.75" hidden="false" customHeight="true" outlineLevel="0" collapsed="false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customFormat="false" ht="15.75" hidden="false" customHeight="true" outlineLevel="0" collapsed="false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customFormat="false" ht="15.75" hidden="false" customHeight="true" outlineLevel="0" collapsed="false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customFormat="false" ht="15.75" hidden="false" customHeight="true" outlineLevel="0" collapsed="false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customFormat="false" ht="15.75" hidden="false" customHeight="true" outlineLevel="0" collapsed="false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customFormat="false" ht="15.75" hidden="false" customHeight="true" outlineLevel="0" collapsed="false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customFormat="false" ht="15.75" hidden="false" customHeight="true" outlineLevel="0" collapsed="false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customFormat="false" ht="15.75" hidden="false" customHeight="true" outlineLevel="0" collapsed="false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customFormat="false" ht="15.75" hidden="false" customHeight="true" outlineLevel="0" collapsed="false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customFormat="false" ht="15.75" hidden="false" customHeight="true" outlineLevel="0" collapsed="false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customFormat="false" ht="15.75" hidden="false" customHeight="true" outlineLevel="0" collapsed="false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customFormat="false" ht="15.75" hidden="false" customHeight="true" outlineLevel="0" collapsed="false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customFormat="false" ht="15.75" hidden="false" customHeight="true" outlineLevel="0" collapsed="false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customFormat="false" ht="15.75" hidden="false" customHeight="true" outlineLevel="0" collapsed="false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customFormat="false" ht="15.75" hidden="false" customHeight="true" outlineLevel="0" collapsed="false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customFormat="false" ht="15.75" hidden="false" customHeight="true" outlineLevel="0" collapsed="false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customFormat="false" ht="15.75" hidden="false" customHeight="true" outlineLevel="0" collapsed="false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customFormat="false" ht="15.75" hidden="false" customHeight="true" outlineLevel="0" collapsed="false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customFormat="false" ht="15.75" hidden="false" customHeight="true" outlineLevel="0" collapsed="false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customFormat="false" ht="15.75" hidden="false" customHeight="true" outlineLevel="0" collapsed="false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customFormat="false" ht="15.75" hidden="false" customHeight="true" outlineLevel="0" collapsed="false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customFormat="false" ht="15.75" hidden="false" customHeight="true" outlineLevel="0" collapsed="false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customFormat="false" ht="15.75" hidden="false" customHeight="true" outlineLevel="0" collapsed="false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customFormat="false" ht="15.75" hidden="false" customHeight="true" outlineLevel="0" collapsed="false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customFormat="false" ht="15.75" hidden="false" customHeight="true" outlineLevel="0" collapsed="false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customFormat="false" ht="15.75" hidden="false" customHeight="true" outlineLevel="0" collapsed="false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customFormat="false" ht="15.75" hidden="false" customHeight="true" outlineLevel="0" collapsed="false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customFormat="false" ht="15.75" hidden="false" customHeight="true" outlineLevel="0" collapsed="false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customFormat="false" ht="15.75" hidden="false" customHeight="true" outlineLevel="0" collapsed="false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customFormat="false" ht="15.75" hidden="false" customHeight="true" outlineLevel="0" collapsed="false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customFormat="false" ht="15.75" hidden="false" customHeight="true" outlineLevel="0" collapsed="false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customFormat="false" ht="15.75" hidden="false" customHeight="true" outlineLevel="0" collapsed="false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customFormat="false" ht="15.75" hidden="false" customHeight="true" outlineLevel="0" collapsed="false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customFormat="false" ht="15.75" hidden="false" customHeight="true" outlineLevel="0" collapsed="false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customFormat="false" ht="15.75" hidden="false" customHeight="true" outlineLevel="0" collapsed="false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customFormat="false" ht="15.75" hidden="false" customHeight="true" outlineLevel="0" collapsed="false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customFormat="false" ht="15.75" hidden="false" customHeight="true" outlineLevel="0" collapsed="false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customFormat="false" ht="15.75" hidden="false" customHeight="true" outlineLevel="0" collapsed="false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customFormat="false" ht="15.75" hidden="false" customHeight="true" outlineLevel="0" collapsed="false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customFormat="false" ht="15.75" hidden="false" customHeight="true" outlineLevel="0" collapsed="false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customFormat="false" ht="15.75" hidden="false" customHeight="true" outlineLevel="0" collapsed="false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customFormat="false" ht="15.75" hidden="false" customHeight="true" outlineLevel="0" collapsed="false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customFormat="false" ht="15.75" hidden="false" customHeight="true" outlineLevel="0" collapsed="false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customFormat="false" ht="15.75" hidden="false" customHeight="true" outlineLevel="0" collapsed="false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customFormat="false" ht="15.75" hidden="false" customHeight="true" outlineLevel="0" collapsed="false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customFormat="false" ht="15.75" hidden="false" customHeight="true" outlineLevel="0" collapsed="false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customFormat="false" ht="15.75" hidden="false" customHeight="true" outlineLevel="0" collapsed="false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customFormat="false" ht="15.75" hidden="false" customHeight="true" outlineLevel="0" collapsed="false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customFormat="false" ht="15.75" hidden="false" customHeight="true" outlineLevel="0" collapsed="false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customFormat="false" ht="15.75" hidden="false" customHeight="true" outlineLevel="0" collapsed="false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customFormat="false" ht="15.75" hidden="false" customHeight="true" outlineLevel="0" collapsed="false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customFormat="false" ht="15.75" hidden="false" customHeight="true" outlineLevel="0" collapsed="false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customFormat="false" ht="15.75" hidden="false" customHeight="true" outlineLevel="0" collapsed="false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customFormat="false" ht="15.75" hidden="false" customHeight="true" outlineLevel="0" collapsed="false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customFormat="false" ht="15.75" hidden="false" customHeight="true" outlineLevel="0" collapsed="false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customFormat="false" ht="15.75" hidden="false" customHeight="true" outlineLevel="0" collapsed="false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customFormat="false" ht="15.75" hidden="false" customHeight="true" outlineLevel="0" collapsed="false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customFormat="false" ht="15.75" hidden="false" customHeight="true" outlineLevel="0" collapsed="false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customFormat="false" ht="15.75" hidden="false" customHeight="true" outlineLevel="0" collapsed="false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customFormat="false" ht="15.75" hidden="false" customHeight="true" outlineLevel="0" collapsed="false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customFormat="false" ht="15.75" hidden="false" customHeight="true" outlineLevel="0" collapsed="false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customFormat="false" ht="15.75" hidden="false" customHeight="true" outlineLevel="0" collapsed="false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customFormat="false" ht="15.75" hidden="false" customHeight="true" outlineLevel="0" collapsed="false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customFormat="false" ht="15.75" hidden="false" customHeight="true" outlineLevel="0" collapsed="false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customFormat="false" ht="15.75" hidden="false" customHeight="true" outlineLevel="0" collapsed="false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customFormat="false" ht="15.75" hidden="false" customHeight="true" outlineLevel="0" collapsed="false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customFormat="false" ht="15.75" hidden="false" customHeight="true" outlineLevel="0" collapsed="false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customFormat="false" ht="15.75" hidden="false" customHeight="true" outlineLevel="0" collapsed="false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customFormat="false" ht="15.75" hidden="false" customHeight="true" outlineLevel="0" collapsed="false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customFormat="false" ht="15.75" hidden="false" customHeight="true" outlineLevel="0" collapsed="false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customFormat="false" ht="15.75" hidden="false" customHeight="true" outlineLevel="0" collapsed="false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customFormat="false" ht="15.75" hidden="false" customHeight="true" outlineLevel="0" collapsed="false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customFormat="false" ht="15.75" hidden="false" customHeight="true" outlineLevel="0" collapsed="false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customFormat="false" ht="15.75" hidden="false" customHeight="true" outlineLevel="0" collapsed="false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customFormat="false" ht="15.75" hidden="false" customHeight="true" outlineLevel="0" collapsed="false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customFormat="false" ht="15.75" hidden="false" customHeight="true" outlineLevel="0" collapsed="false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customFormat="false" ht="15.75" hidden="false" customHeight="true" outlineLevel="0" collapsed="false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customFormat="false" ht="15.75" hidden="false" customHeight="true" outlineLevel="0" collapsed="false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customFormat="false" ht="15.75" hidden="false" customHeight="true" outlineLevel="0" collapsed="false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customFormat="false" ht="15.75" hidden="false" customHeight="true" outlineLevel="0" collapsed="false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customFormat="false" ht="15.75" hidden="false" customHeight="true" outlineLevel="0" collapsed="false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customFormat="false" ht="15.75" hidden="false" customHeight="true" outlineLevel="0" collapsed="false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customFormat="false" ht="15.75" hidden="false" customHeight="true" outlineLevel="0" collapsed="false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1">
    <mergeCell ref="A1:E1"/>
    <mergeCell ref="A2:E2"/>
    <mergeCell ref="A3:E3"/>
    <mergeCell ref="A5:E5"/>
    <mergeCell ref="A6:E6"/>
    <mergeCell ref="A8:E8"/>
    <mergeCell ref="A9:E9"/>
    <mergeCell ref="A22:E22"/>
    <mergeCell ref="A23:E23"/>
    <mergeCell ref="A24:E24"/>
    <mergeCell ref="A27:E27"/>
    <mergeCell ref="A28:E28"/>
    <mergeCell ref="A37:E37"/>
    <mergeCell ref="A38:E38"/>
    <mergeCell ref="A71:E71"/>
    <mergeCell ref="A72:E72"/>
    <mergeCell ref="A73:E73"/>
    <mergeCell ref="A74:E74"/>
    <mergeCell ref="A75:E75"/>
    <mergeCell ref="A76:E76"/>
    <mergeCell ref="A77:E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22"/>
    <col collapsed="false" customWidth="true" hidden="false" outlineLevel="0" max="6" min="5" style="1" width="16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30"/>
    <col collapsed="false" customWidth="true" hidden="false" outlineLevel="0" max="12" min="12" style="1" width="12"/>
    <col collapsed="false" customWidth="true" hidden="false" outlineLevel="0" max="13" min="13" style="1" width="10"/>
    <col collapsed="false" customWidth="true" hidden="false" outlineLevel="0" max="14" min="14" style="1" width="12"/>
    <col collapsed="false" customWidth="true" hidden="false" outlineLevel="0" max="15" min="15" style="1" width="28"/>
  </cols>
  <sheetData>
    <row r="2" customFormat="false" ht="27.75" hidden="false" customHeight="true" outlineLevel="0" collapsed="false">
      <c r="B2" s="163" t="s">
        <v>2592</v>
      </c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</row>
    <row r="3" customFormat="false" ht="15" hidden="false" customHeight="true" outlineLevel="0" collapsed="false">
      <c r="B3" s="164" t="s">
        <v>2593</v>
      </c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</row>
    <row r="4" customFormat="false" ht="37.5" hidden="false" customHeight="true" outlineLevel="0" collapsed="false">
      <c r="B4" s="32" t="s">
        <v>2594</v>
      </c>
      <c r="C4" s="32" t="s">
        <v>2595</v>
      </c>
      <c r="D4" s="32" t="s">
        <v>2596</v>
      </c>
      <c r="E4" s="32" t="s">
        <v>2597</v>
      </c>
      <c r="F4" s="32" t="s">
        <v>2598</v>
      </c>
      <c r="G4" s="32" t="s">
        <v>2599</v>
      </c>
      <c r="H4" s="32" t="s">
        <v>2600</v>
      </c>
      <c r="I4" s="32" t="s">
        <v>2601</v>
      </c>
      <c r="J4" s="32" t="s">
        <v>2602</v>
      </c>
      <c r="K4" s="32" t="s">
        <v>2603</v>
      </c>
      <c r="L4" s="32" t="s">
        <v>2604</v>
      </c>
      <c r="M4" s="32" t="s">
        <v>2605</v>
      </c>
      <c r="N4" s="32" t="s">
        <v>2572</v>
      </c>
      <c r="O4" s="32" t="s">
        <v>2606</v>
      </c>
    </row>
    <row r="5" customFormat="false" ht="15" hidden="false" customHeight="true" outlineLevel="0" collapsed="false">
      <c r="B5" s="44"/>
      <c r="C5" s="44"/>
      <c r="D5" s="44"/>
      <c r="E5" s="44"/>
      <c r="F5" s="44"/>
      <c r="G5" s="579"/>
      <c r="H5" s="579"/>
      <c r="I5" s="579"/>
      <c r="J5" s="44"/>
      <c r="K5" s="44"/>
      <c r="L5" s="44"/>
      <c r="M5" s="44"/>
      <c r="N5" s="44"/>
      <c r="O5" s="44"/>
    </row>
    <row r="6" customFormat="false" ht="15" hidden="false" customHeight="true" outlineLevel="0" collapsed="false">
      <c r="B6" s="44"/>
      <c r="C6" s="44"/>
      <c r="D6" s="44"/>
      <c r="E6" s="44"/>
      <c r="F6" s="44"/>
      <c r="G6" s="579"/>
      <c r="H6" s="579"/>
      <c r="I6" s="579"/>
      <c r="J6" s="44"/>
      <c r="K6" s="44"/>
      <c r="L6" s="44"/>
      <c r="M6" s="44"/>
      <c r="N6" s="44"/>
      <c r="O6" s="44"/>
    </row>
    <row r="7" customFormat="false" ht="15" hidden="false" customHeight="true" outlineLevel="0" collapsed="false">
      <c r="B7" s="44"/>
      <c r="C7" s="44"/>
      <c r="D7" s="44"/>
      <c r="E7" s="44"/>
      <c r="F7" s="44"/>
      <c r="G7" s="579"/>
      <c r="H7" s="579"/>
      <c r="I7" s="579"/>
      <c r="J7" s="44"/>
      <c r="K7" s="44"/>
      <c r="L7" s="44"/>
      <c r="M7" s="44"/>
      <c r="N7" s="44"/>
      <c r="O7" s="44"/>
    </row>
    <row r="8" customFormat="false" ht="15" hidden="false" customHeight="true" outlineLevel="0" collapsed="false">
      <c r="B8" s="44"/>
      <c r="C8" s="44"/>
      <c r="D8" s="44"/>
      <c r="E8" s="44"/>
      <c r="F8" s="44"/>
      <c r="G8" s="579"/>
      <c r="H8" s="579"/>
      <c r="I8" s="579"/>
      <c r="J8" s="44"/>
      <c r="K8" s="44"/>
      <c r="L8" s="44"/>
      <c r="M8" s="44"/>
      <c r="N8" s="44"/>
      <c r="O8" s="44"/>
    </row>
    <row r="9" customFormat="false" ht="15" hidden="false" customHeight="true" outlineLevel="0" collapsed="false">
      <c r="B9" s="44"/>
      <c r="C9" s="44"/>
      <c r="D9" s="44"/>
      <c r="E9" s="44"/>
      <c r="F9" s="44"/>
      <c r="G9" s="579"/>
      <c r="H9" s="579"/>
      <c r="I9" s="579"/>
      <c r="J9" s="44"/>
      <c r="K9" s="44"/>
      <c r="L9" s="44"/>
      <c r="M9" s="44"/>
      <c r="N9" s="44"/>
      <c r="O9" s="44"/>
    </row>
    <row r="10" customFormat="false" ht="15" hidden="false" customHeight="true" outlineLevel="0" collapsed="false">
      <c r="B10" s="44"/>
      <c r="C10" s="44"/>
      <c r="D10" s="44"/>
      <c r="E10" s="44"/>
      <c r="F10" s="44"/>
      <c r="G10" s="579"/>
      <c r="H10" s="579"/>
      <c r="I10" s="579"/>
      <c r="J10" s="44"/>
      <c r="K10" s="44"/>
      <c r="L10" s="44"/>
      <c r="M10" s="44"/>
      <c r="N10" s="44"/>
      <c r="O10" s="44"/>
    </row>
    <row r="11" customFormat="false" ht="15" hidden="false" customHeight="true" outlineLevel="0" collapsed="false">
      <c r="B11" s="44"/>
      <c r="C11" s="44"/>
      <c r="D11" s="44"/>
      <c r="E11" s="44"/>
      <c r="F11" s="44"/>
      <c r="G11" s="579"/>
      <c r="H11" s="579"/>
      <c r="I11" s="579"/>
      <c r="J11" s="44"/>
      <c r="K11" s="44"/>
      <c r="L11" s="44"/>
      <c r="M11" s="44"/>
      <c r="N11" s="44"/>
      <c r="O11" s="44"/>
    </row>
    <row r="12" customFormat="false" ht="15" hidden="false" customHeight="true" outlineLevel="0" collapsed="false">
      <c r="B12" s="44"/>
      <c r="C12" s="44"/>
      <c r="D12" s="44"/>
      <c r="E12" s="44"/>
      <c r="F12" s="44"/>
      <c r="G12" s="579"/>
      <c r="H12" s="579"/>
      <c r="I12" s="579"/>
      <c r="J12" s="44"/>
      <c r="K12" s="44"/>
      <c r="L12" s="44"/>
      <c r="M12" s="44"/>
      <c r="N12" s="44"/>
      <c r="O12" s="44"/>
    </row>
    <row r="13" customFormat="false" ht="15" hidden="false" customHeight="true" outlineLevel="0" collapsed="false">
      <c r="B13" s="44"/>
      <c r="C13" s="44"/>
      <c r="D13" s="44"/>
      <c r="E13" s="44"/>
      <c r="F13" s="44"/>
      <c r="G13" s="579"/>
      <c r="H13" s="579"/>
      <c r="I13" s="579"/>
      <c r="J13" s="44"/>
      <c r="K13" s="44"/>
      <c r="L13" s="44"/>
      <c r="M13" s="44"/>
      <c r="N13" s="44"/>
      <c r="O13" s="44"/>
    </row>
    <row r="14" customFormat="false" ht="15" hidden="false" customHeight="true" outlineLevel="0" collapsed="false">
      <c r="B14" s="44"/>
      <c r="C14" s="44"/>
      <c r="D14" s="44"/>
      <c r="E14" s="44"/>
      <c r="F14" s="44"/>
      <c r="G14" s="579"/>
      <c r="H14" s="579"/>
      <c r="I14" s="579"/>
      <c r="J14" s="44"/>
      <c r="K14" s="44"/>
      <c r="L14" s="44"/>
      <c r="M14" s="44"/>
      <c r="N14" s="44"/>
      <c r="O14" s="44"/>
    </row>
    <row r="15" customFormat="false" ht="15" hidden="false" customHeight="true" outlineLevel="0" collapsed="false">
      <c r="B15" s="44"/>
      <c r="C15" s="44"/>
      <c r="D15" s="44"/>
      <c r="E15" s="44"/>
      <c r="F15" s="44"/>
      <c r="G15" s="579"/>
      <c r="H15" s="579"/>
      <c r="I15" s="579"/>
      <c r="J15" s="44"/>
      <c r="K15" s="44"/>
      <c r="L15" s="44"/>
      <c r="M15" s="44"/>
      <c r="N15" s="44"/>
      <c r="O15" s="44"/>
    </row>
    <row r="16" customFormat="false" ht="15" hidden="false" customHeight="true" outlineLevel="0" collapsed="false">
      <c r="B16" s="44"/>
      <c r="C16" s="44"/>
      <c r="D16" s="44"/>
      <c r="E16" s="44"/>
      <c r="F16" s="44"/>
      <c r="G16" s="579"/>
      <c r="H16" s="579"/>
      <c r="I16" s="579"/>
      <c r="J16" s="44"/>
      <c r="K16" s="44"/>
      <c r="L16" s="44"/>
      <c r="M16" s="44"/>
      <c r="N16" s="44"/>
      <c r="O16" s="44"/>
    </row>
    <row r="17" customFormat="false" ht="15" hidden="false" customHeight="true" outlineLevel="0" collapsed="false">
      <c r="B17" s="44"/>
      <c r="C17" s="44"/>
      <c r="D17" s="44"/>
      <c r="E17" s="44"/>
      <c r="F17" s="44"/>
      <c r="G17" s="579"/>
      <c r="H17" s="579"/>
      <c r="I17" s="579"/>
      <c r="J17" s="44"/>
      <c r="K17" s="44"/>
      <c r="L17" s="44"/>
      <c r="M17" s="44"/>
      <c r="N17" s="44"/>
      <c r="O17" s="44"/>
    </row>
    <row r="18" customFormat="false" ht="15" hidden="false" customHeight="true" outlineLevel="0" collapsed="false">
      <c r="B18" s="44"/>
      <c r="C18" s="44"/>
      <c r="D18" s="44"/>
      <c r="E18" s="44"/>
      <c r="F18" s="44"/>
      <c r="G18" s="579"/>
      <c r="H18" s="579"/>
      <c r="I18" s="579"/>
      <c r="J18" s="44"/>
      <c r="K18" s="44"/>
      <c r="L18" s="44"/>
      <c r="M18" s="44"/>
      <c r="N18" s="44"/>
      <c r="O18" s="44"/>
    </row>
    <row r="19" customFormat="false" ht="15" hidden="false" customHeight="true" outlineLevel="0" collapsed="false">
      <c r="B19" s="44"/>
      <c r="C19" s="44"/>
      <c r="D19" s="44"/>
      <c r="E19" s="44"/>
      <c r="F19" s="44"/>
      <c r="G19" s="579"/>
      <c r="H19" s="579"/>
      <c r="I19" s="579"/>
      <c r="J19" s="44"/>
      <c r="K19" s="44"/>
      <c r="L19" s="44"/>
      <c r="M19" s="44"/>
      <c r="N19" s="44"/>
      <c r="O19" s="44"/>
    </row>
    <row r="20" customFormat="false" ht="15" hidden="false" customHeight="true" outlineLevel="0" collapsed="false">
      <c r="B20" s="44"/>
      <c r="C20" s="44"/>
      <c r="D20" s="44"/>
      <c r="E20" s="44"/>
      <c r="F20" s="44"/>
      <c r="G20" s="579"/>
      <c r="H20" s="579"/>
      <c r="I20" s="579"/>
      <c r="J20" s="44"/>
      <c r="K20" s="44"/>
      <c r="L20" s="44"/>
      <c r="M20" s="44"/>
      <c r="N20" s="44"/>
      <c r="O20" s="44"/>
    </row>
    <row r="21" customFormat="false" ht="15" hidden="false" customHeight="true" outlineLevel="0" collapsed="false">
      <c r="B21" s="44"/>
      <c r="C21" s="44"/>
      <c r="D21" s="44"/>
      <c r="E21" s="44"/>
      <c r="F21" s="44"/>
      <c r="G21" s="579"/>
      <c r="H21" s="579"/>
      <c r="I21" s="579"/>
      <c r="J21" s="44"/>
      <c r="K21" s="44"/>
      <c r="L21" s="44"/>
      <c r="M21" s="44"/>
      <c r="N21" s="44"/>
      <c r="O21" s="44"/>
    </row>
    <row r="22" customFormat="false" ht="15" hidden="false" customHeight="true" outlineLevel="0" collapsed="false">
      <c r="B22" s="44"/>
      <c r="C22" s="44"/>
      <c r="D22" s="44"/>
      <c r="E22" s="44"/>
      <c r="F22" s="44"/>
      <c r="G22" s="579"/>
      <c r="H22" s="579"/>
      <c r="I22" s="579"/>
      <c r="J22" s="44"/>
      <c r="K22" s="44"/>
      <c r="L22" s="44"/>
      <c r="M22" s="44"/>
      <c r="N22" s="44"/>
      <c r="O22" s="44"/>
    </row>
    <row r="23" customFormat="false" ht="15" hidden="false" customHeight="true" outlineLevel="0" collapsed="false">
      <c r="B23" s="44"/>
      <c r="C23" s="44"/>
      <c r="D23" s="44"/>
      <c r="E23" s="44"/>
      <c r="F23" s="44"/>
      <c r="G23" s="579"/>
      <c r="H23" s="579"/>
      <c r="I23" s="579"/>
      <c r="J23" s="44"/>
      <c r="K23" s="44"/>
      <c r="L23" s="44"/>
      <c r="M23" s="44"/>
      <c r="N23" s="44"/>
      <c r="O23" s="44"/>
    </row>
    <row r="24" customFormat="false" ht="15" hidden="false" customHeight="true" outlineLevel="0" collapsed="false">
      <c r="B24" s="44"/>
      <c r="C24" s="44"/>
      <c r="D24" s="44"/>
      <c r="E24" s="44"/>
      <c r="F24" s="44"/>
      <c r="G24" s="579"/>
      <c r="H24" s="579"/>
      <c r="I24" s="579"/>
      <c r="J24" s="44"/>
      <c r="K24" s="44"/>
      <c r="L24" s="44"/>
      <c r="M24" s="44"/>
      <c r="N24" s="44"/>
      <c r="O24" s="44"/>
    </row>
    <row r="25" customFormat="false" ht="15" hidden="false" customHeight="true" outlineLevel="0" collapsed="false">
      <c r="B25" s="44"/>
      <c r="C25" s="44"/>
      <c r="D25" s="44"/>
      <c r="E25" s="44"/>
      <c r="F25" s="44"/>
      <c r="G25" s="579"/>
      <c r="H25" s="579"/>
      <c r="I25" s="579"/>
      <c r="J25" s="44"/>
      <c r="K25" s="44"/>
      <c r="L25" s="44"/>
      <c r="M25" s="44"/>
      <c r="N25" s="44"/>
      <c r="O25" s="44"/>
    </row>
    <row r="26" customFormat="false" ht="15" hidden="false" customHeight="true" outlineLevel="0" collapsed="false">
      <c r="B26" s="44"/>
      <c r="C26" s="44"/>
      <c r="D26" s="44"/>
      <c r="E26" s="44"/>
      <c r="F26" s="44"/>
      <c r="G26" s="579"/>
      <c r="H26" s="579"/>
      <c r="I26" s="579"/>
      <c r="J26" s="44"/>
      <c r="K26" s="44"/>
      <c r="L26" s="44"/>
      <c r="M26" s="44"/>
      <c r="N26" s="44"/>
      <c r="O26" s="44"/>
    </row>
    <row r="27" customFormat="false" ht="15" hidden="false" customHeight="true" outlineLevel="0" collapsed="false">
      <c r="B27" s="44"/>
      <c r="C27" s="44"/>
      <c r="D27" s="44"/>
      <c r="E27" s="44"/>
      <c r="F27" s="44"/>
      <c r="G27" s="579"/>
      <c r="H27" s="579"/>
      <c r="I27" s="579"/>
      <c r="J27" s="44"/>
      <c r="K27" s="44"/>
      <c r="L27" s="44"/>
      <c r="M27" s="44"/>
      <c r="N27" s="44"/>
      <c r="O27" s="44"/>
    </row>
    <row r="28" customFormat="false" ht="15" hidden="false" customHeight="true" outlineLevel="0" collapsed="false">
      <c r="B28" s="44"/>
      <c r="C28" s="44"/>
      <c r="D28" s="44"/>
      <c r="E28" s="44"/>
      <c r="F28" s="44"/>
      <c r="G28" s="579"/>
      <c r="H28" s="579"/>
      <c r="I28" s="579"/>
      <c r="J28" s="44"/>
      <c r="K28" s="44"/>
      <c r="L28" s="44"/>
      <c r="M28" s="44"/>
      <c r="N28" s="44"/>
      <c r="O28" s="44"/>
    </row>
    <row r="29" customFormat="false" ht="15" hidden="false" customHeight="true" outlineLevel="0" collapsed="false">
      <c r="B29" s="44"/>
      <c r="C29" s="44"/>
      <c r="D29" s="44"/>
      <c r="E29" s="44"/>
      <c r="F29" s="44"/>
      <c r="G29" s="579"/>
      <c r="H29" s="579"/>
      <c r="I29" s="579"/>
      <c r="J29" s="44"/>
      <c r="K29" s="44"/>
      <c r="L29" s="44"/>
      <c r="M29" s="44"/>
      <c r="N29" s="44"/>
      <c r="O29" s="44"/>
    </row>
    <row r="30" customFormat="false" ht="15" hidden="false" customHeight="true" outlineLevel="0" collapsed="false">
      <c r="B30" s="44"/>
      <c r="C30" s="44"/>
      <c r="D30" s="44"/>
      <c r="E30" s="44"/>
      <c r="F30" s="44"/>
      <c r="G30" s="579"/>
      <c r="H30" s="579"/>
      <c r="I30" s="579"/>
      <c r="J30" s="44"/>
      <c r="K30" s="44"/>
      <c r="L30" s="44"/>
      <c r="M30" s="44"/>
      <c r="N30" s="44"/>
      <c r="O30" s="44"/>
    </row>
    <row r="31" customFormat="false" ht="15" hidden="false" customHeight="true" outlineLevel="0" collapsed="false">
      <c r="B31" s="44"/>
      <c r="C31" s="44"/>
      <c r="D31" s="44"/>
      <c r="E31" s="44"/>
      <c r="F31" s="44"/>
      <c r="G31" s="579"/>
      <c r="H31" s="579"/>
      <c r="I31" s="579"/>
      <c r="J31" s="44"/>
      <c r="K31" s="44"/>
      <c r="L31" s="44"/>
      <c r="M31" s="44"/>
      <c r="N31" s="44"/>
      <c r="O31" s="44"/>
    </row>
    <row r="32" customFormat="false" ht="15" hidden="false" customHeight="true" outlineLevel="0" collapsed="false">
      <c r="B32" s="44"/>
      <c r="C32" s="44"/>
      <c r="D32" s="44"/>
      <c r="E32" s="44"/>
      <c r="F32" s="44"/>
      <c r="G32" s="579"/>
      <c r="H32" s="579"/>
      <c r="I32" s="579"/>
      <c r="J32" s="44"/>
      <c r="K32" s="44"/>
      <c r="L32" s="44"/>
      <c r="M32" s="44"/>
      <c r="N32" s="44"/>
      <c r="O32" s="44"/>
    </row>
    <row r="33" customFormat="false" ht="15" hidden="false" customHeight="true" outlineLevel="0" collapsed="false">
      <c r="B33" s="44"/>
      <c r="C33" s="44"/>
      <c r="D33" s="44"/>
      <c r="E33" s="44"/>
      <c r="F33" s="44"/>
      <c r="G33" s="579"/>
      <c r="H33" s="579"/>
      <c r="I33" s="579"/>
      <c r="J33" s="44"/>
      <c r="K33" s="44"/>
      <c r="L33" s="44"/>
      <c r="M33" s="44"/>
      <c r="N33" s="44"/>
      <c r="O33" s="44"/>
    </row>
    <row r="34" customFormat="false" ht="15" hidden="false" customHeight="true" outlineLevel="0" collapsed="false">
      <c r="B34" s="44"/>
      <c r="C34" s="44"/>
      <c r="D34" s="44"/>
      <c r="E34" s="44"/>
      <c r="F34" s="44"/>
      <c r="G34" s="579"/>
      <c r="H34" s="579"/>
      <c r="I34" s="579"/>
      <c r="J34" s="44"/>
      <c r="K34" s="44"/>
      <c r="L34" s="44"/>
      <c r="M34" s="44"/>
      <c r="N34" s="44"/>
      <c r="O34" s="44"/>
    </row>
    <row r="35" customFormat="false" ht="15" hidden="false" customHeight="true" outlineLevel="0" collapsed="false">
      <c r="B35" s="44"/>
      <c r="C35" s="44"/>
      <c r="D35" s="44"/>
      <c r="E35" s="44"/>
      <c r="F35" s="44"/>
      <c r="G35" s="579"/>
      <c r="H35" s="579"/>
      <c r="I35" s="579"/>
      <c r="J35" s="44"/>
      <c r="K35" s="44"/>
      <c r="L35" s="44"/>
      <c r="M35" s="44"/>
      <c r="N35" s="44"/>
      <c r="O35" s="44"/>
    </row>
    <row r="36" customFormat="false" ht="15" hidden="false" customHeight="true" outlineLevel="0" collapsed="false">
      <c r="B36" s="44"/>
      <c r="C36" s="44"/>
      <c r="D36" s="44"/>
      <c r="E36" s="44"/>
      <c r="F36" s="44"/>
      <c r="G36" s="579"/>
      <c r="H36" s="579"/>
      <c r="I36" s="579"/>
      <c r="J36" s="44"/>
      <c r="K36" s="44"/>
      <c r="L36" s="44"/>
      <c r="M36" s="44"/>
      <c r="N36" s="44"/>
      <c r="O36" s="44"/>
    </row>
    <row r="37" customFormat="false" ht="15" hidden="false" customHeight="true" outlineLevel="0" collapsed="false">
      <c r="B37" s="44"/>
      <c r="C37" s="44"/>
      <c r="D37" s="44"/>
      <c r="E37" s="44"/>
      <c r="F37" s="44"/>
      <c r="G37" s="579"/>
      <c r="H37" s="579"/>
      <c r="I37" s="579"/>
      <c r="J37" s="44"/>
      <c r="K37" s="44"/>
      <c r="L37" s="44"/>
      <c r="M37" s="44"/>
      <c r="N37" s="44"/>
      <c r="O37" s="44"/>
    </row>
    <row r="38" customFormat="false" ht="15" hidden="false" customHeight="true" outlineLevel="0" collapsed="false">
      <c r="B38" s="44"/>
      <c r="C38" s="44"/>
      <c r="D38" s="44"/>
      <c r="E38" s="44"/>
      <c r="F38" s="44"/>
      <c r="G38" s="579"/>
      <c r="H38" s="579"/>
      <c r="I38" s="579"/>
      <c r="J38" s="44"/>
      <c r="K38" s="44"/>
      <c r="L38" s="44"/>
      <c r="M38" s="44"/>
      <c r="N38" s="44"/>
      <c r="O38" s="44"/>
    </row>
    <row r="39" customFormat="false" ht="15" hidden="false" customHeight="true" outlineLevel="0" collapsed="false">
      <c r="B39" s="44"/>
      <c r="C39" s="44"/>
      <c r="D39" s="44"/>
      <c r="E39" s="44"/>
      <c r="F39" s="44"/>
      <c r="G39" s="579"/>
      <c r="H39" s="579"/>
      <c r="I39" s="579"/>
      <c r="J39" s="44"/>
      <c r="K39" s="44"/>
      <c r="L39" s="44"/>
      <c r="M39" s="44"/>
      <c r="N39" s="44"/>
      <c r="O39" s="44"/>
    </row>
    <row r="40" customFormat="false" ht="15" hidden="false" customHeight="true" outlineLevel="0" collapsed="false">
      <c r="B40" s="44"/>
      <c r="C40" s="44"/>
      <c r="D40" s="44"/>
      <c r="E40" s="44"/>
      <c r="F40" s="44"/>
      <c r="G40" s="579"/>
      <c r="H40" s="579"/>
      <c r="I40" s="579"/>
      <c r="J40" s="44"/>
      <c r="K40" s="44"/>
      <c r="L40" s="44"/>
      <c r="M40" s="44"/>
      <c r="N40" s="44"/>
      <c r="O40" s="44"/>
    </row>
    <row r="41" customFormat="false" ht="15" hidden="false" customHeight="true" outlineLevel="0" collapsed="false">
      <c r="B41" s="44"/>
      <c r="C41" s="44"/>
      <c r="D41" s="44"/>
      <c r="E41" s="44"/>
      <c r="F41" s="44"/>
      <c r="G41" s="579"/>
      <c r="H41" s="579"/>
      <c r="I41" s="579"/>
      <c r="J41" s="44"/>
      <c r="K41" s="44"/>
      <c r="L41" s="44"/>
      <c r="M41" s="44"/>
      <c r="N41" s="44"/>
      <c r="O41" s="44"/>
    </row>
    <row r="42" customFormat="false" ht="15" hidden="false" customHeight="true" outlineLevel="0" collapsed="false">
      <c r="B42" s="44"/>
      <c r="C42" s="44"/>
      <c r="D42" s="44"/>
      <c r="E42" s="44"/>
      <c r="F42" s="44"/>
      <c r="G42" s="579"/>
      <c r="H42" s="579"/>
      <c r="I42" s="579"/>
      <c r="J42" s="44"/>
      <c r="K42" s="44"/>
      <c r="L42" s="44"/>
      <c r="M42" s="44"/>
      <c r="N42" s="44"/>
      <c r="O42" s="44"/>
    </row>
    <row r="43" customFormat="false" ht="15" hidden="false" customHeight="true" outlineLevel="0" collapsed="false">
      <c r="B43" s="44"/>
      <c r="C43" s="44"/>
      <c r="D43" s="44"/>
      <c r="E43" s="44"/>
      <c r="F43" s="44"/>
      <c r="G43" s="579"/>
      <c r="H43" s="579"/>
      <c r="I43" s="579"/>
      <c r="J43" s="44"/>
      <c r="K43" s="44"/>
      <c r="L43" s="44"/>
      <c r="M43" s="44"/>
      <c r="N43" s="44"/>
      <c r="O43" s="44"/>
    </row>
    <row r="44" customFormat="false" ht="15" hidden="false" customHeight="true" outlineLevel="0" collapsed="false">
      <c r="B44" s="44"/>
      <c r="C44" s="44"/>
      <c r="D44" s="44"/>
      <c r="E44" s="44"/>
      <c r="F44" s="44"/>
      <c r="G44" s="579"/>
      <c r="H44" s="579"/>
      <c r="I44" s="579"/>
      <c r="J44" s="44"/>
      <c r="K44" s="44"/>
      <c r="L44" s="44"/>
      <c r="M44" s="44"/>
      <c r="N44" s="44"/>
      <c r="O44" s="44"/>
    </row>
    <row r="45" customFormat="false" ht="15" hidden="false" customHeight="true" outlineLevel="0" collapsed="false">
      <c r="B45" s="44"/>
      <c r="C45" s="44"/>
      <c r="D45" s="44"/>
      <c r="E45" s="44"/>
      <c r="F45" s="44"/>
      <c r="G45" s="579"/>
      <c r="H45" s="579"/>
      <c r="I45" s="579"/>
      <c r="J45" s="44"/>
      <c r="K45" s="44"/>
      <c r="L45" s="44"/>
      <c r="M45" s="44"/>
      <c r="N45" s="44"/>
      <c r="O45" s="44"/>
    </row>
    <row r="46" customFormat="false" ht="15" hidden="false" customHeight="true" outlineLevel="0" collapsed="false">
      <c r="B46" s="44"/>
      <c r="C46" s="44"/>
      <c r="D46" s="44"/>
      <c r="E46" s="44"/>
      <c r="F46" s="44"/>
      <c r="G46" s="579"/>
      <c r="H46" s="579"/>
      <c r="I46" s="579"/>
      <c r="J46" s="44"/>
      <c r="K46" s="44"/>
      <c r="L46" s="44"/>
      <c r="M46" s="44"/>
      <c r="N46" s="44"/>
      <c r="O46" s="44"/>
    </row>
    <row r="47" customFormat="false" ht="15" hidden="false" customHeight="true" outlineLevel="0" collapsed="false">
      <c r="B47" s="44"/>
      <c r="C47" s="44"/>
      <c r="D47" s="44"/>
      <c r="E47" s="44"/>
      <c r="F47" s="44"/>
      <c r="G47" s="579"/>
      <c r="H47" s="579"/>
      <c r="I47" s="579"/>
      <c r="J47" s="44"/>
      <c r="K47" s="44"/>
      <c r="L47" s="44"/>
      <c r="M47" s="44"/>
      <c r="N47" s="44"/>
      <c r="O47" s="44"/>
    </row>
    <row r="48" customFormat="false" ht="15" hidden="false" customHeight="true" outlineLevel="0" collapsed="false">
      <c r="B48" s="44"/>
      <c r="C48" s="44"/>
      <c r="D48" s="44"/>
      <c r="E48" s="44"/>
      <c r="F48" s="44"/>
      <c r="G48" s="579"/>
      <c r="H48" s="579"/>
      <c r="I48" s="579"/>
      <c r="J48" s="44"/>
      <c r="K48" s="44"/>
      <c r="L48" s="44"/>
      <c r="M48" s="44"/>
      <c r="N48" s="44"/>
      <c r="O48" s="44"/>
    </row>
    <row r="49" customFormat="false" ht="15" hidden="false" customHeight="true" outlineLevel="0" collapsed="false">
      <c r="B49" s="44"/>
      <c r="C49" s="44"/>
      <c r="D49" s="44"/>
      <c r="E49" s="44"/>
      <c r="F49" s="44"/>
      <c r="G49" s="579"/>
      <c r="H49" s="579"/>
      <c r="I49" s="579"/>
      <c r="J49" s="44"/>
      <c r="K49" s="44"/>
      <c r="L49" s="44"/>
      <c r="M49" s="44"/>
      <c r="N49" s="44"/>
      <c r="O49" s="44"/>
    </row>
  </sheetData>
  <mergeCells count="2">
    <mergeCell ref="B2:O2"/>
    <mergeCell ref="B3:O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30"/>
    <col collapsed="false" customWidth="true" hidden="false" outlineLevel="0" max="4" min="4" style="1" width="38"/>
    <col collapsed="false" customWidth="true" hidden="false" outlineLevel="0" max="5" min="5" style="1" width="42"/>
    <col collapsed="false" customWidth="true" hidden="false" outlineLevel="0" max="6" min="6" style="1" width="14"/>
    <col collapsed="false" customWidth="true" hidden="false" outlineLevel="0" max="7" min="7" style="1" width="32"/>
  </cols>
  <sheetData>
    <row r="2" customFormat="false" ht="27.75" hidden="false" customHeight="true" outlineLevel="0" collapsed="false">
      <c r="B2" s="163" t="s">
        <v>2607</v>
      </c>
      <c r="C2" s="163"/>
      <c r="D2" s="163"/>
      <c r="E2" s="163"/>
      <c r="F2" s="163"/>
      <c r="G2" s="163"/>
    </row>
    <row r="3" customFormat="false" ht="15" hidden="false" customHeight="true" outlineLevel="0" collapsed="false">
      <c r="B3" s="164" t="s">
        <v>2608</v>
      </c>
      <c r="C3" s="164"/>
      <c r="D3" s="164"/>
      <c r="E3" s="164"/>
      <c r="F3" s="164"/>
      <c r="G3" s="164"/>
    </row>
    <row r="5" customFormat="false" ht="37.5" hidden="false" customHeight="true" outlineLevel="0" collapsed="false">
      <c r="B5" s="32" t="s">
        <v>154</v>
      </c>
      <c r="C5" s="32" t="s">
        <v>2609</v>
      </c>
      <c r="D5" s="32" t="s">
        <v>2610</v>
      </c>
      <c r="E5" s="32" t="s">
        <v>2611</v>
      </c>
      <c r="F5" s="32" t="s">
        <v>2604</v>
      </c>
      <c r="G5" s="32" t="s">
        <v>2612</v>
      </c>
    </row>
    <row r="6" customFormat="false" ht="43.5" hidden="false" customHeight="true" outlineLevel="0" collapsed="false">
      <c r="B6" s="580" t="n">
        <v>1</v>
      </c>
      <c r="C6" s="581" t="s">
        <v>2613</v>
      </c>
      <c r="D6" s="581" t="s">
        <v>2614</v>
      </c>
      <c r="E6" s="581" t="s">
        <v>2615</v>
      </c>
      <c r="F6" s="582" t="s">
        <v>2616</v>
      </c>
      <c r="G6" s="581" t="s">
        <v>2617</v>
      </c>
    </row>
    <row r="7" customFormat="false" ht="43.5" hidden="false" customHeight="true" outlineLevel="0" collapsed="false">
      <c r="B7" s="580" t="n">
        <v>2</v>
      </c>
      <c r="C7" s="581" t="s">
        <v>2618</v>
      </c>
      <c r="D7" s="581" t="s">
        <v>1501</v>
      </c>
      <c r="E7" s="581" t="s">
        <v>2619</v>
      </c>
      <c r="F7" s="582" t="s">
        <v>2616</v>
      </c>
      <c r="G7" s="581" t="s">
        <v>2620</v>
      </c>
    </row>
    <row r="8" customFormat="false" ht="43.5" hidden="false" customHeight="true" outlineLevel="0" collapsed="false">
      <c r="B8" s="580" t="n">
        <v>3</v>
      </c>
      <c r="C8" s="581" t="s">
        <v>2621</v>
      </c>
      <c r="D8" s="581" t="s">
        <v>2622</v>
      </c>
      <c r="E8" s="581" t="s">
        <v>2623</v>
      </c>
      <c r="F8" s="582" t="s">
        <v>2624</v>
      </c>
      <c r="G8" s="581" t="s">
        <v>2625</v>
      </c>
    </row>
    <row r="9" customFormat="false" ht="43.5" hidden="false" customHeight="true" outlineLevel="0" collapsed="false">
      <c r="B9" s="580" t="n">
        <v>4</v>
      </c>
      <c r="C9" s="581" t="s">
        <v>2626</v>
      </c>
      <c r="D9" s="581" t="s">
        <v>2627</v>
      </c>
      <c r="E9" s="581" t="s">
        <v>2628</v>
      </c>
      <c r="F9" s="582" t="s">
        <v>2616</v>
      </c>
      <c r="G9" s="581" t="s">
        <v>2629</v>
      </c>
    </row>
    <row r="10" customFormat="false" ht="43.5" hidden="false" customHeight="true" outlineLevel="0" collapsed="false">
      <c r="B10" s="580" t="n">
        <v>5</v>
      </c>
      <c r="C10" s="581" t="s">
        <v>2630</v>
      </c>
      <c r="D10" s="581" t="s">
        <v>2631</v>
      </c>
      <c r="E10" s="581" t="s">
        <v>2632</v>
      </c>
      <c r="F10" s="169" t="s">
        <v>2633</v>
      </c>
      <c r="G10" s="581" t="s">
        <v>2634</v>
      </c>
    </row>
    <row r="11" customFormat="false" ht="43.5" hidden="false" customHeight="true" outlineLevel="0" collapsed="false">
      <c r="B11" s="580" t="n">
        <v>6</v>
      </c>
      <c r="C11" s="581" t="s">
        <v>2635</v>
      </c>
      <c r="D11" s="581" t="s">
        <v>2636</v>
      </c>
      <c r="E11" s="581" t="s">
        <v>2637</v>
      </c>
      <c r="F11" s="169" t="s">
        <v>2633</v>
      </c>
      <c r="G11" s="581" t="s">
        <v>2638</v>
      </c>
    </row>
    <row r="12" customFormat="false" ht="43.5" hidden="false" customHeight="true" outlineLevel="0" collapsed="false">
      <c r="B12" s="580" t="n">
        <v>7</v>
      </c>
      <c r="C12" s="581" t="s">
        <v>2639</v>
      </c>
      <c r="D12" s="581" t="s">
        <v>2640</v>
      </c>
      <c r="E12" s="581" t="s">
        <v>2641</v>
      </c>
      <c r="F12" s="582" t="s">
        <v>2616</v>
      </c>
      <c r="G12" s="581" t="s">
        <v>2642</v>
      </c>
    </row>
    <row r="13" customFormat="false" ht="43.5" hidden="false" customHeight="true" outlineLevel="0" collapsed="false">
      <c r="B13" s="580" t="n">
        <v>8</v>
      </c>
      <c r="C13" s="581" t="s">
        <v>2643</v>
      </c>
      <c r="D13" s="581" t="s">
        <v>2644</v>
      </c>
      <c r="E13" s="581" t="s">
        <v>2645</v>
      </c>
      <c r="F13" s="582" t="s">
        <v>2624</v>
      </c>
      <c r="G13" s="581" t="s">
        <v>2646</v>
      </c>
    </row>
    <row r="14" customFormat="false" ht="43.5" hidden="false" customHeight="true" outlineLevel="0" collapsed="false">
      <c r="B14" s="580" t="n">
        <v>9</v>
      </c>
      <c r="C14" s="581" t="s">
        <v>2647</v>
      </c>
      <c r="D14" s="581" t="s">
        <v>2648</v>
      </c>
      <c r="E14" s="581" t="s">
        <v>2649</v>
      </c>
      <c r="F14" s="169" t="s">
        <v>2633</v>
      </c>
      <c r="G14" s="581" t="s">
        <v>2650</v>
      </c>
    </row>
    <row r="15" customFormat="false" ht="43.5" hidden="false" customHeight="true" outlineLevel="0" collapsed="false">
      <c r="B15" s="580" t="n">
        <v>10</v>
      </c>
      <c r="C15" s="581" t="s">
        <v>2651</v>
      </c>
      <c r="D15" s="581" t="s">
        <v>2652</v>
      </c>
      <c r="E15" s="581" t="s">
        <v>2653</v>
      </c>
      <c r="F15" s="583" t="s">
        <v>2654</v>
      </c>
      <c r="G15" s="581" t="s">
        <v>2655</v>
      </c>
    </row>
    <row r="16" customFormat="false" ht="43.5" hidden="false" customHeight="true" outlineLevel="0" collapsed="false">
      <c r="B16" s="580" t="n">
        <v>11</v>
      </c>
      <c r="C16" s="581" t="s">
        <v>2656</v>
      </c>
      <c r="D16" s="581" t="s">
        <v>2657</v>
      </c>
      <c r="E16" s="581" t="s">
        <v>2658</v>
      </c>
      <c r="F16" s="169" t="s">
        <v>2633</v>
      </c>
      <c r="G16" s="581" t="s">
        <v>2659</v>
      </c>
    </row>
    <row r="17" customFormat="false" ht="43.5" hidden="false" customHeight="true" outlineLevel="0" collapsed="false">
      <c r="B17" s="580" t="n">
        <v>12</v>
      </c>
      <c r="C17" s="581" t="s">
        <v>2660</v>
      </c>
      <c r="D17" s="581" t="s">
        <v>2661</v>
      </c>
      <c r="E17" s="581" t="s">
        <v>2662</v>
      </c>
      <c r="F17" s="582" t="s">
        <v>2616</v>
      </c>
      <c r="G17" s="581" t="s">
        <v>2663</v>
      </c>
    </row>
    <row r="18" customFormat="false" ht="43.5" hidden="false" customHeight="true" outlineLevel="0" collapsed="false">
      <c r="B18" s="580" t="n">
        <v>13</v>
      </c>
      <c r="C18" s="581" t="s">
        <v>2664</v>
      </c>
      <c r="D18" s="581" t="s">
        <v>2665</v>
      </c>
      <c r="E18" s="581" t="s">
        <v>2666</v>
      </c>
      <c r="F18" s="169" t="s">
        <v>2633</v>
      </c>
      <c r="G18" s="581" t="s">
        <v>2667</v>
      </c>
    </row>
    <row r="19" customFormat="false" ht="43.5" hidden="false" customHeight="true" outlineLevel="0" collapsed="false">
      <c r="B19" s="580" t="n">
        <v>14</v>
      </c>
      <c r="C19" s="581" t="s">
        <v>2668</v>
      </c>
      <c r="D19" s="581" t="s">
        <v>2669</v>
      </c>
      <c r="E19" s="581" t="s">
        <v>2670</v>
      </c>
      <c r="F19" s="169" t="s">
        <v>2633</v>
      </c>
      <c r="G19" s="581" t="s">
        <v>2671</v>
      </c>
    </row>
    <row r="20" customFormat="false" ht="43.5" hidden="false" customHeight="true" outlineLevel="0" collapsed="false">
      <c r="B20" s="580" t="n">
        <v>15</v>
      </c>
      <c r="C20" s="581" t="s">
        <v>2672</v>
      </c>
      <c r="D20" s="581" t="s">
        <v>2673</v>
      </c>
      <c r="E20" s="581" t="s">
        <v>2674</v>
      </c>
      <c r="F20" s="582" t="s">
        <v>2616</v>
      </c>
      <c r="G20" s="581" t="s">
        <v>2675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2026-04-18T16:36:28Z</dcterms:created>
  <dc:creator>openpyxl</dc:creator>
  <dc:description/>
  <dc:language>en-US</dc:language>
  <cp:lastModifiedBy/>
  <dcterms:modified xsi:type="dcterms:W3CDTF">2026-04-19T09:39:31Z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