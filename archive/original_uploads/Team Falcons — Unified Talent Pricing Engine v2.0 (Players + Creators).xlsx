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Cover" sheetId="1" r:id="rId5"/>
    <sheet state="visible" name="01_Player_Rate_Card" sheetId="2" r:id="rId6"/>
    <sheet state="visible" name="02_Creator_Rate_Card" sheetId="3" r:id="rId7"/>
    <sheet state="visible" name="03_Unified_Quotation_Builder" sheetId="4" r:id="rId8"/>
    <sheet state="visible" name="04_Adjustment_Matrix" sheetId="5" r:id="rId9"/>
    <sheet state="visible" name="05_Add_On_Rights" sheetId="6" r:id="rId10"/>
    <sheet state="visible" name="06_Inquiry_Log" sheetId="7" r:id="rId11"/>
    <sheet state="visible" name="07_Analytics_Dashboard" sheetId="8" r:id="rId12"/>
    <sheet state="visible" name="08_Guide_EN" sheetId="9" r:id="rId13"/>
    <sheet state="visible" name="09_Guide_AR" sheetId="10" r:id="rId14"/>
    <sheet state="visible" name="10_Benchmarks" sheetId="11" r:id="rId15"/>
    <sheet state="visible" name="11_Settings" sheetId="12" r:id="rId16"/>
    <sheet state="visible" name="zz_Lookups" sheetId="13" r:id="rId17"/>
    <sheet state="visible" name="00_Script_Setup" sheetId="14" r:id="rId18"/>
  </sheets>
  <definedNames/>
  <calcPr/>
</workbook>
</file>

<file path=xl/sharedStrings.xml><?xml version="1.0" encoding="utf-8"?>
<sst xmlns="http://schemas.openxmlformats.org/spreadsheetml/2006/main" count="3900" uniqueCount="2009">
  <si>
    <t>🦅  TEAM FALCONS — UNIFIED TALENT PRICING ENGINE v2.0</t>
  </si>
  <si>
    <t>Players + Content Creators · SAR · Confidential — Internal Use Only</t>
  </si>
  <si>
    <t>SHEET INDEX</t>
  </si>
  <si>
    <t>Sheet</t>
  </si>
  <si>
    <t>Purpose</t>
  </si>
  <si>
    <t>Owner</t>
  </si>
  <si>
    <t>Action</t>
  </si>
  <si>
    <t>00_Cover</t>
  </si>
  <si>
    <t>Navigation &amp; index</t>
  </si>
  <si>
    <t>All</t>
  </si>
  <si>
    <t>→ Start here</t>
  </si>
  <si>
    <t>01_Player_Rate_Card</t>
  </si>
  <si>
    <t>188 players · ceiling rates · 23 games</t>
  </si>
  <si>
    <t>Commercial</t>
  </si>
  <si>
    <t>→ Look up player rates</t>
  </si>
  <si>
    <t>02_Creator_Rate_Card</t>
  </si>
  <si>
    <t>17 creators · ceiling rates · opening factors</t>
  </si>
  <si>
    <t>→ Look up creator rates</t>
  </si>
  <si>
    <t>03_Unified_Quotation_Builder</t>
  </si>
  <si>
    <t>Build multi-talent quotes · auto-calculates</t>
  </si>
  <si>
    <t>→ BUILD QUOTES HERE</t>
  </si>
  <si>
    <t>04_Adjustment_Matrix</t>
  </si>
  <si>
    <t>All multiplier reference tables</t>
  </si>
  <si>
    <t>→ Reference only</t>
  </si>
  <si>
    <t>05_Add_On_Rights</t>
  </si>
  <si>
    <t>Rights bundles &amp; add-on fee uplifts</t>
  </si>
  <si>
    <t>06_Inquiry_Log</t>
  </si>
  <si>
    <t>Pipeline tracker · auto-populated</t>
  </si>
  <si>
    <t>→ Track deals</t>
  </si>
  <si>
    <t>07_Analytics_Dashboard</t>
  </si>
  <si>
    <t>KPIs · revenue · utilization</t>
  </si>
  <si>
    <t>Management</t>
  </si>
  <si>
    <t>→ Review performance</t>
  </si>
  <si>
    <t>08_Guide_EN</t>
  </si>
  <si>
    <t>Full SOP in English</t>
  </si>
  <si>
    <t>→ Read before using</t>
  </si>
  <si>
    <t>09_Guide_AR</t>
  </si>
  <si>
    <t>Full SOP in Arabic</t>
  </si>
  <si>
    <t>→ للقراءة قبل الاستخدام</t>
  </si>
  <si>
    <t>10_Benchmarks</t>
  </si>
  <si>
    <t>Market benchmarks · MENA esports data</t>
  </si>
  <si>
    <t>Strategy</t>
  </si>
  <si>
    <t>→ Reference</t>
  </si>
  <si>
    <t>11_Settings</t>
  </si>
  <si>
    <t>Global config · API keys · bank details</t>
  </si>
  <si>
    <t>Admin</t>
  </si>
  <si>
    <t>→ Configure once</t>
  </si>
  <si>
    <t>zz_Lookups</t>
  </si>
  <si>
    <t>Dropdown source data</t>
  </si>
  <si>
    <t>→ Do not edit</t>
  </si>
  <si>
    <t>PRICING FORMULA</t>
  </si>
  <si>
    <t>Adj Mult</t>
  </si>
  <si>
    <t>Organic Unit Rate</t>
  </si>
  <si>
    <t>Line Total</t>
  </si>
  <si>
    <t>FLAG SYSTEM</t>
  </si>
  <si>
    <t>🟢 GREEN</t>
  </si>
  <si>
    <t>Ready to send — rate within ceiling</t>
  </si>
  <si>
    <t>🟡 YELLOW</t>
  </si>
  <si>
    <t>Near ceiling — review before sending</t>
  </si>
  <si>
    <t>🔴 RED</t>
  </si>
  <si>
    <t>Ceiling breach — fix before sending</t>
  </si>
  <si>
    <t>SHIKENSO INTEGRATION</t>
  </si>
  <si>
    <t>Status</t>
  </si>
  <si>
    <t>Configured and ready — add API key in 11_Settings to activate</t>
  </si>
  <si>
    <t>Data pulled</t>
  </si>
  <si>
    <t>Avg Views, Engagement Rate, Last Sync Date per talent</t>
  </si>
  <si>
    <t>Impact</t>
  </si>
  <si>
    <t>Shikenso data will auto-populate Engagement multiplier suggestions</t>
  </si>
  <si>
    <t>Version: v2.0 · Last updated: 01 Apr 2026 · Owner: Abdalrahman ElGhazzawi</t>
  </si>
  <si>
    <t>01_PLAYER_RATE_CARD — Ceiling rates for all Team Falcons players · 188 players · 23 games · SAR · Confidential · Shikenso-Ready</t>
  </si>
  <si>
    <t>#</t>
  </si>
  <si>
    <t>Nickname</t>
  </si>
  <si>
    <t>Role</t>
  </si>
  <si>
    <t>Game</t>
  </si>
  <si>
    <t>Team</t>
  </si>
  <si>
    <t>Nationality</t>
  </si>
  <si>
    <t>Platforms</t>
  </si>
  <si>
    <t>Tier</t>
  </si>
  <si>
    <t>IG Reel
(SAR)</t>
  </si>
  <si>
    <t>IG Static
(SAR)</t>
  </si>
  <si>
    <t>TikTok
Video</t>
  </si>
  <si>
    <t>YT Short
(SAR)</t>
  </si>
  <si>
    <t>X Post
(SAR)</t>
  </si>
  <si>
    <t>Twitch
2h Stream</t>
  </si>
  <si>
    <t>Twitch
Integ.</t>
  </si>
  <si>
    <t>IRL /
Appear.</t>
  </si>
  <si>
    <t>Rights
Fee</t>
  </si>
  <si>
    <t>Excl.
Fee</t>
  </si>
  <si>
    <t>Rush
Fee</t>
  </si>
  <si>
    <t>WL
Fee</t>
  </si>
  <si>
    <t>Falcons
Comm %</t>
  </si>
  <si>
    <t>Markup
%</t>
  </si>
  <si>
    <t>Notes</t>
  </si>
  <si>
    <t>Full Name</t>
  </si>
  <si>
    <t>Twitter/X</t>
  </si>
  <si>
    <t>Instagram</t>
  </si>
  <si>
    <t>Twitch</t>
  </si>
  <si>
    <t>YouTube</t>
  </si>
  <si>
    <t>TikTok</t>
  </si>
  <si>
    <t>Kick</t>
  </si>
  <si>
    <t>Facebook</t>
  </si>
  <si>
    <t>Snapchat</t>
  </si>
  <si>
    <t>Game Role</t>
  </si>
  <si>
    <t>Shikenso
Avg Views</t>
  </si>
  <si>
    <t>Shikenso
Eng Rate</t>
  </si>
  <si>
    <t>Shikenso
Last Sync</t>
  </si>
  <si>
    <t>Alpine</t>
  </si>
  <si>
    <t>Manager</t>
  </si>
  <si>
    <t>Call of Duty Warzone</t>
  </si>
  <si>
    <t>Team Falcons</t>
  </si>
  <si>
    <t>American</t>
  </si>
  <si>
    <t>Tier 3</t>
  </si>
  <si>
    <t>N/A</t>
  </si>
  <si>
    <t>1 platform</t>
  </si>
  <si>
    <t>Alejandro Ayala</t>
  </si>
  <si>
    <t>https://x.com/alpinedadog?lang=en</t>
  </si>
  <si>
    <t>Draugr</t>
  </si>
  <si>
    <t>Head Coach</t>
  </si>
  <si>
    <t>Apex Legends</t>
  </si>
  <si>
    <t>Australian</t>
  </si>
  <si>
    <t>Tier 2</t>
  </si>
  <si>
    <t>2 platforms</t>
  </si>
  <si>
    <t>Kyle Gillard</t>
  </si>
  <si>
    <t>https://x.com/DraugrAU</t>
  </si>
  <si>
    <t>https://www.twitch.tv/DraugrAU</t>
  </si>
  <si>
    <t>ImperialHal</t>
  </si>
  <si>
    <t>Player</t>
  </si>
  <si>
    <t>Tier 1</t>
  </si>
  <si>
    <t>Phillip Dosen</t>
  </si>
  <si>
    <t>https://x.com/ImperialHal</t>
  </si>
  <si>
    <t>Instagram/ImperialHal</t>
  </si>
  <si>
    <t>https://www.twitch.tv/imperialhal__</t>
  </si>
  <si>
    <t>YT/ImperialHal</t>
  </si>
  <si>
    <t>Privacy</t>
  </si>
  <si>
    <t>Analyst</t>
  </si>
  <si>
    <t>German / Syrian</t>
  </si>
  <si>
    <t>4 platforms</t>
  </si>
  <si>
    <t>Yaman Kayal</t>
  </si>
  <si>
    <t>https://x.com/Privacy_Pleas</t>
  </si>
  <si>
    <t>https://www.twitch.tv/priv4cy</t>
  </si>
  <si>
    <t>https://www.youtube.com/@Priv4cyy</t>
  </si>
  <si>
    <t>https://www.tiktok.com/@priv4cyy</t>
  </si>
  <si>
    <t>Wxltzy</t>
  </si>
  <si>
    <t>Ben Walton</t>
  </si>
  <si>
    <t>https://x.com/Wxltzy</t>
  </si>
  <si>
    <t>Instagram/Wxltzy</t>
  </si>
  <si>
    <t>https://www.twitch.tv/wxltzy</t>
  </si>
  <si>
    <t>Clayster</t>
  </si>
  <si>
    <t>Call of Duty Black Ops 7</t>
  </si>
  <si>
    <t>Riyadh Falcons</t>
  </si>
  <si>
    <t>3 platforms</t>
  </si>
  <si>
    <t>James Eubanks</t>
  </si>
  <si>
    <t>https://x.com/Clayster</t>
  </si>
  <si>
    <t>https://www.instagram.com/clayster</t>
  </si>
  <si>
    <t>https://www.twitch.tv/clayster</t>
  </si>
  <si>
    <t>MoT3yyB</t>
  </si>
  <si>
    <t>Assistant Coach</t>
  </si>
  <si>
    <t>Saudi Arabia</t>
  </si>
  <si>
    <t>Mutab Almuammar</t>
  </si>
  <si>
    <t>https://x.com/MoT3yyB</t>
  </si>
  <si>
    <t>JPDigits</t>
  </si>
  <si>
    <t>United Kingdom</t>
  </si>
  <si>
    <t>Jonathan Perry</t>
  </si>
  <si>
    <t>https://x.com/JPerry264</t>
  </si>
  <si>
    <t>Cellium</t>
  </si>
  <si>
    <t>McArthur Jovel</t>
  </si>
  <si>
    <t>https://twitter.com/Cellium</t>
  </si>
  <si>
    <t>https://www.instagram.com/cellium/</t>
  </si>
  <si>
    <t>https://www.twitch.tv/Cellium</t>
  </si>
  <si>
    <t>Exnid</t>
  </si>
  <si>
    <t>Saud Alati</t>
  </si>
  <si>
    <t>https://x.com/Exnid_</t>
  </si>
  <si>
    <t>https://www.twitch.tv/exnid</t>
  </si>
  <si>
    <t>KiSMET</t>
  </si>
  <si>
    <t>Matthew Tinsley</t>
  </si>
  <si>
    <t>https://twitter.com/KiSMET6_</t>
  </si>
  <si>
    <t>https://www.instagram.com/kismet6_</t>
  </si>
  <si>
    <t>https://www.twitch.tv/kismet6_</t>
  </si>
  <si>
    <t>Pred</t>
  </si>
  <si>
    <t>Amer Zulbeari</t>
  </si>
  <si>
    <t>https://x.com/Pred</t>
  </si>
  <si>
    <t>https://www.instagram.com/amerzulbeariii</t>
  </si>
  <si>
    <t>https://www.twitch.tv/pred</t>
  </si>
  <si>
    <t>KingAbody</t>
  </si>
  <si>
    <t>FaZe Falcons</t>
  </si>
  <si>
    <t>Abdulelah Alrajhi</t>
  </si>
  <si>
    <t>https://x.com/KingAbody_</t>
  </si>
  <si>
    <t>Arcitys</t>
  </si>
  <si>
    <t>Falcons Academy White</t>
  </si>
  <si>
    <t>Alec Sanderson</t>
  </si>
  <si>
    <t>https://x.com/Arcitys</t>
  </si>
  <si>
    <t>https://www.instagram.com/arcitys9</t>
  </si>
  <si>
    <t>https://www.twitch.tv/arcitys</t>
  </si>
  <si>
    <t>Paulehx</t>
  </si>
  <si>
    <t>Paul Avila</t>
  </si>
  <si>
    <t>https://x.com/Paulehx_</t>
  </si>
  <si>
    <t>https://www.twitch.tv/paulehx</t>
  </si>
  <si>
    <t>hmoodx</t>
  </si>
  <si>
    <t>Team Falcons MENA</t>
  </si>
  <si>
    <t>Mohammed Altowairqi</t>
  </si>
  <si>
    <t>https://x.com/xihamoodx</t>
  </si>
  <si>
    <t>https://www.twitch.tv/i_hmoodx</t>
  </si>
  <si>
    <t>xizx7</t>
  </si>
  <si>
    <t>Jawad Al-Thawab</t>
  </si>
  <si>
    <t>https://x.com/Jawxd7</t>
  </si>
  <si>
    <t>https://www.instagram.com/Jawxd7</t>
  </si>
  <si>
    <t>https://www.twitch.tv/jawad</t>
  </si>
  <si>
    <t>https://www.youtube.com/channel/UCUWL8dR-JyA4FXZ08aSjjcg/videos</t>
  </si>
  <si>
    <t>Newbz</t>
  </si>
  <si>
    <t>Edy Juan</t>
  </si>
  <si>
    <t>https://x.com/TBE_Newbzz</t>
  </si>
  <si>
    <t>https://www.twitch.tv/newbz</t>
  </si>
  <si>
    <t>Dongy</t>
  </si>
  <si>
    <t>Christopher Ledbetter</t>
  </si>
  <si>
    <t>https://x.com/zDongyy</t>
  </si>
  <si>
    <t>https://www.twitch.tv/Dongy</t>
  </si>
  <si>
    <t>Soka</t>
  </si>
  <si>
    <t>Tongan</t>
  </si>
  <si>
    <t>5 platforms</t>
  </si>
  <si>
    <t>Kasimili Tonga Tongamoa</t>
  </si>
  <si>
    <t>https://twitter.com/HisokaT42</t>
  </si>
  <si>
    <t>https://www.instagram.com/hisokat42</t>
  </si>
  <si>
    <t>https://www.twitch.tv/HisokaT42</t>
  </si>
  <si>
    <t>https://www.youtube.com/channel/UCQDRE8aZRsrvF5OwMk_KmBg</t>
  </si>
  <si>
    <t>https://tiktok.com/@missionarysoka</t>
  </si>
  <si>
    <t>Alireza Firouzja</t>
  </si>
  <si>
    <t>Chess</t>
  </si>
  <si>
    <t>French/Iranian</t>
  </si>
  <si>
    <t>https://twitter.com/AlirezaFirouzja</t>
  </si>
  <si>
    <t>https://www.instagram.com/alirezafirouzja</t>
  </si>
  <si>
    <t>https://www.twitch.tv/alirezafirouzja</t>
  </si>
  <si>
    <t>https://www.youtube.com/@alirezafirouzja4080</t>
  </si>
  <si>
    <t>https://www.facebook.com/login/?next=https%3A%2F%2Fwww.facebook.com%2FAlireza.Firouzja.chess%2F</t>
  </si>
  <si>
    <t>Hikaru Nakamura</t>
  </si>
  <si>
    <t>6 platforms</t>
  </si>
  <si>
    <t>https://twitter.com/GMHikaru</t>
  </si>
  <si>
    <t>https://www.instagram.com/gmhikaru</t>
  </si>
  <si>
    <t>https://www.twitch.tv/gmhikaru</t>
  </si>
  <si>
    <t>https://www.youtube.com/@gmhikaru</t>
  </si>
  <si>
    <t>https://kick.com/gmhikaru</t>
  </si>
  <si>
    <t>https://www.facebook.com/login/?next=https%3A%2F%2Fwww.facebook.com%2FGMHikaru%2F</t>
  </si>
  <si>
    <t>Jon Ellis</t>
  </si>
  <si>
    <t>0 platforms</t>
  </si>
  <si>
    <t>Jonathan Ellis</t>
  </si>
  <si>
    <t>kyousuke</t>
  </si>
  <si>
    <t>Counterstrike2</t>
  </si>
  <si>
    <t>Russian</t>
  </si>
  <si>
    <t>Maxim Lukin</t>
  </si>
  <si>
    <t>https://twitter.com/FLCkyousuke</t>
  </si>
  <si>
    <t>https://www.instagram.com/flckyousuke</t>
  </si>
  <si>
    <t>https://www.twitch.tv/kyousuke999</t>
  </si>
  <si>
    <t>kyxsan</t>
  </si>
  <si>
    <t>North Macedonia</t>
  </si>
  <si>
    <t>Damjan Stoilkovski</t>
  </si>
  <si>
    <t>https://x.com/kyxsancs</t>
  </si>
  <si>
    <t>https://www.instagram.com/kyxsancs/</t>
  </si>
  <si>
    <t>m0NESY</t>
  </si>
  <si>
    <t>Ilya Osipov</t>
  </si>
  <si>
    <t>https://x.com/FLCm0NESY</t>
  </si>
  <si>
    <t>https://www.instagram.com/m0nesy13</t>
  </si>
  <si>
    <t>https://www.twitch.tv/m0nesyof</t>
  </si>
  <si>
    <t>https://www.youtube.com/channel/UCJxjKA1Cl--4tCN1l_cHHvQ</t>
  </si>
  <si>
    <t>NiKo</t>
  </si>
  <si>
    <t>Bosnian</t>
  </si>
  <si>
    <t>Nikola Kovač</t>
  </si>
  <si>
    <t>https://x.com/NiKoCS_</t>
  </si>
  <si>
    <t>https://www.instagram.com/csgoniko/#</t>
  </si>
  <si>
    <t>https://www.twitch.tv/NiKo</t>
  </si>
  <si>
    <t>https://www.youtube.com/@NiKo_cs</t>
  </si>
  <si>
    <t>https://www.facebook.com/csgoNiKo</t>
  </si>
  <si>
    <t>OMYA</t>
  </si>
  <si>
    <t>French</t>
  </si>
  <si>
    <t>Xavier Roussac</t>
  </si>
  <si>
    <t>https://x.com/Xavier_Roussac</t>
  </si>
  <si>
    <t>TeSeS</t>
  </si>
  <si>
    <t>Danish</t>
  </si>
  <si>
    <t>René Madsen</t>
  </si>
  <si>
    <t>https://x.com/tesescs</t>
  </si>
  <si>
    <t>Instagram/TeseS</t>
  </si>
  <si>
    <t>https://www.twitch.tv/tesesss</t>
  </si>
  <si>
    <t>Aymeinstein</t>
  </si>
  <si>
    <t>Aymen Bencheikh</t>
  </si>
  <si>
    <t>https://x.com/aymeinstein</t>
  </si>
  <si>
    <t>https://www.instagram.com/aymeinsteintv</t>
  </si>
  <si>
    <t>Zonic</t>
  </si>
  <si>
    <t>Danny Sørensen</t>
  </si>
  <si>
    <t>https://x.com/zonic</t>
  </si>
  <si>
    <t>Instagram/Zonic</t>
  </si>
  <si>
    <t>https://www.twitch.tv/zonic</t>
  </si>
  <si>
    <t>Facebook/Zonic</t>
  </si>
  <si>
    <t>clockzi</t>
  </si>
  <si>
    <t>Falcons Force</t>
  </si>
  <si>
    <t>Oskar Led Blæsbjerg</t>
  </si>
  <si>
    <t>https://x.com/flcclockzi</t>
  </si>
  <si>
    <t>grecu</t>
  </si>
  <si>
    <t>Romanian</t>
  </si>
  <si>
    <t>Andrei Grecu</t>
  </si>
  <si>
    <t>https://x.com/grecuflc</t>
  </si>
  <si>
    <t>https://www.twitch.tv/gbcgrecu</t>
  </si>
  <si>
    <t>VENO</t>
  </si>
  <si>
    <t>Serbian</t>
  </si>
  <si>
    <t>Vladimir Stanković</t>
  </si>
  <si>
    <t>https://x.com/venocs2</t>
  </si>
  <si>
    <t>https://www.twitch.tv/venocs2</t>
  </si>
  <si>
    <t>https://www.youtube.com/@venocs2</t>
  </si>
  <si>
    <t>NaToSaphiX</t>
  </si>
  <si>
    <t>Niels Christian Sillassen</t>
  </si>
  <si>
    <t>https://x.com/NaToSaphiX</t>
  </si>
  <si>
    <t>https://www.instagram.com/natosaphix</t>
  </si>
  <si>
    <t>https://www.twitch.tv/natosaphix</t>
  </si>
  <si>
    <t>https://www.youtube.com/NaToSaphiX</t>
  </si>
  <si>
    <t>Neoskai</t>
  </si>
  <si>
    <t>Loïc Potages</t>
  </si>
  <si>
    <t>https://x.com/Neoskai</t>
  </si>
  <si>
    <t>https://www.instagram.com/neoskai/</t>
  </si>
  <si>
    <t>Nucleonz</t>
  </si>
  <si>
    <t>North Macedonian</t>
  </si>
  <si>
    <t>Matej Trajkoski</t>
  </si>
  <si>
    <t>https://x.com/NucleonZz</t>
  </si>
  <si>
    <t>Skiter</t>
  </si>
  <si>
    <t>Dota2</t>
  </si>
  <si>
    <t>Slovakia</t>
  </si>
  <si>
    <t>Oliver Lepko</t>
  </si>
  <si>
    <t>https://x.com/skiter</t>
  </si>
  <si>
    <t>Instagram/Skiter</t>
  </si>
  <si>
    <t>https://www.facebook.com/SkiterDota</t>
  </si>
  <si>
    <t>Malr1ne</t>
  </si>
  <si>
    <t>Stanislav Potorak</t>
  </si>
  <si>
    <t>https://x.com/Malr1ne_</t>
  </si>
  <si>
    <t>Instagram/Malr1ne</t>
  </si>
  <si>
    <t>https://www.twitch.tv/malr1ne_dota</t>
  </si>
  <si>
    <t>ATF</t>
  </si>
  <si>
    <t>Jordanian</t>
  </si>
  <si>
    <t>Ammar Al-Assaf</t>
  </si>
  <si>
    <t>https://x.com/AmmarAlassaf6</t>
  </si>
  <si>
    <t>Instagram/Ammar</t>
  </si>
  <si>
    <t>https://www.twitch.tv/ammar_the_f</t>
  </si>
  <si>
    <t>Cr1t-</t>
  </si>
  <si>
    <t>Andreas Nielsen</t>
  </si>
  <si>
    <t>https://x.com/Cr1tdota</t>
  </si>
  <si>
    <t>Instagram/Cr1t</t>
  </si>
  <si>
    <t>https://www.twitch.tv/cr1tdota</t>
  </si>
  <si>
    <t>YT/Cr1t</t>
  </si>
  <si>
    <t>https://www.facebook.com/Cr1tdota</t>
  </si>
  <si>
    <t>Sneyking</t>
  </si>
  <si>
    <t>American / Chinese</t>
  </si>
  <si>
    <t>Jingjun Wu</t>
  </si>
  <si>
    <t>https://x.com/SneykingGaming</t>
  </si>
  <si>
    <t>https://www.twitch.tv/sneykingdota</t>
  </si>
  <si>
    <t>Aui_2000</t>
  </si>
  <si>
    <t>Canada</t>
  </si>
  <si>
    <t>Kurtis Ling</t>
  </si>
  <si>
    <t>https://x.com/Aui_2000</t>
  </si>
  <si>
    <t>https://www.twitch.tv/aui_2000</t>
  </si>
  <si>
    <t>YT/Aui_2000</t>
  </si>
  <si>
    <t>AfromOush</t>
  </si>
  <si>
    <t>Mohammad Abu Al Eis</t>
  </si>
  <si>
    <t>https://x.com/AfrOmoush</t>
  </si>
  <si>
    <t>https://www.twitch.tv/afromoush</t>
  </si>
  <si>
    <t>https://www.facebook.com/RealAfrOmoush</t>
  </si>
  <si>
    <t>Bonkers</t>
  </si>
  <si>
    <t>British</t>
  </si>
  <si>
    <t>Allen Cook</t>
  </si>
  <si>
    <t>https://x.com/thisisallencook</t>
  </si>
  <si>
    <t>GoatMoh</t>
  </si>
  <si>
    <t>EAFC25</t>
  </si>
  <si>
    <t>EA Sport FC</t>
  </si>
  <si>
    <t>Mohammed Alarfaj</t>
  </si>
  <si>
    <t>https://x.com/GoatMoh_</t>
  </si>
  <si>
    <t>https://www.twitch.tv/goatmoh</t>
  </si>
  <si>
    <t>Hafez</t>
  </si>
  <si>
    <t>Coach</t>
  </si>
  <si>
    <t>Mohammad Hafiz</t>
  </si>
  <si>
    <t>https://x.com/_Hafez10</t>
  </si>
  <si>
    <t>Javivillar7</t>
  </si>
  <si>
    <t>Spanish</t>
  </si>
  <si>
    <t>Javier Villar Gómez</t>
  </si>
  <si>
    <t>https://x.com/Javivillar7</t>
  </si>
  <si>
    <t>Instagram/Javivillar7</t>
  </si>
  <si>
    <t>https://www.twitch.tv/javivillar7/</t>
  </si>
  <si>
    <t>https://www.youtube.com/@javivillar7</t>
  </si>
  <si>
    <t>https://www.tiktok.com/@javivillar7?lang=en</t>
  </si>
  <si>
    <t>Msdossary</t>
  </si>
  <si>
    <t>Mossad Aldossary</t>
  </si>
  <si>
    <t>https://x.com/msdossary7</t>
  </si>
  <si>
    <t>Instagram/Msdossary</t>
  </si>
  <si>
    <t>YT/Msdossary7</t>
  </si>
  <si>
    <t>Vejrgang</t>
  </si>
  <si>
    <t>Anders Vejrgang</t>
  </si>
  <si>
    <t>https://twitter.com/FLC_Vejrgang</t>
  </si>
  <si>
    <t>https://www.instagram.com/rblz_vejrgang</t>
  </si>
  <si>
    <t>https://www.twitch.tv/anders_vejrgang</t>
  </si>
  <si>
    <t>https://www.youtube.com/AndersVejrgangofficial</t>
  </si>
  <si>
    <t>A9</t>
  </si>
  <si>
    <t>Aseel Aldokheel</t>
  </si>
  <si>
    <t>Kiimo7</t>
  </si>
  <si>
    <t>Abdulkareem Bamogaddam</t>
  </si>
  <si>
    <t>https://x.com/kiimo__1</t>
  </si>
  <si>
    <t>https://www.instagram.com/kreemvv/</t>
  </si>
  <si>
    <t>Rashed</t>
  </si>
  <si>
    <t>Fortnite</t>
  </si>
  <si>
    <t>Saudi</t>
  </si>
  <si>
    <t>Rashed Aldmaikhi</t>
  </si>
  <si>
    <t>Abu Omar</t>
  </si>
  <si>
    <t>Fatal Fury</t>
  </si>
  <si>
    <t>Wesam Alghamdi</t>
  </si>
  <si>
    <t>https://x.com/wess21111?lang=en</t>
  </si>
  <si>
    <t>E.T.</t>
  </si>
  <si>
    <t>Taiwan</t>
  </si>
  <si>
    <t>Lin Chia-hung</t>
  </si>
  <si>
    <t>https://x.com/et1120</t>
  </si>
  <si>
    <t>https://www.instagram.com/dbj_et/#</t>
  </si>
  <si>
    <t>https://www.facebook.com/Taiwan.1.ET</t>
  </si>
  <si>
    <t>Ghirlanda</t>
  </si>
  <si>
    <t>Tekken</t>
  </si>
  <si>
    <t>Italian</t>
  </si>
  <si>
    <t>Joshua Bianchi</t>
  </si>
  <si>
    <t>https://x.com/ghirlandatekken</t>
  </si>
  <si>
    <t>Kindevu</t>
  </si>
  <si>
    <t>Japanese</t>
  </si>
  <si>
    <t>Yosuke Ito</t>
  </si>
  <si>
    <t>https://x.com/kindevu</t>
  </si>
  <si>
    <t>https://www.twitch.tv/kindevu0827</t>
  </si>
  <si>
    <t>https://www.youtube.com/channel/UCQevn7lvmrpl3ElLd58YsNQ</t>
  </si>
  <si>
    <t>mok</t>
  </si>
  <si>
    <t>Japan</t>
  </si>
  <si>
    <t>Hiroaki Hashizume</t>
  </si>
  <si>
    <t>https://twitter.com/andytheworld320</t>
  </si>
  <si>
    <t>https://www.youtube.com/channel/UC-Ksra-atsz4eW5i9ZDAa8A</t>
  </si>
  <si>
    <t>Sai</t>
  </si>
  <si>
    <t>Ali Abdullah Alduhaysh</t>
  </si>
  <si>
    <t>https://x.com/Zenga83</t>
  </si>
  <si>
    <t>Shadow X</t>
  </si>
  <si>
    <t>Mexican</t>
  </si>
  <si>
    <t>Abraham Sanchez</t>
  </si>
  <si>
    <t>https://x.com/ShadowX_FGC</t>
  </si>
  <si>
    <t>https://www.twitch.tv/ChonFx</t>
  </si>
  <si>
    <t>Tamago</t>
  </si>
  <si>
    <t>Ángel Chong</t>
  </si>
  <si>
    <t>https://x.com/ChonFx</t>
  </si>
  <si>
    <t>Xyzzy</t>
  </si>
  <si>
    <t>South Korean</t>
  </si>
  <si>
    <t>Lee Hanbyul</t>
  </si>
  <si>
    <t>https://x.com/xyzzylshift</t>
  </si>
  <si>
    <t>https://www.twitch.tv/xyzzyshift</t>
  </si>
  <si>
    <t>Xiaohai</t>
  </si>
  <si>
    <t>Street Fighter</t>
  </si>
  <si>
    <t>China</t>
  </si>
  <si>
    <t>Zeng Zhuojun</t>
  </si>
  <si>
    <t>https://x.com/Xiaohai_</t>
  </si>
  <si>
    <t>Peterbot</t>
  </si>
  <si>
    <t>American/Hungarian</t>
  </si>
  <si>
    <t>Peter Kata</t>
  </si>
  <si>
    <t>https://x.com/PeterbotFN</t>
  </si>
  <si>
    <t>https://www.twitch.tv/peterbot</t>
  </si>
  <si>
    <t>https://www.youtube.com/channel/UC_RGYvZpoesD8yX-o677-xw</t>
  </si>
  <si>
    <t>FHD</t>
  </si>
  <si>
    <t>Fahad Almutairi</t>
  </si>
  <si>
    <t>https://x.com/Fahadclipz</t>
  </si>
  <si>
    <t>https://www.instagram.com/fahadclipz/?hl=en</t>
  </si>
  <si>
    <t>https://www.twitch.tv/fahadfn</t>
  </si>
  <si>
    <t>Gntl</t>
  </si>
  <si>
    <t>Abdullah Albaqami</t>
  </si>
  <si>
    <t>https://x.com/g1ntl</t>
  </si>
  <si>
    <t>https://www.instagram.com/accounts/login/?next=%2Fg1ntl&amp;source=omni_redirect</t>
  </si>
  <si>
    <t>https://www.twitch.tv/GntL</t>
  </si>
  <si>
    <t>https://www.youtube.com/c/g1ntl</t>
  </si>
  <si>
    <t>NM7</t>
  </si>
  <si>
    <t>Nawaf Alharthi</t>
  </si>
  <si>
    <t>https://x.com/iNm7x</t>
  </si>
  <si>
    <t>https://www.instagram.com/accounts/login/?next=%2Finm7x&amp;source=omni_redirect</t>
  </si>
  <si>
    <t>https://www.twitch.tv/iiNm7x</t>
  </si>
  <si>
    <t>https://www.youtube.com/c/iNm7x</t>
  </si>
  <si>
    <t>Spy</t>
  </si>
  <si>
    <t>Osama Almasad</t>
  </si>
  <si>
    <t>https://x.com/spyerfrog</t>
  </si>
  <si>
    <t>https://www.instagram.com/accounts/login/?next=%2Fspyerfrog&amp;source=omni_redirect</t>
  </si>
  <si>
    <t>https://www.twitch.tv/spyerfrog</t>
  </si>
  <si>
    <t>https://www.youtube.com/channel/UCl9pp6XYMcjyVESzYD8myQg</t>
  </si>
  <si>
    <t>Yonx</t>
  </si>
  <si>
    <t>Faisal Almusharraf</t>
  </si>
  <si>
    <t>https://x.com/YonxFN</t>
  </si>
  <si>
    <t>https://www.twitch.tv/YonxFN</t>
  </si>
  <si>
    <t>https://www.youtube.com/channel/UCSKgsqUfo7vA4BuBvtf6vwg</t>
  </si>
  <si>
    <t>Matteo</t>
  </si>
  <si>
    <t>Matteo Paganin</t>
  </si>
  <si>
    <t>Conan</t>
  </si>
  <si>
    <t>Free Fire</t>
  </si>
  <si>
    <t>Thailand</t>
  </si>
  <si>
    <t>Tana Kamruang</t>
  </si>
  <si>
    <t>https://www.instagram.com/thana_kamruang/</t>
  </si>
  <si>
    <t>https://facebook.com/profile.php?id=100006004232176</t>
  </si>
  <si>
    <t>KERORO</t>
  </si>
  <si>
    <t>Natthaphong Phuangpriang</t>
  </si>
  <si>
    <t>https://www.instagram.com/keroro_god</t>
  </si>
  <si>
    <t>https://facebook.com/profile.php?id=100014997245027</t>
  </si>
  <si>
    <t>LIMIT</t>
  </si>
  <si>
    <t>Rachata Wanaphurksasilp</t>
  </si>
  <si>
    <t>https://www.instagram.com/limit_juy</t>
  </si>
  <si>
    <t>https://tiktok.com/@limitxstep8</t>
  </si>
  <si>
    <t>https://facebook.com/profile.php?id=100015743748929</t>
  </si>
  <si>
    <t>ONEMORE</t>
  </si>
  <si>
    <t>Rattapoom Sunthalunai</t>
  </si>
  <si>
    <t>https://www.instagram.com/poomgohome_</t>
  </si>
  <si>
    <t>https://tiktok.com/@pm.rt</t>
  </si>
  <si>
    <t>https://facebook.com/ratta.poom.790</t>
  </si>
  <si>
    <t>ONFIRE</t>
  </si>
  <si>
    <t>Phulipat Yosit</t>
  </si>
  <si>
    <t>https://www.instagram.com/onfirebaby__</t>
  </si>
  <si>
    <t>https://tiktok.com/@onfireeieii</t>
  </si>
  <si>
    <t>https://facebook.com/profile.php?id=100072006039523</t>
  </si>
  <si>
    <t>Penna</t>
  </si>
  <si>
    <t>Natthawut Srinaknil</t>
  </si>
  <si>
    <t>https://www.instagram.com/pee_2006._?igsh=enRyOTlwbnV2bjg5</t>
  </si>
  <si>
    <t>https://www.tiktok.com/@peena._?_r=1&amp;_t=ZS-93QJymJbPfx</t>
  </si>
  <si>
    <t>PROTETO</t>
  </si>
  <si>
    <t>Ratchata Soonklang</t>
  </si>
  <si>
    <t>https://www.instagram.com/protetae</t>
  </si>
  <si>
    <t>https://facebook.com/pongsatorn.pongsatorn.754</t>
  </si>
  <si>
    <t>SAINOI</t>
  </si>
  <si>
    <t>Worrawan Kasikarn</t>
  </si>
  <si>
    <t>Jose Serrano</t>
  </si>
  <si>
    <t>Gran Turismo</t>
  </si>
  <si>
    <t>https://x.com/JoseSerrano_16</t>
  </si>
  <si>
    <t>https://www.instagram.com/joseserranoo_/</t>
  </si>
  <si>
    <t>https://www.twitch.tv/JoseSerrano_16</t>
  </si>
  <si>
    <t>Naif Alfaleh</t>
  </si>
  <si>
    <t>https://x.com/Falcon_Naifx</t>
  </si>
  <si>
    <t>https://www.instagram.com/falcon_naifx/</t>
  </si>
  <si>
    <t>Pol Urra</t>
  </si>
  <si>
    <t>https://x.com/polurra</t>
  </si>
  <si>
    <t>https://www.instagram.com/pol_urra/</t>
  </si>
  <si>
    <t>Wesam Khalil</t>
  </si>
  <si>
    <t>https://x.com/Falcon_Wesam</t>
  </si>
  <si>
    <t>https://www.instagram.com/falcon_wesam/</t>
  </si>
  <si>
    <t>Skwal</t>
  </si>
  <si>
    <t>Nicolas Sautron</t>
  </si>
  <si>
    <t>https://x.com/SkwalGG</t>
  </si>
  <si>
    <t>https://www.instagram.com/skwalgg/</t>
  </si>
  <si>
    <t>Boyet</t>
  </si>
  <si>
    <t>Mobile Legends Bang Bang</t>
  </si>
  <si>
    <t>Philippines</t>
  </si>
  <si>
    <t>Bien Salvador C Chumacera</t>
  </si>
  <si>
    <t>https://www.instagram.com/boyetdr_</t>
  </si>
  <si>
    <t>Cuffin</t>
  </si>
  <si>
    <t>Muath saad alquraini</t>
  </si>
  <si>
    <t>https://www.instagram.com/accounts/login/?next=%2Fcuffin_ml&amp;source=omni_redirect</t>
  </si>
  <si>
    <t>Kakashi</t>
  </si>
  <si>
    <t>Falcons Vega MENA</t>
  </si>
  <si>
    <t>Egypt</t>
  </si>
  <si>
    <t>AMR WAFED YASSIN</t>
  </si>
  <si>
    <t>https://www.instagram.com/cuffin_ml</t>
  </si>
  <si>
    <t>Saano</t>
  </si>
  <si>
    <t>SULAIMAN MUSALLAM ALRASHDI</t>
  </si>
  <si>
    <t>Sanji</t>
  </si>
  <si>
    <t>Ayman Othman Alqarni</t>
  </si>
  <si>
    <t>https://www.instagram.com/trolll_ml</t>
  </si>
  <si>
    <t>Tarzaan</t>
  </si>
  <si>
    <t>Mohammed Ayman Kharabah</t>
  </si>
  <si>
    <t>Troll</t>
  </si>
  <si>
    <t>Moayed ayman kharaba</t>
  </si>
  <si>
    <t>Owgwen</t>
  </si>
  <si>
    <t>Team Falcons PH</t>
  </si>
  <si>
    <t>Rowgien Stimpson Unigo</t>
  </si>
  <si>
    <t>https://twitter.com/Ogiiiieeen</t>
  </si>
  <si>
    <t>https://www.instagram.com/flcn.owgwen</t>
  </si>
  <si>
    <t>https://www.tiktok.com/@ogiiiieeen</t>
  </si>
  <si>
    <t>https://facebook.com/Ogiiiieeen</t>
  </si>
  <si>
    <t>Super Marco</t>
  </si>
  <si>
    <t>Marco Stephen Requitiano</t>
  </si>
  <si>
    <t>https://www.tiktok.com/@flcnsupermarco</t>
  </si>
  <si>
    <t>https://www.facebook.com/FLCNSupermarco</t>
  </si>
  <si>
    <t>Hadji</t>
  </si>
  <si>
    <t>Salic Imam</t>
  </si>
  <si>
    <t>https://www.instagram.com/hadjizy</t>
  </si>
  <si>
    <t>https://www.tiktok.com/@hadjizy_</t>
  </si>
  <si>
    <t>https://facebook.com/Hadjizyyyyy</t>
  </si>
  <si>
    <t>Moody</t>
  </si>
  <si>
    <t>Mohammad Samal</t>
  </si>
  <si>
    <t>https://www.instagram.com/moodysamal</t>
  </si>
  <si>
    <t>https://www.tiktok.com/@flcn.moody</t>
  </si>
  <si>
    <t>https://www.facebook.com/liquidcoachmoody/</t>
  </si>
  <si>
    <t>VR3N</t>
  </si>
  <si>
    <t>Vrendon Pesebre</t>
  </si>
  <si>
    <t>https://www.instagram.com/vrendonlin</t>
  </si>
  <si>
    <t>https://www.tiktok.com/@vrendonlin</t>
  </si>
  <si>
    <t>https://www.facebook.com/kutspogi</t>
  </si>
  <si>
    <t>Fvvn</t>
  </si>
  <si>
    <t>Alaa Ayman Ebrahim Ebrahim Galous</t>
  </si>
  <si>
    <t>https://www.instagram.com/fdoublevn/</t>
  </si>
  <si>
    <t>Koba</t>
  </si>
  <si>
    <t>MOHMMED MHMOUD MOHMMED TELEB</t>
  </si>
  <si>
    <t>https://www.instagram.com/koba_ashiii</t>
  </si>
  <si>
    <t>Names</t>
  </si>
  <si>
    <t>Asmaa Raafat Mohamed Aassan Thabet</t>
  </si>
  <si>
    <t>https://www.instagram.com/names_se</t>
  </si>
  <si>
    <t>https://www.tiktok.com/@names_es</t>
  </si>
  <si>
    <t>Nucci</t>
  </si>
  <si>
    <t>Nourhan Shaker Saber</t>
  </si>
  <si>
    <t>https://www.instagram.com/nourhan_shaker22/</t>
  </si>
  <si>
    <t>Nana</t>
  </si>
  <si>
    <t>Nagham Khaled Abouelseoud Emam</t>
  </si>
  <si>
    <t>Velvet</t>
  </si>
  <si>
    <t>Hadeel AbdelNasser Mahmoud Abouelftouh</t>
  </si>
  <si>
    <t>https://www.instagram.com/horrible.velvet/</t>
  </si>
  <si>
    <t>Violet</t>
  </si>
  <si>
    <t>Falcons Vega ID</t>
  </si>
  <si>
    <t>Indonesian</t>
  </si>
  <si>
    <t>Fajria Noviana Nur</t>
  </si>
  <si>
    <t>https://www.instagram.com/fajria.noviana</t>
  </si>
  <si>
    <t>https://www.youtube.com/@fajriaviolet8967</t>
  </si>
  <si>
    <t>https://www.tiktok.com/@fajria.noviana</t>
  </si>
  <si>
    <t>Xev</t>
  </si>
  <si>
    <t>Xeviola Maureen</t>
  </si>
  <si>
    <t>https://www.instagram.com/xev_vi</t>
  </si>
  <si>
    <t>https://www.tiktok.com/@xev_vi</t>
  </si>
  <si>
    <t>Livii</t>
  </si>
  <si>
    <t>Livia Lemmuela Putri</t>
  </si>
  <si>
    <t>https://www.instagram.com/livia.lemmuela</t>
  </si>
  <si>
    <t>https://www.youtube.com/@LiviaLivii</t>
  </si>
  <si>
    <t>https://www.tiktok.com/@livia.lemmuela</t>
  </si>
  <si>
    <t>LIV</t>
  </si>
  <si>
    <t>Olivia Benita Wijaya</t>
  </si>
  <si>
    <t>https://www.instagram.com/remundddd</t>
  </si>
  <si>
    <t>https://www.tiktok.com/@remundddd</t>
  </si>
  <si>
    <t>REMUNDO</t>
  </si>
  <si>
    <t>Nadiya Bahktita</t>
  </si>
  <si>
    <t>https://www.instagram.com/olivia.wijayaa/</t>
  </si>
  <si>
    <t>https://www.youtube.com/@Livyipp</t>
  </si>
  <si>
    <t>https://www.tiktok.com/@livyipp</t>
  </si>
  <si>
    <t>Agatha</t>
  </si>
  <si>
    <t>Angelia Agatha</t>
  </si>
  <si>
    <t>https://www.instagram.com/angeliagathaa</t>
  </si>
  <si>
    <t>https://www.tiktok.com/@angeliagathaa</t>
  </si>
  <si>
    <t>Luckyboi</t>
  </si>
  <si>
    <t>Aulia Eka Achyunda Putra</t>
  </si>
  <si>
    <t>https://www.instagram.com/putraeka672_</t>
  </si>
  <si>
    <t>https://www.tiktok.com/@putraeka672_</t>
  </si>
  <si>
    <t>Mozia</t>
  </si>
  <si>
    <t>Aditya Kusuma Putra</t>
  </si>
  <si>
    <t>https://www.instagram.com/moziaulus</t>
  </si>
  <si>
    <t>https://www.youtube.com/@Moziaulus</t>
  </si>
  <si>
    <t>https://www.tiktok.com/@moziaulus</t>
  </si>
  <si>
    <t>Ren</t>
  </si>
  <si>
    <t>Daren Paul Vitug</t>
  </si>
  <si>
    <t>fantasea</t>
  </si>
  <si>
    <t>Isfan Satria Wijaya</t>
  </si>
  <si>
    <t>https://x.com/isfantasea</t>
  </si>
  <si>
    <t>https://www.instagram.com/is.fantasea</t>
  </si>
  <si>
    <t>https://www.youtube.com/@Isfantasea</t>
  </si>
  <si>
    <t>https://www.tiktok.com/@isfantasea</t>
  </si>
  <si>
    <t>https://www.facebook.com/isfan.satria.wijaya/</t>
  </si>
  <si>
    <t>ChiYo</t>
  </si>
  <si>
    <t>Overwatch2</t>
  </si>
  <si>
    <t>HyunSeok Han</t>
  </si>
  <si>
    <t>https://twitter.com/ChiYo_ow1</t>
  </si>
  <si>
    <t>https://www.twitch.tv/chiyo_ow</t>
  </si>
  <si>
    <t>Fielder</t>
  </si>
  <si>
    <t>Joon Kwon</t>
  </si>
  <si>
    <t>https://twitter.com/fielder_ow</t>
  </si>
  <si>
    <t>https://www.twitch.tv/fielder_ow</t>
  </si>
  <si>
    <t>https://www.youtube.com/channel/UCKLTHj9SshU_IwDLO12aDSw</t>
  </si>
  <si>
    <t>Hanbin</t>
  </si>
  <si>
    <t>HanBin Choi</t>
  </si>
  <si>
    <t>https://twitter.com/HanBin_OW</t>
  </si>
  <si>
    <t>https://www.twitch.tv/hanbin_ow</t>
  </si>
  <si>
    <t>Levi</t>
  </si>
  <si>
    <t>Chunghyeok Jeong</t>
  </si>
  <si>
    <t>https://x.com/OW_Levi</t>
  </si>
  <si>
    <t>https://www.instagram.com/choooooooong/#</t>
  </si>
  <si>
    <t>MER1T</t>
  </si>
  <si>
    <t>Choi Taemin</t>
  </si>
  <si>
    <t>https://x.com/MER1T_ow</t>
  </si>
  <si>
    <t>https://www.instagram.com/mer1t_ow/#</t>
  </si>
  <si>
    <t>https://www.twitch.tv/mer1t_ow</t>
  </si>
  <si>
    <t>NineK</t>
  </si>
  <si>
    <t>BumHoon Kim</t>
  </si>
  <si>
    <t>https://twitter.com/NineK_OW</t>
  </si>
  <si>
    <t>https://www.youtube.com/@NineKK999/streams</t>
  </si>
  <si>
    <t>SOMEONE</t>
  </si>
  <si>
    <t>Ham Jeongwan</t>
  </si>
  <si>
    <t>https://x.com/someone0424</t>
  </si>
  <si>
    <t>https://www.instagram.com/someone_ow/#</t>
  </si>
  <si>
    <t>https://www.twitch.tv/someone_ow_</t>
  </si>
  <si>
    <t>SP9RK1E</t>
  </si>
  <si>
    <t>Yeonghan Kim</t>
  </si>
  <si>
    <t>https://twitter.com/SP9RK1E_OW</t>
  </si>
  <si>
    <t>https://t.co/Ig6Fh5khWl</t>
  </si>
  <si>
    <t>https://www.twitch.tv/sp9rk1e</t>
  </si>
  <si>
    <t>https://www.youtube.com/channel/UCqS9XBZgzXiolPUsWX2cQ</t>
  </si>
  <si>
    <t>Gunner</t>
  </si>
  <si>
    <t>PUBG</t>
  </si>
  <si>
    <t>Owen Andrew Monahan</t>
  </si>
  <si>
    <t>https://x.com/Owenusmc21</t>
  </si>
  <si>
    <t>https://www.instagram.com/machinegunnerusmc</t>
  </si>
  <si>
    <t>https://www.twitch.tv/MACHINEGUNNERUSMC</t>
  </si>
  <si>
    <t>hwinn</t>
  </si>
  <si>
    <t>Hunter Maurice Winn</t>
  </si>
  <si>
    <t>https://twitter.com/hwinnfps</t>
  </si>
  <si>
    <t>https://www.instagram.com/hwinn123</t>
  </si>
  <si>
    <t>https://www.twitch.tv/hwinn</t>
  </si>
  <si>
    <t>https://www.youtube.com/HunterWinn1</t>
  </si>
  <si>
    <t>Kickstart</t>
  </si>
  <si>
    <t>Robert Matthew Smith Jr</t>
  </si>
  <si>
    <t>https://twitter.com/KSnKickstart</t>
  </si>
  <si>
    <t>https://www.instagram.com/ksnkickstart</t>
  </si>
  <si>
    <t>https://www.twitch.tv/kickstart</t>
  </si>
  <si>
    <t>https://www.youtube.com/ksnkickstart</t>
  </si>
  <si>
    <t>Shrimzy</t>
  </si>
  <si>
    <t>Tristan John Nowicki</t>
  </si>
  <si>
    <t>https://twitter.com/ShrimzyPUBg</t>
  </si>
  <si>
    <t>https://www.instagram.com/tristannowicki</t>
  </si>
  <si>
    <t>https://www.twitch.tv/shrimzy</t>
  </si>
  <si>
    <t>https://www.youtube.com/Shrimx1</t>
  </si>
  <si>
    <t>TGLTN</t>
  </si>
  <si>
    <t>James Sebastian Giezen</t>
  </si>
  <si>
    <t>https://twitter.com/tgltnPUBG</t>
  </si>
  <si>
    <t>https://www.instagram.com/tgltnPUBG</t>
  </si>
  <si>
    <t>https://www.twitch.tv/TGLTN</t>
  </si>
  <si>
    <t>https://www.youtube.com/TGLTN</t>
  </si>
  <si>
    <t>https://kick.com/tgltn</t>
  </si>
  <si>
    <t>BriD</t>
  </si>
  <si>
    <t>Rainbow Six Siege</t>
  </si>
  <si>
    <t>Loïc Chongthep</t>
  </si>
  <si>
    <t>https://twitter.com/BriDR6S</t>
  </si>
  <si>
    <t>https://www.instagram.com/briddr6s</t>
  </si>
  <si>
    <t>https://www.twitch.tv/bridr6s</t>
  </si>
  <si>
    <t>eaglemees</t>
  </si>
  <si>
    <t>Nethelands</t>
  </si>
  <si>
    <t>Mees van der Arend</t>
  </si>
  <si>
    <t>https://x.com/eaglemees</t>
  </si>
  <si>
    <t>Frenchi</t>
  </si>
  <si>
    <t>Paul Droal</t>
  </si>
  <si>
    <t>Julio</t>
  </si>
  <si>
    <t>Brasilian</t>
  </si>
  <si>
    <t>Julio Giacomelli</t>
  </si>
  <si>
    <t>https://twitter.com/JULIOAKAJULIO1</t>
  </si>
  <si>
    <t>https://www.instagram.com/juliogiacomelli</t>
  </si>
  <si>
    <t>https://www.twitch.tv/juliojuliojuliojuliojulio</t>
  </si>
  <si>
    <t>LikEfac</t>
  </si>
  <si>
    <t>Théo Mariano</t>
  </si>
  <si>
    <t>https://twitter.com/LikEfacR6S</t>
  </si>
  <si>
    <t>https://www.instagram.com/likefacr6s/</t>
  </si>
  <si>
    <t>https://www.twitch.tv/likefac</t>
  </si>
  <si>
    <t>Solotov</t>
  </si>
  <si>
    <t>Turkish</t>
  </si>
  <si>
    <t>Fatih Türker</t>
  </si>
  <si>
    <t>https://twitter.com/SolotovR6</t>
  </si>
  <si>
    <t>Stooflex</t>
  </si>
  <si>
    <t>Samy Smail</t>
  </si>
  <si>
    <t>https://twitter.com/stooflex</t>
  </si>
  <si>
    <t>Yuzus</t>
  </si>
  <si>
    <t>Joshua Pritchard</t>
  </si>
  <si>
    <t>https://twitter.com/Yuzus_</t>
  </si>
  <si>
    <t>https://www.instagram.com/yuzussssss/</t>
  </si>
  <si>
    <t>https://www.twitch.tv/Yuzus</t>
  </si>
  <si>
    <t>https://www.youtube.com/@julioakajulio</t>
  </si>
  <si>
    <t>Azzam</t>
  </si>
  <si>
    <t>Rocket League</t>
  </si>
  <si>
    <t>Azzam Al-Jabr</t>
  </si>
  <si>
    <t>https://twitter.com/AzzamAljabr</t>
  </si>
  <si>
    <t>d7oom24</t>
  </si>
  <si>
    <t>Abdulrahman Bin Fayez</t>
  </si>
  <si>
    <t>https://x.com/id7oom_24</t>
  </si>
  <si>
    <t>Instagram/D7oom24</t>
  </si>
  <si>
    <t>dralii</t>
  </si>
  <si>
    <t>Morrocan / Canadian</t>
  </si>
  <si>
    <t>Samy Hajji</t>
  </si>
  <si>
    <t>https://twitter.com/dralii897</t>
  </si>
  <si>
    <t>https://www.twitch.tv/dralii</t>
  </si>
  <si>
    <t>Kiileerrz</t>
  </si>
  <si>
    <t>Yazeed Bakhashwin</t>
  </si>
  <si>
    <t>https://x.com/kiileerrz</t>
  </si>
  <si>
    <t>Instagram/Kiileerrz</t>
  </si>
  <si>
    <t>https://www.twitch.tv/kiileerrz</t>
  </si>
  <si>
    <t>Rw9</t>
  </si>
  <si>
    <t>Saleh Bakhashwin</t>
  </si>
  <si>
    <t>https://x.com/Rw9_RL</t>
  </si>
  <si>
    <t>https://www.twitch.tv/rl_rw9</t>
  </si>
  <si>
    <t>Bunny</t>
  </si>
  <si>
    <t>Starcraft 2</t>
  </si>
  <si>
    <t>South Korea</t>
  </si>
  <si>
    <t>JaeSun Lee</t>
  </si>
  <si>
    <t>https://x.com/KOR_Bunny</t>
  </si>
  <si>
    <t>https://www.instagram.com/sc2_jlee/#</t>
  </si>
  <si>
    <t>Rogue</t>
  </si>
  <si>
    <t>ByeongYeol Lee</t>
  </si>
  <si>
    <t>https://www.instagram.com/b_ryul.l/#</t>
  </si>
  <si>
    <t>Solar</t>
  </si>
  <si>
    <t>Kang Minsoo</t>
  </si>
  <si>
    <t>https://x.com/SC2_Solar</t>
  </si>
  <si>
    <t>https://www.instagram.com/sc2solar/#</t>
  </si>
  <si>
    <t>https://www.twitch.tv/sc2solar</t>
  </si>
  <si>
    <t>Craime</t>
  </si>
  <si>
    <t>Chilean</t>
  </si>
  <si>
    <t>Jaime Bustos</t>
  </si>
  <si>
    <t>https://x.com/CraimeCL</t>
  </si>
  <si>
    <t>Kusanagi</t>
  </si>
  <si>
    <t>Maivine Touiti</t>
  </si>
  <si>
    <t>https://twitter.com/MaivineKusanagi</t>
  </si>
  <si>
    <t>https://www.twitch.tv/KusanagiSF6</t>
  </si>
  <si>
    <t>NL</t>
  </si>
  <si>
    <t>Sim Geon</t>
  </si>
  <si>
    <t>https://x.com/sf5nl</t>
  </si>
  <si>
    <t>https://www.twitch.tv/jungjil</t>
  </si>
  <si>
    <t>https://www.youtube.com/@nltv9433</t>
  </si>
  <si>
    <t>Aqeel9</t>
  </si>
  <si>
    <t>Mishari Alaqeel</t>
  </si>
  <si>
    <t>https://x.com/mka988</t>
  </si>
  <si>
    <t>https://www.twitch.tv/aqeel9h</t>
  </si>
  <si>
    <t>Atif Butt</t>
  </si>
  <si>
    <t>Pakistan</t>
  </si>
  <si>
    <t>Atif Ijaz</t>
  </si>
  <si>
    <t>https://x.com/AtifButt540</t>
  </si>
  <si>
    <t>Farzeen</t>
  </si>
  <si>
    <t>Muhammad Farzeen</t>
  </si>
  <si>
    <t>https://x.com/Farzeen_tk</t>
  </si>
  <si>
    <t>https://www.instagram.com/farzeen_tk/</t>
  </si>
  <si>
    <t>Numan</t>
  </si>
  <si>
    <t>Nauman Chaudhry</t>
  </si>
  <si>
    <t>https://x.com/tk_numanch</t>
  </si>
  <si>
    <t>Usama Abbasi</t>
  </si>
  <si>
    <t>https://x.com/usamatekken708</t>
  </si>
  <si>
    <t>Alexy</t>
  </si>
  <si>
    <t>VALORANT</t>
  </si>
  <si>
    <t>Falcons Vega</t>
  </si>
  <si>
    <t>Filipino</t>
  </si>
  <si>
    <t>Alexandria Francisco</t>
  </si>
  <si>
    <t>https://x.com/alexyyfrancisco</t>
  </si>
  <si>
    <t>https://www.twitch.tv/alexyph</t>
  </si>
  <si>
    <t>https://www.facebook.com/Aleeexyyy</t>
  </si>
  <si>
    <t>enerii</t>
  </si>
  <si>
    <t>Odella Abraham</t>
  </si>
  <si>
    <t>https://x.com/eneriiiiiii</t>
  </si>
  <si>
    <t>https://www.twitch.tv/enerii</t>
  </si>
  <si>
    <t>Kamiyu</t>
  </si>
  <si>
    <t>Camille Enriquez</t>
  </si>
  <si>
    <t>https://x.com/Kamiyuchii</t>
  </si>
  <si>
    <t>madv</t>
  </si>
  <si>
    <t>Modhi Alkanhal</t>
  </si>
  <si>
    <t>https://x.com/itMadv</t>
  </si>
  <si>
    <t>https://www.twitch.tv/itmadv</t>
  </si>
  <si>
    <t>Dannyto</t>
  </si>
  <si>
    <t>Bulgarian</t>
  </si>
  <si>
    <t>Danail Sofroniev</t>
  </si>
  <si>
    <t>https://x.com/DANNYTO_vlr</t>
  </si>
  <si>
    <t>CarlJr</t>
  </si>
  <si>
    <t>Trackmania</t>
  </si>
  <si>
    <t>Canadian</t>
  </si>
  <si>
    <t>Carl-Anthony Cloutier</t>
  </si>
  <si>
    <t>https://x.com/CarlJrtm</t>
  </si>
  <si>
    <t>https://www.instagram.com/carljrtm/</t>
  </si>
  <si>
    <t>https://www.twitch.tv/carljrtm</t>
  </si>
  <si>
    <t>https://www.youtube.com/@CarlJrtm</t>
  </si>
  <si>
    <t>https://www.tiktok.com/@carljrtm</t>
  </si>
  <si>
    <t>Spammiej</t>
  </si>
  <si>
    <t>Dutch</t>
  </si>
  <si>
    <t>Tim Lunenburg</t>
  </si>
  <si>
    <t>https://x.com/Spammiejj</t>
  </si>
  <si>
    <t>https://www.instagram.com/timmmiej/</t>
  </si>
  <si>
    <t>https://www.twitch.tv/spammiej</t>
  </si>
  <si>
    <t>https://www.youtube.com/Spammiej</t>
  </si>
  <si>
    <t>https://www.facebook.com/Spammiej</t>
  </si>
  <si>
    <t>2ReaL</t>
  </si>
  <si>
    <t>Brendan Stockdale</t>
  </si>
  <si>
    <t>https://x.com/MG2ReaL</t>
  </si>
  <si>
    <t>Manny</t>
  </si>
  <si>
    <t>Emmanuel Lemos</t>
  </si>
  <si>
    <t>https://x.com/Manny7F</t>
  </si>
  <si>
    <t>KnoX</t>
  </si>
  <si>
    <t>Hakem Al-Shaibani</t>
  </si>
  <si>
    <t>https://x.com/Knox__77</t>
  </si>
  <si>
    <t>https://www.twitch.tv/iimlk_11</t>
  </si>
  <si>
    <t>Swooty</t>
  </si>
  <si>
    <t>Jared Najera</t>
  </si>
  <si>
    <t>https://x.com/SwootyWRLD</t>
  </si>
  <si>
    <t>https://www.twitch.tv/swooty18</t>
  </si>
  <si>
    <t>https://www.youtube.com/channel/UC4Zh2qa4jYyE2Rmy8KGINLQ</t>
  </si>
  <si>
    <t>Tapewaare</t>
  </si>
  <si>
    <t>Norwegian</t>
  </si>
  <si>
    <t>Sindre Ellefsen</t>
  </si>
  <si>
    <t>https://x.com/tapewaare</t>
  </si>
  <si>
    <t>https://www.twitch.tv/Tapewaare</t>
  </si>
  <si>
    <t>Pollo</t>
  </si>
  <si>
    <t>Mexican/American</t>
  </si>
  <si>
    <t>Miguel Moreno</t>
  </si>
  <si>
    <t>https://x.com/pollofn6</t>
  </si>
  <si>
    <t>https://www.twitch.tv/pollofn6</t>
  </si>
  <si>
    <t>https://www.youtube.com/channel/UCZqBdOYsCpvvCfI5_R3-FCQ</t>
  </si>
  <si>
    <t>FlapTzy</t>
  </si>
  <si>
    <t>David Charles Canon</t>
  </si>
  <si>
    <t>https://twitter.com/flapteezyy</t>
  </si>
  <si>
    <t>https://www.instagram.com/flaptzyofficial</t>
  </si>
  <si>
    <t>https://www.youtube.com/flapgaming</t>
  </si>
  <si>
    <t>https://tiktok.com/@flapofficial</t>
  </si>
  <si>
    <t>https://facebook.com/flapteezy</t>
  </si>
  <si>
    <t>KyleTzy</t>
  </si>
  <si>
    <t>Michael Angelo Sayson</t>
  </si>
  <si>
    <t>https://www.instagram.com/kyletzyofficial</t>
  </si>
  <si>
    <t>https://tiktok.com/@kyletzyofficial3</t>
  </si>
  <si>
    <t>https://facebook.com/KyleTzyOfficial</t>
  </si>
  <si>
    <t>Ferdz</t>
  </si>
  <si>
    <t>Vincent Joseph Villones Unigo</t>
  </si>
  <si>
    <t>https://www.instagram.com/edferdz</t>
  </si>
  <si>
    <t>https://www.facebook.com/edferdz</t>
  </si>
  <si>
    <t>Ducky</t>
  </si>
  <si>
    <t>Francis John Glindro</t>
  </si>
  <si>
    <t>https://www.instagram.com/duckeyyyy</t>
  </si>
  <si>
    <t>https://www.tiktok.com/@duckeythevillain</t>
  </si>
  <si>
    <t>https://www.facebook.com/duckeyyythevillain</t>
  </si>
  <si>
    <t>Checkmate</t>
  </si>
  <si>
    <t>Baek Seung-hun</t>
  </si>
  <si>
    <t>https://x.com/ow_checkmate</t>
  </si>
  <si>
    <t>https://www.twitch.tv/ow_checkmate</t>
  </si>
  <si>
    <t>jume</t>
  </si>
  <si>
    <t>German</t>
  </si>
  <si>
    <t>Marc Steinmann</t>
  </si>
  <si>
    <t>https://x.com/jumeR6S</t>
  </si>
  <si>
    <t>https://www.instagram.com/jumer6s/</t>
  </si>
  <si>
    <t>https://www.twitch.tv/jumer6</t>
  </si>
  <si>
    <t>https://www.youtube.com/channel/UCUGXHBCVxPiY1yNnl-kB47Q</t>
  </si>
  <si>
    <t>Luy</t>
  </si>
  <si>
    <t>Layan Almahmoud</t>
  </si>
  <si>
    <t>shirazi</t>
  </si>
  <si>
    <t>Kelly Jaudian</t>
  </si>
  <si>
    <t>https://x.com/shirazigo</t>
  </si>
  <si>
    <t>https://www.instagram.com/shirazigo</t>
  </si>
  <si>
    <t>CAROT</t>
  </si>
  <si>
    <t>Crossfire</t>
  </si>
  <si>
    <t>Vietnamese</t>
  </si>
  <si>
    <t>NGUYEN TRUNG KHANG</t>
  </si>
  <si>
    <t>DANXY</t>
  </si>
  <si>
    <t>Nguyen Bao Duy</t>
  </si>
  <si>
    <t>LDX</t>
  </si>
  <si>
    <t>Luong Duc Tuan</t>
  </si>
  <si>
    <t>Dola</t>
  </si>
  <si>
    <t>Dam Viet Hung</t>
  </si>
  <si>
    <t>https://www.facebook.com/DOLACROSSFIRE</t>
  </si>
  <si>
    <t>Shady</t>
  </si>
  <si>
    <t>Mai Thanh Phong</t>
  </si>
  <si>
    <t>https://www.youtube.com/@ShadyCrossfire94</t>
  </si>
  <si>
    <t>https://www.facebook.com/Shadycrossfirevn</t>
  </si>
  <si>
    <t>Bijw</t>
  </si>
  <si>
    <t>Influencer</t>
  </si>
  <si>
    <t>Esports Influencers</t>
  </si>
  <si>
    <t>Hisham Nasser</t>
  </si>
  <si>
    <t>https://x.com/_bijw</t>
  </si>
  <si>
    <t>https://www.instagram.com/bijjw</t>
  </si>
  <si>
    <t>https://www.twitch.tv/bijw</t>
  </si>
  <si>
    <t>https://www.youtube.com/@Bijw</t>
  </si>
  <si>
    <t>https://www.tiktok.com/@biijw</t>
  </si>
  <si>
    <t>https://kick.com/bijw</t>
  </si>
  <si>
    <t>https://www.snapchat.com/add/bijjw</t>
  </si>
  <si>
    <t>Abo Najd</t>
  </si>
  <si>
    <t>Riyad Alfahmi</t>
  </si>
  <si>
    <t>https://x.com/K22N8</t>
  </si>
  <si>
    <t>https://www.instagram.com/k2nn8?igsh=ajJsNHoybDlpMzFo</t>
  </si>
  <si>
    <t>https://www.twitch.tv/k2nnn8</t>
  </si>
  <si>
    <t>https://www.youtube.com/@k2nn8</t>
  </si>
  <si>
    <t>FMG</t>
  </si>
  <si>
    <t>Nasser alotaibi</t>
  </si>
  <si>
    <t>https://x.com/iFMG_</t>
  </si>
  <si>
    <t>https://www.instagram.com/fm.g/</t>
  </si>
  <si>
    <t>https://www.twitch.tv/fmg_</t>
  </si>
  <si>
    <t>https://kick.com/ifmg</t>
  </si>
  <si>
    <t>Abo Ghazi</t>
  </si>
  <si>
    <t>Mohammed Albaqami</t>
  </si>
  <si>
    <t>https://x.com/MohxamedZ</t>
  </si>
  <si>
    <t>https://www.twitch.tv/ires</t>
  </si>
  <si>
    <t>https://kick.com/iabughazi</t>
  </si>
  <si>
    <t>https://www.facebook.com/AbuGhaziGaming93</t>
  </si>
  <si>
    <t>https://www.snapchat.com/add/faisalhajhasan</t>
  </si>
  <si>
    <t>Mary</t>
  </si>
  <si>
    <t>Bahraini</t>
  </si>
  <si>
    <t>Maryam Maher</t>
  </si>
  <si>
    <t>https://x.com/marypink</t>
  </si>
  <si>
    <t>https://www.instagram.com/maryvalorantt/?hl=en</t>
  </si>
  <si>
    <t>https://www.twitch.tv/mary</t>
  </si>
  <si>
    <t>https://www.youtube.com/@maryvalorant/featured</t>
  </si>
  <si>
    <t>https://www.tiktok.com/@maryvalorant</t>
  </si>
  <si>
    <t>Ghala</t>
  </si>
  <si>
    <t>Ghala Alqahtani</t>
  </si>
  <si>
    <t>https://x.com/pg_ghala3?lang=en</t>
  </si>
  <si>
    <t>https://www.instagram.com/pg_ghala3</t>
  </si>
  <si>
    <t>https://www.youtube.com/@pg_ghala3</t>
  </si>
  <si>
    <t>https://www.tiktok.com/@pg_ghala3</t>
  </si>
  <si>
    <t>https://kick.com/pg-ghala3</t>
  </si>
  <si>
    <t>https://snapchat.com/t/bLA2ZOsG</t>
  </si>
  <si>
    <t>Gild</t>
  </si>
  <si>
    <t>Moaz</t>
  </si>
  <si>
    <t>02_CREATOR_RATE_CARD — Ceiling rates anchored to Falcons creator card · 17 creators · SAR · Confidential · Shikenso-Ready</t>
  </si>
  <si>
    <t>Creator</t>
  </si>
  <si>
    <t>Weighted
Score</t>
  </si>
  <si>
    <t>X Post /
Quote</t>
  </si>
  <si>
    <t>X
Repost</t>
  </si>
  <si>
    <t>IG
Post</t>
  </si>
  <si>
    <t>IG
Story</t>
  </si>
  <si>
    <t>IG
Reels</t>
  </si>
  <si>
    <t>YT Full
Video</t>
  </si>
  <si>
    <t>YT 1-2min
Pre-roll</t>
  </si>
  <si>
    <t>YT
Shorts</t>
  </si>
  <si>
    <t>TikTok
Our-side</t>
  </si>
  <si>
    <t>TikTok
Client Vids</t>
  </si>
  <si>
    <t>Event
+ Snap</t>
  </si>
  <si>
    <t>Twitch /
Kick Live</t>
  </si>
  <si>
    <t>Kick
IRL</t>
  </si>
  <si>
    <t>Telegram</t>
  </si>
  <si>
    <t>Legacy 1M
Usage Rights</t>
  </si>
  <si>
    <t>Opening
Factor</t>
  </si>
  <si>
    <t>BanderitaX</t>
  </si>
  <si>
    <t>Legacy rights ceiling preserved for reference; quote builder uses structured rights bundles instead.</t>
  </si>
  <si>
    <t>oPiiLz</t>
  </si>
  <si>
    <t>Msdossary7</t>
  </si>
  <si>
    <t>Aziz</t>
  </si>
  <si>
    <t>Bo3omar22</t>
  </si>
  <si>
    <t>Abu abeer</t>
  </si>
  <si>
    <t>LLE</t>
  </si>
  <si>
    <t>Oden</t>
  </si>
  <si>
    <t>xSMA333</t>
  </si>
  <si>
    <t>3ADEL</t>
  </si>
  <si>
    <t>RAED</t>
  </si>
  <si>
    <t>Falcons</t>
  </si>
  <si>
    <t>Drb7h</t>
  </si>
  <si>
    <t>FZX</t>
  </si>
  <si>
    <t>SaudCast</t>
  </si>
  <si>
    <t>Hamad</t>
  </si>
  <si>
    <t>9leeh</t>
  </si>
  <si>
    <t>04_QUOTATION_BUILDER — Unified Players + Creators · Fill in fields → adjust multipliers → click 🦅 Falcons Pricing → Generate Quotation</t>
  </si>
  <si>
    <t>Client / Brand</t>
  </si>
  <si>
    <t>Objective</t>
  </si>
  <si>
    <t>USD Rate (SAR)</t>
  </si>
  <si>
    <t>Campaign Name</t>
  </si>
  <si>
    <t>Bundle Discount</t>
  </si>
  <si>
    <t>None</t>
  </si>
  <si>
    <t>Ceiling Mode</t>
  </si>
  <si>
    <t>Cap at Card Rate</t>
  </si>
  <si>
    <t>Campaign Period</t>
  </si>
  <si>
    <t>Mgmt Fee</t>
  </si>
  <si>
    <t>Apply Opening Factor</t>
  </si>
  <si>
    <t>No</t>
  </si>
  <si>
    <t>Prepared By</t>
  </si>
  <si>
    <t>VAT</t>
  </si>
  <si>
    <t>Apply Bundle Discount</t>
  </si>
  <si>
    <t>Talent Type</t>
  </si>
  <si>
    <t>Mixed</t>
  </si>
  <si>
    <t>Builder Status</t>
  </si>
  <si>
    <t>Raise Ceiling %</t>
  </si>
  <si>
    <t>Talent</t>
  </si>
  <si>
    <t>Type</t>
  </si>
  <si>
    <t>Deliverable</t>
  </si>
  <si>
    <t>Qty</t>
  </si>
  <si>
    <t>Engagement</t>
  </si>
  <si>
    <t>Audience Fit</t>
  </si>
  <si>
    <t>Authority</t>
  </si>
  <si>
    <t>Timing</t>
  </si>
  <si>
    <t>Language</t>
  </si>
  <si>
    <t>Production</t>
  </si>
  <si>
    <t>Rights Bundle</t>
  </si>
  <si>
    <t>Extra Add-on</t>
  </si>
  <si>
    <t>Card Rate
(SAR)</t>
  </si>
  <si>
    <t>Adj
Mult</t>
  </si>
  <si>
    <t>Organic Unit
Rate (SAR)</t>
  </si>
  <si>
    <t>Line Total
(SAR)</t>
  </si>
  <si>
    <t>Flag</t>
  </si>
  <si>
    <t>Rights Summary</t>
  </si>
  <si>
    <t>4-6% Base</t>
  </si>
  <si>
    <t>Esports / Gaming</t>
  </si>
  <si>
    <t>Mid-tier / Established</t>
  </si>
  <si>
    <t>Regular / In-season</t>
  </si>
  <si>
    <t>Arabic</t>
  </si>
  <si>
    <t>Standard self-shoot</t>
  </si>
  <si>
    <t>Subtotal</t>
  </si>
  <si>
    <t>Management Fee</t>
  </si>
  <si>
    <t>Sub-Total (pre-VAT)</t>
  </si>
  <si>
    <t>GRAND TOTAL (SAR)</t>
  </si>
  <si>
    <t>≈ USD</t>
  </si>
  <si>
    <t>04_ADJUSTMENT_MATRIX — All multiplier reference tables · Used by the Quotation Builder script</t>
  </si>
  <si>
    <t>ENGAGEMENT MULTIPLIER</t>
  </si>
  <si>
    <t>AUDIENCE FIT MULTIPLIER</t>
  </si>
  <si>
    <t>Band</t>
  </si>
  <si>
    <t>Multiplier</t>
  </si>
  <si>
    <t>Audience</t>
  </si>
  <si>
    <t>&lt;2% Low</t>
  </si>
  <si>
    <t>Below-average engagement</t>
  </si>
  <si>
    <t>Core audience — baseline</t>
  </si>
  <si>
    <t>2-4% Avg</t>
  </si>
  <si>
    <t>Average engagement</t>
  </si>
  <si>
    <t>Sports / Football / Active</t>
  </si>
  <si>
    <t>Premium sports audience</t>
  </si>
  <si>
    <t>Baseline — industry standard</t>
  </si>
  <si>
    <t>Youth Entertainment / Variety</t>
  </si>
  <si>
    <t>Broad youth appeal</t>
  </si>
  <si>
    <t>6-8% Good</t>
  </si>
  <si>
    <t>Above-average engagement</t>
  </si>
  <si>
    <t>Broad Generic</t>
  </si>
  <si>
    <t>Less targeted</t>
  </si>
  <si>
    <t>&gt;10% Premium</t>
  </si>
  <si>
    <t>Exceptional engagement</t>
  </si>
  <si>
    <t>MENA</t>
  </si>
  <si>
    <t>Regional premium</t>
  </si>
  <si>
    <t>KSA</t>
  </si>
  <si>
    <t>Saudi Arabia premium</t>
  </si>
  <si>
    <t>GCC</t>
  </si>
  <si>
    <t>GCC premium</t>
  </si>
  <si>
    <t>Global</t>
  </si>
  <si>
    <t>Global reach — less localized</t>
  </si>
  <si>
    <t>AUTHORITY MULTIPLIER</t>
  </si>
  <si>
    <t>TIMING MULTIPLIER</t>
  </si>
  <si>
    <t>Level</t>
  </si>
  <si>
    <t>Context</t>
  </si>
  <si>
    <t>Emerging / New</t>
  </si>
  <si>
    <t>New or rising talent</t>
  </si>
  <si>
    <t>Standard campaign period</t>
  </si>
  <si>
    <t>Established presence</t>
  </si>
  <si>
    <t>Off-season</t>
  </si>
  <si>
    <t>Lower demand period</t>
  </si>
  <si>
    <t>Category-defining / Hero</t>
  </si>
  <si>
    <t>Top-tier in category</t>
  </si>
  <si>
    <t>Event / Tournament</t>
  </si>
  <si>
    <t>Tournament or event activation</t>
  </si>
  <si>
    <t>Legacy / Icon</t>
  </si>
  <si>
    <t>Iconic status</t>
  </si>
  <si>
    <t>Travel / Tourism / Destination</t>
  </si>
  <si>
    <t>Travel content premium</t>
  </si>
  <si>
    <t>Ramadan / Seasonal</t>
  </si>
  <si>
    <t>Ramadan / peak season premium</t>
  </si>
  <si>
    <t>LANGUAGE MULTIPLIER</t>
  </si>
  <si>
    <t>PRODUCTION MULTIPLIER</t>
  </si>
  <si>
    <t>Arabic content — MENA premium</t>
  </si>
  <si>
    <t>Talent shoots themselves</t>
  </si>
  <si>
    <t>English</t>
  </si>
  <si>
    <t>English content — baseline</t>
  </si>
  <si>
    <t>Scripted / extra revisions</t>
  </si>
  <si>
    <t>Script + revision rounds</t>
  </si>
  <si>
    <t>Bilingual</t>
  </si>
  <si>
    <t>Dual-language content</t>
  </si>
  <si>
    <t>On-ground / special shoot</t>
  </si>
  <si>
    <t>On-location or event shoot</t>
  </si>
  <si>
    <t>Dialect Arabic</t>
  </si>
  <si>
    <t>Dialect Arabic — regional</t>
  </si>
  <si>
    <t>Animated / motion graphics</t>
  </si>
  <si>
    <t>Animation or motion graphics</t>
  </si>
  <si>
    <t>OPENING FACTOR (Creators)</t>
  </si>
  <si>
    <t>Opening Factor</t>
  </si>
  <si>
    <t>High-ceiling creators — negotiate from 65%</t>
  </si>
  <si>
    <t>Mid-tier creators — negotiate from 75%</t>
  </si>
  <si>
    <t>Emerging creators — negotiate from 85%</t>
  </si>
  <si>
    <t>Players (all tiers)</t>
  </si>
  <si>
    <t>Default opening factor for players</t>
  </si>
  <si>
    <t>05_ADD_ON_RIGHTS — Uplift percentages applied on top of Organic Unit Rate</t>
  </si>
  <si>
    <t>RIGHTS BUNDLES</t>
  </si>
  <si>
    <t>ADD-ON FEES</t>
  </si>
  <si>
    <t>Uplift %</t>
  </si>
  <si>
    <t>Description</t>
  </si>
  <si>
    <t>Add-on</t>
  </si>
  <si>
    <t>Organic post only — no usage rights</t>
  </si>
  <si>
    <t>No add-on</t>
  </si>
  <si>
    <t>Organic repost 90d</t>
  </si>
  <si>
    <t>Brand can repost on owned social channels for 90 days</t>
  </si>
  <si>
    <t>Exclusivity 30d</t>
  </si>
  <si>
    <t>Category exclusivity for 30 days</t>
  </si>
  <si>
    <t>Organic repost 180d</t>
  </si>
  <si>
    <t>Brand can repost on owned social channels for 180 days</t>
  </si>
  <si>
    <t>Exclusivity 90d</t>
  </si>
  <si>
    <t>Category exclusivity for 90 days</t>
  </si>
  <si>
    <t>Paid usage 30d</t>
  </si>
  <si>
    <t>Paid ads / boosted posts for 30 days</t>
  </si>
  <si>
    <t>Exclusivity 180d</t>
  </si>
  <si>
    <t>Category exclusivity for 180 days</t>
  </si>
  <si>
    <t>Paid usage 90d</t>
  </si>
  <si>
    <t>Paid ads / boosted posts for 90 days</t>
  </si>
  <si>
    <t>Rush 72h</t>
  </si>
  <si>
    <t>Brief received &lt; 72h before delivery</t>
  </si>
  <si>
    <t>Paid usage 180d</t>
  </si>
  <si>
    <t>Paid ads / boosted posts for 180 days</t>
  </si>
  <si>
    <t>Rush 48h</t>
  </si>
  <si>
    <t>Brief received &lt; 48h before delivery</t>
  </si>
  <si>
    <t>Whitelisting 30d</t>
  </si>
  <si>
    <t>Run paid ads from talent account for 30 days</t>
  </si>
  <si>
    <t>Rush 24h</t>
  </si>
  <si>
    <t>Brief received &lt; 24h before delivery</t>
  </si>
  <si>
    <t>Whitelisting 90d</t>
  </si>
  <si>
    <t>Run paid ads from talent account for 90 days</t>
  </si>
  <si>
    <t>Raw footage</t>
  </si>
  <si>
    <t>Unedited raw footage delivery</t>
  </si>
  <si>
    <t>Website / email only</t>
  </si>
  <si>
    <t>Static embed on website or email campaign only</t>
  </si>
  <si>
    <t>Extra cutdowns</t>
  </si>
  <si>
    <t>Additional edited cutdowns / formats</t>
  </si>
  <si>
    <t>All owned + paid 90d</t>
  </si>
  <si>
    <t>Full owned media + paid usage for 90 days</t>
  </si>
  <si>
    <t>BUNDLE DISCOUNTS</t>
  </si>
  <si>
    <t>Bundle Size</t>
  </si>
  <si>
    <t>Discount %</t>
  </si>
  <si>
    <t>Single line / talent</t>
  </si>
  <si>
    <t>2 creators / lines</t>
  </si>
  <si>
    <t>Discount for 2 talent lines</t>
  </si>
  <si>
    <t>3-4 creators / lines</t>
  </si>
  <si>
    <t>Discount for 3-4 talent lines</t>
  </si>
  <si>
    <t>5+ creators / lines</t>
  </si>
  <si>
    <t>Discount for 5 or more talent lines</t>
  </si>
  <si>
    <t>06_INQUIRY_LOG — All quotation requests and pipeline tracking · Auto-populated by Generate Quotation script</t>
  </si>
  <si>
    <t>Inquiry ID</t>
  </si>
  <si>
    <t>Date</t>
  </si>
  <si>
    <t>Brand Sector</t>
  </si>
  <si>
    <t>Source</t>
  </si>
  <si>
    <t>Stage</t>
  </si>
  <si>
    <t>Card Rate (SAR)</t>
  </si>
  <si>
    <t>Line Total (SAR)</t>
  </si>
  <si>
    <t>Quote ID</t>
  </si>
  <si>
    <t>Commission (SAR)</t>
  </si>
  <si>
    <t>INQ-20260401-01</t>
  </si>
  <si>
    <t>Zowie</t>
  </si>
  <si>
    <t>Gaming Peripherals</t>
  </si>
  <si>
    <t>Outbound</t>
  </si>
  <si>
    <t>Abdalrahman</t>
  </si>
  <si>
    <t>Proposal Sent</t>
  </si>
  <si>
    <t>IG Reel</t>
  </si>
  <si>
    <t>Trust / Authority</t>
  </si>
  <si>
    <t>QT-20260401-974</t>
  </si>
  <si>
    <t>In Progress</t>
  </si>
  <si>
    <t>INQ-20260401-02</t>
  </si>
  <si>
    <t>Adidas</t>
  </si>
  <si>
    <t>Sportswear</t>
  </si>
  <si>
    <t>Inbound</t>
  </si>
  <si>
    <t>Ronza</t>
  </si>
  <si>
    <t>Instagram Story</t>
  </si>
  <si>
    <t>Awareness</t>
  </si>
  <si>
    <t>QT-20260401-001</t>
  </si>
  <si>
    <t>11_SETTINGS — Global configuration for the Unified Pricing Engine</t>
  </si>
  <si>
    <t>Key</t>
  </si>
  <si>
    <t>Value</t>
  </si>
  <si>
    <t>Company Name</t>
  </si>
  <si>
    <t>Legal entity name</t>
  </si>
  <si>
    <t>Commercial Email</t>
  </si>
  <si>
    <t>commercial@teamfalcons.gg</t>
  </si>
  <si>
    <t>Commercial team email</t>
  </si>
  <si>
    <t>Website</t>
  </si>
  <si>
    <t>www.teamfalcons.gg</t>
  </si>
  <si>
    <t>Company website</t>
  </si>
  <si>
    <t>Currency</t>
  </si>
  <si>
    <t>SAR</t>
  </si>
  <si>
    <t>Primary currency</t>
  </si>
  <si>
    <t>VAT Rate</t>
  </si>
  <si>
    <t>Saudi VAT rate (15%)</t>
  </si>
  <si>
    <t>Default Mgmt Fee</t>
  </si>
  <si>
    <t>Default management fee (10%)</t>
  </si>
  <si>
    <t>USD Rate</t>
  </si>
  <si>
    <t>SAR to USD conversion rate</t>
  </si>
  <si>
    <t>Default Ceiling Mode</t>
  </si>
  <si>
    <t>Default ceiling enforcement mode</t>
  </si>
  <si>
    <t>Default Opening Factor</t>
  </si>
  <si>
    <t>Default opening factor for creators</t>
  </si>
  <si>
    <t>output_folder_id</t>
  </si>
  <si>
    <t>Google Drive folder ID for PDF exports</t>
  </si>
  <si>
    <t>legal_approver_email</t>
  </si>
  <si>
    <t>Legal approver email for high-value quotes</t>
  </si>
  <si>
    <t>finance_approver_email</t>
  </si>
  <si>
    <t>Finance approver email</t>
  </si>
  <si>
    <t>approval_secret</t>
  </si>
  <si>
    <t>falcons2026</t>
  </si>
  <si>
    <t>Approval workflow secret key</t>
  </si>
  <si>
    <t>Shikenso API Key</t>
  </si>
  <si>
    <t>Shikenso API key (to be configured)</t>
  </si>
  <si>
    <t>Shikenso Base URL</t>
  </si>
  <si>
    <t>https://api.shikenso.com/v1</t>
  </si>
  <si>
    <t>Shikenso API base URL</t>
  </si>
  <si>
    <t>Bank Name</t>
  </si>
  <si>
    <t>Al Rajhi Bank</t>
  </si>
  <si>
    <t>Bank name for payment details</t>
  </si>
  <si>
    <t>Account Name</t>
  </si>
  <si>
    <t>Bank account name</t>
  </si>
  <si>
    <t>IBAN</t>
  </si>
  <si>
    <t>IBAN number</t>
  </si>
  <si>
    <t>Swift Code</t>
  </si>
  <si>
    <t>Swift/BIC code</t>
  </si>
  <si>
    <t>Bundle Discount Key</t>
  </si>
  <si>
    <t>Bundle Discount Value</t>
  </si>
  <si>
    <t>Lead</t>
  </si>
  <si>
    <t>Won</t>
  </si>
  <si>
    <t>Negotiation</t>
  </si>
  <si>
    <t>Lost</t>
  </si>
  <si>
    <t>Contract</t>
  </si>
  <si>
    <t>On Hold</t>
  </si>
  <si>
    <t>Delivered</t>
  </si>
  <si>
    <t>Closed</t>
  </si>
  <si>
    <t>🦅  APPS SCRIPT SETUP — Team Falcons Unified Pricing Engine</t>
  </si>
  <si>
    <t>Follow these steps to activate the one-click quotation generator</t>
  </si>
  <si>
    <t>STEP 1: Open the Script Editor</t>
  </si>
  <si>
    <t>In this spreadsheet, go to: Extensions → Apps Script</t>
  </si>
  <si>
    <t>STEP 2: Replace the default code</t>
  </si>
  <si>
    <t>Delete everything in the editor and paste the full script below (rows 10 onwards)</t>
  </si>
  <si>
    <t>STEP 3: Save and authorize</t>
  </si>
  <si>
    <t>Press Ctrl+S to save. Then click Run → onOpen to authorize the script.</t>
  </si>
  <si>
    <t>Accept all permissions when prompted.</t>
  </si>
  <si>
    <t>STEP 4: Reload the spreadsheet</t>
  </si>
  <si>
    <t>Close and reopen the spreadsheet. You will see a new menu: 🦅 Falcons Pricing</t>
  </si>
  <si>
    <t>STEP 5: Use the menu</t>
  </si>
  <si>
    <t>🦅 Falcons Pricing → Generate Quotation  (creates a new QT sheet automatically)</t>
  </si>
  <si>
    <t>🦅 Falcons Pricing → Recalculate All Lines  (recalculates all multipliers)</t>
  </si>
  <si>
    <t>🦅 Falcons Pricing → Clear Builder (New Quote)  (resets the builder)</t>
  </si>
  <si>
    <t>🦅 Falcons Pricing → Log to Inquiry Log  (logs current lines to pipeline)</t>
  </si>
  <si>
    <t>🦅 Falcons Pricing → Export Latest QT to PDF  (saves PDF to Google Drive)</t>
  </si>
  <si>
    <t>━━━━━━━━━━━━━━━━━━━━━━━━━━━━━━━━━━━━━━━━━━━━━━━━━━━━━━━━━━━━━━━━━━━━━━━━━━━━━━━━</t>
  </si>
  <si>
    <t>FULL APPS SCRIPT CODE — Copy everything below this line:</t>
  </si>
  <si>
    <t>/**</t>
  </si>
  <si>
    <t xml:space="preserve"> * ═══════════════════════════════════════════════════════════════════════════════</t>
  </si>
  <si>
    <t xml:space="preserve"> * 🦅  TEAM FALCONS — UNIFIED TALENT PRICING ENGINE</t>
  </si>
  <si>
    <t xml:space="preserve"> *     Apps Script v1.0 | Players + Content Creators</t>
  </si>
  <si>
    <t xml:space="preserve"> *     Shikenso-Ready Architecture</t>
  </si>
  <si>
    <t xml:space="preserve"> *</t>
  </si>
  <si>
    <t xml:space="preserve"> * FEATURES:</t>
  </si>
  <si>
    <t xml:space="preserve"> *   1. Custom menu: "🦅 Falcons Pricing" with all actions</t>
  </si>
  <si>
    <t xml:space="preserve"> *   2. generateQuotation()   — One-click: creates a new client-ready QT sheet</t>
  </si>
  <si>
    <t xml:space="preserve"> *   3. logInquiry()          — Logs current builder lines to Inquiry Log</t>
  </si>
  <si>
    <t xml:space="preserve"> *   4. clearBuilder()        — Resets the Quotation Builder for a new quote</t>
  </si>
  <si>
    <t xml:space="preserve"> *   5. computeAdjMult()      — Recalculates all Adj Mult values live</t>
  </si>
  <si>
    <t xml:space="preserve"> *   6. shikensoSync()        — Placeholder for future Shikenso API sync</t>
  </si>
  <si>
    <t xml:space="preserve"> *   7. exportToPDF()         — Exports the latest QT sheet as PDF to Drive</t>
  </si>
  <si>
    <t xml:space="preserve"> * QUOTATION FORMULA (per line):</t>
  </si>
  <si>
    <t xml:space="preserve"> *   Adj Mult = Engagement × Audience × Authority × Timing × Language × Production</t>
  </si>
  <si>
    <t xml:space="preserve"> *   Organic Unit Rate = MIN(Card Rate × Opening Factor × Adj Mult, Card Rate)  [if Cap mode]</t>
  </si>
  <si>
    <t xml:space="preserve"> *   Line Total = Organic Unit Rate × Qty × (1 + Rights Uplift + Add-on Uplift)</t>
  </si>
  <si>
    <t xml:space="preserve"> */</t>
  </si>
  <si>
    <t>// ─── CONSTANTS ─────────────────────────────────────────────────────────────────</t>
  </si>
  <si>
    <t>const BUILDER_SHEET   = '03_Unified_Quotation_Builder';</t>
  </si>
  <si>
    <t>const PLAYER_RC_SHEET = '01_Player_Rate_Card';</t>
  </si>
  <si>
    <t>const CC_RC_SHEET     = '02_Creator_Rate_Card';</t>
  </si>
  <si>
    <t>const INQUIRY_SHEET   = '06_Inquiry_Log';</t>
  </si>
  <si>
    <t>const SETTINGS_SHEET  = '11_Settings';</t>
  </si>
  <si>
    <t>const LOOKUPS_SHEET   = 'zz_Lookups';</t>
  </si>
  <si>
    <t>const DATA_START_ROW  = 11;  // First data row in builder (1-indexed)</t>
  </si>
  <si>
    <t>const DATA_END_ROW    = 40;  // Last data row in builder</t>
  </si>
  <si>
    <t>const SUMMARY_ROWS    = {</t>
  </si>
  <si>
    <t xml:space="preserve">  subtotal:    42,</t>
  </si>
  <si>
    <t xml:space="preserve">  discount:    43,</t>
  </si>
  <si>
    <t xml:space="preserve">  mgmtFee:     44,</t>
  </si>
  <si>
    <t xml:space="preserve">  preVAT:      45,</t>
  </si>
  <si>
    <t xml:space="preserve">  vat:         46,</t>
  </si>
  <si>
    <t xml:space="preserve">  grandTotal:  47,</t>
  </si>
  <si>
    <t xml:space="preserve">  usd:         48</t>
  </si>
  <si>
    <t>};</t>
  </si>
  <si>
    <t>// Column indices in builder (0-indexed)</t>
  </si>
  <si>
    <t>const COL = {</t>
  </si>
  <si>
    <t xml:space="preserve">  num:         0,   // A: #</t>
  </si>
  <si>
    <t xml:space="preserve">  talent:      1,   // B: Talent</t>
  </si>
  <si>
    <t xml:space="preserve">  type:        2,   // C: Type</t>
  </si>
  <si>
    <t xml:space="preserve">  deliverable: 3,   // D: Deliverable</t>
  </si>
  <si>
    <t xml:space="preserve">  qty:         4,   // E: Qty</t>
  </si>
  <si>
    <t xml:space="preserve">  engagement:  5,   // F: Engagement</t>
  </si>
  <si>
    <t xml:space="preserve">  audienceFit: 6,   // G: Audience Fit</t>
  </si>
  <si>
    <t xml:space="preserve">  authority:   7,   // H: Authority</t>
  </si>
  <si>
    <t xml:space="preserve">  timing:      8,   // I: Timing</t>
  </si>
  <si>
    <t xml:space="preserve">  language:    9,   // J: Language</t>
  </si>
  <si>
    <t xml:space="preserve">  production:  10,  // K: Production</t>
  </si>
  <si>
    <t xml:space="preserve">  rights:      11,  // L: Rights Bundle</t>
  </si>
  <si>
    <t xml:space="preserve">  addon:       12,  // M: Extra Add-on</t>
  </si>
  <si>
    <t xml:space="preserve">  cardRate:    13,  // N: Card Rate (SAR)</t>
  </si>
  <si>
    <t xml:space="preserve">  openFactor:  14,  // O: Opening Factor</t>
  </si>
  <si>
    <t xml:space="preserve">  adjMult:     15,  // P: Adj Mult</t>
  </si>
  <si>
    <t xml:space="preserve">  unitRate:    16,  // Q: Organic Unit Rate (SAR)</t>
  </si>
  <si>
    <t xml:space="preserve">  lineTotal:   17,  // R: Line Total (SAR)</t>
  </si>
  <si>
    <t xml:space="preserve">  flag:        18,  // S: Flag</t>
  </si>
  <si>
    <t xml:space="preserve">  rightsSummary: 19 // T: Rights Summary</t>
  </si>
  <si>
    <t>// Multiplier lookup tables</t>
  </si>
  <si>
    <t>const ENGAGEMENT_MULT = {</t>
  </si>
  <si>
    <t xml:space="preserve">  '&lt;2% Low':      0.70,</t>
  </si>
  <si>
    <t xml:space="preserve">  '2-4% Avg':     0.85,</t>
  </si>
  <si>
    <t xml:space="preserve">  '4-6% Base':    1.00,</t>
  </si>
  <si>
    <t xml:space="preserve">  '6-8% Good':    1.15,</t>
  </si>
  <si>
    <t xml:space="preserve">  '&gt;10% Premium': 1.30</t>
  </si>
  <si>
    <t>const AUDIENCE_MULT = {</t>
  </si>
  <si>
    <t xml:space="preserve">  'Esports / Gaming':              1.00,</t>
  </si>
  <si>
    <t xml:space="preserve">  'Sports / Football / Active':    1.10,</t>
  </si>
  <si>
    <t xml:space="preserve">  'Youth Entertainment / Variety': 1.05,</t>
  </si>
  <si>
    <t xml:space="preserve">  'Broad Generic':                 0.90,</t>
  </si>
  <si>
    <t xml:space="preserve">  'MENA':                          1.05,</t>
  </si>
  <si>
    <t xml:space="preserve">  'KSA':                           1.15,</t>
  </si>
  <si>
    <t xml:space="preserve">  'GCC':                           1.10,</t>
  </si>
  <si>
    <t xml:space="preserve">  'Global':                        0.95</t>
  </si>
  <si>
    <t>const AUTHORITY_MULT = {</t>
  </si>
  <si>
    <t xml:space="preserve">  'Emerging / New':              0.80,</t>
  </si>
  <si>
    <t xml:space="preserve">  'Mid-tier / Established':      1.00,</t>
  </si>
  <si>
    <t xml:space="preserve">  'Category-defining / Hero':    1.25,</t>
  </si>
  <si>
    <t xml:space="preserve">  'Legacy / Icon':               1.50</t>
  </si>
  <si>
    <t>const TIMING_MULT = {</t>
  </si>
  <si>
    <t xml:space="preserve">  'Regular / In-season':            1.00,</t>
  </si>
  <si>
    <t xml:space="preserve">  'Off-season':                     0.85,</t>
  </si>
  <si>
    <t xml:space="preserve">  'Event / Tournament':             1.20,</t>
  </si>
  <si>
    <t xml:space="preserve">  'Travel / Tourism / Destination': 1.15,</t>
  </si>
  <si>
    <t xml:space="preserve">  'Ramadan / Seasonal':             1.25</t>
  </si>
  <si>
    <t>const LANGUAGE_MULT = {</t>
  </si>
  <si>
    <t xml:space="preserve">  'Arabic':         1.10,</t>
  </si>
  <si>
    <t xml:space="preserve">  'English':        1.00,</t>
  </si>
  <si>
    <t xml:space="preserve">  'Bilingual':      1.15,</t>
  </si>
  <si>
    <t xml:space="preserve">  'Dialect Arabic': 1.05</t>
  </si>
  <si>
    <t>const PRODUCTION_MULT = {</t>
  </si>
  <si>
    <t xml:space="preserve">  'Standard self-shoot':         1.00,</t>
  </si>
  <si>
    <t xml:space="preserve">  'Scripted / extra revisions':  1.15,</t>
  </si>
  <si>
    <t xml:space="preserve">  'On-ground / special shoot':   1.30,</t>
  </si>
  <si>
    <t xml:space="preserve">  'Animated / motion graphics':  1.20</t>
  </si>
  <si>
    <t>const RIGHTS_UPLIFT = {</t>
  </si>
  <si>
    <t xml:space="preserve">  'None':                  0.00,</t>
  </si>
  <si>
    <t xml:space="preserve">  'Organic repost 90d':    0.10,</t>
  </si>
  <si>
    <t xml:space="preserve">  'Organic repost 180d':   0.20,</t>
  </si>
  <si>
    <t xml:space="preserve">  'Paid usage 30d':        0.25,</t>
  </si>
  <si>
    <t xml:space="preserve">  'Paid usage 90d':        0.60,</t>
  </si>
  <si>
    <t xml:space="preserve">  'Paid usage 180d':       1.00,</t>
  </si>
  <si>
    <t xml:space="preserve">  'Whitelisting 30d':      0.35,</t>
  </si>
  <si>
    <t xml:space="preserve">  'Whitelisting 90d':      0.90,</t>
  </si>
  <si>
    <t xml:space="preserve">  'Website / email only':  0.10,</t>
  </si>
  <si>
    <t xml:space="preserve">  'All owned + paid 90d':  1.20</t>
  </si>
  <si>
    <t>const ADDON_UPLIFT = {</t>
  </si>
  <si>
    <t xml:space="preserve">  'None':              0.00,</t>
  </si>
  <si>
    <t xml:space="preserve">  'Exclusivity 30d':   0.15,</t>
  </si>
  <si>
    <t xml:space="preserve">  'Exclusivity 90d':   0.35,</t>
  </si>
  <si>
    <t xml:space="preserve">  'Exclusivity 180d':  0.60,</t>
  </si>
  <si>
    <t xml:space="preserve">  'Rush 72h':          0.10,</t>
  </si>
  <si>
    <t xml:space="preserve">  'Rush 48h':          0.20,</t>
  </si>
  <si>
    <t xml:space="preserve">  'Rush 24h':          0.35,</t>
  </si>
  <si>
    <t xml:space="preserve">  'Raw footage':       0.15,</t>
  </si>
  <si>
    <t xml:space="preserve">  'Extra cutdowns':    0.10</t>
  </si>
  <si>
    <t>const BUNDLE_DISCOUNT = {</t>
  </si>
  <si>
    <t xml:space="preserve">  '2 creators / lines':    0.03,</t>
  </si>
  <si>
    <t xml:space="preserve">  '3-4 creators / lines':  0.05,</t>
  </si>
  <si>
    <t xml:space="preserve">  '5+ creators / lines':   0.08</t>
  </si>
  <si>
    <t>// ─── THEME COLORS ──────────────────────────────────────────────────────────────</t>
  </si>
  <si>
    <t>const COLORS = {</t>
  </si>
  <si>
    <t xml:space="preserve">  darkGreen:   '#1B5E20',</t>
  </si>
  <si>
    <t xml:space="preserve">  medGreen:    '#1B4332',</t>
  </si>
  <si>
    <t xml:space="preserve">  accentGreen: '#2E7D32',</t>
  </si>
  <si>
    <t xml:space="preserve">  deepGreen:   '#184D3E',</t>
  </si>
  <si>
    <t xml:space="preserve">  lightGreen:  '#E8F5E9',</t>
  </si>
  <si>
    <t xml:space="preserve">  altRow:      '#F7F7F7',</t>
  </si>
  <si>
    <t xml:space="preserve">  white:       '#FFFFFF',</t>
  </si>
  <si>
    <t xml:space="preserve">  darkText:    '#0D1B2A',</t>
  </si>
  <si>
    <t xml:space="preserve">  blueAccent:  '#0B5394',</t>
  </si>
  <si>
    <t xml:space="preserve">  blueLight:   '#D9EAF7',</t>
  </si>
  <si>
    <t xml:space="preserve">  greenText:   '#117A37',</t>
  </si>
  <si>
    <t xml:space="preserve">  goldTier1:   '#C9A84C',</t>
  </si>
  <si>
    <t xml:space="preserve">  yellowWarn:  '#FFF2CC',</t>
  </si>
  <si>
    <t xml:space="preserve">  yellowText:  '#7F6000',</t>
  </si>
  <si>
    <t xml:space="preserve">  redError:    '#FCE8E6',</t>
  </si>
  <si>
    <t xml:space="preserve">  redText:     '#C0392B',</t>
  </si>
  <si>
    <t xml:space="preserve">  greenFlag:   '#D9EAD3',</t>
  </si>
  <si>
    <t xml:space="preserve">  greenFlagTx: '#274E13',</t>
  </si>
  <si>
    <t xml:space="preserve">  subtleGray:  '#555555',</t>
  </si>
  <si>
    <t xml:space="preserve">  lightGray:   '#F5F5F5'</t>
  </si>
  <si>
    <t>// ─── MENU SETUP ────────────────────────────────────────────────────────────────</t>
  </si>
  <si>
    <t>function onOpen() {</t>
  </si>
  <si>
    <t xml:space="preserve">  SpreadsheetApp.getUi()</t>
  </si>
  <si>
    <t xml:space="preserve">    .createMenu('🦅 Falcons Pricing')</t>
  </si>
  <si>
    <t xml:space="preserve">    .addItem('📄 Generate Quotation', 'generateQuotation')</t>
  </si>
  <si>
    <t xml:space="preserve">    .addSeparator()</t>
  </si>
  <si>
    <t xml:space="preserve">    .addItem('🔄 Recalculate All Lines', 'computeAllLines')</t>
  </si>
  <si>
    <t xml:space="preserve">    .addItem('📋 Log to Inquiry Log', 'logInquiry')</t>
  </si>
  <si>
    <t xml:space="preserve">    .addItem('🗑️ Clear Builder (New Quote)', 'clearBuilder')</t>
  </si>
  <si>
    <t xml:space="preserve">    .addSubMenu(SpreadsheetApp.getUi().createMenu('⚙️ Tools')</t>
  </si>
  <si>
    <t xml:space="preserve">      .addItem('📊 Shikenso Sync (Coming Soon)', 'shikensoSync')</t>
  </si>
  <si>
    <t xml:space="preserve">      .addItem('📁 Export Latest QT to PDF', 'exportLatestQTtoPDF')</t>
  </si>
  <si>
    <t xml:space="preserve">      .addItem('🔢 Renumber Lines', 'renumberLines')</t>
  </si>
  <si>
    <t xml:space="preserve">    )</t>
  </si>
  <si>
    <t xml:space="preserve">    .addToUi();</t>
  </si>
  <si>
    <t>}</t>
  </si>
  <si>
    <t>// ─── HELPER: GET SHEET ─────────────────────────────────────────────────────────</t>
  </si>
  <si>
    <t>function getSheet(name) {</t>
  </si>
  <si>
    <t xml:space="preserve">  const ss = SpreadsheetApp.getActiveSpreadsheet();</t>
  </si>
  <si>
    <t xml:space="preserve">  const sheet = ss.getSheetByName(name);</t>
  </si>
  <si>
    <t xml:space="preserve">  if (!sheet) throw new Error(`Sheet "${name}" not found.`);</t>
  </si>
  <si>
    <t xml:space="preserve">  return sheet;</t>
  </si>
  <si>
    <t>// ─── HELPER: GET SETTINGS ──────────────────────────────────────────────────────</t>
  </si>
  <si>
    <t>function getSettings() {</t>
  </si>
  <si>
    <t xml:space="preserve">  const ss = getSheet(SETTINGS_SHEET);</t>
  </si>
  <si>
    <t xml:space="preserve">  const data = ss.getDataRange().getValues();</t>
  </si>
  <si>
    <t xml:space="preserve">  const settings = {};</t>
  </si>
  <si>
    <t xml:space="preserve">  for (const row of data) {</t>
  </si>
  <si>
    <t xml:space="preserve">    if (row[0] &amp;&amp; row[1]) {</t>
  </si>
  <si>
    <t xml:space="preserve">      settings[row[0].toString().trim()] = row[1];</t>
  </si>
  <si>
    <t xml:space="preserve">    }</t>
  </si>
  <si>
    <t xml:space="preserve">  }</t>
  </si>
  <si>
    <t xml:space="preserve">  return {</t>
  </si>
  <si>
    <t xml:space="preserve">    vatRate:     parseFloat(settings['VAT Rate']) || 0.15,</t>
  </si>
  <si>
    <t xml:space="preserve">    mgmtFee:     parseFloat(settings['Default Mgmt Fee']) || 0.10,</t>
  </si>
  <si>
    <t xml:space="preserve">    usdRate:     parseFloat(settings['USD Rate']) || 3.75,</t>
  </si>
  <si>
    <t xml:space="preserve">    currency:    settings['Currency'] || 'SAR',</t>
  </si>
  <si>
    <t xml:space="preserve">    companyName: settings['Company Name'] || 'Team Falcons',</t>
  </si>
  <si>
    <t xml:space="preserve">    email:       settings['Commercial Email'] || 'commercial@teamfalcons.gg'</t>
  </si>
  <si>
    <t xml:space="preserve">  };</t>
  </si>
  <si>
    <t>// ─── HELPER: GET BUILDER HEADER INFO ───────────────────────────────────────────</t>
  </si>
  <si>
    <t>function getBuilderInfo() {</t>
  </si>
  <si>
    <t xml:space="preserve">  const ws = getSheet(BUILDER_SHEET);</t>
  </si>
  <si>
    <t xml:space="preserve">    client:       ws.getRange('B4').getValue() || '',</t>
  </si>
  <si>
    <t xml:space="preserve">    campaignName: ws.getRange('B5').getValue() || '',</t>
  </si>
  <si>
    <t xml:space="preserve">    period:       ws.getRange('B6').getValue() || '',</t>
  </si>
  <si>
    <t xml:space="preserve">    preparedBy:   ws.getRange('B7').getValue() || '',</t>
  </si>
  <si>
    <t xml:space="preserve">    talentType:   ws.getRange('B8').getValue() || 'Mixed',</t>
  </si>
  <si>
    <t xml:space="preserve">    objective:    ws.getRange('E4').getValue() || '',</t>
  </si>
  <si>
    <t xml:space="preserve">    bundleDisc:   ws.getRange('E5').getValue() || 'None',</t>
  </si>
  <si>
    <t xml:space="preserve">    mgmtFee:      parseFloat(ws.getRange('E6').getValue()) || 0.10,</t>
  </si>
  <si>
    <t xml:space="preserve">    vat:          parseFloat(ws.getRange('E7').getValue()) || 0.15,</t>
  </si>
  <si>
    <t xml:space="preserve">    usdRate:      parseFloat(ws.getRange('H4').getValue()) || 3.75,</t>
  </si>
  <si>
    <t xml:space="preserve">    ceilingMode:  ws.getRange('H5').getValue() || 'Cap at Card Rate',</t>
  </si>
  <si>
    <t xml:space="preserve">    applyOpening: ws.getRange('H6').getValue() || 'No',</t>
  </si>
  <si>
    <t xml:space="preserve">    applyBundle:  ws.getRange('H7').getValue() || 'No',</t>
  </si>
  <si>
    <t xml:space="preserve">    raiseCeiling: parseFloat(ws.getRange('H8').getValue()) || 0</t>
  </si>
  <si>
    <t>// ─── HELPER: LOOKUP CARD RATE ──────────────────────────────────────────────────</t>
  </si>
  <si>
    <t>function lookupCardRate(talentName, talentType, deliverable) {</t>
  </si>
  <si>
    <t xml:space="preserve">  const sheetName = (talentType === 'Player') ? PLAYER_RC_SHEET : CC_RC_SHEET;</t>
  </si>
  <si>
    <t xml:space="preserve">  const ws = getSheet(sheetName);</t>
  </si>
  <si>
    <t xml:space="preserve">  const data = ws.getDataRange().getValues();</t>
  </si>
  <si>
    <t xml:space="preserve">  // Find the talent row (col B = index 1 = Nickname/Creator)</t>
  </si>
  <si>
    <t xml:space="preserve">  for (let i = 4; i &lt; data.length; i++) {</t>
  </si>
  <si>
    <t xml:space="preserve">    const rowName = data[i][1] ? data[i][1].toString().trim().toLowerCase() : '';</t>
  </si>
  <si>
    <t xml:space="preserve">    if (rowName === talentName.toString().trim().toLowerCase()) {</t>
  </si>
  <si>
    <t xml:space="preserve">      // Map deliverable to column</t>
  </si>
  <si>
    <t xml:space="preserve">      const headers = data[3]; // Row 4 = headers (0-indexed row 3)</t>
  </si>
  <si>
    <t xml:space="preserve">      for (let j = 0; j &lt; headers.length; j++) {</t>
  </si>
  <si>
    <t xml:space="preserve">        const h = headers[j] ? headers[j].toString().replace(/\n/g, ' ').trim() : '';</t>
  </si>
  <si>
    <t xml:space="preserve">        if (deliverable &amp;&amp; h.toLowerCase().includes(deliverable.toString().toLowerCase().split(' ')[0])) {</t>
  </si>
  <si>
    <t xml:space="preserve">          const val = data[i][j];</t>
  </si>
  <si>
    <t xml:space="preserve">          if (val &amp;&amp; val !== 'N/A' &amp;&amp; val !== '-' &amp;&amp; !isNaN(parseFloat(val))) {</t>
  </si>
  <si>
    <t xml:space="preserve">            return parseFloat(val);</t>
  </si>
  <si>
    <t xml:space="preserve">          }</t>
  </si>
  <si>
    <t xml:space="preserve">        }</t>
  </si>
  <si>
    <t xml:space="preserve">      }</t>
  </si>
  <si>
    <t xml:space="preserve">      // Fallback: return first non-N/A rate</t>
  </si>
  <si>
    <t xml:space="preserve">      for (let j = 8; j &lt; Math.min(headers.length, 20); j++) {</t>
  </si>
  <si>
    <t xml:space="preserve">        const val = data[i][j];</t>
  </si>
  <si>
    <t xml:space="preserve">        if (val &amp;&amp; val !== 'N/A' &amp;&amp; val !== '-' &amp;&amp; !isNaN(parseFloat(val))) {</t>
  </si>
  <si>
    <t xml:space="preserve">          return parseFloat(val);</t>
  </si>
  <si>
    <t xml:space="preserve">      return 0;</t>
  </si>
  <si>
    <t xml:space="preserve">  return 0;</t>
  </si>
  <si>
    <t>// ─── HELPER: LOOKUP OPENING FACTOR ─────────────────────────────────────────────</t>
  </si>
  <si>
    <t>function lookupOpeningFactor(talentName, talentType) {</t>
  </si>
  <si>
    <t xml:space="preserve">  if (talentType !== 'Creator') return 0.75; // Default for players</t>
  </si>
  <si>
    <t xml:space="preserve">  const ws = getSheet(CC_RC_SHEET);</t>
  </si>
  <si>
    <t xml:space="preserve">      // Opening Factor is in column V (index 21)</t>
  </si>
  <si>
    <t xml:space="preserve">      const of_ = parseFloat(data[i][21]);</t>
  </si>
  <si>
    <t xml:space="preserve">      return isNaN(of_) ? 0.75 : of_;</t>
  </si>
  <si>
    <t xml:space="preserve">  return 0.75;</t>
  </si>
  <si>
    <t>// ─── CORE: COMPUTE ALL LINES ───────────────────────────────────────────────────</t>
  </si>
  <si>
    <t>function computeAllLines() {</t>
  </si>
  <si>
    <t xml:space="preserve">  const info = getBuilderInfo();</t>
  </si>
  <si>
    <t xml:space="preserve">  const data = ws.getRange(DATA_START_ROW, 1, DATA_END_ROW - DATA_START_ROW + 1, 20).getValues();</t>
  </si>
  <si>
    <t xml:space="preserve">  let updatedRows = 0;</t>
  </si>
  <si>
    <t xml:space="preserve">  for (let i = 0; i &lt; data.length; i++) {</t>
  </si>
  <si>
    <t xml:space="preserve">    const row = data[i];</t>
  </si>
  <si>
    <t xml:space="preserve">    const talent = row[COL.talent] ? row[COL.talent].toString().trim() : '';</t>
  </si>
  <si>
    <t xml:space="preserve">    if (!talent) continue;</t>
  </si>
  <si>
    <t xml:space="preserve">    const talentType   = row[COL.type] ? row[COL.type].toString().trim() : 'Player';</t>
  </si>
  <si>
    <t xml:space="preserve">    const deliverable  = row[COL.deliverable] ? row[COL.deliverable].toString().trim() : '';</t>
  </si>
  <si>
    <t xml:space="preserve">    const qty          = parseFloat(row[COL.qty]) || 1;</t>
  </si>
  <si>
    <t xml:space="preserve">    const engagement   = row[COL.engagement] ? row[COL.engagement].toString().trim() : '4-6% Base';</t>
  </si>
  <si>
    <t xml:space="preserve">    const audienceFit  = row[COL.audienceFit] ? row[COL.audienceFit].toString().trim() : 'Esports / Gaming';</t>
  </si>
  <si>
    <t xml:space="preserve">    const authority    = row[COL.authority] ? row[COL.authority].toString().trim() : 'Mid-tier / Established';</t>
  </si>
  <si>
    <t xml:space="preserve">    const timing       = row[COL.timing] ? row[COL.timing].toString().trim() : 'Regular / In-season';</t>
  </si>
  <si>
    <t xml:space="preserve">    const language     = row[COL.language] ? row[COL.language].toString().trim() : 'Arabic';</t>
  </si>
  <si>
    <t xml:space="preserve">    const production   = row[COL.production] ? row[COL.production].toString().trim() : 'Standard self-shoot';</t>
  </si>
  <si>
    <t xml:space="preserve">    const rights       = row[COL.rights] ? row[COL.rights].toString().trim() : 'None';</t>
  </si>
  <si>
    <t xml:space="preserve">    const addon        = row[COL.addon] ? row[COL.addon].toString().trim() : 'None';</t>
  </si>
  <si>
    <t xml:space="preserve">    // Get card rate</t>
  </si>
  <si>
    <t xml:space="preserve">    let cardRate = parseFloat(row[COL.cardRate]) || 0;</t>
  </si>
  <si>
    <t xml:space="preserve">    if (!cardRate &amp;&amp; talent) {</t>
  </si>
  <si>
    <t xml:space="preserve">      cardRate = lookupCardRate(talent, talentType, deliverable);</t>
  </si>
  <si>
    <t xml:space="preserve">    if (!cardRate) continue;</t>
  </si>
  <si>
    <t xml:space="preserve">    // Get opening factor</t>
  </si>
  <si>
    <t xml:space="preserve">    let openFactor = parseFloat(row[COL.openFactor]) || 0;</t>
  </si>
  <si>
    <t xml:space="preserve">    if (!openFactor) {</t>
  </si>
  <si>
    <t xml:space="preserve">      openFactor = (info.applyOpening === 'Yes') ? lookupOpeningFactor(talent, talentType) : 1.0;</t>
  </si>
  <si>
    <t xml:space="preserve">    // Calculate adjustment multiplier</t>
  </si>
  <si>
    <t xml:space="preserve">    const engMult  = ENGAGEMENT_MULT[engagement]  || 1.00;</t>
  </si>
  <si>
    <t xml:space="preserve">    const audMult  = AUDIENCE_MULT[audienceFit]    || 1.00;</t>
  </si>
  <si>
    <t xml:space="preserve">    const authMult = AUTHORITY_MULT[authority]     || 1.00;</t>
  </si>
  <si>
    <t xml:space="preserve">    const timeMult = TIMING_MULT[timing]           || 1.00;</t>
  </si>
  <si>
    <t xml:space="preserve">    const langMult = LANGUAGE_MULT[language]       || 1.00;</t>
  </si>
  <si>
    <t xml:space="preserve">    const prodMult = PRODUCTION_MULT[production]   || 1.00;</t>
  </si>
  <si>
    <t xml:space="preserve">    const adjMult = engMult * audMult * authMult * timeMult * langMult * prodMult;</t>
  </si>
  <si>
    <t xml:space="preserve">    // Calculate organic unit rate</t>
  </si>
  <si>
    <t xml:space="preserve">    let organicRate = cardRate * openFactor * adjMult;</t>
  </si>
  <si>
    <t xml:space="preserve">    let flag = '';</t>
  </si>
  <si>
    <t xml:space="preserve">    if (info.ceilingMode === 'Cap at Card Rate') {</t>
  </si>
  <si>
    <t xml:space="preserve">      if (organicRate &gt; cardRate) {</t>
  </si>
  <si>
    <t xml:space="preserve">        organicRate = cardRate;</t>
  </si>
  <si>
    <t xml:space="preserve">        flag = 'RED — CEILING BREACH (CAPPED)';</t>
  </si>
  <si>
    <t xml:space="preserve">      } else if (organicRate &gt; cardRate * 0.90) {</t>
  </si>
  <si>
    <t xml:space="preserve">        flag = 'YELLOW — NEAR CEILING';</t>
  </si>
  <si>
    <t xml:space="preserve">      } else {</t>
  </si>
  <si>
    <t xml:space="preserve">        flag = 'GREEN — READY TO SEND';</t>
  </si>
  <si>
    <t xml:space="preserve">    } else if (info.ceilingMode === 'No Cap') {</t>
  </si>
  <si>
    <t xml:space="preserve">        flag = 'YELLOW — ABOVE CARD / NO CAP';</t>
  </si>
  <si>
    <t xml:space="preserve">    } else {</t>
  </si>
  <si>
    <t xml:space="preserve">      flag = 'GREEN — READY TO SEND';</t>
  </si>
  <si>
    <t xml:space="preserve">    // Apply rights and add-on uplifts</t>
  </si>
  <si>
    <t xml:space="preserve">    const rightsUplift = RIGHTS_UPLIFT[rights] || 0;</t>
  </si>
  <si>
    <t xml:space="preserve">    const addonUplift  = ADDON_UPLIFT[addon]   || 0;</t>
  </si>
  <si>
    <t xml:space="preserve">    const lineTotal    = organicRate * qty * (1 + rightsUplift + addonUplift);</t>
  </si>
  <si>
    <t xml:space="preserve">    // Rights summary</t>
  </si>
  <si>
    <t xml:space="preserve">    let rightsSummary = '';</t>
  </si>
  <si>
    <t xml:space="preserve">    if (rights !== 'None' &amp;&amp; addon !== 'None') {</t>
  </si>
  <si>
    <t xml:space="preserve">      rightsSummary = `${rights} + ${addon}`;</t>
  </si>
  <si>
    <t xml:space="preserve">    } else if (rights !== 'None') {</t>
  </si>
  <si>
    <t xml:space="preserve">      rightsSummary = rights;</t>
  </si>
  <si>
    <t xml:space="preserve">    } else if (addon !== 'None') {</t>
  </si>
  <si>
    <t xml:space="preserve">      rightsSummary = addon;</t>
  </si>
  <si>
    <t xml:space="preserve">      rightsSummary = 'Organic only';</t>
  </si>
  <si>
    <t xml:space="preserve">    // Write back to sheet</t>
  </si>
  <si>
    <t xml:space="preserve">    const sheetRow = DATA_START_ROW + i;</t>
  </si>
  <si>
    <t xml:space="preserve">    ws.getRange(sheetRow, COL.cardRate + 1).setValue(cardRate);</t>
  </si>
  <si>
    <t xml:space="preserve">    ws.getRange(sheetRow, COL.openFactor + 1).setValue(openFactor);</t>
  </si>
  <si>
    <t xml:space="preserve">    ws.getRange(sheetRow, COL.adjMult + 1).setValue(Math.round(adjMult * 100) / 100);</t>
  </si>
  <si>
    <t xml:space="preserve">    ws.getRange(sheetRow, COL.unitRate + 1).setValue(Math.round(organicRate));</t>
  </si>
  <si>
    <t xml:space="preserve">    ws.getRange(sheetRow, COL.lineTotal + 1).setValue(Math.round(lineTotal));</t>
  </si>
  <si>
    <t xml:space="preserve">    ws.getRange(sheetRow, COL.flag + 1).setValue(flag);</t>
  </si>
  <si>
    <t xml:space="preserve">    ws.getRange(sheetRow, COL.rightsSummary + 1).setValue(rightsSummary);</t>
  </si>
  <si>
    <t xml:space="preserve">    updatedRows++;</t>
  </si>
  <si>
    <t xml:space="preserve">  SpreadsheetApp.getUi().alert(`✅ Recalculated ${updatedRows} line(s) successfully.`);</t>
  </si>
  <si>
    <t>// ─── CORE: GENERATE QUOTATION ──────────────────────────────────────────────────</t>
  </si>
  <si>
    <t>function generateQuotation() {</t>
  </si>
  <si>
    <t xml:space="preserve">  const settings = getSettings();</t>
  </si>
  <si>
    <t xml:space="preserve">  // Validate required fields</t>
  </si>
  <si>
    <t xml:space="preserve">  if (!info.client) {</t>
  </si>
  <si>
    <t xml:space="preserve">    SpreadsheetApp.getUi().alert('⚠️ Please enter a Client / Brand before generating a quotation.');</t>
  </si>
  <si>
    <t xml:space="preserve">    return;</t>
  </si>
  <si>
    <t xml:space="preserve">  // Run calculations first</t>
  </si>
  <si>
    <t xml:space="preserve">  computeAllLines();</t>
  </si>
  <si>
    <t xml:space="preserve">  // Get all active lines</t>
  </si>
  <si>
    <t xml:space="preserve">  const builderData = ws.getRange(DATA_START_ROW, 1, DATA_END_ROW - DATA_START_ROW + 1, 20).getValues();</t>
  </si>
  <si>
    <t xml:space="preserve">  const activeLines = builderData.filter(row =&gt; row[COL.talent] &amp;&amp; row[COL.lineTotal]);</t>
  </si>
  <si>
    <t xml:space="preserve">  if (activeLines.length === 0) {</t>
  </si>
  <si>
    <t xml:space="preserve">    SpreadsheetApp.getUi().alert('⚠️ No active lines found. Please add talent lines to the builder first.');</t>
  </si>
  <si>
    <t xml:space="preserve">  // Generate Quote ID</t>
  </si>
  <si>
    <t xml:space="preserve">  const quoteId = generateQuoteId(info.client);</t>
  </si>
  <si>
    <t xml:space="preserve">  // Create new sheet</t>
  </si>
  <si>
    <t xml:space="preserve">  const qtSheetName = `${quoteId} · ${info.client.substring(0, 20)}`;</t>
  </si>
  <si>
    <t xml:space="preserve">  let qtSheet = ss.getSheetByName(qtSheetName);</t>
  </si>
  <si>
    <t xml:space="preserve">  if (qtSheet) {</t>
  </si>
  <si>
    <t xml:space="preserve">    ss.deleteSheet(qtSheet);</t>
  </si>
  <si>
    <t xml:space="preserve">  qtSheet = ss.insertSheet(qtSheetName);</t>
  </si>
  <si>
    <t xml:space="preserve">  // Move to end</t>
  </si>
  <si>
    <t xml:space="preserve">  ss.moveActiveSheet(ss.getNumSheets());</t>
  </si>
  <si>
    <t xml:space="preserve">  // ── Build the quotation sheet ──────────────────────────────────────────────</t>
  </si>
  <si>
    <t xml:space="preserve">  // Calculate totals</t>
  </si>
  <si>
    <t xml:space="preserve">  const lineNet = activeLines.reduce((sum, row) =&gt; sum + (parseFloat(row[COL.lineTotal]) || 0), 0);</t>
  </si>
  <si>
    <t xml:space="preserve">  const discountRate = BUNDLE_DISCOUNT[info.bundleDisc] || 0;</t>
  </si>
  <si>
    <t xml:space="preserve">  const discountAmt = info.applyBundle === 'Yes' ? lineNet * discountRate : 0;</t>
  </si>
  <si>
    <t xml:space="preserve">  const afterDiscount = lineNet - discountAmt;</t>
  </si>
  <si>
    <t xml:space="preserve">  const mgmtFeeAmt = afterDiscount * info.mgmtFee;</t>
  </si>
  <si>
    <t xml:space="preserve">  const preVAT = afterDiscount + mgmtFeeAmt;</t>
  </si>
  <si>
    <t xml:space="preserve">  const vatAmt = preVAT * info.vat;</t>
  </si>
  <si>
    <t xml:space="preserve">  const grandTotal = preVAT + vatAmt;</t>
  </si>
  <si>
    <t xml:space="preserve">  const grandTotalUSD = grandTotal / info.usdRate;</t>
  </si>
  <si>
    <t xml:space="preserve">  const today = Utilities.formatDate(new Date(), Session.getScriptTimeZone(), 'dd MMM yyyy');</t>
  </si>
  <si>
    <t xml:space="preserve">  // ── ROW 1: Main header ─────────────────────────────────────────────────────</t>
  </si>
  <si>
    <t xml:space="preserve">  qtSheet.getRange('A1').setValue('🦅  TEAM FALCONS — COMMERCIAL QUOTATION');</t>
  </si>
  <si>
    <t xml:space="preserve">  qtSheet.getRange('A1:H1').merge();</t>
  </si>
  <si>
    <t xml:space="preserve">  // ── ROW 2: Quote ID + Date ─────────────────────────────────────────────────</t>
  </si>
  <si>
    <t xml:space="preserve">  qtSheet.getRange('A2').setValue(`Quote ID: ${quoteId}`);</t>
  </si>
  <si>
    <t xml:space="preserve">  qtSheet.getRange('A2:D2').merge();</t>
  </si>
  <si>
    <t xml:space="preserve">  qtSheet.getRange('E2').setValue(`Date: ${today}`);</t>
  </si>
  <si>
    <t xml:space="preserve">  qtSheet.getRange('E2:H2').merge();</t>
  </si>
  <si>
    <t xml:space="preserve">  // ── ROW 3: CLIENT INFORMATION header ──────────────────────────────────────</t>
  </si>
  <si>
    <t xml:space="preserve">  qtSheet.getRange('A3').setValue('CLIENT INFORMATION');</t>
  </si>
  <si>
    <t xml:space="preserve">  qtSheet.getRange('A3:H3').merge();</t>
  </si>
  <si>
    <t xml:space="preserve">  // ── ROWS 4-6: Client details ───────────────────────────────────────────────</t>
  </si>
  <si>
    <t xml:space="preserve">  const clientDetails = [</t>
  </si>
  <si>
    <t xml:space="preserve">    ['Client / Brand:', info.client, '', '', 'Campaign Period:', info.period, '', ''],</t>
  </si>
  <si>
    <t xml:space="preserve">    ['Campaign Objective:', info.objective, '', '', 'Prepared By:', info.preparedBy, '', ''],</t>
  </si>
  <si>
    <t xml:space="preserve">    ['Campaign Name:', info.campaignName, '', '', 'Talent Type:', info.talentType, '', ''],</t>
  </si>
  <si>
    <t xml:space="preserve">  ];</t>
  </si>
  <si>
    <t xml:space="preserve">  qtSheet.getRange(4, 1, 3, 8).setValues(clientDetails);</t>
  </si>
  <si>
    <t xml:space="preserve">  // ── ROW 7: blank ──────────────────────────────────────────────────────────</t>
  </si>
  <si>
    <t xml:space="preserve">  qtSheet.getRange('A7').setValue('');</t>
  </si>
  <si>
    <t xml:space="preserve">  // ── ROW 8: Line item headers ───────────────────────────────────────────────</t>
  </si>
  <si>
    <t xml:space="preserve">  qtSheet.getRange(8, 1, 1, 8).setValues([[</t>
  </si>
  <si>
    <t xml:space="preserve">    '#', 'Talent', 'Deliverable', 'Qty', 'Base Rate (SAR)', 'Multipliers Applied', 'Rights / Add-ons', 'Line Total (SAR)'</t>
  </si>
  <si>
    <t xml:space="preserve">  ]]);</t>
  </si>
  <si>
    <t xml:space="preserve">  // ── ROWS 9+: Line items ────────────────────────────────────────────────────</t>
  </si>
  <si>
    <t xml:space="preserve">  let currentRow = 9;</t>
  </si>
  <si>
    <t xml:space="preserve">  activeLines.forEach((line, idx) =&gt; {</t>
  </si>
  <si>
    <t xml:space="preserve">    const talent      = line[COL.talent];</t>
  </si>
  <si>
    <t xml:space="preserve">    const type        = line[COL.type] || '';</t>
  </si>
  <si>
    <t xml:space="preserve">    const deliverable = line[COL.deliverable];</t>
  </si>
  <si>
    <t xml:space="preserve">    const qty         = line[COL.qty];</t>
  </si>
  <si>
    <t xml:space="preserve">    const cardRate    = line[COL.cardRate];</t>
  </si>
  <si>
    <t xml:space="preserve">    const adjMult     = line[COL.adjMult];</t>
  </si>
  <si>
    <t xml:space="preserve">    const lineTotal   = line[COL.lineTotal];</t>
  </si>
  <si>
    <t xml:space="preserve">    const engagement  = line[COL.engagement];</t>
  </si>
  <si>
    <t xml:space="preserve">    const audienceFit = line[COL.audienceFit];</t>
  </si>
  <si>
    <t xml:space="preserve">    const timing      = line[COL.timing];</t>
  </si>
  <si>
    <t xml:space="preserve">    const language    = line[COL.language];</t>
  </si>
  <si>
    <t xml:space="preserve">    const rights      = line[COL.rights];</t>
  </si>
  <si>
    <t xml:space="preserve">    const addon       = line[COL.addon];</t>
  </si>
  <si>
    <t xml:space="preserve">    const rightsSummary = line[COL.rightsSummary];</t>
  </si>
  <si>
    <t xml:space="preserve">    const multiplierSummary = `${engagement} | ${audienceFit} | ${timing} | ${language}`;</t>
  </si>
  <si>
    <t xml:space="preserve">    qtSheet.getRange(currentRow, 1, 1, 8).setValues([[</t>
  </si>
  <si>
    <t xml:space="preserve">      idx + 1,</t>
  </si>
  <si>
    <t xml:space="preserve">      `${talent}${type ? ' (' + type + ')' : ''}`,</t>
  </si>
  <si>
    <t xml:space="preserve">      deliverable,</t>
  </si>
  <si>
    <t xml:space="preserve">      qty,</t>
  </si>
  <si>
    <t xml:space="preserve">      `SAR ${formatNum(cardRate)}`,</t>
  </si>
  <si>
    <t xml:space="preserve">      multiplierSummary,</t>
  </si>
  <si>
    <t xml:space="preserve">      rightsSummary || 'Organic only',</t>
  </si>
  <si>
    <t xml:space="preserve">      `SAR ${formatNum(lineTotal)}`</t>
  </si>
  <si>
    <t xml:space="preserve">    ]]);</t>
  </si>
  <si>
    <t xml:space="preserve">    currentRow++;</t>
  </si>
  <si>
    <t xml:space="preserve">  });</t>
  </si>
  <si>
    <t xml:space="preserve">  // ── Blank row ──────────────────────────────────────────────────────────────</t>
  </si>
  <si>
    <t xml:space="preserve">  currentRow++;</t>
  </si>
  <si>
    <t xml:space="preserve">  // ── Summary rows ──────────────────────────────────────────────────────────</t>
  </si>
  <si>
    <t xml:space="preserve">  const summaryRows = [</t>
  </si>
  <si>
    <t xml:space="preserve">    ['Subtotal', '', '', '', '', '', '', `SAR ${formatNum(lineNet)}`],</t>
  </si>
  <si>
    <t xml:space="preserve">  if (discountAmt &gt; 0) {</t>
  </si>
  <si>
    <t xml:space="preserve">    summaryRows.push([`Bundle Discount (${Math.round(discountRate * 100)}%)`, '', '', '', '', '', '', `- SAR ${formatNum(discountAmt)}`]);</t>
  </si>
  <si>
    <t xml:space="preserve">  summaryRows.push(</t>
  </si>
  <si>
    <t xml:space="preserve">    [`Management Fee (${Math.round(info.mgmtFee * 100)}%)`, '', '', '', '', '', '', `SAR ${formatNum(mgmtFeeAmt)}`],</t>
  </si>
  <si>
    <t xml:space="preserve">    ['Sub-Total (pre-VAT)', '', '', '', '', '', '', `SAR ${formatNum(preVAT)}`],</t>
  </si>
  <si>
    <t xml:space="preserve">    [`VAT (${Math.round(info.vat * 100)}%)`, '', '', '', '', '', '', `SAR ${formatNum(vatAmt)}`],</t>
  </si>
  <si>
    <t xml:space="preserve">    ['GRAND TOTAL (SAR)', '', '', '', '', '', '', `SAR ${formatNum(grandTotal)}`],</t>
  </si>
  <si>
    <t xml:space="preserve">    ['≈ USD', '', '', '', '', '', '', `USD ${formatNum(grandTotalUSD)}`]</t>
  </si>
  <si>
    <t xml:space="preserve">  );</t>
  </si>
  <si>
    <t xml:space="preserve">  qtSheet.getRange(currentRow, 1, summaryRows.length, 8).setValues(summaryRows);</t>
  </si>
  <si>
    <t xml:space="preserve">  const grandTotalRow = currentRow + summaryRows.length - 2;</t>
  </si>
  <si>
    <t xml:space="preserve">  const usdRow = currentRow + summaryRows.length - 1;</t>
  </si>
  <si>
    <t xml:space="preserve">  const preVATRow = currentRow + summaryRows.length - 4;</t>
  </si>
  <si>
    <t xml:space="preserve">  const mgmtFeeRow = currentRow + summaryRows.length - 5;</t>
  </si>
  <si>
    <t xml:space="preserve">  currentRow += summaryRows.length + 1;</t>
  </si>
  <si>
    <t xml:space="preserve">  // ── Terms &amp; Conditions ─────────────────────────────────────────────────────</t>
  </si>
  <si>
    <t xml:space="preserve">  const termsStartRow = currentRow + 1;</t>
  </si>
  <si>
    <t xml:space="preserve">  qtSheet.getRange(currentRow, 1).setValue('TERMS &amp; CONDITIONS');</t>
  </si>
  <si>
    <t xml:space="preserve">  qtSheet.getRange(currentRow, 1, 1, 8).merge();</t>
  </si>
  <si>
    <t xml:space="preserve">  const terms = [</t>
  </si>
  <si>
    <t xml:space="preserve">    '1. All rates in SAR, exclusive of VAT unless stated.',</t>
  </si>
  <si>
    <t xml:space="preserve">    '2. Prices valid 30 days from quote date.',</t>
  </si>
  <si>
    <t xml:space="preserve">    '3. 50% deposit required to confirm booking; balance due within 7 days of delivery.',</t>
  </si>
  <si>
    <t xml:space="preserve">    '4. Exclusivity / usage rights begin from date of first publication.',</t>
  </si>
  <si>
    <t xml:space="preserve">    '5. Rush fee applies to briefs received less than 5 business days before delivery.',</t>
  </si>
  <si>
    <t xml:space="preserve">    '6. Team Falcons reserves the right to decline briefs conflicting with existing partnerships.',</t>
  </si>
  <si>
    <t xml:space="preserve">    '7. Final deliverables subject to talent availability and approval.',</t>
  </si>
  <si>
    <t xml:space="preserve">  terms.forEach((term, idx) =&gt; {</t>
  </si>
  <si>
    <t xml:space="preserve">    const r = termsStartRow + idx;</t>
  </si>
  <si>
    <t xml:space="preserve">    qtSheet.getRange(r, 1).setValue(term);</t>
  </si>
  <si>
    <t xml:space="preserve">    qtSheet.getRange(r, 1, 1, 8).merge();</t>
  </si>
  <si>
    <t xml:space="preserve">  currentRow = termsStartRow + terms.length + 1;</t>
  </si>
  <si>
    <t xml:space="preserve">  // ── Footer ─────────────────────────────────────────────────────────────────</t>
  </si>
  <si>
    <t xml:space="preserve">  qtSheet.getRange(currentRow, 1).setValue(`CONFIDENTIAL — Team Falcons Commercial | commercial@teamfalcons.gg | www.teamfalcons.gg`);</t>
  </si>
  <si>
    <t xml:space="preserve">  // ── FORMATTING ─────────────────────────────────────────────────────────────</t>
  </si>
  <si>
    <t xml:space="preserve">  applyQuotationFormatting(qtSheet, activeLines.length, grandTotalRow, usdRow, preVATRow, mgmtFeeRow, currentRow);</t>
  </si>
  <si>
    <t xml:space="preserve">  // ── Column widths ──────────────────────────────────────────────────────────</t>
  </si>
  <si>
    <t xml:space="preserve">  qtSheet.setColumnWidth(1, 35);</t>
  </si>
  <si>
    <t xml:space="preserve">  qtSheet.setColumnWidth(2, 140);</t>
  </si>
  <si>
    <t xml:space="preserve">  qtSheet.setColumnWidth(3, 170);</t>
  </si>
  <si>
    <t xml:space="preserve">  qtSheet.setColumnWidth(4, 45);</t>
  </si>
  <si>
    <t xml:space="preserve">  qtSheet.setColumnWidth(5, 110);</t>
  </si>
  <si>
    <t xml:space="preserve">  qtSheet.setColumnWidth(6, 250);</t>
  </si>
  <si>
    <t xml:space="preserve">  qtSheet.setColumnWidth(7, 180);</t>
  </si>
  <si>
    <t xml:space="preserve">  qtSheet.setColumnWidth(8, 130);</t>
  </si>
  <si>
    <t xml:space="preserve">  // ── Log to Inquiry Log ─────────────────────────────────────────────────────</t>
  </si>
  <si>
    <t xml:space="preserve">  logQuotationToLog(quoteId, info, activeLines, grandTotal);</t>
  </si>
  <si>
    <t xml:space="preserve">  // ── Activate the new sheet ─────────────────────────────────────────────────</t>
  </si>
  <si>
    <t xml:space="preserve">  ss.setActiveSheet(qtSheet);</t>
  </si>
  <si>
    <t xml:space="preserve">  SpreadsheetApp.getUi().alert(</t>
  </si>
  <si>
    <t xml:space="preserve">    `✅ Quotation Generated!\n\nQuote ID: ${quoteId}\nClient: ${info.client}\nLines: ${activeLines.length}\nGrand Total: SAR ${formatNum(grandTotal)}\n\nSheet "${qtSheetName}" has been created.`</t>
  </si>
  <si>
    <t>// ─── HELPER: APPLY QUOTATION FORMATTING ────────────────────────────────────────</t>
  </si>
  <si>
    <t>function applyQuotationFormatting(sheet, numLines, grandTotalRow, usdRow, preVATRow, mgmtFeeRow, footerRow) {</t>
  </si>
  <si>
    <t xml:space="preserve">  // Row 1: Main header — dark green</t>
  </si>
  <si>
    <t xml:space="preserve">  styleRange(sheet, 1, 1, 1, 8, COLORS.darkGreen, COLORS.white, true, 16);</t>
  </si>
  <si>
    <t xml:space="preserve">  // Row 2: Quote ID — medium green</t>
  </si>
  <si>
    <t xml:space="preserve">  styleRange(sheet, 2, 1, 1, 8, COLORS.accentGreen, COLORS.white, true, 11);</t>
  </si>
  <si>
    <t xml:space="preserve">  // Row 3: CLIENT INFORMATION — medium green</t>
  </si>
  <si>
    <t xml:space="preserve">  styleRange(sheet, 3, 1, 1, 8, COLORS.accentGreen, COLORS.white, true, 11);</t>
  </si>
  <si>
    <t xml:space="preserve">  // Rows 4-6: Client detail labels (cols A, E)</t>
  </si>
  <si>
    <t xml:space="preserve">  for (let r = 4; r &lt;= 6; r++) {</t>
  </si>
  <si>
    <t xml:space="preserve">    styleRange(sheet, r, 1, 1, 1, COLORS.white, COLORS.darkText, true, 10);</t>
  </si>
  <si>
    <t xml:space="preserve">    styleRange(sheet, r, 5, 1, 1, COLORS.white, COLORS.darkText, true, 10);</t>
  </si>
  <si>
    <t xml:space="preserve">    // Alternating background</t>
  </si>
  <si>
    <t xml:space="preserve">    const bg = (r % 2 === 0) ? COLORS.lightGray : COLORS.white;</t>
  </si>
  <si>
    <t xml:space="preserve">    styleRange(sheet, r, 1, 1, 8, bg, COLORS.darkText, false, 10);</t>
  </si>
  <si>
    <t xml:space="preserve">    styleRange(sheet, r, 1, 1, 1, bg, COLORS.darkText, true, 10);</t>
  </si>
  <si>
    <t xml:space="preserve">    styleRange(sheet, r, 5, 1, 1, bg, COLORS.darkText, true, 10);</t>
  </si>
  <si>
    <t xml:space="preserve">  // Row 8: Column headers — dark green</t>
  </si>
  <si>
    <t xml:space="preserve">  styleRange(sheet, 8, 1, 1, 8, COLORS.darkGreen, COLORS.white, true, 10);</t>
  </si>
  <si>
    <t xml:space="preserve">  // Line item rows — alternating</t>
  </si>
  <si>
    <t xml:space="preserve">  for (let i = 0; i &lt; numLines; i++) {</t>
  </si>
  <si>
    <t xml:space="preserve">    const r = 9 + i;</t>
  </si>
  <si>
    <t xml:space="preserve">    const bg = (i % 2 === 0) ? COLORS.white : COLORS.altRow;</t>
  </si>
  <si>
    <t xml:space="preserve">    // Line total bold</t>
  </si>
  <si>
    <t xml:space="preserve">    styleRange(sheet, r, 8, 1, 1, bg, COLORS.darkText, true, 10);</t>
  </si>
  <si>
    <t xml:space="preserve">    // Multipliers column in subtle gray</t>
  </si>
  <si>
    <t xml:space="preserve">    sheet.getRange(r, 6).setFontColor(COLORS.subtleGray).setFontSize(9);</t>
  </si>
  <si>
    <t xml:space="preserve">  // Subtotal row</t>
  </si>
  <si>
    <t xml:space="preserve">  const subtotalRow = 9 + numLines + 1;</t>
  </si>
  <si>
    <t xml:space="preserve">  styleRange(sheet, subtotalRow, 1, 1, 8, COLORS.white, COLORS.darkText, false, 11);</t>
  </si>
  <si>
    <t xml:space="preserve">  // Pre-VAT row</t>
  </si>
  <si>
    <t xml:space="preserve">  styleRange(sheet, preVATRow, 1, 1, 8, COLORS.lightGreen, COLORS.darkText, true, 11);</t>
  </si>
  <si>
    <t xml:space="preserve">  // Grand Total row — dark green</t>
  </si>
  <si>
    <t xml:space="preserve">  styleRange(sheet, grandTotalRow, 1, 1, 8, COLORS.darkGreen, COLORS.white, true, 13);</t>
  </si>
  <si>
    <t xml:space="preserve">  // USD row — medium green</t>
  </si>
  <si>
    <t xml:space="preserve">  styleRange(sheet, usdRow, 1, 1, 8, COLORS.accentGreen, COLORS.white, true, 11);</t>
  </si>
  <si>
    <t xml:space="preserve">  // Terms header</t>
  </si>
  <si>
    <t xml:space="preserve">  const termsHeaderRow = usdRow + 2;</t>
  </si>
  <si>
    <t xml:space="preserve">  styleRange(sheet, termsHeaderRow, 1, 1, 8, COLORS.darkGreen, COLORS.white, true, 11);</t>
  </si>
  <si>
    <t xml:space="preserve">  // Terms rows — alternating</t>
  </si>
  <si>
    <t xml:space="preserve">  for (let i = 0; i &lt; 7; i++) {</t>
  </si>
  <si>
    <t xml:space="preserve">    const r = termsHeaderRow + 1 + i;</t>
  </si>
  <si>
    <t xml:space="preserve">    const bg = (i % 2 === 0) ? COLORS.white : COLORS.lightGray;</t>
  </si>
  <si>
    <t xml:space="preserve">    styleRange(sheet, r, 1, 1, 8, bg, '#333333', false, 9);</t>
  </si>
  <si>
    <t xml:space="preserve">  // Footer</t>
  </si>
  <si>
    <t xml:space="preserve">  styleRange(sheet, footerRow, 1, 1, 8, COLORS.accentGreen, COLORS.white, false, 9);</t>
  </si>
  <si>
    <t xml:space="preserve">  // Row heights</t>
  </si>
  <si>
    <t xml:space="preserve">  sheet.setRowHeight(1, 45);</t>
  </si>
  <si>
    <t xml:space="preserve">  sheet.setRowHeight(2, 30);</t>
  </si>
  <si>
    <t xml:space="preserve">  sheet.setRowHeight(8, 35);</t>
  </si>
  <si>
    <t>// ─── HELPER: STYLE RANGE ───────────────────────────────────────────────────────</t>
  </si>
  <si>
    <t>function styleRange(sheet, row, col, numRows, numCols, bg, fg, bold, size) {</t>
  </si>
  <si>
    <t xml:space="preserve">  const range = sheet.getRange(row, col, numRows, numCols);</t>
  </si>
  <si>
    <t xml:space="preserve">  if (bg) range.setBackground(bg);</t>
  </si>
  <si>
    <t xml:space="preserve">  if (fg) range.setFontColor(fg);</t>
  </si>
  <si>
    <t xml:space="preserve">  range.setFontWeight(bold ? 'bold' : 'normal');</t>
  </si>
  <si>
    <t xml:space="preserve">  range.setFontSize(size || 10);</t>
  </si>
  <si>
    <t>// ─── HELPER: FORMAT NUMBER ─────────────────────────────────────────────────────</t>
  </si>
  <si>
    <t>function formatNum(n) {</t>
  </si>
  <si>
    <t xml:space="preserve">  if (!n &amp;&amp; n !== 0) return '0';</t>
  </si>
  <si>
    <t xml:space="preserve">  return Math.round(parseFloat(n)).toLocaleString('en-US');</t>
  </si>
  <si>
    <t>// ─── HELPER: GENERATE QUOTE ID ─────────────────────────────────────────────────</t>
  </si>
  <si>
    <t>function generateQuoteId(clientName) {</t>
  </si>
  <si>
    <t xml:space="preserve">  const today = Utilities.formatDate(new Date(), Session.getScriptTimeZone(), 'yyyyMMdd');</t>
  </si>
  <si>
    <t xml:space="preserve">  // Count existing QT sheets to get next number</t>
  </si>
  <si>
    <t xml:space="preserve">  const sheets = ss.getSheets();</t>
  </si>
  <si>
    <t xml:space="preserve">  const qtSheets = sheets.filter(s =&gt; s.getName().startsWith('QT-'));</t>
  </si>
  <si>
    <t xml:space="preserve">  const nextNum = String(qtSheets.length + 1).padStart(3, '0');</t>
  </si>
  <si>
    <t xml:space="preserve">  return `QT-${today}-${nextNum}`;</t>
  </si>
  <si>
    <t>// ─── CORE: LOG TO INQUIRY LOG ──────────────────────────────────────────────────</t>
  </si>
  <si>
    <t>function logQuotationToLog(quoteId, info, activeLines, grandTotal) {</t>
  </si>
  <si>
    <t xml:space="preserve">  try {</t>
  </si>
  <si>
    <t xml:space="preserve">    const ws = getSheet(INQUIRY_SHEET);</t>
  </si>
  <si>
    <t xml:space="preserve">    const today = Utilities.formatDate(new Date(), Session.getScriptTimeZone(), 'dd/MM/yyyy');</t>
  </si>
  <si>
    <t xml:space="preserve">    const lastRow = Math.max(ws.getLastRow(), 4);</t>
  </si>
  <si>
    <t xml:space="preserve">    activeLines.forEach((line, idx) =&gt; {</t>
  </si>
  <si>
    <t xml:space="preserve">      const inquiryId = `INQ-${Utilities.formatDate(new Date(), Session.getScriptTimeZone(), 'yyyyMMdd')}-${String(idx + 1).padStart(2, '0')}`;</t>
  </si>
  <si>
    <t xml:space="preserve">      const newRow = [</t>
  </si>
  <si>
    <t xml:space="preserve">        inquiryId,</t>
  </si>
  <si>
    <t xml:space="preserve">        today,</t>
  </si>
  <si>
    <t xml:space="preserve">        info.client,</t>
  </si>
  <si>
    <t xml:space="preserve">        '',  // Brand Sector</t>
  </si>
  <si>
    <t xml:space="preserve">        'Outbound',  // Source</t>
  </si>
  <si>
    <t xml:space="preserve">        info.preparedBy,</t>
  </si>
  <si>
    <t xml:space="preserve">        'Proposal Sent',  // Stage</t>
  </si>
  <si>
    <t xml:space="preserve">        line[COL.talent],</t>
  </si>
  <si>
    <t xml:space="preserve">        line[COL.type] || 'Player',</t>
  </si>
  <si>
    <t xml:space="preserve">        line[COL.deliverable],</t>
  </si>
  <si>
    <t xml:space="preserve">        line[COL.qty],</t>
  </si>
  <si>
    <t xml:space="preserve">        info.objective,</t>
  </si>
  <si>
    <t xml:space="preserve">        line[COL.audienceFit],</t>
  </si>
  <si>
    <t xml:space="preserve">        info.ceilingMode,</t>
  </si>
  <si>
    <t xml:space="preserve">        info.raiseCeiling,</t>
  </si>
  <si>
    <t xml:space="preserve">        line[COL.cardRate],</t>
  </si>
  <si>
    <t xml:space="preserve">        line[COL.adjMult],</t>
  </si>
  <si>
    <t xml:space="preserve">        line[COL.lineTotal],</t>
  </si>
  <si>
    <t xml:space="preserve">        line[COL.rights],</t>
  </si>
  <si>
    <t xml:space="preserve">        line[COL.addon],</t>
  </si>
  <si>
    <t xml:space="preserve">        quoteId,</t>
  </si>
  <si>
    <t xml:space="preserve">        '',  // Notes</t>
  </si>
  <si>
    <t xml:space="preserve">        '',  // Commission</t>
  </si>
  <si>
    <t xml:space="preserve">        'In Progress'  // Status</t>
  </si>
  <si>
    <t xml:space="preserve">      ];</t>
  </si>
  <si>
    <t xml:space="preserve">      ws.appendRow(newRow);</t>
  </si>
  <si>
    <t xml:space="preserve">    });</t>
  </si>
  <si>
    <t xml:space="preserve">  } catch (e) {</t>
  </si>
  <si>
    <t xml:space="preserve">    Logger.log('Error logging to inquiry log: ' + e.message);</t>
  </si>
  <si>
    <t>// ─── CORE: LOG INQUIRY (MANUAL) ────────────────────────────────────────────────</t>
  </si>
  <si>
    <t>function logInquiry() {</t>
  </si>
  <si>
    <t xml:space="preserve">    SpreadsheetApp.getUi().alert('⚠️ No active lines to log.');</t>
  </si>
  <si>
    <t xml:space="preserve">  const quoteId = generateQuoteId(info.client || 'Unknown');</t>
  </si>
  <si>
    <t xml:space="preserve">  const grandTotal = activeLines.reduce((sum, row) =&gt; sum + (parseFloat(row[COL.lineTotal]) || 0), 0);</t>
  </si>
  <si>
    <t xml:space="preserve">  SpreadsheetApp.getUi().alert(`✅ ${activeLines.length} line(s) logged to Inquiry Log.`);</t>
  </si>
  <si>
    <t>// ─── CORE: CLEAR BUILDER ───────────────────────────────────────────────────────</t>
  </si>
  <si>
    <t>function clearBuilder() {</t>
  </si>
  <si>
    <t xml:space="preserve">  const ui = SpreadsheetApp.getUi();</t>
  </si>
  <si>
    <t xml:space="preserve">  const response = ui.alert(</t>
  </si>
  <si>
    <t xml:space="preserve">    '🗑️ Clear Builder',</t>
  </si>
  <si>
    <t xml:space="preserve">    'This will clear all line items and reset the campaign info. Are you sure?',</t>
  </si>
  <si>
    <t xml:space="preserve">    ui.ButtonSet.YES_NO</t>
  </si>
  <si>
    <t xml:space="preserve">  if (response !== ui.Button.YES) return;</t>
  </si>
  <si>
    <t xml:space="preserve">  // Clear campaign info</t>
  </si>
  <si>
    <t xml:space="preserve">  ws.getRange('B4').setValue('');</t>
  </si>
  <si>
    <t xml:space="preserve">  ws.getRange('B5').setValue('');</t>
  </si>
  <si>
    <t xml:space="preserve">  ws.getRange('B6').setValue('');</t>
  </si>
  <si>
    <t xml:space="preserve">  ws.getRange('B7').setValue('');</t>
  </si>
  <si>
    <t xml:space="preserve">  ws.getRange('E4').setValue('');</t>
  </si>
  <si>
    <t xml:space="preserve">  ws.getRange('E5').setValue('None');</t>
  </si>
  <si>
    <t xml:space="preserve">  // Clear all data rows</t>
  </si>
  <si>
    <t xml:space="preserve">  ws.getRange(DATA_START_ROW, 1, DATA_END_ROW - DATA_START_ROW + 1, 20).clearContent();</t>
  </si>
  <si>
    <t xml:space="preserve">  // Renumber</t>
  </si>
  <si>
    <t xml:space="preserve">  renumberLines();</t>
  </si>
  <si>
    <t xml:space="preserve">  ui.alert('✅ Builder cleared. Ready for a new quote.');</t>
  </si>
  <si>
    <t>// ─── CORE: RENUMBER LINES ──────────────────────────────────────────────────────</t>
  </si>
  <si>
    <t>function renumberLines() {</t>
  </si>
  <si>
    <t xml:space="preserve">  for (let i = 0; i &lt; DATA_END_ROW - DATA_START_ROW + 1; i++) {</t>
  </si>
  <si>
    <t xml:space="preserve">    ws.getRange(DATA_START_ROW + i, 1).setValue(i + 1);</t>
  </si>
  <si>
    <t>// ─── CORE: SHIKENSO SYNC (PLACEHOLDER) ────────────────────────────────────────</t>
  </si>
  <si>
    <t>function shikensoSync() {</t>
  </si>
  <si>
    <t xml:space="preserve">  ui.alert(</t>
  </si>
  <si>
    <t xml:space="preserve">    '📊 Shikenso Integration',</t>
  </si>
  <si>
    <t xml:space="preserve">    'Shikenso sync is not yet configured.\n\n' +</t>
  </si>
  <si>
    <t xml:space="preserve">    'When ready:\n' +</t>
  </si>
  <si>
    <t xml:space="preserve">    '1. Add your Shikenso API Key to 11_Settings\n' +</t>
  </si>
  <si>
    <t xml:space="preserve">    '2. The sync will pull Avg Views, Engagement Rate, and Last Sync date\n' +</t>
  </si>
  <si>
    <t xml:space="preserve">    '3. These will populate the Shikenso columns in both rate cards\n' +</t>
  </si>
  <si>
    <t xml:space="preserve">    '4. The pricing formula will incorporate viewership data as a weighted input\n\n' +</t>
  </si>
  <si>
    <t xml:space="preserve">    'Contact your developer to configure the API connection.',</t>
  </si>
  <si>
    <t xml:space="preserve">    ui.ButtonSet.OK</t>
  </si>
  <si>
    <t>// ─── CORE: EXPORT LATEST QT TO PDF ────────────────────────────────────────────</t>
  </si>
  <si>
    <t>function exportLatestQTtoPDF() {</t>
  </si>
  <si>
    <t xml:space="preserve">  if (qtSheets.length === 0) {</t>
  </si>
  <si>
    <t xml:space="preserve">    SpreadsheetApp.getUi().alert('⚠️ No quotation sheets found. Generate a quotation first.');</t>
  </si>
  <si>
    <t xml:space="preserve">  // Get the most recent QT sheet (last in list)</t>
  </si>
  <si>
    <t xml:space="preserve">  const latestQT = qtSheets[qtSheets.length - 1];</t>
  </si>
  <si>
    <t xml:space="preserve">  const sheetId = latestQT.getSheetId();</t>
  </si>
  <si>
    <t xml:space="preserve">  const ssId = ss.getId();</t>
  </si>
  <si>
    <t xml:space="preserve">  // Build export URL</t>
  </si>
  <si>
    <t xml:space="preserve">  const exportUrl = `https://docs.google.com/spreadsheets/d/${ssId}/export?` +</t>
  </si>
  <si>
    <t xml:space="preserve">    `format=pdf&amp;` +</t>
  </si>
  <si>
    <t xml:space="preserve">    `size=A4&amp;` +</t>
  </si>
  <si>
    <t xml:space="preserve">    `portrait=true&amp;` +</t>
  </si>
  <si>
    <t xml:space="preserve">    `fitw=true&amp;` +</t>
  </si>
  <si>
    <t xml:space="preserve">    `sheetnames=false&amp;` +</t>
  </si>
  <si>
    <t xml:space="preserve">    `printtitle=false&amp;` +</t>
  </si>
  <si>
    <t xml:space="preserve">    `pagenumbers=false&amp;` +</t>
  </si>
  <si>
    <t xml:space="preserve">    `gridlines=false&amp;` +</t>
  </si>
  <si>
    <t xml:space="preserve">    `fzr=false&amp;` +</t>
  </si>
  <si>
    <t xml:space="preserve">    `gid=${sheetId}`;</t>
  </si>
  <si>
    <t xml:space="preserve">  // Fetch and save to Drive</t>
  </si>
  <si>
    <t xml:space="preserve">  const token = ScriptApp.getOAuthToken();</t>
  </si>
  <si>
    <t xml:space="preserve">  const response = UrlFetchApp.fetch(exportUrl, {</t>
  </si>
  <si>
    <t xml:space="preserve">    headers: { 'Authorization': 'Bearer ' + token }</t>
  </si>
  <si>
    <t xml:space="preserve">  const fileName = `${latestQT.getName()}.pdf`;</t>
  </si>
  <si>
    <t xml:space="preserve">  const folder = DriveApp.getRootFolder();</t>
  </si>
  <si>
    <t xml:space="preserve">  const file = folder.createFile(response.getBlob().setName(fileName));</t>
  </si>
  <si>
    <t xml:space="preserve">    `✅ PDF Exported!\n\nFile: ${fileName}\nSaved to: Google Drive (root folder)\nURL: ${file.getUrl()}`</t>
  </si>
  <si>
    <t>// ─── ON EDIT TRIGGER ──────────────────────────────────────────────────────────</t>
  </si>
  <si>
    <t>function onEdit(e) {</t>
  </si>
  <si>
    <t xml:space="preserve">  const sheet = e.range.getSheet();</t>
  </si>
  <si>
    <t xml:space="preserve">  if (sheet.getName() !== BUILDER_SHEET) return;</t>
  </si>
  <si>
    <t xml:space="preserve">  const row = e.range.getRow();</t>
  </si>
  <si>
    <t xml:space="preserve">  const col = e.range.getColumn();</t>
  </si>
  <si>
    <t xml:space="preserve">  // If editing a data row (11-40) and a multiplier column, recalculate that line</t>
  </si>
  <si>
    <t xml:space="preserve">  if (row &gt;= DATA_START_ROW &amp;&amp; row &lt;= DATA_END_ROW) {</t>
  </si>
  <si>
    <t xml:space="preserve">    const multiplierCols = [</t>
  </si>
  <si>
    <t xml:space="preserve">      COL.engagement + 1, COL.audienceFit + 1, COL.authority + 1,</t>
  </si>
  <si>
    <t xml:space="preserve">      COL.timing + 1, COL.language + 1, COL.production + 1,</t>
  </si>
  <si>
    <t xml:space="preserve">      COL.rights + 1, COL.addon + 1, COL.talent + 1,</t>
  </si>
  <si>
    <t xml:space="preserve">      COL.type + 1, COL.deliverable + 1, COL.qty + 1, COL.cardRate + 1</t>
  </si>
  <si>
    <t xml:space="preserve">    ];</t>
  </si>
  <si>
    <t xml:space="preserve">    if (multiplierCols.includes(col)) {</t>
  </si>
  <si>
    <t xml:space="preserve">      recalculateSingleLine(sheet, row);</t>
  </si>
  <si>
    <t>// ─── HELPER: RECALCULATE SINGLE LINE ──────────────────────────────────────────</t>
  </si>
  <si>
    <t>function recalculateSingleLine(ws, sheetRow) {</t>
  </si>
  <si>
    <t xml:space="preserve">  const rowData = ws.getRange(sheetRow, 1, 1, 20).getValues()[0];</t>
  </si>
  <si>
    <t xml:space="preserve">  const talent      = rowData[COL.talent] ? rowData[COL.talent].toString().trim() : '';</t>
  </si>
  <si>
    <t xml:space="preserve">  if (!talent) return;</t>
  </si>
  <si>
    <t xml:space="preserve">  const talentType   = rowData[COL.type] ? rowData[COL.type].toString().trim() : 'Player';</t>
  </si>
  <si>
    <t xml:space="preserve">  const deliverable  = rowData[COL.deliverable] ? rowData[COL.deliverable].toString().trim() : '';</t>
  </si>
  <si>
    <t xml:space="preserve">  const qty          = parseFloat(rowData[COL.qty]) || 1;</t>
  </si>
  <si>
    <t xml:space="preserve">  const engagement   = rowData[COL.engagement] ? rowData[COL.engagement].toString().trim() : '4-6% Base';</t>
  </si>
  <si>
    <t xml:space="preserve">  const audienceFit  = rowData[COL.audienceFit] ? rowData[COL.audienceFit].toString().trim() : 'Esports / Gaming';</t>
  </si>
  <si>
    <t xml:space="preserve">  const authority    = rowData[COL.authority] ? rowData[COL.authority].toString().trim() : 'Mid-tier / Established';</t>
  </si>
  <si>
    <t xml:space="preserve">  const timing       = rowData[COL.timing] ? rowData[COL.timing].toString().trim() : 'Regular / In-season';</t>
  </si>
  <si>
    <t xml:space="preserve">  const language     = rowData[COL.language] ? rowData[COL.language].toString().trim() : 'Arabic';</t>
  </si>
  <si>
    <t xml:space="preserve">  const production   = rowData[COL.production] ? rowData[COL.production].toString().trim() : 'Standard self-shoot';</t>
  </si>
  <si>
    <t xml:space="preserve">  const rights       = rowData[COL.rights] ? rowData[COL.rights].toString().trim() : 'None';</t>
  </si>
  <si>
    <t xml:space="preserve">  const addon        = rowData[COL.addon] ? rowData[COL.addon].toString().trim() : 'None';</t>
  </si>
  <si>
    <t xml:space="preserve">  let cardRate = parseFloat(rowData[COL.cardRate]) || 0;</t>
  </si>
  <si>
    <t xml:space="preserve">  if (!cardRate &amp;&amp; talent &amp;&amp; deliverable) {</t>
  </si>
  <si>
    <t xml:space="preserve">    cardRate = lookupCardRate(talent, talentType, deliverable);</t>
  </si>
  <si>
    <t xml:space="preserve">    if (cardRate) ws.getRange(sheetRow, COL.cardRate + 1).setValue(cardRate);</t>
  </si>
  <si>
    <t xml:space="preserve">  if (!cardRate) return;</t>
  </si>
  <si>
    <t xml:space="preserve">  let openFactor = parseFloat(rowData[COL.openFactor]) || 0;</t>
  </si>
  <si>
    <t xml:space="preserve">  if (!openFactor) {</t>
  </si>
  <si>
    <t xml:space="preserve">    openFactor = (info.applyOpening === 'Yes') ? lookupOpeningFactor(talent, talentType) : 1.0;</t>
  </si>
  <si>
    <t xml:space="preserve">  const adjMult = (ENGAGEMENT_MULT[engagement] || 1) *</t>
  </si>
  <si>
    <t xml:space="preserve">                  (AUDIENCE_MULT[audienceFit] || 1) *</t>
  </si>
  <si>
    <t xml:space="preserve">                  (AUTHORITY_MULT[authority] || 1) *</t>
  </si>
  <si>
    <t xml:space="preserve">                  (TIMING_MULT[timing] || 1) *</t>
  </si>
  <si>
    <t xml:space="preserve">                  (LANGUAGE_MULT[language] || 1) *</t>
  </si>
  <si>
    <t xml:space="preserve">                  (PRODUCTION_MULT[production] || 1);</t>
  </si>
  <si>
    <t xml:space="preserve">  let organicRate = cardRate * openFactor * adjMult;</t>
  </si>
  <si>
    <t xml:space="preserve">  let flag = '';</t>
  </si>
  <si>
    <t xml:space="preserve">  if (info.ceilingMode === 'Cap at Card Rate') {</t>
  </si>
  <si>
    <t xml:space="preserve">    if (organicRate &gt; cardRate) {</t>
  </si>
  <si>
    <t xml:space="preserve">      organicRate = cardRate;</t>
  </si>
  <si>
    <t xml:space="preserve">      flag = 'RED — CEILING BREACH (CAPPED)';</t>
  </si>
  <si>
    <t xml:space="preserve">    } else if (organicRate &gt; cardRate * 0.90) {</t>
  </si>
  <si>
    <t xml:space="preserve">      flag = 'YELLOW — NEAR CEILING';</t>
  </si>
  <si>
    <t xml:space="preserve">  } else {</t>
  </si>
  <si>
    <t xml:space="preserve">      flag = 'YELLOW — ABOVE CARD / NO CAP';</t>
  </si>
  <si>
    <t xml:space="preserve">  const rightsUplift = RIGHTS_UPLIFT[rights] || 0;</t>
  </si>
  <si>
    <t xml:space="preserve">  const addonUplift  = ADDON_UPLIFT[addon]   || 0;</t>
  </si>
  <si>
    <t xml:space="preserve">  const lineTotal    = organicRate * qty * (1 + rightsUplift + addonUplift);</t>
  </si>
  <si>
    <t xml:space="preserve">  let rightsSummary = '';</t>
  </si>
  <si>
    <t xml:space="preserve">  if (rights !== 'None' &amp;&amp; addon !== 'None') rightsSummary = `${rights} + ${addon}`;</t>
  </si>
  <si>
    <t xml:space="preserve">  else if (rights !== 'None') rightsSummary = rights;</t>
  </si>
  <si>
    <t xml:space="preserve">  else if (addon !== 'None') rightsSummary = addon;</t>
  </si>
  <si>
    <t xml:space="preserve">  else rightsSummary = 'Organic only';</t>
  </si>
  <si>
    <t xml:space="preserve">  ws.getRange(sheetRow, COL.openFactor + 1).setValue(openFactor);</t>
  </si>
  <si>
    <t xml:space="preserve">  ws.getRange(sheetRow, COL.adjMult + 1).setValue(Math.round(adjMult * 100) / 100);</t>
  </si>
  <si>
    <t xml:space="preserve">  ws.getRange(sheetRow, COL.unitRate + 1).setValue(Math.round(organicRate));</t>
  </si>
  <si>
    <t xml:space="preserve">  ws.getRange(sheetRow, COL.lineTotal + 1).setValue(Math.round(lineTotal));</t>
  </si>
  <si>
    <t xml:space="preserve">  ws.getRange(sheetRow, COL.flag + 1).setValue(flag);</t>
  </si>
  <si>
    <t xml:space="preserve">  ws.getRange(sheetRow, COL.rightsSummary + 1).setValue(rightsSummary);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</si>
</sst>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0.0"/>
      <color rgb="FF000000"/>
      <name val="Arial"/>
      <scheme val="minor"/>
    </font>
    <font>
      <b/>
      <sz val="18.0"/>
      <color rgb="FFFFFFFF"/>
      <name val="Arial"/>
      <scheme val="minor"/>
    </font>
    <font>
      <sz val="11.0"/>
      <color rgb="FFFFFFFF"/>
      <name val="Arial"/>
      <scheme val="minor"/>
    </font>
    <font>
      <b/>
      <sz val="11.0"/>
      <color rgb="FFFFFFFF"/>
      <name val="Arial"/>
      <scheme val="minor"/>
    </font>
    <font>
      <b/>
      <sz val="10.0"/>
      <color rgb="FFFFFFFF"/>
      <name val="Arial"/>
      <scheme val="minor"/>
    </font>
    <font>
      <sz val="9.0"/>
      <color theme="1"/>
      <name val="Arial"/>
      <scheme val="minor"/>
    </font>
    <font>
      <b/>
      <sz val="9.0"/>
      <color theme="1"/>
      <name val="Arial"/>
      <scheme val="minor"/>
    </font>
    <font>
      <i/>
      <sz val="9.0"/>
      <color theme="1"/>
      <name val="Arial"/>
      <scheme val="minor"/>
    </font>
    <font>
      <b/>
      <sz val="9.0"/>
      <color rgb="FF264C11"/>
      <name val="Arial"/>
      <scheme val="minor"/>
    </font>
    <font>
      <b/>
      <sz val="9.0"/>
      <color rgb="FF7F6000"/>
      <name val="Arial"/>
      <scheme val="minor"/>
    </font>
    <font>
      <b/>
      <sz val="9.0"/>
      <color rgb="FFBF382B"/>
      <name val="Arial"/>
      <scheme val="minor"/>
    </font>
    <font>
      <color theme="1"/>
      <name val="Arial"/>
      <scheme val="minor"/>
    </font>
    <font>
      <i/>
      <sz val="9.0"/>
      <color rgb="FFFFFFFF"/>
      <name val="Arial"/>
      <scheme val="minor"/>
    </font>
    <font>
      <u/>
      <color rgb="FF0000FF"/>
    </font>
    <font>
      <b/>
      <sz val="9.0"/>
      <color rgb="FFFFFFFF"/>
      <name val="Arial"/>
      <scheme val="minor"/>
    </font>
    <font>
      <b/>
      <sz val="14.0"/>
      <color rgb="FFFFFFFF"/>
      <name val="Arial"/>
      <scheme val="minor"/>
    </font>
    <font>
      <sz val="9.0"/>
      <color theme="1"/>
      <name val="Courier New"/>
    </font>
  </fonts>
  <fills count="14">
    <fill>
      <patternFill patternType="none"/>
    </fill>
    <fill>
      <patternFill patternType="lightGray"/>
    </fill>
    <fill>
      <patternFill patternType="solid">
        <fgColor rgb="FF1B5E1F"/>
        <bgColor rgb="FF1B5E1F"/>
      </patternFill>
    </fill>
    <fill>
      <patternFill patternType="solid">
        <fgColor rgb="FF2D7C31"/>
        <bgColor rgb="FF2D7C31"/>
      </patternFill>
    </fill>
    <fill>
      <patternFill patternType="solid">
        <fgColor rgb="FF1B4331"/>
        <bgColor rgb="FF1B4331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E8F5E9"/>
        <bgColor rgb="FFE8F5E9"/>
      </patternFill>
    </fill>
    <fill>
      <patternFill patternType="solid">
        <fgColor rgb="FFD9EAD2"/>
        <bgColor rgb="FFD9EAD2"/>
      </patternFill>
    </fill>
    <fill>
      <patternFill patternType="solid">
        <fgColor rgb="FFFFF1CC"/>
        <bgColor rgb="FFFFF1CC"/>
      </patternFill>
    </fill>
    <fill>
      <patternFill patternType="solid">
        <fgColor rgb="FFFBE8E6"/>
        <bgColor rgb="FFFBE8E6"/>
      </patternFill>
    </fill>
    <fill>
      <patternFill patternType="solid">
        <fgColor rgb="FFD9EAF7"/>
        <bgColor rgb="FFD9EAF7"/>
      </patternFill>
    </fill>
    <fill>
      <patternFill patternType="solid">
        <fgColor rgb="FF0D1B2A"/>
        <bgColor rgb="FF0D1B2A"/>
      </patternFill>
    </fill>
    <fill>
      <patternFill patternType="solid">
        <fgColor rgb="FFF2F2F2"/>
        <bgColor rgb="FFF2F2F2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3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0" fillId="5" fontId="5" numFmtId="0" xfId="0" applyAlignment="1" applyFill="1" applyFont="1">
      <alignment readingOrder="0"/>
    </xf>
    <xf borderId="0" fillId="6" fontId="5" numFmtId="0" xfId="0" applyAlignment="1" applyFill="1" applyFont="1">
      <alignment readingOrder="0"/>
    </xf>
    <xf borderId="0" fillId="7" fontId="6" numFmtId="0" xfId="0" applyAlignment="1" applyFill="1" applyFont="1">
      <alignment readingOrder="0"/>
    </xf>
    <xf borderId="0" fillId="6" fontId="5" numFmtId="0" xfId="0" applyAlignment="1" applyFont="1">
      <alignment readingOrder="0"/>
    </xf>
    <xf borderId="0" fillId="5" fontId="6" numFmtId="0" xfId="0" applyAlignment="1" applyFont="1">
      <alignment readingOrder="0"/>
    </xf>
    <xf borderId="0" fillId="5" fontId="7" numFmtId="0" xfId="0" applyFont="1"/>
    <xf borderId="0" fillId="6" fontId="6" numFmtId="0" xfId="0" applyAlignment="1" applyFont="1">
      <alignment readingOrder="0"/>
    </xf>
    <xf borderId="0" fillId="6" fontId="7" numFmtId="0" xfId="0" applyFont="1"/>
    <xf borderId="0" fillId="8" fontId="8" numFmtId="0" xfId="0" applyAlignment="1" applyFill="1" applyFont="1">
      <alignment readingOrder="0"/>
    </xf>
    <xf borderId="0" fillId="8" fontId="8" numFmtId="0" xfId="0" applyFont="1"/>
    <xf borderId="0" fillId="9" fontId="9" numFmtId="0" xfId="0" applyAlignment="1" applyFill="1" applyFont="1">
      <alignment readingOrder="0"/>
    </xf>
    <xf borderId="0" fillId="9" fontId="9" numFmtId="0" xfId="0" applyFont="1"/>
    <xf borderId="0" fillId="10" fontId="10" numFmtId="0" xfId="0" applyAlignment="1" applyFill="1" applyFont="1">
      <alignment readingOrder="0"/>
    </xf>
    <xf borderId="0" fillId="10" fontId="10" numFmtId="0" xfId="0" applyFont="1"/>
    <xf borderId="0" fillId="4" fontId="3" numFmtId="0" xfId="0" applyFont="1"/>
    <xf borderId="0" fillId="11" fontId="6" numFmtId="0" xfId="0" applyAlignment="1" applyFill="1" applyFont="1">
      <alignment readingOrder="0"/>
    </xf>
    <xf borderId="0" fillId="11" fontId="5" numFmtId="0" xfId="0" applyFont="1"/>
    <xf borderId="0" fillId="5" fontId="6" numFmtId="0" xfId="0" applyAlignment="1" applyFont="1">
      <alignment readingOrder="0"/>
    </xf>
    <xf borderId="0" fillId="5" fontId="5" numFmtId="0" xfId="0" applyAlignment="1" applyFont="1">
      <alignment readingOrder="0"/>
    </xf>
    <xf borderId="0" fillId="5" fontId="5" numFmtId="0" xfId="0" applyFont="1"/>
    <xf borderId="0" fillId="11" fontId="5" numFmtId="0" xfId="0" applyAlignment="1" applyFont="1">
      <alignment readingOrder="0"/>
    </xf>
    <xf borderId="0" fillId="0" fontId="11" numFmtId="0" xfId="0" applyAlignment="1" applyFont="1">
      <alignment readingOrder="0"/>
    </xf>
    <xf borderId="0" fillId="3" fontId="12" numFmtId="0" xfId="0" applyFont="1"/>
    <xf borderId="0" fillId="0" fontId="11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1" numFmtId="0" xfId="0" applyFont="1"/>
    <xf borderId="0" fillId="12" fontId="3" numFmtId="0" xfId="0" applyAlignment="1" applyFill="1" applyFont="1">
      <alignment readingOrder="0"/>
    </xf>
    <xf borderId="0" fillId="4" fontId="4" numFmtId="0" xfId="0" applyAlignment="1" applyFont="1">
      <alignment readingOrder="0"/>
    </xf>
    <xf borderId="0" fillId="4" fontId="4" numFmtId="0" xfId="0" applyFont="1"/>
    <xf borderId="0" fillId="2" fontId="14" numFmtId="0" xfId="0" applyAlignment="1" applyFont="1">
      <alignment readingOrder="0"/>
    </xf>
    <xf borderId="0" fillId="2" fontId="14" numFmtId="0" xfId="0" applyFont="1"/>
    <xf borderId="0" fillId="5" fontId="5" numFmtId="0" xfId="0" applyAlignment="1" applyFont="1">
      <alignment readingOrder="0"/>
    </xf>
    <xf borderId="0" fillId="5" fontId="5" numFmtId="0" xfId="0" applyAlignment="1" applyFont="1">
      <alignment readingOrder="0"/>
    </xf>
    <xf borderId="0" fillId="5" fontId="5" numFmtId="0" xfId="0" applyFont="1"/>
    <xf borderId="0" fillId="6" fontId="5" numFmtId="0" xfId="0" applyAlignment="1" applyFont="1">
      <alignment readingOrder="0"/>
    </xf>
    <xf borderId="0" fillId="6" fontId="5" numFmtId="0" xfId="0" applyAlignment="1" applyFont="1">
      <alignment readingOrder="0"/>
    </xf>
    <xf borderId="0" fillId="6" fontId="5" numFmtId="0" xfId="0" applyFont="1"/>
    <xf borderId="0" fillId="5" fontId="5" numFmtId="9" xfId="0" applyAlignment="1" applyFont="1" applyNumberFormat="1">
      <alignment readingOrder="0"/>
    </xf>
    <xf borderId="0" fillId="6" fontId="5" numFmtId="9" xfId="0" applyAlignment="1" applyFont="1" applyNumberFormat="1">
      <alignment readingOrder="0"/>
    </xf>
    <xf borderId="0" fillId="0" fontId="11" numFmtId="164" xfId="0" applyAlignment="1" applyFont="1" applyNumberFormat="1">
      <alignment readingOrder="0"/>
    </xf>
    <xf borderId="0" fillId="5" fontId="6" numFmtId="0" xfId="0" applyAlignment="1" applyFont="1">
      <alignment readingOrder="0"/>
    </xf>
    <xf borderId="0" fillId="6" fontId="6" numFmtId="0" xfId="0" applyAlignment="1" applyFont="1">
      <alignment readingOrder="0"/>
    </xf>
    <xf borderId="0" fillId="4" fontId="14" numFmtId="0" xfId="0" applyAlignment="1" applyFont="1">
      <alignment readingOrder="0"/>
    </xf>
    <xf borderId="0" fillId="4" fontId="14" numFmtId="0" xfId="0" applyFont="1"/>
    <xf borderId="0" fillId="12" fontId="15" numFmtId="0" xfId="0" applyAlignment="1" applyFont="1">
      <alignment readingOrder="0"/>
    </xf>
    <xf borderId="0" fillId="13" fontId="16" numFmtId="0" xfId="0" applyAlignment="1" applyFill="1" applyFont="1">
      <alignment readingOrder="0" shrinkToFit="0" wrapText="0"/>
    </xf>
    <xf borderId="0" fillId="13" fontId="16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x.com/SkwalGG" TargetMode="External"/><Relationship Id="rId194" Type="http://schemas.openxmlformats.org/officeDocument/2006/relationships/hyperlink" Target="https://www.instagram.com/cuffin_ml" TargetMode="External"/><Relationship Id="rId193" Type="http://schemas.openxmlformats.org/officeDocument/2006/relationships/hyperlink" Target="https://www.instagram.com/accounts/login/?next=%2Fcuffin_ml&amp;source=omni_redirect" TargetMode="External"/><Relationship Id="rId192" Type="http://schemas.openxmlformats.org/officeDocument/2006/relationships/hyperlink" Target="https://www.instagram.com/boyetdr_" TargetMode="External"/><Relationship Id="rId191" Type="http://schemas.openxmlformats.org/officeDocument/2006/relationships/hyperlink" Target="https://www.instagram.com/skwalgg/" TargetMode="External"/><Relationship Id="rId187" Type="http://schemas.openxmlformats.org/officeDocument/2006/relationships/hyperlink" Target="https://www.instagram.com/pol_urra/" TargetMode="External"/><Relationship Id="rId186" Type="http://schemas.openxmlformats.org/officeDocument/2006/relationships/hyperlink" Target="https://x.com/polurra" TargetMode="External"/><Relationship Id="rId185" Type="http://schemas.openxmlformats.org/officeDocument/2006/relationships/hyperlink" Target="https://www.instagram.com/falcon_naifx/" TargetMode="External"/><Relationship Id="rId184" Type="http://schemas.openxmlformats.org/officeDocument/2006/relationships/hyperlink" Target="https://x.com/Falcon_Naifx" TargetMode="External"/><Relationship Id="rId189" Type="http://schemas.openxmlformats.org/officeDocument/2006/relationships/hyperlink" Target="https://www.instagram.com/falcon_wesam/" TargetMode="External"/><Relationship Id="rId188" Type="http://schemas.openxmlformats.org/officeDocument/2006/relationships/hyperlink" Target="https://x.com/Falcon_Wesam" TargetMode="External"/><Relationship Id="rId183" Type="http://schemas.openxmlformats.org/officeDocument/2006/relationships/hyperlink" Target="https://www.twitch.tv/JoseSerrano_16" TargetMode="External"/><Relationship Id="rId182" Type="http://schemas.openxmlformats.org/officeDocument/2006/relationships/hyperlink" Target="https://www.instagram.com/joseserranoo_/" TargetMode="External"/><Relationship Id="rId181" Type="http://schemas.openxmlformats.org/officeDocument/2006/relationships/hyperlink" Target="https://x.com/JoseSerrano_16" TargetMode="External"/><Relationship Id="rId180" Type="http://schemas.openxmlformats.org/officeDocument/2006/relationships/hyperlink" Target="https://facebook.com/pongsatorn.pongsatorn.754" TargetMode="External"/><Relationship Id="rId176" Type="http://schemas.openxmlformats.org/officeDocument/2006/relationships/hyperlink" Target="https://facebook.com/profile.php?id=100072006039523" TargetMode="External"/><Relationship Id="rId297" Type="http://schemas.openxmlformats.org/officeDocument/2006/relationships/hyperlink" Target="https://twitter.com/Yuzus_" TargetMode="External"/><Relationship Id="rId175" Type="http://schemas.openxmlformats.org/officeDocument/2006/relationships/hyperlink" Target="https://tiktok.com/@onfireeieii" TargetMode="External"/><Relationship Id="rId296" Type="http://schemas.openxmlformats.org/officeDocument/2006/relationships/hyperlink" Target="https://twitter.com/stooflex" TargetMode="External"/><Relationship Id="rId174" Type="http://schemas.openxmlformats.org/officeDocument/2006/relationships/hyperlink" Target="https://www.instagram.com/onfirebaby__" TargetMode="External"/><Relationship Id="rId295" Type="http://schemas.openxmlformats.org/officeDocument/2006/relationships/hyperlink" Target="https://twitter.com/SolotovR6" TargetMode="External"/><Relationship Id="rId173" Type="http://schemas.openxmlformats.org/officeDocument/2006/relationships/hyperlink" Target="https://facebook.com/ratta.poom.790" TargetMode="External"/><Relationship Id="rId294" Type="http://schemas.openxmlformats.org/officeDocument/2006/relationships/hyperlink" Target="https://www.twitch.tv/likefac" TargetMode="External"/><Relationship Id="rId179" Type="http://schemas.openxmlformats.org/officeDocument/2006/relationships/hyperlink" Target="https://www.instagram.com/protetae" TargetMode="External"/><Relationship Id="rId178" Type="http://schemas.openxmlformats.org/officeDocument/2006/relationships/hyperlink" Target="https://www.tiktok.com/@peena._?_r=1&amp;_t=ZS-93QJymJbPfx" TargetMode="External"/><Relationship Id="rId299" Type="http://schemas.openxmlformats.org/officeDocument/2006/relationships/hyperlink" Target="https://www.twitch.tv/Yuzus" TargetMode="External"/><Relationship Id="rId177" Type="http://schemas.openxmlformats.org/officeDocument/2006/relationships/hyperlink" Target="https://www.instagram.com/pee_2006._?igsh=enRyOTlwbnV2bjg5" TargetMode="External"/><Relationship Id="rId298" Type="http://schemas.openxmlformats.org/officeDocument/2006/relationships/hyperlink" Target="https://www.instagram.com/yuzussssss/" TargetMode="External"/><Relationship Id="rId198" Type="http://schemas.openxmlformats.org/officeDocument/2006/relationships/hyperlink" Target="https://www.instagram.com/flcn.owgwen" TargetMode="External"/><Relationship Id="rId197" Type="http://schemas.openxmlformats.org/officeDocument/2006/relationships/hyperlink" Target="https://twitter.com/Ogiiiieeen" TargetMode="External"/><Relationship Id="rId196" Type="http://schemas.openxmlformats.org/officeDocument/2006/relationships/hyperlink" Target="https://www.instagram.com/trolll_ml" TargetMode="External"/><Relationship Id="rId195" Type="http://schemas.openxmlformats.org/officeDocument/2006/relationships/hyperlink" Target="https://www.instagram.com/cuffin_ml" TargetMode="External"/><Relationship Id="rId199" Type="http://schemas.openxmlformats.org/officeDocument/2006/relationships/hyperlink" Target="https://www.tiktok.com/@ogiiiieeen" TargetMode="External"/><Relationship Id="rId150" Type="http://schemas.openxmlformats.org/officeDocument/2006/relationships/hyperlink" Target="https://www.instagram.com/accounts/login/?next=%2Fg1ntl&amp;source=omni_redirect" TargetMode="External"/><Relationship Id="rId271" Type="http://schemas.openxmlformats.org/officeDocument/2006/relationships/hyperlink" Target="https://www.youtube.com/HunterWinn1" TargetMode="External"/><Relationship Id="rId392" Type="http://schemas.openxmlformats.org/officeDocument/2006/relationships/hyperlink" Target="https://www.snapchat.com/add/bijjw" TargetMode="External"/><Relationship Id="rId270" Type="http://schemas.openxmlformats.org/officeDocument/2006/relationships/hyperlink" Target="https://www.twitch.tv/hwinn" TargetMode="External"/><Relationship Id="rId391" Type="http://schemas.openxmlformats.org/officeDocument/2006/relationships/hyperlink" Target="https://kick.com/bijw" TargetMode="External"/><Relationship Id="rId390" Type="http://schemas.openxmlformats.org/officeDocument/2006/relationships/hyperlink" Target="https://www.tiktok.com/@biijw" TargetMode="External"/><Relationship Id="rId1" Type="http://schemas.openxmlformats.org/officeDocument/2006/relationships/hyperlink" Target="https://x.com/alpinedadog?lang=en" TargetMode="External"/><Relationship Id="rId2" Type="http://schemas.openxmlformats.org/officeDocument/2006/relationships/hyperlink" Target="https://x.com/DraugrAU" TargetMode="External"/><Relationship Id="rId3" Type="http://schemas.openxmlformats.org/officeDocument/2006/relationships/hyperlink" Target="https://www.twitch.tv/DraugrAU" TargetMode="External"/><Relationship Id="rId149" Type="http://schemas.openxmlformats.org/officeDocument/2006/relationships/hyperlink" Target="https://x.com/g1ntl" TargetMode="External"/><Relationship Id="rId4" Type="http://schemas.openxmlformats.org/officeDocument/2006/relationships/hyperlink" Target="https://x.com/ImperialHal" TargetMode="External"/><Relationship Id="rId148" Type="http://schemas.openxmlformats.org/officeDocument/2006/relationships/hyperlink" Target="https://www.twitch.tv/fahadfn" TargetMode="External"/><Relationship Id="rId269" Type="http://schemas.openxmlformats.org/officeDocument/2006/relationships/hyperlink" Target="https://www.instagram.com/hwinn123" TargetMode="External"/><Relationship Id="rId9" Type="http://schemas.openxmlformats.org/officeDocument/2006/relationships/hyperlink" Target="https://www.tiktok.com/@priv4cyy" TargetMode="External"/><Relationship Id="rId143" Type="http://schemas.openxmlformats.org/officeDocument/2006/relationships/hyperlink" Target="https://x.com/PeterbotFN" TargetMode="External"/><Relationship Id="rId264" Type="http://schemas.openxmlformats.org/officeDocument/2006/relationships/hyperlink" Target="https://www.youtube.com/channel/UCqS9XBZgzXiolPUsWX2cQ" TargetMode="External"/><Relationship Id="rId385" Type="http://schemas.openxmlformats.org/officeDocument/2006/relationships/hyperlink" Target="https://www.facebook.com/Shadycrossfirevn" TargetMode="External"/><Relationship Id="rId142" Type="http://schemas.openxmlformats.org/officeDocument/2006/relationships/hyperlink" Target="https://x.com/Xiaohai_" TargetMode="External"/><Relationship Id="rId263" Type="http://schemas.openxmlformats.org/officeDocument/2006/relationships/hyperlink" Target="https://www.twitch.tv/sp9rk1e" TargetMode="External"/><Relationship Id="rId384" Type="http://schemas.openxmlformats.org/officeDocument/2006/relationships/hyperlink" Target="https://www.youtube.com/@ShadyCrossfire94" TargetMode="External"/><Relationship Id="rId141" Type="http://schemas.openxmlformats.org/officeDocument/2006/relationships/hyperlink" Target="https://www.twitch.tv/xyzzyshift" TargetMode="External"/><Relationship Id="rId262" Type="http://schemas.openxmlformats.org/officeDocument/2006/relationships/hyperlink" Target="https://t.co/Ig6Fh5khWl" TargetMode="External"/><Relationship Id="rId383" Type="http://schemas.openxmlformats.org/officeDocument/2006/relationships/hyperlink" Target="https://www.facebook.com/DOLACROSSFIRE" TargetMode="External"/><Relationship Id="rId140" Type="http://schemas.openxmlformats.org/officeDocument/2006/relationships/hyperlink" Target="https://x.com/xyzzylshift" TargetMode="External"/><Relationship Id="rId261" Type="http://schemas.openxmlformats.org/officeDocument/2006/relationships/hyperlink" Target="https://twitter.com/SP9RK1E_OW" TargetMode="External"/><Relationship Id="rId382" Type="http://schemas.openxmlformats.org/officeDocument/2006/relationships/hyperlink" Target="https://www.instagram.com/shirazigo" TargetMode="External"/><Relationship Id="rId5" Type="http://schemas.openxmlformats.org/officeDocument/2006/relationships/hyperlink" Target="https://www.twitch.tv/imperialhal__" TargetMode="External"/><Relationship Id="rId147" Type="http://schemas.openxmlformats.org/officeDocument/2006/relationships/hyperlink" Target="https://www.instagram.com/fahadclipz/?hl=en" TargetMode="External"/><Relationship Id="rId268" Type="http://schemas.openxmlformats.org/officeDocument/2006/relationships/hyperlink" Target="https://twitter.com/hwinnfps" TargetMode="External"/><Relationship Id="rId389" Type="http://schemas.openxmlformats.org/officeDocument/2006/relationships/hyperlink" Target="https://www.youtube.com/@Bijw" TargetMode="External"/><Relationship Id="rId6" Type="http://schemas.openxmlformats.org/officeDocument/2006/relationships/hyperlink" Target="https://x.com/Privacy_Pleas" TargetMode="External"/><Relationship Id="rId146" Type="http://schemas.openxmlformats.org/officeDocument/2006/relationships/hyperlink" Target="https://x.com/Fahadclipz" TargetMode="External"/><Relationship Id="rId267" Type="http://schemas.openxmlformats.org/officeDocument/2006/relationships/hyperlink" Target="https://www.twitch.tv/MACHINEGUNNERUSMC" TargetMode="External"/><Relationship Id="rId388" Type="http://schemas.openxmlformats.org/officeDocument/2006/relationships/hyperlink" Target="https://www.twitch.tv/bijw" TargetMode="External"/><Relationship Id="rId7" Type="http://schemas.openxmlformats.org/officeDocument/2006/relationships/hyperlink" Target="https://www.twitch.tv/priv4cy" TargetMode="External"/><Relationship Id="rId145" Type="http://schemas.openxmlformats.org/officeDocument/2006/relationships/hyperlink" Target="https://www.youtube.com/channel/UC_RGYvZpoesD8yX-o677-xw" TargetMode="External"/><Relationship Id="rId266" Type="http://schemas.openxmlformats.org/officeDocument/2006/relationships/hyperlink" Target="https://www.instagram.com/machinegunnerusmc" TargetMode="External"/><Relationship Id="rId387" Type="http://schemas.openxmlformats.org/officeDocument/2006/relationships/hyperlink" Target="https://www.instagram.com/bijjw" TargetMode="External"/><Relationship Id="rId8" Type="http://schemas.openxmlformats.org/officeDocument/2006/relationships/hyperlink" Target="https://www.youtube.com/@Priv4cyy" TargetMode="External"/><Relationship Id="rId144" Type="http://schemas.openxmlformats.org/officeDocument/2006/relationships/hyperlink" Target="https://www.twitch.tv/peterbot" TargetMode="External"/><Relationship Id="rId265" Type="http://schemas.openxmlformats.org/officeDocument/2006/relationships/hyperlink" Target="https://x.com/Owenusmc21" TargetMode="External"/><Relationship Id="rId386" Type="http://schemas.openxmlformats.org/officeDocument/2006/relationships/hyperlink" Target="https://x.com/_bijw" TargetMode="External"/><Relationship Id="rId260" Type="http://schemas.openxmlformats.org/officeDocument/2006/relationships/hyperlink" Target="https://www.twitch.tv/someone_ow_" TargetMode="External"/><Relationship Id="rId381" Type="http://schemas.openxmlformats.org/officeDocument/2006/relationships/hyperlink" Target="https://x.com/shirazigo" TargetMode="External"/><Relationship Id="rId380" Type="http://schemas.openxmlformats.org/officeDocument/2006/relationships/hyperlink" Target="https://www.youtube.com/channel/UCUGXHBCVxPiY1yNnl-kB47Q" TargetMode="External"/><Relationship Id="rId139" Type="http://schemas.openxmlformats.org/officeDocument/2006/relationships/hyperlink" Target="https://x.com/ChonFx" TargetMode="External"/><Relationship Id="rId138" Type="http://schemas.openxmlformats.org/officeDocument/2006/relationships/hyperlink" Target="https://www.twitch.tv/ChonFx" TargetMode="External"/><Relationship Id="rId259" Type="http://schemas.openxmlformats.org/officeDocument/2006/relationships/hyperlink" Target="https://www.instagram.com/someone_ow/" TargetMode="External"/><Relationship Id="rId137" Type="http://schemas.openxmlformats.org/officeDocument/2006/relationships/hyperlink" Target="https://x.com/ShadowX_FGC" TargetMode="External"/><Relationship Id="rId258" Type="http://schemas.openxmlformats.org/officeDocument/2006/relationships/hyperlink" Target="https://x.com/someone0424" TargetMode="External"/><Relationship Id="rId379" Type="http://schemas.openxmlformats.org/officeDocument/2006/relationships/hyperlink" Target="https://www.twitch.tv/jumer6" TargetMode="External"/><Relationship Id="rId132" Type="http://schemas.openxmlformats.org/officeDocument/2006/relationships/hyperlink" Target="https://www.twitch.tv/kindevu0827" TargetMode="External"/><Relationship Id="rId253" Type="http://schemas.openxmlformats.org/officeDocument/2006/relationships/hyperlink" Target="https://x.com/MER1T_ow" TargetMode="External"/><Relationship Id="rId374" Type="http://schemas.openxmlformats.org/officeDocument/2006/relationships/hyperlink" Target="https://www.facebook.com/duckeyyythevillain" TargetMode="External"/><Relationship Id="rId131" Type="http://schemas.openxmlformats.org/officeDocument/2006/relationships/hyperlink" Target="https://x.com/kindevu" TargetMode="External"/><Relationship Id="rId252" Type="http://schemas.openxmlformats.org/officeDocument/2006/relationships/hyperlink" Target="https://www.instagram.com/choooooooong/" TargetMode="External"/><Relationship Id="rId373" Type="http://schemas.openxmlformats.org/officeDocument/2006/relationships/hyperlink" Target="https://www.tiktok.com/@duckeythevillain" TargetMode="External"/><Relationship Id="rId130" Type="http://schemas.openxmlformats.org/officeDocument/2006/relationships/hyperlink" Target="https://x.com/ghirlandatekken" TargetMode="External"/><Relationship Id="rId251" Type="http://schemas.openxmlformats.org/officeDocument/2006/relationships/hyperlink" Target="https://x.com/OW_Levi" TargetMode="External"/><Relationship Id="rId372" Type="http://schemas.openxmlformats.org/officeDocument/2006/relationships/hyperlink" Target="https://www.instagram.com/duckeyyyy" TargetMode="External"/><Relationship Id="rId250" Type="http://schemas.openxmlformats.org/officeDocument/2006/relationships/hyperlink" Target="https://www.twitch.tv/hanbin_ow" TargetMode="External"/><Relationship Id="rId371" Type="http://schemas.openxmlformats.org/officeDocument/2006/relationships/hyperlink" Target="https://www.facebook.com/edferdz" TargetMode="External"/><Relationship Id="rId136" Type="http://schemas.openxmlformats.org/officeDocument/2006/relationships/hyperlink" Target="https://x.com/Zenga83" TargetMode="External"/><Relationship Id="rId257" Type="http://schemas.openxmlformats.org/officeDocument/2006/relationships/hyperlink" Target="https://www.youtube.com/@NineKK999/streams" TargetMode="External"/><Relationship Id="rId378" Type="http://schemas.openxmlformats.org/officeDocument/2006/relationships/hyperlink" Target="https://www.instagram.com/jumer6s/" TargetMode="External"/><Relationship Id="rId135" Type="http://schemas.openxmlformats.org/officeDocument/2006/relationships/hyperlink" Target="https://www.youtube.com/channel/UC-Ksra-atsz4eW5i9ZDAa8A" TargetMode="External"/><Relationship Id="rId256" Type="http://schemas.openxmlformats.org/officeDocument/2006/relationships/hyperlink" Target="https://twitter.com/NineK_OW" TargetMode="External"/><Relationship Id="rId377" Type="http://schemas.openxmlformats.org/officeDocument/2006/relationships/hyperlink" Target="https://x.com/jumeR6S" TargetMode="External"/><Relationship Id="rId134" Type="http://schemas.openxmlformats.org/officeDocument/2006/relationships/hyperlink" Target="https://twitter.com/andytheworld320" TargetMode="External"/><Relationship Id="rId255" Type="http://schemas.openxmlformats.org/officeDocument/2006/relationships/hyperlink" Target="https://www.twitch.tv/mer1t_ow" TargetMode="External"/><Relationship Id="rId376" Type="http://schemas.openxmlformats.org/officeDocument/2006/relationships/hyperlink" Target="https://www.twitch.tv/ow_checkmate" TargetMode="External"/><Relationship Id="rId133" Type="http://schemas.openxmlformats.org/officeDocument/2006/relationships/hyperlink" Target="https://www.youtube.com/channel/UCQevn7lvmrpl3ElLd58YsNQ" TargetMode="External"/><Relationship Id="rId254" Type="http://schemas.openxmlformats.org/officeDocument/2006/relationships/hyperlink" Target="https://www.instagram.com/mer1t_ow/" TargetMode="External"/><Relationship Id="rId375" Type="http://schemas.openxmlformats.org/officeDocument/2006/relationships/hyperlink" Target="https://x.com/ow_checkmate" TargetMode="External"/><Relationship Id="rId172" Type="http://schemas.openxmlformats.org/officeDocument/2006/relationships/hyperlink" Target="https://tiktok.com/@pm.rt" TargetMode="External"/><Relationship Id="rId293" Type="http://schemas.openxmlformats.org/officeDocument/2006/relationships/hyperlink" Target="https://www.instagram.com/likefacr6s/" TargetMode="External"/><Relationship Id="rId171" Type="http://schemas.openxmlformats.org/officeDocument/2006/relationships/hyperlink" Target="https://www.instagram.com/poomgohome_" TargetMode="External"/><Relationship Id="rId292" Type="http://schemas.openxmlformats.org/officeDocument/2006/relationships/hyperlink" Target="https://twitter.com/LikEfacR6S" TargetMode="External"/><Relationship Id="rId170" Type="http://schemas.openxmlformats.org/officeDocument/2006/relationships/hyperlink" Target="https://facebook.com/profile.php?id=100015743748929" TargetMode="External"/><Relationship Id="rId291" Type="http://schemas.openxmlformats.org/officeDocument/2006/relationships/hyperlink" Target="https://www.twitch.tv/juliojuliojuliojuliojulio" TargetMode="External"/><Relationship Id="rId290" Type="http://schemas.openxmlformats.org/officeDocument/2006/relationships/hyperlink" Target="https://www.instagram.com/juliogiacomelli" TargetMode="External"/><Relationship Id="rId165" Type="http://schemas.openxmlformats.org/officeDocument/2006/relationships/hyperlink" Target="https://facebook.com/profile.php?id=100006004232176" TargetMode="External"/><Relationship Id="rId286" Type="http://schemas.openxmlformats.org/officeDocument/2006/relationships/hyperlink" Target="https://www.instagram.com/briddr6s" TargetMode="External"/><Relationship Id="rId164" Type="http://schemas.openxmlformats.org/officeDocument/2006/relationships/hyperlink" Target="https://www.instagram.com/thana_kamruang/" TargetMode="External"/><Relationship Id="rId285" Type="http://schemas.openxmlformats.org/officeDocument/2006/relationships/hyperlink" Target="https://twitter.com/BriDR6S" TargetMode="External"/><Relationship Id="rId163" Type="http://schemas.openxmlformats.org/officeDocument/2006/relationships/hyperlink" Target="https://www.youtube.com/channel/UCSKgsqUfo7vA4BuBvtf6vwg" TargetMode="External"/><Relationship Id="rId284" Type="http://schemas.openxmlformats.org/officeDocument/2006/relationships/hyperlink" Target="https://kick.com/tgltn" TargetMode="External"/><Relationship Id="rId162" Type="http://schemas.openxmlformats.org/officeDocument/2006/relationships/hyperlink" Target="https://www.twitch.tv/YonxFN" TargetMode="External"/><Relationship Id="rId283" Type="http://schemas.openxmlformats.org/officeDocument/2006/relationships/hyperlink" Target="https://www.youtube.com/TGLTN" TargetMode="External"/><Relationship Id="rId169" Type="http://schemas.openxmlformats.org/officeDocument/2006/relationships/hyperlink" Target="https://tiktok.com/@limitxstep8" TargetMode="External"/><Relationship Id="rId168" Type="http://schemas.openxmlformats.org/officeDocument/2006/relationships/hyperlink" Target="https://www.instagram.com/limit_juy" TargetMode="External"/><Relationship Id="rId289" Type="http://schemas.openxmlformats.org/officeDocument/2006/relationships/hyperlink" Target="https://twitter.com/JULIOAKAJULIO1" TargetMode="External"/><Relationship Id="rId167" Type="http://schemas.openxmlformats.org/officeDocument/2006/relationships/hyperlink" Target="https://facebook.com/profile.php?id=100014997245027" TargetMode="External"/><Relationship Id="rId288" Type="http://schemas.openxmlformats.org/officeDocument/2006/relationships/hyperlink" Target="https://x.com/eaglemees" TargetMode="External"/><Relationship Id="rId166" Type="http://schemas.openxmlformats.org/officeDocument/2006/relationships/hyperlink" Target="https://www.instagram.com/keroro_god" TargetMode="External"/><Relationship Id="rId287" Type="http://schemas.openxmlformats.org/officeDocument/2006/relationships/hyperlink" Target="https://www.twitch.tv/bridr6s" TargetMode="External"/><Relationship Id="rId161" Type="http://schemas.openxmlformats.org/officeDocument/2006/relationships/hyperlink" Target="https://x.com/YonxFN" TargetMode="External"/><Relationship Id="rId282" Type="http://schemas.openxmlformats.org/officeDocument/2006/relationships/hyperlink" Target="https://www.twitch.tv/TGLTN" TargetMode="External"/><Relationship Id="rId160" Type="http://schemas.openxmlformats.org/officeDocument/2006/relationships/hyperlink" Target="https://www.youtube.com/channel/UCl9pp6XYMcjyVESzYD8myQg" TargetMode="External"/><Relationship Id="rId281" Type="http://schemas.openxmlformats.org/officeDocument/2006/relationships/hyperlink" Target="https://www.instagram.com/tgltnPUBG" TargetMode="External"/><Relationship Id="rId280" Type="http://schemas.openxmlformats.org/officeDocument/2006/relationships/hyperlink" Target="https://twitter.com/tgltnPUBG" TargetMode="External"/><Relationship Id="rId159" Type="http://schemas.openxmlformats.org/officeDocument/2006/relationships/hyperlink" Target="https://www.twitch.tv/spyerfrog" TargetMode="External"/><Relationship Id="rId154" Type="http://schemas.openxmlformats.org/officeDocument/2006/relationships/hyperlink" Target="https://www.instagram.com/accounts/login/?next=%2Finm7x&amp;source=omni_redirect" TargetMode="External"/><Relationship Id="rId275" Type="http://schemas.openxmlformats.org/officeDocument/2006/relationships/hyperlink" Target="https://www.youtube.com/ksnkickstart" TargetMode="External"/><Relationship Id="rId396" Type="http://schemas.openxmlformats.org/officeDocument/2006/relationships/hyperlink" Target="https://www.youtube.com/@k2nn8" TargetMode="External"/><Relationship Id="rId153" Type="http://schemas.openxmlformats.org/officeDocument/2006/relationships/hyperlink" Target="https://x.com/iNm7x" TargetMode="External"/><Relationship Id="rId274" Type="http://schemas.openxmlformats.org/officeDocument/2006/relationships/hyperlink" Target="https://www.twitch.tv/kickstart" TargetMode="External"/><Relationship Id="rId395" Type="http://schemas.openxmlformats.org/officeDocument/2006/relationships/hyperlink" Target="https://www.twitch.tv/k2nnn8" TargetMode="External"/><Relationship Id="rId152" Type="http://schemas.openxmlformats.org/officeDocument/2006/relationships/hyperlink" Target="https://www.youtube.com/c/g1ntl" TargetMode="External"/><Relationship Id="rId273" Type="http://schemas.openxmlformats.org/officeDocument/2006/relationships/hyperlink" Target="https://www.instagram.com/ksnkickstart" TargetMode="External"/><Relationship Id="rId394" Type="http://schemas.openxmlformats.org/officeDocument/2006/relationships/hyperlink" Target="https://www.instagram.com/k2nn8?igsh=ajJsNHoybDlpMzFo" TargetMode="External"/><Relationship Id="rId151" Type="http://schemas.openxmlformats.org/officeDocument/2006/relationships/hyperlink" Target="https://www.twitch.tv/GntL" TargetMode="External"/><Relationship Id="rId272" Type="http://schemas.openxmlformats.org/officeDocument/2006/relationships/hyperlink" Target="https://twitter.com/KSnKickstart" TargetMode="External"/><Relationship Id="rId393" Type="http://schemas.openxmlformats.org/officeDocument/2006/relationships/hyperlink" Target="https://x.com/K22N8" TargetMode="External"/><Relationship Id="rId158" Type="http://schemas.openxmlformats.org/officeDocument/2006/relationships/hyperlink" Target="https://www.instagram.com/accounts/login/?next=%2Fspyerfrog&amp;source=omni_redirect" TargetMode="External"/><Relationship Id="rId279" Type="http://schemas.openxmlformats.org/officeDocument/2006/relationships/hyperlink" Target="https://www.youtube.com/Shrimx1" TargetMode="External"/><Relationship Id="rId157" Type="http://schemas.openxmlformats.org/officeDocument/2006/relationships/hyperlink" Target="https://x.com/spyerfrog" TargetMode="External"/><Relationship Id="rId278" Type="http://schemas.openxmlformats.org/officeDocument/2006/relationships/hyperlink" Target="https://www.twitch.tv/shrimzy" TargetMode="External"/><Relationship Id="rId399" Type="http://schemas.openxmlformats.org/officeDocument/2006/relationships/hyperlink" Target="https://www.twitch.tv/fmg_" TargetMode="External"/><Relationship Id="rId156" Type="http://schemas.openxmlformats.org/officeDocument/2006/relationships/hyperlink" Target="https://www.youtube.com/c/iNm7x" TargetMode="External"/><Relationship Id="rId277" Type="http://schemas.openxmlformats.org/officeDocument/2006/relationships/hyperlink" Target="https://www.instagram.com/tristannowicki" TargetMode="External"/><Relationship Id="rId398" Type="http://schemas.openxmlformats.org/officeDocument/2006/relationships/hyperlink" Target="https://www.instagram.com/fm.g/" TargetMode="External"/><Relationship Id="rId155" Type="http://schemas.openxmlformats.org/officeDocument/2006/relationships/hyperlink" Target="https://www.twitch.tv/iiNm7x" TargetMode="External"/><Relationship Id="rId276" Type="http://schemas.openxmlformats.org/officeDocument/2006/relationships/hyperlink" Target="https://twitter.com/ShrimzyPUBg" TargetMode="External"/><Relationship Id="rId397" Type="http://schemas.openxmlformats.org/officeDocument/2006/relationships/hyperlink" Target="https://x.com/iFMG_" TargetMode="External"/><Relationship Id="rId40" Type="http://schemas.openxmlformats.org/officeDocument/2006/relationships/hyperlink" Target="https://x.com/alpinedadog?lang=en" TargetMode="External"/><Relationship Id="rId42" Type="http://schemas.openxmlformats.org/officeDocument/2006/relationships/hyperlink" Target="https://www.twitch.tv/newbz" TargetMode="External"/><Relationship Id="rId41" Type="http://schemas.openxmlformats.org/officeDocument/2006/relationships/hyperlink" Target="https://x.com/TBE_Newbzz" TargetMode="External"/><Relationship Id="rId44" Type="http://schemas.openxmlformats.org/officeDocument/2006/relationships/hyperlink" Target="https://www.twitch.tv/Dongy" TargetMode="External"/><Relationship Id="rId43" Type="http://schemas.openxmlformats.org/officeDocument/2006/relationships/hyperlink" Target="https://x.com/zDongyy" TargetMode="External"/><Relationship Id="rId46" Type="http://schemas.openxmlformats.org/officeDocument/2006/relationships/hyperlink" Target="https://www.instagram.com/hisokat42" TargetMode="External"/><Relationship Id="rId45" Type="http://schemas.openxmlformats.org/officeDocument/2006/relationships/hyperlink" Target="https://twitter.com/HisokaT42" TargetMode="External"/><Relationship Id="rId48" Type="http://schemas.openxmlformats.org/officeDocument/2006/relationships/hyperlink" Target="https://www.youtube.com/channel/UCQDRE8aZRsrvF5OwMk_KmBg" TargetMode="External"/><Relationship Id="rId47" Type="http://schemas.openxmlformats.org/officeDocument/2006/relationships/hyperlink" Target="https://www.twitch.tv/HisokaT42" TargetMode="External"/><Relationship Id="rId49" Type="http://schemas.openxmlformats.org/officeDocument/2006/relationships/hyperlink" Target="https://tiktok.com/@missionarysoka" TargetMode="External"/><Relationship Id="rId31" Type="http://schemas.openxmlformats.org/officeDocument/2006/relationships/hyperlink" Target="https://www.twitch.tv/arcitys" TargetMode="External"/><Relationship Id="rId30" Type="http://schemas.openxmlformats.org/officeDocument/2006/relationships/hyperlink" Target="https://www.instagram.com/arcitys9" TargetMode="External"/><Relationship Id="rId33" Type="http://schemas.openxmlformats.org/officeDocument/2006/relationships/hyperlink" Target="https://www.twitch.tv/paulehx" TargetMode="External"/><Relationship Id="rId32" Type="http://schemas.openxmlformats.org/officeDocument/2006/relationships/hyperlink" Target="https://x.com/Paulehx_" TargetMode="External"/><Relationship Id="rId35" Type="http://schemas.openxmlformats.org/officeDocument/2006/relationships/hyperlink" Target="https://www.twitch.tv/i_hmoodx" TargetMode="External"/><Relationship Id="rId34" Type="http://schemas.openxmlformats.org/officeDocument/2006/relationships/hyperlink" Target="https://x.com/xihamoodx" TargetMode="External"/><Relationship Id="rId37" Type="http://schemas.openxmlformats.org/officeDocument/2006/relationships/hyperlink" Target="https://www.instagram.com/Jawxd7" TargetMode="External"/><Relationship Id="rId36" Type="http://schemas.openxmlformats.org/officeDocument/2006/relationships/hyperlink" Target="https://x.com/Jawxd7" TargetMode="External"/><Relationship Id="rId39" Type="http://schemas.openxmlformats.org/officeDocument/2006/relationships/hyperlink" Target="https://www.youtube.com/channel/UCUWL8dR-JyA4FXZ08aSjjcg/videos" TargetMode="External"/><Relationship Id="rId38" Type="http://schemas.openxmlformats.org/officeDocument/2006/relationships/hyperlink" Target="https://www.twitch.tv/jawad" TargetMode="External"/><Relationship Id="rId20" Type="http://schemas.openxmlformats.org/officeDocument/2006/relationships/hyperlink" Target="https://x.com/Exnid_" TargetMode="External"/><Relationship Id="rId22" Type="http://schemas.openxmlformats.org/officeDocument/2006/relationships/hyperlink" Target="https://twitter.com/KiSMET6_" TargetMode="External"/><Relationship Id="rId21" Type="http://schemas.openxmlformats.org/officeDocument/2006/relationships/hyperlink" Target="https://www.twitch.tv/exnid" TargetMode="External"/><Relationship Id="rId24" Type="http://schemas.openxmlformats.org/officeDocument/2006/relationships/hyperlink" Target="https://www.twitch.tv/kismet6_" TargetMode="External"/><Relationship Id="rId23" Type="http://schemas.openxmlformats.org/officeDocument/2006/relationships/hyperlink" Target="https://www.instagram.com/kismet6_" TargetMode="External"/><Relationship Id="rId409" Type="http://schemas.openxmlformats.org/officeDocument/2006/relationships/hyperlink" Target="https://www.youtube.com/@maryvalorant/featured" TargetMode="External"/><Relationship Id="rId404" Type="http://schemas.openxmlformats.org/officeDocument/2006/relationships/hyperlink" Target="https://www.facebook.com/AbuGhaziGaming93" TargetMode="External"/><Relationship Id="rId403" Type="http://schemas.openxmlformats.org/officeDocument/2006/relationships/hyperlink" Target="https://kick.com/iabughazi" TargetMode="External"/><Relationship Id="rId402" Type="http://schemas.openxmlformats.org/officeDocument/2006/relationships/hyperlink" Target="https://www.twitch.tv/ires" TargetMode="External"/><Relationship Id="rId401" Type="http://schemas.openxmlformats.org/officeDocument/2006/relationships/hyperlink" Target="https://x.com/MohxamedZ" TargetMode="External"/><Relationship Id="rId408" Type="http://schemas.openxmlformats.org/officeDocument/2006/relationships/hyperlink" Target="https://www.twitch.tv/mary" TargetMode="External"/><Relationship Id="rId407" Type="http://schemas.openxmlformats.org/officeDocument/2006/relationships/hyperlink" Target="https://www.instagram.com/maryvalorantt/?hl=en" TargetMode="External"/><Relationship Id="rId406" Type="http://schemas.openxmlformats.org/officeDocument/2006/relationships/hyperlink" Target="https://x.com/marypink" TargetMode="External"/><Relationship Id="rId405" Type="http://schemas.openxmlformats.org/officeDocument/2006/relationships/hyperlink" Target="https://www.snapchat.com/add/faisalhajhasan" TargetMode="External"/><Relationship Id="rId26" Type="http://schemas.openxmlformats.org/officeDocument/2006/relationships/hyperlink" Target="https://www.instagram.com/amerzulbeariii" TargetMode="External"/><Relationship Id="rId25" Type="http://schemas.openxmlformats.org/officeDocument/2006/relationships/hyperlink" Target="https://x.com/Pred" TargetMode="External"/><Relationship Id="rId28" Type="http://schemas.openxmlformats.org/officeDocument/2006/relationships/hyperlink" Target="https://x.com/KingAbody_" TargetMode="External"/><Relationship Id="rId27" Type="http://schemas.openxmlformats.org/officeDocument/2006/relationships/hyperlink" Target="https://www.twitch.tv/pred" TargetMode="External"/><Relationship Id="rId400" Type="http://schemas.openxmlformats.org/officeDocument/2006/relationships/hyperlink" Target="https://kick.com/ifmg" TargetMode="External"/><Relationship Id="rId29" Type="http://schemas.openxmlformats.org/officeDocument/2006/relationships/hyperlink" Target="https://x.com/Arcitys" TargetMode="External"/><Relationship Id="rId11" Type="http://schemas.openxmlformats.org/officeDocument/2006/relationships/hyperlink" Target="https://www.twitch.tv/wxltzy" TargetMode="External"/><Relationship Id="rId10" Type="http://schemas.openxmlformats.org/officeDocument/2006/relationships/hyperlink" Target="https://x.com/Wxltzy" TargetMode="External"/><Relationship Id="rId13" Type="http://schemas.openxmlformats.org/officeDocument/2006/relationships/hyperlink" Target="https://www.instagram.com/clayster" TargetMode="External"/><Relationship Id="rId12" Type="http://schemas.openxmlformats.org/officeDocument/2006/relationships/hyperlink" Target="https://x.com/Clayster" TargetMode="External"/><Relationship Id="rId15" Type="http://schemas.openxmlformats.org/officeDocument/2006/relationships/hyperlink" Target="https://x.com/MoT3yyB" TargetMode="External"/><Relationship Id="rId14" Type="http://schemas.openxmlformats.org/officeDocument/2006/relationships/hyperlink" Target="https://www.twitch.tv/clayster" TargetMode="External"/><Relationship Id="rId17" Type="http://schemas.openxmlformats.org/officeDocument/2006/relationships/hyperlink" Target="https://twitter.com/Cellium" TargetMode="External"/><Relationship Id="rId16" Type="http://schemas.openxmlformats.org/officeDocument/2006/relationships/hyperlink" Target="https://x.com/JPerry264" TargetMode="External"/><Relationship Id="rId19" Type="http://schemas.openxmlformats.org/officeDocument/2006/relationships/hyperlink" Target="https://www.twitch.tv/Cellium" TargetMode="External"/><Relationship Id="rId18" Type="http://schemas.openxmlformats.org/officeDocument/2006/relationships/hyperlink" Target="https://www.instagram.com/cellium/" TargetMode="External"/><Relationship Id="rId84" Type="http://schemas.openxmlformats.org/officeDocument/2006/relationships/hyperlink" Target="https://www.twitch.tv/gbcgrecu" TargetMode="External"/><Relationship Id="rId83" Type="http://schemas.openxmlformats.org/officeDocument/2006/relationships/hyperlink" Target="https://x.com/grecuflc" TargetMode="External"/><Relationship Id="rId86" Type="http://schemas.openxmlformats.org/officeDocument/2006/relationships/hyperlink" Target="https://www.twitch.tv/venocs2" TargetMode="External"/><Relationship Id="rId85" Type="http://schemas.openxmlformats.org/officeDocument/2006/relationships/hyperlink" Target="https://x.com/venocs2" TargetMode="External"/><Relationship Id="rId88" Type="http://schemas.openxmlformats.org/officeDocument/2006/relationships/hyperlink" Target="https://x.com/NaToSaphiX" TargetMode="External"/><Relationship Id="rId87" Type="http://schemas.openxmlformats.org/officeDocument/2006/relationships/hyperlink" Target="https://www.youtube.com/@venocs2" TargetMode="External"/><Relationship Id="rId89" Type="http://schemas.openxmlformats.org/officeDocument/2006/relationships/hyperlink" Target="https://www.instagram.com/natosaphix" TargetMode="External"/><Relationship Id="rId80" Type="http://schemas.openxmlformats.org/officeDocument/2006/relationships/hyperlink" Target="https://x.com/zonic" TargetMode="External"/><Relationship Id="rId82" Type="http://schemas.openxmlformats.org/officeDocument/2006/relationships/hyperlink" Target="https://x.com/flcclockzi" TargetMode="External"/><Relationship Id="rId81" Type="http://schemas.openxmlformats.org/officeDocument/2006/relationships/hyperlink" Target="https://www.twitch.tv/zonic" TargetMode="External"/><Relationship Id="rId73" Type="http://schemas.openxmlformats.org/officeDocument/2006/relationships/hyperlink" Target="https://www.youtube.com/@NiKo_cs" TargetMode="External"/><Relationship Id="rId72" Type="http://schemas.openxmlformats.org/officeDocument/2006/relationships/hyperlink" Target="https://www.twitch.tv/NiKo" TargetMode="External"/><Relationship Id="rId75" Type="http://schemas.openxmlformats.org/officeDocument/2006/relationships/hyperlink" Target="https://x.com/Xavier_Roussac" TargetMode="External"/><Relationship Id="rId74" Type="http://schemas.openxmlformats.org/officeDocument/2006/relationships/hyperlink" Target="https://www.facebook.com/csgoNiKo" TargetMode="External"/><Relationship Id="rId77" Type="http://schemas.openxmlformats.org/officeDocument/2006/relationships/hyperlink" Target="https://www.twitch.tv/tesesss" TargetMode="External"/><Relationship Id="rId76" Type="http://schemas.openxmlformats.org/officeDocument/2006/relationships/hyperlink" Target="https://x.com/tesescs" TargetMode="External"/><Relationship Id="rId79" Type="http://schemas.openxmlformats.org/officeDocument/2006/relationships/hyperlink" Target="https://www.instagram.com/aymeinsteintv" TargetMode="External"/><Relationship Id="rId78" Type="http://schemas.openxmlformats.org/officeDocument/2006/relationships/hyperlink" Target="https://x.com/aymeinstein" TargetMode="External"/><Relationship Id="rId71" Type="http://schemas.openxmlformats.org/officeDocument/2006/relationships/hyperlink" Target="https://www.instagram.com/csgoniko/" TargetMode="External"/><Relationship Id="rId70" Type="http://schemas.openxmlformats.org/officeDocument/2006/relationships/hyperlink" Target="https://x.com/NiKoCS_" TargetMode="External"/><Relationship Id="rId62" Type="http://schemas.openxmlformats.org/officeDocument/2006/relationships/hyperlink" Target="https://www.instagram.com/flckyousuke" TargetMode="External"/><Relationship Id="rId61" Type="http://schemas.openxmlformats.org/officeDocument/2006/relationships/hyperlink" Target="https://twitter.com/FLCkyousuke" TargetMode="External"/><Relationship Id="rId64" Type="http://schemas.openxmlformats.org/officeDocument/2006/relationships/hyperlink" Target="https://x.com/kyxsancs" TargetMode="External"/><Relationship Id="rId63" Type="http://schemas.openxmlformats.org/officeDocument/2006/relationships/hyperlink" Target="https://www.twitch.tv/kyousuke999" TargetMode="External"/><Relationship Id="rId66" Type="http://schemas.openxmlformats.org/officeDocument/2006/relationships/hyperlink" Target="https://x.com/FLCm0NESY" TargetMode="External"/><Relationship Id="rId65" Type="http://schemas.openxmlformats.org/officeDocument/2006/relationships/hyperlink" Target="https://www.instagram.com/kyxsancs/" TargetMode="External"/><Relationship Id="rId68" Type="http://schemas.openxmlformats.org/officeDocument/2006/relationships/hyperlink" Target="https://www.twitch.tv/m0nesyof" TargetMode="External"/><Relationship Id="rId67" Type="http://schemas.openxmlformats.org/officeDocument/2006/relationships/hyperlink" Target="https://www.instagram.com/m0nesy13" TargetMode="External"/><Relationship Id="rId60" Type="http://schemas.openxmlformats.org/officeDocument/2006/relationships/hyperlink" Target="https://www.facebook.com/login/?next=https%3A%2F%2Fwww.facebook.com%2FGMHikaru%2F" TargetMode="External"/><Relationship Id="rId69" Type="http://schemas.openxmlformats.org/officeDocument/2006/relationships/hyperlink" Target="https://www.youtube.com/channel/UCJxjKA1Cl--4tCN1l_cHHvQ" TargetMode="External"/><Relationship Id="rId51" Type="http://schemas.openxmlformats.org/officeDocument/2006/relationships/hyperlink" Target="https://www.instagram.com/alirezafirouzja" TargetMode="External"/><Relationship Id="rId50" Type="http://schemas.openxmlformats.org/officeDocument/2006/relationships/hyperlink" Target="https://twitter.com/AlirezaFirouzja" TargetMode="External"/><Relationship Id="rId53" Type="http://schemas.openxmlformats.org/officeDocument/2006/relationships/hyperlink" Target="https://www.youtube.com/@alirezafirouzja4080" TargetMode="External"/><Relationship Id="rId52" Type="http://schemas.openxmlformats.org/officeDocument/2006/relationships/hyperlink" Target="https://www.twitch.tv/alirezafirouzja" TargetMode="External"/><Relationship Id="rId55" Type="http://schemas.openxmlformats.org/officeDocument/2006/relationships/hyperlink" Target="https://twitter.com/GMHikaru" TargetMode="External"/><Relationship Id="rId54" Type="http://schemas.openxmlformats.org/officeDocument/2006/relationships/hyperlink" Target="https://www.facebook.com/login/?next=https%3A%2F%2Fwww.facebook.com%2FAlireza.Firouzja.chess%2F" TargetMode="External"/><Relationship Id="rId57" Type="http://schemas.openxmlformats.org/officeDocument/2006/relationships/hyperlink" Target="https://www.twitch.tv/gmhikaru" TargetMode="External"/><Relationship Id="rId56" Type="http://schemas.openxmlformats.org/officeDocument/2006/relationships/hyperlink" Target="https://www.instagram.com/gmhikaru" TargetMode="External"/><Relationship Id="rId59" Type="http://schemas.openxmlformats.org/officeDocument/2006/relationships/hyperlink" Target="https://kick.com/gmhikaru" TargetMode="External"/><Relationship Id="rId58" Type="http://schemas.openxmlformats.org/officeDocument/2006/relationships/hyperlink" Target="https://www.youtube.com/@gmhikaru" TargetMode="External"/><Relationship Id="rId107" Type="http://schemas.openxmlformats.org/officeDocument/2006/relationships/hyperlink" Target="https://www.twitch.tv/aui_2000" TargetMode="External"/><Relationship Id="rId228" Type="http://schemas.openxmlformats.org/officeDocument/2006/relationships/hyperlink" Target="https://www.tiktok.com/@remundddd" TargetMode="External"/><Relationship Id="rId349" Type="http://schemas.openxmlformats.org/officeDocument/2006/relationships/hyperlink" Target="https://www.facebook.com/Spammiej" TargetMode="External"/><Relationship Id="rId106" Type="http://schemas.openxmlformats.org/officeDocument/2006/relationships/hyperlink" Target="https://x.com/Aui_2000" TargetMode="External"/><Relationship Id="rId227" Type="http://schemas.openxmlformats.org/officeDocument/2006/relationships/hyperlink" Target="https://www.instagram.com/remundddd" TargetMode="External"/><Relationship Id="rId348" Type="http://schemas.openxmlformats.org/officeDocument/2006/relationships/hyperlink" Target="https://www.youtube.com/Spammiej" TargetMode="External"/><Relationship Id="rId105" Type="http://schemas.openxmlformats.org/officeDocument/2006/relationships/hyperlink" Target="https://www.twitch.tv/sneykingdota" TargetMode="External"/><Relationship Id="rId226" Type="http://schemas.openxmlformats.org/officeDocument/2006/relationships/hyperlink" Target="https://www.tiktok.com/@livia.lemmuela" TargetMode="External"/><Relationship Id="rId347" Type="http://schemas.openxmlformats.org/officeDocument/2006/relationships/hyperlink" Target="https://www.twitch.tv/spammiej" TargetMode="External"/><Relationship Id="rId104" Type="http://schemas.openxmlformats.org/officeDocument/2006/relationships/hyperlink" Target="https://x.com/SneykingGaming" TargetMode="External"/><Relationship Id="rId225" Type="http://schemas.openxmlformats.org/officeDocument/2006/relationships/hyperlink" Target="https://www.youtube.com/@LiviaLivii" TargetMode="External"/><Relationship Id="rId346" Type="http://schemas.openxmlformats.org/officeDocument/2006/relationships/hyperlink" Target="https://www.instagram.com/timmmiej/" TargetMode="External"/><Relationship Id="rId109" Type="http://schemas.openxmlformats.org/officeDocument/2006/relationships/hyperlink" Target="https://www.twitch.tv/afromoush" TargetMode="External"/><Relationship Id="rId108" Type="http://schemas.openxmlformats.org/officeDocument/2006/relationships/hyperlink" Target="https://x.com/AfrOmoush" TargetMode="External"/><Relationship Id="rId229" Type="http://schemas.openxmlformats.org/officeDocument/2006/relationships/hyperlink" Target="https://www.instagram.com/olivia.wijayaa/" TargetMode="External"/><Relationship Id="rId220" Type="http://schemas.openxmlformats.org/officeDocument/2006/relationships/hyperlink" Target="https://www.youtube.com/@fajriaviolet8967" TargetMode="External"/><Relationship Id="rId341" Type="http://schemas.openxmlformats.org/officeDocument/2006/relationships/hyperlink" Target="https://www.instagram.com/carljrtm/" TargetMode="External"/><Relationship Id="rId340" Type="http://schemas.openxmlformats.org/officeDocument/2006/relationships/hyperlink" Target="https://x.com/CarlJrtm" TargetMode="External"/><Relationship Id="rId103" Type="http://schemas.openxmlformats.org/officeDocument/2006/relationships/hyperlink" Target="https://www.facebook.com/Cr1tdota" TargetMode="External"/><Relationship Id="rId224" Type="http://schemas.openxmlformats.org/officeDocument/2006/relationships/hyperlink" Target="https://www.instagram.com/livia.lemmuela" TargetMode="External"/><Relationship Id="rId345" Type="http://schemas.openxmlformats.org/officeDocument/2006/relationships/hyperlink" Target="https://x.com/Spammiejj" TargetMode="External"/><Relationship Id="rId102" Type="http://schemas.openxmlformats.org/officeDocument/2006/relationships/hyperlink" Target="https://www.twitch.tv/cr1tdota" TargetMode="External"/><Relationship Id="rId223" Type="http://schemas.openxmlformats.org/officeDocument/2006/relationships/hyperlink" Target="https://www.tiktok.com/@xev_vi" TargetMode="External"/><Relationship Id="rId344" Type="http://schemas.openxmlformats.org/officeDocument/2006/relationships/hyperlink" Target="https://www.tiktok.com/@carljrtm" TargetMode="External"/><Relationship Id="rId101" Type="http://schemas.openxmlformats.org/officeDocument/2006/relationships/hyperlink" Target="https://x.com/Cr1tdota" TargetMode="External"/><Relationship Id="rId222" Type="http://schemas.openxmlformats.org/officeDocument/2006/relationships/hyperlink" Target="https://www.instagram.com/xev_vi" TargetMode="External"/><Relationship Id="rId343" Type="http://schemas.openxmlformats.org/officeDocument/2006/relationships/hyperlink" Target="https://www.youtube.com/@CarlJrtm" TargetMode="External"/><Relationship Id="rId100" Type="http://schemas.openxmlformats.org/officeDocument/2006/relationships/hyperlink" Target="https://www.twitch.tv/ammar_the_f" TargetMode="External"/><Relationship Id="rId221" Type="http://schemas.openxmlformats.org/officeDocument/2006/relationships/hyperlink" Target="https://www.tiktok.com/@fajria.noviana" TargetMode="External"/><Relationship Id="rId342" Type="http://schemas.openxmlformats.org/officeDocument/2006/relationships/hyperlink" Target="https://www.twitch.tv/carljrtm" TargetMode="External"/><Relationship Id="rId217" Type="http://schemas.openxmlformats.org/officeDocument/2006/relationships/hyperlink" Target="https://www.instagram.com/nourhan_shaker22/" TargetMode="External"/><Relationship Id="rId338" Type="http://schemas.openxmlformats.org/officeDocument/2006/relationships/hyperlink" Target="https://www.twitch.tv/itmadv" TargetMode="External"/><Relationship Id="rId216" Type="http://schemas.openxmlformats.org/officeDocument/2006/relationships/hyperlink" Target="https://www.tiktok.com/@names_es" TargetMode="External"/><Relationship Id="rId337" Type="http://schemas.openxmlformats.org/officeDocument/2006/relationships/hyperlink" Target="https://x.com/itMadv" TargetMode="External"/><Relationship Id="rId215" Type="http://schemas.openxmlformats.org/officeDocument/2006/relationships/hyperlink" Target="https://www.instagram.com/names_se" TargetMode="External"/><Relationship Id="rId336" Type="http://schemas.openxmlformats.org/officeDocument/2006/relationships/hyperlink" Target="https://x.com/Kamiyuchii" TargetMode="External"/><Relationship Id="rId214" Type="http://schemas.openxmlformats.org/officeDocument/2006/relationships/hyperlink" Target="https://www.instagram.com/koba_ashiii" TargetMode="External"/><Relationship Id="rId335" Type="http://schemas.openxmlformats.org/officeDocument/2006/relationships/hyperlink" Target="https://www.twitch.tv/enerii" TargetMode="External"/><Relationship Id="rId219" Type="http://schemas.openxmlformats.org/officeDocument/2006/relationships/hyperlink" Target="https://www.instagram.com/fajria.noviana" TargetMode="External"/><Relationship Id="rId218" Type="http://schemas.openxmlformats.org/officeDocument/2006/relationships/hyperlink" Target="https://www.instagram.com/horrible.velvet/" TargetMode="External"/><Relationship Id="rId339" Type="http://schemas.openxmlformats.org/officeDocument/2006/relationships/hyperlink" Target="https://x.com/DANNYTO_vlr" TargetMode="External"/><Relationship Id="rId330" Type="http://schemas.openxmlformats.org/officeDocument/2006/relationships/hyperlink" Target="https://x.com/ghirlandatekken" TargetMode="External"/><Relationship Id="rId213" Type="http://schemas.openxmlformats.org/officeDocument/2006/relationships/hyperlink" Target="https://www.instagram.com/fdoublevn/" TargetMode="External"/><Relationship Id="rId334" Type="http://schemas.openxmlformats.org/officeDocument/2006/relationships/hyperlink" Target="https://x.com/eneriiiiiii" TargetMode="External"/><Relationship Id="rId212" Type="http://schemas.openxmlformats.org/officeDocument/2006/relationships/hyperlink" Target="https://www.facebook.com/kutspogi" TargetMode="External"/><Relationship Id="rId333" Type="http://schemas.openxmlformats.org/officeDocument/2006/relationships/hyperlink" Target="https://www.facebook.com/Aleeexyyy" TargetMode="External"/><Relationship Id="rId211" Type="http://schemas.openxmlformats.org/officeDocument/2006/relationships/hyperlink" Target="https://www.tiktok.com/@vrendonlin" TargetMode="External"/><Relationship Id="rId332" Type="http://schemas.openxmlformats.org/officeDocument/2006/relationships/hyperlink" Target="https://www.twitch.tv/alexyph" TargetMode="External"/><Relationship Id="rId210" Type="http://schemas.openxmlformats.org/officeDocument/2006/relationships/hyperlink" Target="https://www.instagram.com/vrendonlin" TargetMode="External"/><Relationship Id="rId331" Type="http://schemas.openxmlformats.org/officeDocument/2006/relationships/hyperlink" Target="https://x.com/alexyyfrancisco" TargetMode="External"/><Relationship Id="rId370" Type="http://schemas.openxmlformats.org/officeDocument/2006/relationships/hyperlink" Target="https://www.instagram.com/edferdz" TargetMode="External"/><Relationship Id="rId129" Type="http://schemas.openxmlformats.org/officeDocument/2006/relationships/hyperlink" Target="https://www.facebook.com/Taiwan.1.ET" TargetMode="External"/><Relationship Id="rId128" Type="http://schemas.openxmlformats.org/officeDocument/2006/relationships/hyperlink" Target="https://www.instagram.com/dbj_et/" TargetMode="External"/><Relationship Id="rId249" Type="http://schemas.openxmlformats.org/officeDocument/2006/relationships/hyperlink" Target="https://twitter.com/HanBin_OW" TargetMode="External"/><Relationship Id="rId127" Type="http://schemas.openxmlformats.org/officeDocument/2006/relationships/hyperlink" Target="https://x.com/et1120" TargetMode="External"/><Relationship Id="rId248" Type="http://schemas.openxmlformats.org/officeDocument/2006/relationships/hyperlink" Target="https://www.youtube.com/channel/UCKLTHj9SshU_IwDLO12aDSw" TargetMode="External"/><Relationship Id="rId369" Type="http://schemas.openxmlformats.org/officeDocument/2006/relationships/hyperlink" Target="https://facebook.com/KyleTzyOfficial" TargetMode="External"/><Relationship Id="rId126" Type="http://schemas.openxmlformats.org/officeDocument/2006/relationships/hyperlink" Target="https://x.com/wess21111?lang=en" TargetMode="External"/><Relationship Id="rId247" Type="http://schemas.openxmlformats.org/officeDocument/2006/relationships/hyperlink" Target="https://www.twitch.tv/fielder_ow" TargetMode="External"/><Relationship Id="rId368" Type="http://schemas.openxmlformats.org/officeDocument/2006/relationships/hyperlink" Target="https://tiktok.com/@kyletzyofficial3" TargetMode="External"/><Relationship Id="rId121" Type="http://schemas.openxmlformats.org/officeDocument/2006/relationships/hyperlink" Target="https://www.instagram.com/rblz_vejrgang" TargetMode="External"/><Relationship Id="rId242" Type="http://schemas.openxmlformats.org/officeDocument/2006/relationships/hyperlink" Target="https://www.tiktok.com/@isfantasea" TargetMode="External"/><Relationship Id="rId363" Type="http://schemas.openxmlformats.org/officeDocument/2006/relationships/hyperlink" Target="https://www.instagram.com/flaptzyofficial" TargetMode="External"/><Relationship Id="rId120" Type="http://schemas.openxmlformats.org/officeDocument/2006/relationships/hyperlink" Target="https://twitter.com/FLC_Vejrgang" TargetMode="External"/><Relationship Id="rId241" Type="http://schemas.openxmlformats.org/officeDocument/2006/relationships/hyperlink" Target="https://www.youtube.com/@Isfantasea" TargetMode="External"/><Relationship Id="rId362" Type="http://schemas.openxmlformats.org/officeDocument/2006/relationships/hyperlink" Target="https://twitter.com/flapteezyy" TargetMode="External"/><Relationship Id="rId240" Type="http://schemas.openxmlformats.org/officeDocument/2006/relationships/hyperlink" Target="https://www.instagram.com/is.fantasea" TargetMode="External"/><Relationship Id="rId361" Type="http://schemas.openxmlformats.org/officeDocument/2006/relationships/hyperlink" Target="https://www.youtube.com/channel/UCZqBdOYsCpvvCfI5_R3-FCQ" TargetMode="External"/><Relationship Id="rId360" Type="http://schemas.openxmlformats.org/officeDocument/2006/relationships/hyperlink" Target="https://www.twitch.tv/pollofn6" TargetMode="External"/><Relationship Id="rId125" Type="http://schemas.openxmlformats.org/officeDocument/2006/relationships/hyperlink" Target="https://www.instagram.com/kreemvv/" TargetMode="External"/><Relationship Id="rId246" Type="http://schemas.openxmlformats.org/officeDocument/2006/relationships/hyperlink" Target="https://twitter.com/fielder_ow" TargetMode="External"/><Relationship Id="rId367" Type="http://schemas.openxmlformats.org/officeDocument/2006/relationships/hyperlink" Target="https://www.instagram.com/kyletzyofficial" TargetMode="External"/><Relationship Id="rId124" Type="http://schemas.openxmlformats.org/officeDocument/2006/relationships/hyperlink" Target="https://x.com/kiimo__1" TargetMode="External"/><Relationship Id="rId245" Type="http://schemas.openxmlformats.org/officeDocument/2006/relationships/hyperlink" Target="https://www.twitch.tv/chiyo_ow" TargetMode="External"/><Relationship Id="rId366" Type="http://schemas.openxmlformats.org/officeDocument/2006/relationships/hyperlink" Target="https://facebook.com/flapteezy" TargetMode="External"/><Relationship Id="rId123" Type="http://schemas.openxmlformats.org/officeDocument/2006/relationships/hyperlink" Target="https://www.youtube.com/AndersVejrgangofficial" TargetMode="External"/><Relationship Id="rId244" Type="http://schemas.openxmlformats.org/officeDocument/2006/relationships/hyperlink" Target="https://twitter.com/ChiYo_ow1" TargetMode="External"/><Relationship Id="rId365" Type="http://schemas.openxmlformats.org/officeDocument/2006/relationships/hyperlink" Target="https://tiktok.com/@flapofficial" TargetMode="External"/><Relationship Id="rId122" Type="http://schemas.openxmlformats.org/officeDocument/2006/relationships/hyperlink" Target="https://www.twitch.tv/anders_vejrgang" TargetMode="External"/><Relationship Id="rId243" Type="http://schemas.openxmlformats.org/officeDocument/2006/relationships/hyperlink" Target="https://www.facebook.com/isfan.satria.wijaya/" TargetMode="External"/><Relationship Id="rId364" Type="http://schemas.openxmlformats.org/officeDocument/2006/relationships/hyperlink" Target="https://www.youtube.com/flapgaming" TargetMode="External"/><Relationship Id="rId95" Type="http://schemas.openxmlformats.org/officeDocument/2006/relationships/hyperlink" Target="https://x.com/skiter" TargetMode="External"/><Relationship Id="rId94" Type="http://schemas.openxmlformats.org/officeDocument/2006/relationships/hyperlink" Target="https://x.com/NucleonZz" TargetMode="External"/><Relationship Id="rId97" Type="http://schemas.openxmlformats.org/officeDocument/2006/relationships/hyperlink" Target="https://x.com/Malr1ne_" TargetMode="External"/><Relationship Id="rId96" Type="http://schemas.openxmlformats.org/officeDocument/2006/relationships/hyperlink" Target="https://www.facebook.com/SkiterDota" TargetMode="External"/><Relationship Id="rId99" Type="http://schemas.openxmlformats.org/officeDocument/2006/relationships/hyperlink" Target="https://x.com/AmmarAlassaf6" TargetMode="External"/><Relationship Id="rId98" Type="http://schemas.openxmlformats.org/officeDocument/2006/relationships/hyperlink" Target="https://www.twitch.tv/malr1ne_dota" TargetMode="External"/><Relationship Id="rId91" Type="http://schemas.openxmlformats.org/officeDocument/2006/relationships/hyperlink" Target="https://www.youtube.com/NaToSaphiX" TargetMode="External"/><Relationship Id="rId90" Type="http://schemas.openxmlformats.org/officeDocument/2006/relationships/hyperlink" Target="https://www.twitch.tv/natosaphix" TargetMode="External"/><Relationship Id="rId93" Type="http://schemas.openxmlformats.org/officeDocument/2006/relationships/hyperlink" Target="https://www.instagram.com/neoskai/" TargetMode="External"/><Relationship Id="rId92" Type="http://schemas.openxmlformats.org/officeDocument/2006/relationships/hyperlink" Target="https://x.com/Neoskai" TargetMode="External"/><Relationship Id="rId118" Type="http://schemas.openxmlformats.org/officeDocument/2006/relationships/hyperlink" Target="https://www.tiktok.com/@javivillar7?lang=en" TargetMode="External"/><Relationship Id="rId239" Type="http://schemas.openxmlformats.org/officeDocument/2006/relationships/hyperlink" Target="https://x.com/isfantasea" TargetMode="External"/><Relationship Id="rId117" Type="http://schemas.openxmlformats.org/officeDocument/2006/relationships/hyperlink" Target="https://www.youtube.com/@javivillar7" TargetMode="External"/><Relationship Id="rId238" Type="http://schemas.openxmlformats.org/officeDocument/2006/relationships/hyperlink" Target="https://www.tiktok.com/@moziaulus" TargetMode="External"/><Relationship Id="rId359" Type="http://schemas.openxmlformats.org/officeDocument/2006/relationships/hyperlink" Target="https://x.com/pollofn6" TargetMode="External"/><Relationship Id="rId116" Type="http://schemas.openxmlformats.org/officeDocument/2006/relationships/hyperlink" Target="https://www.twitch.tv/javivillar7/" TargetMode="External"/><Relationship Id="rId237" Type="http://schemas.openxmlformats.org/officeDocument/2006/relationships/hyperlink" Target="https://www.youtube.com/@Moziaulus" TargetMode="External"/><Relationship Id="rId358" Type="http://schemas.openxmlformats.org/officeDocument/2006/relationships/hyperlink" Target="https://www.twitch.tv/Tapewaare" TargetMode="External"/><Relationship Id="rId115" Type="http://schemas.openxmlformats.org/officeDocument/2006/relationships/hyperlink" Target="https://x.com/Javivillar7" TargetMode="External"/><Relationship Id="rId236" Type="http://schemas.openxmlformats.org/officeDocument/2006/relationships/hyperlink" Target="https://www.instagram.com/moziaulus" TargetMode="External"/><Relationship Id="rId357" Type="http://schemas.openxmlformats.org/officeDocument/2006/relationships/hyperlink" Target="https://x.com/tapewaare" TargetMode="External"/><Relationship Id="rId119" Type="http://schemas.openxmlformats.org/officeDocument/2006/relationships/hyperlink" Target="https://x.com/msdossary7" TargetMode="External"/><Relationship Id="rId110" Type="http://schemas.openxmlformats.org/officeDocument/2006/relationships/hyperlink" Target="https://www.facebook.com/RealAfrOmoush" TargetMode="External"/><Relationship Id="rId231" Type="http://schemas.openxmlformats.org/officeDocument/2006/relationships/hyperlink" Target="https://www.tiktok.com/@livyipp" TargetMode="External"/><Relationship Id="rId352" Type="http://schemas.openxmlformats.org/officeDocument/2006/relationships/hyperlink" Target="https://x.com/Knox__77" TargetMode="External"/><Relationship Id="rId230" Type="http://schemas.openxmlformats.org/officeDocument/2006/relationships/hyperlink" Target="https://www.youtube.com/@Livyipp" TargetMode="External"/><Relationship Id="rId351" Type="http://schemas.openxmlformats.org/officeDocument/2006/relationships/hyperlink" Target="https://x.com/Manny7F" TargetMode="External"/><Relationship Id="rId350" Type="http://schemas.openxmlformats.org/officeDocument/2006/relationships/hyperlink" Target="https://x.com/MG2ReaL" TargetMode="External"/><Relationship Id="rId114" Type="http://schemas.openxmlformats.org/officeDocument/2006/relationships/hyperlink" Target="https://x.com/_Hafez10" TargetMode="External"/><Relationship Id="rId235" Type="http://schemas.openxmlformats.org/officeDocument/2006/relationships/hyperlink" Target="https://www.tiktok.com/@putraeka672_" TargetMode="External"/><Relationship Id="rId356" Type="http://schemas.openxmlformats.org/officeDocument/2006/relationships/hyperlink" Target="https://www.youtube.com/channel/UC4Zh2qa4jYyE2Rmy8KGINLQ" TargetMode="External"/><Relationship Id="rId113" Type="http://schemas.openxmlformats.org/officeDocument/2006/relationships/hyperlink" Target="https://www.twitch.tv/goatmoh" TargetMode="External"/><Relationship Id="rId234" Type="http://schemas.openxmlformats.org/officeDocument/2006/relationships/hyperlink" Target="https://www.instagram.com/putraeka672_" TargetMode="External"/><Relationship Id="rId355" Type="http://schemas.openxmlformats.org/officeDocument/2006/relationships/hyperlink" Target="https://www.twitch.tv/swooty18" TargetMode="External"/><Relationship Id="rId112" Type="http://schemas.openxmlformats.org/officeDocument/2006/relationships/hyperlink" Target="https://x.com/GoatMoh_" TargetMode="External"/><Relationship Id="rId233" Type="http://schemas.openxmlformats.org/officeDocument/2006/relationships/hyperlink" Target="https://www.tiktok.com/@angeliagathaa" TargetMode="External"/><Relationship Id="rId354" Type="http://schemas.openxmlformats.org/officeDocument/2006/relationships/hyperlink" Target="https://x.com/SwootyWRLD" TargetMode="External"/><Relationship Id="rId111" Type="http://schemas.openxmlformats.org/officeDocument/2006/relationships/hyperlink" Target="https://x.com/thisisallencook" TargetMode="External"/><Relationship Id="rId232" Type="http://schemas.openxmlformats.org/officeDocument/2006/relationships/hyperlink" Target="https://www.instagram.com/angeliagathaa" TargetMode="External"/><Relationship Id="rId353" Type="http://schemas.openxmlformats.org/officeDocument/2006/relationships/hyperlink" Target="https://www.twitch.tv/iimlk_11" TargetMode="External"/><Relationship Id="rId305" Type="http://schemas.openxmlformats.org/officeDocument/2006/relationships/hyperlink" Target="https://x.com/kiileerrz" TargetMode="External"/><Relationship Id="rId304" Type="http://schemas.openxmlformats.org/officeDocument/2006/relationships/hyperlink" Target="https://www.twitch.tv/dralii" TargetMode="External"/><Relationship Id="rId303" Type="http://schemas.openxmlformats.org/officeDocument/2006/relationships/hyperlink" Target="https://twitter.com/dralii897" TargetMode="External"/><Relationship Id="rId302" Type="http://schemas.openxmlformats.org/officeDocument/2006/relationships/hyperlink" Target="https://x.com/id7oom_24" TargetMode="External"/><Relationship Id="rId309" Type="http://schemas.openxmlformats.org/officeDocument/2006/relationships/hyperlink" Target="https://x.com/KOR_Bunny" TargetMode="External"/><Relationship Id="rId308" Type="http://schemas.openxmlformats.org/officeDocument/2006/relationships/hyperlink" Target="https://www.twitch.tv/rl_rw9" TargetMode="External"/><Relationship Id="rId307" Type="http://schemas.openxmlformats.org/officeDocument/2006/relationships/hyperlink" Target="https://x.com/Rw9_RL" TargetMode="External"/><Relationship Id="rId306" Type="http://schemas.openxmlformats.org/officeDocument/2006/relationships/hyperlink" Target="https://www.twitch.tv/kiileerrz" TargetMode="External"/><Relationship Id="rId301" Type="http://schemas.openxmlformats.org/officeDocument/2006/relationships/hyperlink" Target="https://twitter.com/AzzamAljabr" TargetMode="External"/><Relationship Id="rId300" Type="http://schemas.openxmlformats.org/officeDocument/2006/relationships/hyperlink" Target="https://www.youtube.com/@julioakajulio" TargetMode="External"/><Relationship Id="rId415" Type="http://schemas.openxmlformats.org/officeDocument/2006/relationships/hyperlink" Target="https://kick.com/pg-ghala3" TargetMode="External"/><Relationship Id="rId414" Type="http://schemas.openxmlformats.org/officeDocument/2006/relationships/hyperlink" Target="https://www.tiktok.com/@pg_ghala3" TargetMode="External"/><Relationship Id="rId413" Type="http://schemas.openxmlformats.org/officeDocument/2006/relationships/hyperlink" Target="https://www.youtube.com/@pg_ghala3" TargetMode="External"/><Relationship Id="rId412" Type="http://schemas.openxmlformats.org/officeDocument/2006/relationships/hyperlink" Target="https://www.instagram.com/pg_ghala3" TargetMode="External"/><Relationship Id="rId417" Type="http://schemas.openxmlformats.org/officeDocument/2006/relationships/drawing" Target="../drawings/drawing2.xml"/><Relationship Id="rId416" Type="http://schemas.openxmlformats.org/officeDocument/2006/relationships/hyperlink" Target="https://snapchat.com/t/bLA2ZOsG" TargetMode="External"/><Relationship Id="rId411" Type="http://schemas.openxmlformats.org/officeDocument/2006/relationships/hyperlink" Target="https://x.com/pg_ghala3?lang=en" TargetMode="External"/><Relationship Id="rId410" Type="http://schemas.openxmlformats.org/officeDocument/2006/relationships/hyperlink" Target="https://www.tiktok.com/@maryvalorant" TargetMode="External"/><Relationship Id="rId206" Type="http://schemas.openxmlformats.org/officeDocument/2006/relationships/hyperlink" Target="https://facebook.com/Hadjizyyyyy" TargetMode="External"/><Relationship Id="rId327" Type="http://schemas.openxmlformats.org/officeDocument/2006/relationships/hyperlink" Target="https://www.instagram.com/farzeen_tk/" TargetMode="External"/><Relationship Id="rId205" Type="http://schemas.openxmlformats.org/officeDocument/2006/relationships/hyperlink" Target="https://www.tiktok.com/@hadjizy_" TargetMode="External"/><Relationship Id="rId326" Type="http://schemas.openxmlformats.org/officeDocument/2006/relationships/hyperlink" Target="https://x.com/Farzeen_tk" TargetMode="External"/><Relationship Id="rId204" Type="http://schemas.openxmlformats.org/officeDocument/2006/relationships/hyperlink" Target="https://www.instagram.com/hadjizy" TargetMode="External"/><Relationship Id="rId325" Type="http://schemas.openxmlformats.org/officeDocument/2006/relationships/hyperlink" Target="https://x.com/AtifButt540" TargetMode="External"/><Relationship Id="rId203" Type="http://schemas.openxmlformats.org/officeDocument/2006/relationships/hyperlink" Target="https://www.facebook.com/FLCNSupermarco" TargetMode="External"/><Relationship Id="rId324" Type="http://schemas.openxmlformats.org/officeDocument/2006/relationships/hyperlink" Target="https://www.twitch.tv/aqeel9h" TargetMode="External"/><Relationship Id="rId209" Type="http://schemas.openxmlformats.org/officeDocument/2006/relationships/hyperlink" Target="https://www.facebook.com/liquidcoachmoody/" TargetMode="External"/><Relationship Id="rId208" Type="http://schemas.openxmlformats.org/officeDocument/2006/relationships/hyperlink" Target="https://www.tiktok.com/@flcn.moody" TargetMode="External"/><Relationship Id="rId329" Type="http://schemas.openxmlformats.org/officeDocument/2006/relationships/hyperlink" Target="https://x.com/usamatekken708" TargetMode="External"/><Relationship Id="rId207" Type="http://schemas.openxmlformats.org/officeDocument/2006/relationships/hyperlink" Target="https://www.instagram.com/moodysamal" TargetMode="External"/><Relationship Id="rId328" Type="http://schemas.openxmlformats.org/officeDocument/2006/relationships/hyperlink" Target="https://x.com/tk_numanch" TargetMode="External"/><Relationship Id="rId202" Type="http://schemas.openxmlformats.org/officeDocument/2006/relationships/hyperlink" Target="https://www.tiktok.com/@flcnsupermarco" TargetMode="External"/><Relationship Id="rId323" Type="http://schemas.openxmlformats.org/officeDocument/2006/relationships/hyperlink" Target="https://x.com/mka988" TargetMode="External"/><Relationship Id="rId201" Type="http://schemas.openxmlformats.org/officeDocument/2006/relationships/hyperlink" Target="https://www.tiktok.com/@flcnsupermarco" TargetMode="External"/><Relationship Id="rId322" Type="http://schemas.openxmlformats.org/officeDocument/2006/relationships/hyperlink" Target="https://x.com/ghirlandatekken" TargetMode="External"/><Relationship Id="rId200" Type="http://schemas.openxmlformats.org/officeDocument/2006/relationships/hyperlink" Target="https://facebook.com/Ogiiiieeen" TargetMode="External"/><Relationship Id="rId321" Type="http://schemas.openxmlformats.org/officeDocument/2006/relationships/hyperlink" Target="https://x.com/Xiaohai_" TargetMode="External"/><Relationship Id="rId320" Type="http://schemas.openxmlformats.org/officeDocument/2006/relationships/hyperlink" Target="https://www.youtube.com/@nltv9433" TargetMode="External"/><Relationship Id="rId316" Type="http://schemas.openxmlformats.org/officeDocument/2006/relationships/hyperlink" Target="https://twitter.com/MaivineKusanagi" TargetMode="External"/><Relationship Id="rId315" Type="http://schemas.openxmlformats.org/officeDocument/2006/relationships/hyperlink" Target="https://x.com/CraimeCL" TargetMode="External"/><Relationship Id="rId314" Type="http://schemas.openxmlformats.org/officeDocument/2006/relationships/hyperlink" Target="https://www.twitch.tv/sc2solar" TargetMode="External"/><Relationship Id="rId313" Type="http://schemas.openxmlformats.org/officeDocument/2006/relationships/hyperlink" Target="https://www.instagram.com/sc2solar/" TargetMode="External"/><Relationship Id="rId319" Type="http://schemas.openxmlformats.org/officeDocument/2006/relationships/hyperlink" Target="https://www.twitch.tv/jungjil" TargetMode="External"/><Relationship Id="rId318" Type="http://schemas.openxmlformats.org/officeDocument/2006/relationships/hyperlink" Target="https://x.com/sf5nl" TargetMode="External"/><Relationship Id="rId317" Type="http://schemas.openxmlformats.org/officeDocument/2006/relationships/hyperlink" Target="https://www.twitch.tv/KusanagiSF6" TargetMode="External"/><Relationship Id="rId312" Type="http://schemas.openxmlformats.org/officeDocument/2006/relationships/hyperlink" Target="https://x.com/SC2_Solar" TargetMode="External"/><Relationship Id="rId311" Type="http://schemas.openxmlformats.org/officeDocument/2006/relationships/hyperlink" Target="https://www.instagram.com/b_ryul.l/" TargetMode="External"/><Relationship Id="rId310" Type="http://schemas.openxmlformats.org/officeDocument/2006/relationships/hyperlink" Target="https://www.instagram.com/sc2_jlee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5E1F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40.13"/>
    <col customWidth="1" min="3" max="3" width="15.13"/>
    <col customWidth="1" min="4" max="4" width="25.13"/>
  </cols>
  <sheetData>
    <row r="1" ht="45.0" customHeight="1">
      <c r="A1" s="1" t="s">
        <v>0</v>
      </c>
    </row>
    <row r="2" ht="26.25" customHeight="1">
      <c r="A2" s="2" t="s">
        <v>1</v>
      </c>
    </row>
    <row r="4" ht="26.25" customHeight="1">
      <c r="A4" s="3" t="s">
        <v>2</v>
      </c>
    </row>
    <row r="5" ht="24.0" customHeight="1">
      <c r="A5" s="4" t="s">
        <v>3</v>
      </c>
      <c r="B5" s="4" t="s">
        <v>4</v>
      </c>
      <c r="C5" s="4" t="s">
        <v>5</v>
      </c>
      <c r="D5" s="4" t="s">
        <v>6</v>
      </c>
    </row>
    <row r="6">
      <c r="A6" s="5" t="s">
        <v>7</v>
      </c>
      <c r="B6" s="5" t="s">
        <v>8</v>
      </c>
      <c r="C6" s="5" t="s">
        <v>9</v>
      </c>
      <c r="D6" s="5" t="s">
        <v>10</v>
      </c>
    </row>
    <row r="7">
      <c r="A7" s="6" t="s">
        <v>11</v>
      </c>
      <c r="B7" s="6" t="s">
        <v>12</v>
      </c>
      <c r="C7" s="6" t="s">
        <v>13</v>
      </c>
      <c r="D7" s="6" t="s">
        <v>14</v>
      </c>
    </row>
    <row r="8">
      <c r="A8" s="5" t="s">
        <v>15</v>
      </c>
      <c r="B8" s="5" t="s">
        <v>16</v>
      </c>
      <c r="C8" s="5" t="s">
        <v>13</v>
      </c>
      <c r="D8" s="5" t="s">
        <v>17</v>
      </c>
    </row>
    <row r="9">
      <c r="A9" s="7" t="s">
        <v>18</v>
      </c>
      <c r="B9" s="7" t="s">
        <v>19</v>
      </c>
      <c r="C9" s="7" t="s">
        <v>13</v>
      </c>
      <c r="D9" s="7" t="s">
        <v>20</v>
      </c>
    </row>
    <row r="10">
      <c r="A10" s="5" t="s">
        <v>21</v>
      </c>
      <c r="B10" s="5" t="s">
        <v>22</v>
      </c>
      <c r="C10" s="5" t="s">
        <v>13</v>
      </c>
      <c r="D10" s="5" t="s">
        <v>23</v>
      </c>
    </row>
    <row r="11">
      <c r="A11" s="6" t="s">
        <v>24</v>
      </c>
      <c r="B11" s="6" t="s">
        <v>25</v>
      </c>
      <c r="C11" s="6" t="s">
        <v>13</v>
      </c>
      <c r="D11" s="6" t="s">
        <v>23</v>
      </c>
    </row>
    <row r="12">
      <c r="A12" s="5" t="s">
        <v>26</v>
      </c>
      <c r="B12" s="5" t="s">
        <v>27</v>
      </c>
      <c r="C12" s="5" t="s">
        <v>13</v>
      </c>
      <c r="D12" s="5" t="s">
        <v>28</v>
      </c>
    </row>
    <row r="13">
      <c r="A13" s="6" t="s">
        <v>29</v>
      </c>
      <c r="B13" s="6" t="s">
        <v>30</v>
      </c>
      <c r="C13" s="6" t="s">
        <v>31</v>
      </c>
      <c r="D13" s="6" t="s">
        <v>32</v>
      </c>
    </row>
    <row r="14">
      <c r="A14" s="5" t="s">
        <v>33</v>
      </c>
      <c r="B14" s="5" t="s">
        <v>34</v>
      </c>
      <c r="C14" s="5" t="s">
        <v>9</v>
      </c>
      <c r="D14" s="5" t="s">
        <v>35</v>
      </c>
    </row>
    <row r="15">
      <c r="A15" s="6" t="s">
        <v>36</v>
      </c>
      <c r="B15" s="6" t="s">
        <v>37</v>
      </c>
      <c r="C15" s="6" t="s">
        <v>9</v>
      </c>
      <c r="D15" s="8" t="s">
        <v>38</v>
      </c>
    </row>
    <row r="16">
      <c r="A16" s="5" t="s">
        <v>39</v>
      </c>
      <c r="B16" s="5" t="s">
        <v>40</v>
      </c>
      <c r="C16" s="5" t="s">
        <v>41</v>
      </c>
      <c r="D16" s="5" t="s">
        <v>42</v>
      </c>
    </row>
    <row r="17">
      <c r="A17" s="6" t="s">
        <v>43</v>
      </c>
      <c r="B17" s="6" t="s">
        <v>44</v>
      </c>
      <c r="C17" s="6" t="s">
        <v>45</v>
      </c>
      <c r="D17" s="6" t="s">
        <v>46</v>
      </c>
    </row>
    <row r="18">
      <c r="A18" s="5" t="s">
        <v>47</v>
      </c>
      <c r="B18" s="5" t="s">
        <v>48</v>
      </c>
      <c r="C18" s="5" t="s">
        <v>45</v>
      </c>
      <c r="D18" s="5" t="s">
        <v>49</v>
      </c>
    </row>
    <row r="20" ht="26.25" customHeight="1">
      <c r="A20" s="3" t="s">
        <v>50</v>
      </c>
    </row>
    <row r="21">
      <c r="A21" s="9" t="s">
        <v>51</v>
      </c>
      <c r="B21" s="10" t="str">
        <f> Engagement × Audience × Authority × Timing × Language × Production</f>
        <v>#ERROR!</v>
      </c>
      <c r="C21" s="10"/>
      <c r="D21" s="10"/>
    </row>
    <row r="22">
      <c r="A22" s="11" t="s">
        <v>52</v>
      </c>
      <c r="B22" s="12" t="str">
        <f> Card Rate × Opening Factor × Adj Mult(capped at Card Rate)</f>
        <v>#ERROR!</v>
      </c>
      <c r="C22" s="12"/>
      <c r="D22" s="12"/>
    </row>
    <row r="23">
      <c r="A23" s="9" t="s">
        <v>53</v>
      </c>
      <c r="B23" s="10" t="str">
        <f> Organic Unit Rate × Qty ×(1 + Rights Uplift + Add-on Uplift)</f>
        <v>#ERROR!</v>
      </c>
      <c r="C23" s="10"/>
      <c r="D23" s="10"/>
    </row>
    <row r="25" ht="26.25" customHeight="1">
      <c r="A25" s="3" t="s">
        <v>54</v>
      </c>
    </row>
    <row r="26">
      <c r="A26" s="13" t="s">
        <v>55</v>
      </c>
      <c r="B26" s="13" t="s">
        <v>56</v>
      </c>
      <c r="C26" s="14"/>
      <c r="D26" s="14"/>
    </row>
    <row r="27">
      <c r="A27" s="15" t="s">
        <v>57</v>
      </c>
      <c r="B27" s="15" t="s">
        <v>58</v>
      </c>
      <c r="C27" s="16"/>
      <c r="D27" s="16"/>
    </row>
    <row r="28">
      <c r="A28" s="17" t="s">
        <v>59</v>
      </c>
      <c r="B28" s="17" t="s">
        <v>60</v>
      </c>
      <c r="C28" s="18"/>
      <c r="D28" s="18"/>
    </row>
    <row r="29" ht="26.25" customHeight="1">
      <c r="A29" s="19"/>
    </row>
    <row r="30">
      <c r="A30" s="20" t="s">
        <v>61</v>
      </c>
      <c r="B30" s="21"/>
      <c r="C30" s="21"/>
      <c r="D30" s="21"/>
    </row>
    <row r="31">
      <c r="A31" s="22" t="s">
        <v>62</v>
      </c>
      <c r="B31" s="23" t="s">
        <v>63</v>
      </c>
      <c r="C31" s="24"/>
      <c r="D31" s="24"/>
    </row>
    <row r="32">
      <c r="A32" s="20" t="s">
        <v>64</v>
      </c>
      <c r="B32" s="25" t="s">
        <v>65</v>
      </c>
      <c r="C32" s="21"/>
      <c r="D32" s="21"/>
    </row>
    <row r="33">
      <c r="A33" s="26" t="s">
        <v>66</v>
      </c>
      <c r="B33" s="26" t="s">
        <v>67</v>
      </c>
    </row>
    <row r="34">
      <c r="A34" s="27"/>
    </row>
    <row r="35">
      <c r="A35" s="26" t="s">
        <v>68</v>
      </c>
    </row>
  </sheetData>
  <mergeCells count="7">
    <mergeCell ref="A1:D1"/>
    <mergeCell ref="A2:D2"/>
    <mergeCell ref="A4:D4"/>
    <mergeCell ref="A20:D20"/>
    <mergeCell ref="A25:D25"/>
    <mergeCell ref="A29:D29"/>
    <mergeCell ref="A34:D3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5E1F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26" t="s">
        <v>69</v>
      </c>
    </row>
    <row r="4">
      <c r="A4" s="26" t="s">
        <v>70</v>
      </c>
      <c r="B4" s="26" t="s">
        <v>71</v>
      </c>
      <c r="C4" s="26" t="s">
        <v>72</v>
      </c>
      <c r="D4" s="26" t="s">
        <v>73</v>
      </c>
      <c r="E4" s="26" t="s">
        <v>74</v>
      </c>
      <c r="F4" s="26" t="s">
        <v>75</v>
      </c>
      <c r="G4" s="26" t="s">
        <v>76</v>
      </c>
      <c r="H4" s="26" t="s">
        <v>77</v>
      </c>
      <c r="I4" s="26" t="s">
        <v>78</v>
      </c>
      <c r="J4" s="26" t="s">
        <v>79</v>
      </c>
      <c r="K4" s="26" t="s">
        <v>80</v>
      </c>
      <c r="L4" s="26" t="s">
        <v>81</v>
      </c>
      <c r="M4" s="26" t="s">
        <v>82</v>
      </c>
      <c r="N4" s="26" t="s">
        <v>83</v>
      </c>
      <c r="O4" s="26" t="s">
        <v>84</v>
      </c>
      <c r="P4" s="26" t="s">
        <v>85</v>
      </c>
      <c r="Q4" s="26" t="s">
        <v>86</v>
      </c>
      <c r="R4" s="26" t="s">
        <v>87</v>
      </c>
      <c r="S4" s="26" t="s">
        <v>88</v>
      </c>
      <c r="T4" s="26" t="s">
        <v>89</v>
      </c>
      <c r="U4" s="26" t="s">
        <v>90</v>
      </c>
      <c r="V4" s="26" t="s">
        <v>91</v>
      </c>
      <c r="W4" s="26" t="s">
        <v>92</v>
      </c>
      <c r="X4" s="26" t="s">
        <v>93</v>
      </c>
      <c r="Y4" s="26" t="s">
        <v>94</v>
      </c>
      <c r="Z4" s="26" t="s">
        <v>95</v>
      </c>
      <c r="AA4" s="26" t="s">
        <v>96</v>
      </c>
      <c r="AB4" s="26" t="s">
        <v>97</v>
      </c>
      <c r="AC4" s="26" t="s">
        <v>98</v>
      </c>
      <c r="AD4" s="26" t="s">
        <v>99</v>
      </c>
      <c r="AE4" s="26" t="s">
        <v>100</v>
      </c>
      <c r="AF4" s="26" t="s">
        <v>101</v>
      </c>
      <c r="AG4" s="26" t="s">
        <v>102</v>
      </c>
      <c r="AH4" s="26" t="s">
        <v>103</v>
      </c>
      <c r="AI4" s="26" t="s">
        <v>104</v>
      </c>
      <c r="AJ4" s="26" t="s">
        <v>105</v>
      </c>
    </row>
    <row r="5">
      <c r="A5" s="28">
        <v>1.0</v>
      </c>
      <c r="B5" s="26" t="s">
        <v>106</v>
      </c>
      <c r="C5" s="26" t="s">
        <v>107</v>
      </c>
      <c r="D5" s="26" t="s">
        <v>108</v>
      </c>
      <c r="E5" s="26" t="s">
        <v>109</v>
      </c>
      <c r="F5" s="26" t="s">
        <v>110</v>
      </c>
      <c r="G5" s="28">
        <v>1.0</v>
      </c>
      <c r="H5" s="26" t="s">
        <v>111</v>
      </c>
      <c r="I5" s="26" t="s">
        <v>112</v>
      </c>
      <c r="J5" s="26" t="s">
        <v>112</v>
      </c>
      <c r="K5" s="26" t="s">
        <v>112</v>
      </c>
      <c r="L5" s="26" t="s">
        <v>112</v>
      </c>
      <c r="M5" s="26" t="s">
        <v>112</v>
      </c>
      <c r="N5" s="26" t="s">
        <v>112</v>
      </c>
      <c r="O5" s="26" t="s">
        <v>112</v>
      </c>
      <c r="P5" s="28">
        <v>7500.0</v>
      </c>
      <c r="Q5" s="26" t="s">
        <v>112</v>
      </c>
      <c r="R5" s="26" t="s">
        <v>112</v>
      </c>
      <c r="S5" s="26" t="s">
        <v>112</v>
      </c>
      <c r="T5" s="26" t="s">
        <v>112</v>
      </c>
      <c r="U5" s="28">
        <v>0.3</v>
      </c>
      <c r="V5" s="28">
        <v>1.0</v>
      </c>
      <c r="W5" s="26" t="s">
        <v>113</v>
      </c>
      <c r="X5" s="26" t="s">
        <v>114</v>
      </c>
      <c r="Y5" s="29" t="s">
        <v>115</v>
      </c>
    </row>
    <row r="6">
      <c r="A6" s="28">
        <v>2.0</v>
      </c>
      <c r="B6" s="26" t="s">
        <v>116</v>
      </c>
      <c r="C6" s="26" t="s">
        <v>117</v>
      </c>
      <c r="D6" s="26" t="s">
        <v>118</v>
      </c>
      <c r="E6" s="26" t="s">
        <v>118</v>
      </c>
      <c r="F6" s="26" t="s">
        <v>119</v>
      </c>
      <c r="G6" s="28">
        <v>2.0</v>
      </c>
      <c r="H6" s="26" t="s">
        <v>120</v>
      </c>
      <c r="I6" s="26" t="s">
        <v>112</v>
      </c>
      <c r="J6" s="26" t="s">
        <v>112</v>
      </c>
      <c r="K6" s="26" t="s">
        <v>112</v>
      </c>
      <c r="L6" s="26" t="s">
        <v>112</v>
      </c>
      <c r="M6" s="26" t="s">
        <v>112</v>
      </c>
      <c r="N6" s="26" t="s">
        <v>112</v>
      </c>
      <c r="O6" s="26" t="s">
        <v>112</v>
      </c>
      <c r="P6" s="28">
        <v>15000.0</v>
      </c>
      <c r="Q6" s="26" t="s">
        <v>112</v>
      </c>
      <c r="R6" s="26" t="s">
        <v>112</v>
      </c>
      <c r="S6" s="26" t="s">
        <v>112</v>
      </c>
      <c r="T6" s="26" t="s">
        <v>112</v>
      </c>
      <c r="U6" s="28">
        <v>0.3</v>
      </c>
      <c r="V6" s="28">
        <v>1.0</v>
      </c>
      <c r="W6" s="26" t="s">
        <v>121</v>
      </c>
      <c r="X6" s="26" t="s">
        <v>122</v>
      </c>
      <c r="Y6" s="29" t="s">
        <v>123</v>
      </c>
      <c r="AA6" s="29" t="s">
        <v>124</v>
      </c>
    </row>
    <row r="7">
      <c r="A7" s="28">
        <v>3.0</v>
      </c>
      <c r="B7" s="26" t="s">
        <v>125</v>
      </c>
      <c r="C7" s="26" t="s">
        <v>126</v>
      </c>
      <c r="D7" s="26" t="s">
        <v>118</v>
      </c>
      <c r="E7" s="26" t="s">
        <v>118</v>
      </c>
      <c r="F7" s="26" t="s">
        <v>110</v>
      </c>
      <c r="G7" s="28">
        <v>2.0</v>
      </c>
      <c r="H7" s="26" t="s">
        <v>127</v>
      </c>
      <c r="I7" s="28">
        <v>11000.0</v>
      </c>
      <c r="J7" s="28">
        <v>4600.0</v>
      </c>
      <c r="K7" s="28">
        <v>8600.0</v>
      </c>
      <c r="L7" s="28">
        <v>3500.0</v>
      </c>
      <c r="M7" s="28">
        <v>2200.0</v>
      </c>
      <c r="N7" s="28">
        <v>15950.0</v>
      </c>
      <c r="O7" s="28">
        <v>7150.0</v>
      </c>
      <c r="P7" s="28">
        <v>24200.0</v>
      </c>
      <c r="Q7" s="28">
        <v>3850.0</v>
      </c>
      <c r="R7" s="28">
        <v>3300.0</v>
      </c>
      <c r="S7" s="28">
        <v>2000.0</v>
      </c>
      <c r="T7" s="28">
        <v>2400.0</v>
      </c>
      <c r="U7" s="28">
        <v>0.15</v>
      </c>
      <c r="V7" s="28">
        <v>1.0</v>
      </c>
      <c r="W7" s="26" t="s">
        <v>121</v>
      </c>
      <c r="X7" s="26" t="s">
        <v>128</v>
      </c>
      <c r="Y7" s="29" t="s">
        <v>129</v>
      </c>
      <c r="Z7" s="26" t="s">
        <v>130</v>
      </c>
      <c r="AA7" s="29" t="s">
        <v>131</v>
      </c>
      <c r="AB7" s="26" t="s">
        <v>132</v>
      </c>
    </row>
    <row r="8">
      <c r="A8" s="28">
        <v>4.0</v>
      </c>
      <c r="B8" s="26" t="s">
        <v>133</v>
      </c>
      <c r="C8" s="26" t="s">
        <v>134</v>
      </c>
      <c r="D8" s="26" t="s">
        <v>118</v>
      </c>
      <c r="E8" s="26" t="s">
        <v>118</v>
      </c>
      <c r="F8" s="26" t="s">
        <v>135</v>
      </c>
      <c r="G8" s="28">
        <v>4.0</v>
      </c>
      <c r="H8" s="26" t="s">
        <v>127</v>
      </c>
      <c r="I8" s="28">
        <v>20700.0</v>
      </c>
      <c r="J8" s="28">
        <v>8700.0</v>
      </c>
      <c r="K8" s="28">
        <v>16150.0</v>
      </c>
      <c r="L8" s="28">
        <v>6600.0</v>
      </c>
      <c r="M8" s="28">
        <v>4150.0</v>
      </c>
      <c r="N8" s="28">
        <v>30000.0</v>
      </c>
      <c r="O8" s="28">
        <v>13450.0</v>
      </c>
      <c r="P8" s="28">
        <v>45550.0</v>
      </c>
      <c r="Q8" s="28">
        <v>7250.0</v>
      </c>
      <c r="R8" s="28">
        <v>6200.0</v>
      </c>
      <c r="S8" s="28">
        <v>3750.0</v>
      </c>
      <c r="T8" s="26" t="s">
        <v>112</v>
      </c>
      <c r="U8" s="28">
        <v>0.3</v>
      </c>
      <c r="V8" s="28">
        <v>1.0</v>
      </c>
      <c r="W8" s="26" t="s">
        <v>136</v>
      </c>
      <c r="X8" s="26" t="s">
        <v>137</v>
      </c>
      <c r="Y8" s="29" t="s">
        <v>138</v>
      </c>
      <c r="AA8" s="29" t="s">
        <v>139</v>
      </c>
      <c r="AB8" s="29" t="s">
        <v>140</v>
      </c>
      <c r="AC8" s="29" t="s">
        <v>141</v>
      </c>
    </row>
    <row r="9">
      <c r="A9" s="28">
        <v>5.0</v>
      </c>
      <c r="B9" s="26" t="s">
        <v>142</v>
      </c>
      <c r="C9" s="26" t="s">
        <v>126</v>
      </c>
      <c r="D9" s="26" t="s">
        <v>118</v>
      </c>
      <c r="E9" s="26" t="s">
        <v>118</v>
      </c>
      <c r="F9" s="26" t="s">
        <v>119</v>
      </c>
      <c r="G9" s="28">
        <v>2.0</v>
      </c>
      <c r="H9" s="26" t="s">
        <v>120</v>
      </c>
      <c r="I9" s="28">
        <v>11250.0</v>
      </c>
      <c r="J9" s="28">
        <v>4500.0</v>
      </c>
      <c r="K9" s="28">
        <v>8000.0</v>
      </c>
      <c r="L9" s="28">
        <v>3500.0</v>
      </c>
      <c r="M9" s="28">
        <v>2000.0</v>
      </c>
      <c r="N9" s="28">
        <v>13500.0</v>
      </c>
      <c r="O9" s="28">
        <v>6075.0</v>
      </c>
      <c r="P9" s="28">
        <v>15000.0</v>
      </c>
      <c r="Q9" s="28">
        <v>4638.0</v>
      </c>
      <c r="R9" s="28">
        <v>4063.0</v>
      </c>
      <c r="S9" s="28">
        <v>2438.0</v>
      </c>
      <c r="T9" s="28">
        <v>2400.0</v>
      </c>
      <c r="U9" s="28">
        <v>0.75</v>
      </c>
      <c r="V9" s="28">
        <v>1.0</v>
      </c>
      <c r="W9" s="26" t="s">
        <v>121</v>
      </c>
      <c r="X9" s="26" t="s">
        <v>143</v>
      </c>
      <c r="Y9" s="29" t="s">
        <v>144</v>
      </c>
      <c r="Z9" s="26" t="s">
        <v>145</v>
      </c>
      <c r="AA9" s="29" t="s">
        <v>146</v>
      </c>
    </row>
    <row r="10">
      <c r="A10" s="28">
        <v>6.0</v>
      </c>
      <c r="B10" s="26" t="s">
        <v>147</v>
      </c>
      <c r="C10" s="26" t="s">
        <v>117</v>
      </c>
      <c r="D10" s="26" t="s">
        <v>148</v>
      </c>
      <c r="E10" s="26" t="s">
        <v>149</v>
      </c>
      <c r="F10" s="26" t="s">
        <v>110</v>
      </c>
      <c r="G10" s="28">
        <v>3.0</v>
      </c>
      <c r="H10" s="26" t="s">
        <v>120</v>
      </c>
      <c r="I10" s="28">
        <v>5700.0</v>
      </c>
      <c r="J10" s="28">
        <v>2400.0</v>
      </c>
      <c r="K10" s="28">
        <v>4450.0</v>
      </c>
      <c r="L10" s="28">
        <v>1850.0</v>
      </c>
      <c r="M10" s="28">
        <v>1150.0</v>
      </c>
      <c r="N10" s="28">
        <v>8300.0</v>
      </c>
      <c r="O10" s="28">
        <v>3700.0</v>
      </c>
      <c r="P10" s="28">
        <v>12600.0</v>
      </c>
      <c r="Q10" s="28">
        <v>2000.0</v>
      </c>
      <c r="R10" s="28">
        <v>1700.0</v>
      </c>
      <c r="S10" s="28">
        <v>1050.0</v>
      </c>
      <c r="T10" s="26" t="s">
        <v>112</v>
      </c>
      <c r="U10" s="28">
        <v>0.3</v>
      </c>
      <c r="V10" s="28">
        <v>1.0</v>
      </c>
      <c r="W10" s="26" t="s">
        <v>150</v>
      </c>
      <c r="X10" s="26" t="s">
        <v>151</v>
      </c>
      <c r="Y10" s="29" t="s">
        <v>152</v>
      </c>
      <c r="Z10" s="29" t="s">
        <v>153</v>
      </c>
      <c r="AA10" s="29" t="s">
        <v>154</v>
      </c>
    </row>
    <row r="11">
      <c r="A11" s="28">
        <v>7.0</v>
      </c>
      <c r="B11" s="26" t="s">
        <v>155</v>
      </c>
      <c r="C11" s="26" t="s">
        <v>156</v>
      </c>
      <c r="D11" s="26" t="s">
        <v>148</v>
      </c>
      <c r="E11" s="26" t="s">
        <v>149</v>
      </c>
      <c r="F11" s="26" t="s">
        <v>157</v>
      </c>
      <c r="G11" s="28">
        <v>1.0</v>
      </c>
      <c r="H11" s="26" t="s">
        <v>120</v>
      </c>
      <c r="I11" s="26" t="s">
        <v>112</v>
      </c>
      <c r="J11" s="26" t="s">
        <v>112</v>
      </c>
      <c r="K11" s="26" t="s">
        <v>112</v>
      </c>
      <c r="L11" s="26" t="s">
        <v>112</v>
      </c>
      <c r="M11" s="26" t="s">
        <v>112</v>
      </c>
      <c r="N11" s="26" t="s">
        <v>112</v>
      </c>
      <c r="O11" s="26" t="s">
        <v>112</v>
      </c>
      <c r="P11" s="28">
        <v>15000.0</v>
      </c>
      <c r="Q11" s="26" t="s">
        <v>112</v>
      </c>
      <c r="R11" s="26" t="s">
        <v>112</v>
      </c>
      <c r="S11" s="26" t="s">
        <v>112</v>
      </c>
      <c r="T11" s="26" t="s">
        <v>112</v>
      </c>
      <c r="U11" s="28">
        <v>0.3</v>
      </c>
      <c r="V11" s="28">
        <v>1.0</v>
      </c>
      <c r="W11" s="26" t="s">
        <v>113</v>
      </c>
      <c r="X11" s="26" t="s">
        <v>158</v>
      </c>
      <c r="Y11" s="29" t="s">
        <v>159</v>
      </c>
    </row>
    <row r="12">
      <c r="A12" s="28">
        <v>8.0</v>
      </c>
      <c r="B12" s="26" t="s">
        <v>160</v>
      </c>
      <c r="C12" s="26" t="s">
        <v>134</v>
      </c>
      <c r="D12" s="26" t="s">
        <v>148</v>
      </c>
      <c r="E12" s="26" t="s">
        <v>149</v>
      </c>
      <c r="F12" s="26" t="s">
        <v>161</v>
      </c>
      <c r="G12" s="28">
        <v>1.0</v>
      </c>
      <c r="H12" s="26" t="s">
        <v>120</v>
      </c>
      <c r="I12" s="26" t="s">
        <v>112</v>
      </c>
      <c r="J12" s="26" t="s">
        <v>112</v>
      </c>
      <c r="K12" s="26" t="s">
        <v>112</v>
      </c>
      <c r="L12" s="26" t="s">
        <v>112</v>
      </c>
      <c r="M12" s="26" t="s">
        <v>112</v>
      </c>
      <c r="N12" s="26" t="s">
        <v>112</v>
      </c>
      <c r="O12" s="26" t="s">
        <v>112</v>
      </c>
      <c r="P12" s="28">
        <v>15000.0</v>
      </c>
      <c r="Q12" s="26" t="s">
        <v>112</v>
      </c>
      <c r="R12" s="26" t="s">
        <v>112</v>
      </c>
      <c r="S12" s="26" t="s">
        <v>112</v>
      </c>
      <c r="T12" s="26" t="s">
        <v>112</v>
      </c>
      <c r="U12" s="28">
        <v>0.3</v>
      </c>
      <c r="V12" s="28">
        <v>1.0</v>
      </c>
      <c r="W12" s="26" t="s">
        <v>113</v>
      </c>
      <c r="X12" s="26" t="s">
        <v>162</v>
      </c>
      <c r="Y12" s="29" t="s">
        <v>163</v>
      </c>
    </row>
    <row r="13">
      <c r="A13" s="28">
        <v>9.0</v>
      </c>
      <c r="B13" s="26" t="s">
        <v>164</v>
      </c>
      <c r="C13" s="26" t="s">
        <v>126</v>
      </c>
      <c r="D13" s="26" t="s">
        <v>148</v>
      </c>
      <c r="E13" s="26" t="s">
        <v>149</v>
      </c>
      <c r="F13" s="26" t="s">
        <v>110</v>
      </c>
      <c r="G13" s="28">
        <v>3.0</v>
      </c>
      <c r="H13" s="26" t="s">
        <v>120</v>
      </c>
      <c r="I13" s="28">
        <v>11250.0</v>
      </c>
      <c r="J13" s="28">
        <v>4500.0</v>
      </c>
      <c r="K13" s="28">
        <v>8000.0</v>
      </c>
      <c r="L13" s="28">
        <v>3500.0</v>
      </c>
      <c r="M13" s="28">
        <v>2000.0</v>
      </c>
      <c r="N13" s="28">
        <v>13500.0</v>
      </c>
      <c r="O13" s="28">
        <v>6075.0</v>
      </c>
      <c r="P13" s="28">
        <v>15000.0</v>
      </c>
      <c r="Q13" s="28">
        <v>4638.0</v>
      </c>
      <c r="R13" s="28">
        <v>4063.0</v>
      </c>
      <c r="S13" s="28">
        <v>2438.0</v>
      </c>
      <c r="T13" s="28">
        <v>2400.0</v>
      </c>
      <c r="U13" s="28">
        <v>0.3</v>
      </c>
      <c r="V13" s="28">
        <v>1.0</v>
      </c>
      <c r="W13" s="26" t="s">
        <v>150</v>
      </c>
      <c r="X13" s="26" t="s">
        <v>165</v>
      </c>
      <c r="Y13" s="29" t="s">
        <v>166</v>
      </c>
      <c r="Z13" s="29" t="s">
        <v>167</v>
      </c>
      <c r="AA13" s="29" t="s">
        <v>168</v>
      </c>
    </row>
    <row r="14">
      <c r="A14" s="28">
        <v>10.0</v>
      </c>
      <c r="B14" s="26" t="s">
        <v>169</v>
      </c>
      <c r="C14" s="26" t="s">
        <v>126</v>
      </c>
      <c r="D14" s="26" t="s">
        <v>148</v>
      </c>
      <c r="E14" s="26" t="s">
        <v>149</v>
      </c>
      <c r="F14" s="26" t="s">
        <v>157</v>
      </c>
      <c r="G14" s="28">
        <v>2.0</v>
      </c>
      <c r="H14" s="26" t="s">
        <v>120</v>
      </c>
      <c r="I14" s="28">
        <v>11000.0</v>
      </c>
      <c r="J14" s="28">
        <v>4600.0</v>
      </c>
      <c r="K14" s="28">
        <v>8600.0</v>
      </c>
      <c r="L14" s="28">
        <v>3500.0</v>
      </c>
      <c r="M14" s="28">
        <v>2200.0</v>
      </c>
      <c r="N14" s="28">
        <v>15950.0</v>
      </c>
      <c r="O14" s="28">
        <v>7150.0</v>
      </c>
      <c r="P14" s="28">
        <v>24200.0</v>
      </c>
      <c r="Q14" s="28">
        <v>3850.0</v>
      </c>
      <c r="R14" s="28">
        <v>3300.0</v>
      </c>
      <c r="S14" s="28">
        <v>2000.0</v>
      </c>
      <c r="T14" s="28">
        <v>2400.0</v>
      </c>
      <c r="U14" s="28">
        <v>0.3</v>
      </c>
      <c r="V14" s="28">
        <v>1.0</v>
      </c>
      <c r="W14" s="26" t="s">
        <v>121</v>
      </c>
      <c r="X14" s="26" t="s">
        <v>170</v>
      </c>
      <c r="Y14" s="29" t="s">
        <v>171</v>
      </c>
      <c r="AA14" s="29" t="s">
        <v>172</v>
      </c>
    </row>
    <row r="15">
      <c r="A15" s="28">
        <v>11.0</v>
      </c>
      <c r="B15" s="26" t="s">
        <v>173</v>
      </c>
      <c r="C15" s="26" t="s">
        <v>126</v>
      </c>
      <c r="D15" s="26" t="s">
        <v>148</v>
      </c>
      <c r="E15" s="26" t="s">
        <v>149</v>
      </c>
      <c r="F15" s="26" t="s">
        <v>110</v>
      </c>
      <c r="G15" s="28">
        <v>3.0</v>
      </c>
      <c r="H15" s="26" t="s">
        <v>120</v>
      </c>
      <c r="I15" s="28">
        <v>12100.0</v>
      </c>
      <c r="J15" s="28">
        <v>5100.0</v>
      </c>
      <c r="K15" s="28">
        <v>9450.0</v>
      </c>
      <c r="L15" s="28">
        <v>3850.0</v>
      </c>
      <c r="M15" s="28">
        <v>2400.0</v>
      </c>
      <c r="N15" s="28">
        <v>17550.0</v>
      </c>
      <c r="O15" s="28">
        <v>7850.0</v>
      </c>
      <c r="P15" s="28">
        <v>26600.0</v>
      </c>
      <c r="Q15" s="28">
        <v>4250.0</v>
      </c>
      <c r="R15" s="28">
        <v>3650.0</v>
      </c>
      <c r="S15" s="28">
        <v>2200.0</v>
      </c>
      <c r="T15" s="28">
        <v>2400.0</v>
      </c>
      <c r="U15" s="28">
        <v>0.3</v>
      </c>
      <c r="V15" s="28">
        <v>1.0</v>
      </c>
      <c r="W15" s="26" t="s">
        <v>150</v>
      </c>
      <c r="X15" s="26" t="s">
        <v>174</v>
      </c>
      <c r="Y15" s="29" t="s">
        <v>175</v>
      </c>
      <c r="Z15" s="29" t="s">
        <v>176</v>
      </c>
      <c r="AA15" s="29" t="s">
        <v>177</v>
      </c>
    </row>
    <row r="16">
      <c r="A16" s="28">
        <v>12.0</v>
      </c>
      <c r="B16" s="26" t="s">
        <v>178</v>
      </c>
      <c r="C16" s="26" t="s">
        <v>126</v>
      </c>
      <c r="D16" s="26" t="s">
        <v>148</v>
      </c>
      <c r="E16" s="26" t="s">
        <v>149</v>
      </c>
      <c r="F16" s="26" t="s">
        <v>110</v>
      </c>
      <c r="G16" s="28">
        <v>3.0</v>
      </c>
      <c r="H16" s="26" t="s">
        <v>120</v>
      </c>
      <c r="I16" s="28">
        <v>11000.0</v>
      </c>
      <c r="J16" s="28">
        <v>4600.0</v>
      </c>
      <c r="K16" s="28">
        <v>8600.0</v>
      </c>
      <c r="L16" s="28">
        <v>3500.0</v>
      </c>
      <c r="M16" s="28">
        <v>2200.0</v>
      </c>
      <c r="N16" s="28">
        <v>15950.0</v>
      </c>
      <c r="O16" s="28">
        <v>7150.0</v>
      </c>
      <c r="P16" s="28">
        <v>24200.0</v>
      </c>
      <c r="Q16" s="28">
        <v>3850.0</v>
      </c>
      <c r="R16" s="28">
        <v>3300.0</v>
      </c>
      <c r="S16" s="28">
        <v>2000.0</v>
      </c>
      <c r="T16" s="28">
        <v>2400.0</v>
      </c>
      <c r="U16" s="28">
        <v>0.3</v>
      </c>
      <c r="V16" s="28">
        <v>1.0</v>
      </c>
      <c r="W16" s="26" t="s">
        <v>150</v>
      </c>
      <c r="X16" s="26" t="s">
        <v>179</v>
      </c>
      <c r="Y16" s="29" t="s">
        <v>180</v>
      </c>
      <c r="Z16" s="29" t="s">
        <v>181</v>
      </c>
      <c r="AA16" s="29" t="s">
        <v>182</v>
      </c>
    </row>
    <row r="17">
      <c r="A17" s="28">
        <v>13.0</v>
      </c>
      <c r="B17" s="26" t="s">
        <v>183</v>
      </c>
      <c r="C17" s="26" t="s">
        <v>126</v>
      </c>
      <c r="D17" s="26" t="s">
        <v>148</v>
      </c>
      <c r="E17" s="26" t="s">
        <v>184</v>
      </c>
      <c r="F17" s="26" t="s">
        <v>157</v>
      </c>
      <c r="G17" s="28">
        <v>1.0</v>
      </c>
      <c r="H17" s="26" t="s">
        <v>120</v>
      </c>
      <c r="I17" s="28">
        <v>11000.0</v>
      </c>
      <c r="J17" s="28">
        <v>4600.0</v>
      </c>
      <c r="K17" s="28">
        <v>8600.0</v>
      </c>
      <c r="L17" s="28">
        <v>3500.0</v>
      </c>
      <c r="M17" s="28">
        <v>2200.0</v>
      </c>
      <c r="N17" s="28">
        <v>15950.0</v>
      </c>
      <c r="O17" s="28">
        <v>7150.0</v>
      </c>
      <c r="P17" s="28">
        <v>24200.0</v>
      </c>
      <c r="Q17" s="28">
        <v>3850.0</v>
      </c>
      <c r="R17" s="28">
        <v>3300.0</v>
      </c>
      <c r="S17" s="28">
        <v>2000.0</v>
      </c>
      <c r="T17" s="28">
        <v>2400.0</v>
      </c>
      <c r="U17" s="28">
        <v>0.3</v>
      </c>
      <c r="V17" s="28">
        <v>1.0</v>
      </c>
      <c r="W17" s="26" t="s">
        <v>113</v>
      </c>
      <c r="X17" s="26" t="s">
        <v>185</v>
      </c>
      <c r="Y17" s="29" t="s">
        <v>186</v>
      </c>
    </row>
    <row r="18">
      <c r="A18" s="28">
        <v>14.0</v>
      </c>
      <c r="B18" s="26" t="s">
        <v>187</v>
      </c>
      <c r="C18" s="26" t="s">
        <v>126</v>
      </c>
      <c r="D18" s="26" t="s">
        <v>148</v>
      </c>
      <c r="E18" s="26" t="s">
        <v>188</v>
      </c>
      <c r="F18" s="26" t="s">
        <v>110</v>
      </c>
      <c r="G18" s="28">
        <v>3.0</v>
      </c>
      <c r="H18" s="26" t="s">
        <v>120</v>
      </c>
      <c r="I18" s="28">
        <v>12100.0</v>
      </c>
      <c r="J18" s="28">
        <v>5100.0</v>
      </c>
      <c r="K18" s="28">
        <v>9450.0</v>
      </c>
      <c r="L18" s="28">
        <v>3850.0</v>
      </c>
      <c r="M18" s="28">
        <v>2400.0</v>
      </c>
      <c r="N18" s="28">
        <v>17550.0</v>
      </c>
      <c r="O18" s="28">
        <v>7850.0</v>
      </c>
      <c r="P18" s="28">
        <v>26600.0</v>
      </c>
      <c r="Q18" s="28">
        <v>4250.0</v>
      </c>
      <c r="R18" s="28">
        <v>3650.0</v>
      </c>
      <c r="S18" s="28">
        <v>2200.0</v>
      </c>
      <c r="T18" s="28">
        <v>2400.0</v>
      </c>
      <c r="U18" s="28">
        <v>0.3</v>
      </c>
      <c r="V18" s="28">
        <v>1.0</v>
      </c>
      <c r="W18" s="26" t="s">
        <v>150</v>
      </c>
      <c r="X18" s="26" t="s">
        <v>189</v>
      </c>
      <c r="Y18" s="29" t="s">
        <v>190</v>
      </c>
      <c r="Z18" s="29" t="s">
        <v>191</v>
      </c>
      <c r="AA18" s="29" t="s">
        <v>192</v>
      </c>
    </row>
    <row r="19">
      <c r="A19" s="28">
        <v>15.0</v>
      </c>
      <c r="B19" s="26" t="s">
        <v>193</v>
      </c>
      <c r="C19" s="26" t="s">
        <v>126</v>
      </c>
      <c r="D19" s="26" t="s">
        <v>148</v>
      </c>
      <c r="E19" s="26" t="s">
        <v>188</v>
      </c>
      <c r="F19" s="26" t="s">
        <v>110</v>
      </c>
      <c r="G19" s="28">
        <v>2.0</v>
      </c>
      <c r="H19" s="26" t="s">
        <v>120</v>
      </c>
      <c r="I19" s="28">
        <v>11000.0</v>
      </c>
      <c r="J19" s="28">
        <v>4600.0</v>
      </c>
      <c r="K19" s="28">
        <v>8600.0</v>
      </c>
      <c r="L19" s="28">
        <v>3500.0</v>
      </c>
      <c r="M19" s="28">
        <v>2200.0</v>
      </c>
      <c r="N19" s="28">
        <v>15950.0</v>
      </c>
      <c r="O19" s="28">
        <v>7150.0</v>
      </c>
      <c r="P19" s="28">
        <v>24200.0</v>
      </c>
      <c r="Q19" s="28">
        <v>3850.0</v>
      </c>
      <c r="R19" s="28">
        <v>3300.0</v>
      </c>
      <c r="S19" s="28">
        <v>2000.0</v>
      </c>
      <c r="T19" s="28">
        <v>2400.0</v>
      </c>
      <c r="U19" s="28">
        <v>0.3</v>
      </c>
      <c r="V19" s="28">
        <v>1.0</v>
      </c>
      <c r="W19" s="26" t="s">
        <v>121</v>
      </c>
      <c r="X19" s="26" t="s">
        <v>194</v>
      </c>
      <c r="Y19" s="29" t="s">
        <v>195</v>
      </c>
      <c r="AA19" s="29" t="s">
        <v>196</v>
      </c>
    </row>
    <row r="20">
      <c r="A20" s="28">
        <v>16.0</v>
      </c>
      <c r="B20" s="26" t="s">
        <v>197</v>
      </c>
      <c r="C20" s="26" t="s">
        <v>126</v>
      </c>
      <c r="D20" s="26" t="s">
        <v>108</v>
      </c>
      <c r="E20" s="26" t="s">
        <v>198</v>
      </c>
      <c r="F20" s="26" t="s">
        <v>157</v>
      </c>
      <c r="G20" s="28">
        <v>2.0</v>
      </c>
      <c r="H20" s="26" t="s">
        <v>120</v>
      </c>
      <c r="I20" s="28">
        <v>11000.0</v>
      </c>
      <c r="J20" s="28">
        <v>4600.0</v>
      </c>
      <c r="K20" s="28">
        <v>8600.0</v>
      </c>
      <c r="L20" s="28">
        <v>3500.0</v>
      </c>
      <c r="M20" s="28">
        <v>2200.0</v>
      </c>
      <c r="N20" s="28">
        <v>15950.0</v>
      </c>
      <c r="O20" s="28">
        <v>7150.0</v>
      </c>
      <c r="P20" s="28">
        <v>24200.0</v>
      </c>
      <c r="Q20" s="28">
        <v>3850.0</v>
      </c>
      <c r="R20" s="28">
        <v>3300.0</v>
      </c>
      <c r="S20" s="28">
        <v>2000.0</v>
      </c>
      <c r="T20" s="28">
        <v>2400.0</v>
      </c>
      <c r="U20" s="28">
        <v>0.3</v>
      </c>
      <c r="V20" s="28">
        <v>1.0</v>
      </c>
      <c r="W20" s="26" t="s">
        <v>121</v>
      </c>
      <c r="X20" s="26" t="s">
        <v>199</v>
      </c>
      <c r="Y20" s="29" t="s">
        <v>200</v>
      </c>
      <c r="AA20" s="29" t="s">
        <v>201</v>
      </c>
    </row>
    <row r="21">
      <c r="A21" s="28">
        <v>17.0</v>
      </c>
      <c r="B21" s="26" t="s">
        <v>202</v>
      </c>
      <c r="C21" s="26" t="s">
        <v>126</v>
      </c>
      <c r="D21" s="26" t="s">
        <v>108</v>
      </c>
      <c r="E21" s="26" t="s">
        <v>198</v>
      </c>
      <c r="F21" s="26" t="s">
        <v>157</v>
      </c>
      <c r="G21" s="28">
        <v>4.0</v>
      </c>
      <c r="H21" s="26" t="s">
        <v>127</v>
      </c>
      <c r="I21" s="28">
        <v>12100.0</v>
      </c>
      <c r="J21" s="28">
        <v>5100.0</v>
      </c>
      <c r="K21" s="28">
        <v>9450.0</v>
      </c>
      <c r="L21" s="28">
        <v>3850.0</v>
      </c>
      <c r="M21" s="28">
        <v>2400.0</v>
      </c>
      <c r="N21" s="28">
        <v>17550.0</v>
      </c>
      <c r="O21" s="28">
        <v>7850.0</v>
      </c>
      <c r="P21" s="28">
        <v>26600.0</v>
      </c>
      <c r="Q21" s="28">
        <v>4250.0</v>
      </c>
      <c r="R21" s="28">
        <v>3650.0</v>
      </c>
      <c r="S21" s="28">
        <v>2200.0</v>
      </c>
      <c r="T21" s="28">
        <v>2400.0</v>
      </c>
      <c r="U21" s="28">
        <v>0.3</v>
      </c>
      <c r="V21" s="28">
        <v>1.0</v>
      </c>
      <c r="W21" s="26" t="s">
        <v>136</v>
      </c>
      <c r="X21" s="26" t="s">
        <v>203</v>
      </c>
      <c r="Y21" s="29" t="s">
        <v>204</v>
      </c>
      <c r="Z21" s="29" t="s">
        <v>205</v>
      </c>
      <c r="AA21" s="29" t="s">
        <v>206</v>
      </c>
      <c r="AB21" s="29" t="s">
        <v>207</v>
      </c>
    </row>
    <row r="22">
      <c r="A22" s="28">
        <v>18.0</v>
      </c>
      <c r="B22" s="26" t="s">
        <v>106</v>
      </c>
      <c r="C22" s="26" t="s">
        <v>107</v>
      </c>
      <c r="D22" s="26" t="s">
        <v>108</v>
      </c>
      <c r="E22" s="26" t="s">
        <v>109</v>
      </c>
      <c r="F22" s="26" t="s">
        <v>110</v>
      </c>
      <c r="G22" s="28">
        <v>1.0</v>
      </c>
      <c r="H22" s="26" t="s">
        <v>111</v>
      </c>
      <c r="I22" s="28">
        <v>22750.0</v>
      </c>
      <c r="J22" s="28">
        <v>9550.0</v>
      </c>
      <c r="K22" s="28">
        <v>17750.0</v>
      </c>
      <c r="L22" s="28">
        <v>7300.0</v>
      </c>
      <c r="M22" s="28">
        <v>4550.0</v>
      </c>
      <c r="N22" s="28">
        <v>33000.0</v>
      </c>
      <c r="O22" s="28">
        <v>14800.0</v>
      </c>
      <c r="P22" s="28">
        <v>50100.0</v>
      </c>
      <c r="Q22" s="28">
        <v>7950.0</v>
      </c>
      <c r="R22" s="28">
        <v>6850.0</v>
      </c>
      <c r="S22" s="28">
        <v>4100.0</v>
      </c>
      <c r="T22" s="26" t="s">
        <v>112</v>
      </c>
      <c r="U22" s="28">
        <v>0.3</v>
      </c>
      <c r="V22" s="28">
        <v>1.0</v>
      </c>
      <c r="W22" s="26" t="s">
        <v>113</v>
      </c>
      <c r="X22" s="26" t="s">
        <v>114</v>
      </c>
      <c r="Y22" s="29" t="s">
        <v>115</v>
      </c>
    </row>
    <row r="23">
      <c r="A23" s="28">
        <v>19.0</v>
      </c>
      <c r="B23" s="26" t="s">
        <v>208</v>
      </c>
      <c r="C23" s="26" t="s">
        <v>126</v>
      </c>
      <c r="D23" s="26" t="s">
        <v>108</v>
      </c>
      <c r="E23" s="26" t="s">
        <v>109</v>
      </c>
      <c r="F23" s="26" t="s">
        <v>110</v>
      </c>
      <c r="G23" s="28">
        <v>2.0</v>
      </c>
      <c r="H23" s="26" t="s">
        <v>111</v>
      </c>
      <c r="I23" s="28">
        <v>20700.0</v>
      </c>
      <c r="J23" s="28">
        <v>8700.0</v>
      </c>
      <c r="K23" s="28">
        <v>16150.0</v>
      </c>
      <c r="L23" s="28">
        <v>6600.0</v>
      </c>
      <c r="M23" s="28">
        <v>4150.0</v>
      </c>
      <c r="N23" s="28">
        <v>30000.0</v>
      </c>
      <c r="O23" s="28">
        <v>13450.0</v>
      </c>
      <c r="P23" s="28">
        <v>45550.0</v>
      </c>
      <c r="Q23" s="28">
        <v>7250.0</v>
      </c>
      <c r="R23" s="28">
        <v>6200.0</v>
      </c>
      <c r="S23" s="28">
        <v>3750.0</v>
      </c>
      <c r="T23" s="28">
        <v>2400.0</v>
      </c>
      <c r="U23" s="28">
        <v>0.2</v>
      </c>
      <c r="V23" s="28">
        <v>1.0</v>
      </c>
      <c r="W23" s="26" t="s">
        <v>121</v>
      </c>
      <c r="X23" s="26" t="s">
        <v>209</v>
      </c>
      <c r="Y23" s="29" t="s">
        <v>210</v>
      </c>
      <c r="AA23" s="29" t="s">
        <v>211</v>
      </c>
    </row>
    <row r="24">
      <c r="A24" s="28">
        <v>20.0</v>
      </c>
      <c r="B24" s="26" t="s">
        <v>212</v>
      </c>
      <c r="C24" s="26" t="s">
        <v>126</v>
      </c>
      <c r="D24" s="26" t="s">
        <v>108</v>
      </c>
      <c r="E24" s="26" t="s">
        <v>109</v>
      </c>
      <c r="F24" s="26" t="s">
        <v>110</v>
      </c>
      <c r="G24" s="28">
        <v>2.0</v>
      </c>
      <c r="H24" s="26" t="s">
        <v>111</v>
      </c>
      <c r="I24" s="28">
        <v>6500.0</v>
      </c>
      <c r="J24" s="28">
        <v>2750.0</v>
      </c>
      <c r="K24" s="28">
        <v>5050.0</v>
      </c>
      <c r="L24" s="28">
        <v>2100.0</v>
      </c>
      <c r="M24" s="28">
        <v>1300.0</v>
      </c>
      <c r="N24" s="28">
        <v>9400.0</v>
      </c>
      <c r="O24" s="28">
        <v>4200.0</v>
      </c>
      <c r="P24" s="28">
        <v>14300.0</v>
      </c>
      <c r="Q24" s="28">
        <v>2300.0</v>
      </c>
      <c r="R24" s="28">
        <v>1950.0</v>
      </c>
      <c r="S24" s="28">
        <v>1150.0</v>
      </c>
      <c r="T24" s="28">
        <v>2400.0</v>
      </c>
      <c r="U24" s="28">
        <v>0.2</v>
      </c>
      <c r="V24" s="28">
        <v>1.0</v>
      </c>
      <c r="W24" s="26" t="s">
        <v>121</v>
      </c>
      <c r="X24" s="26" t="s">
        <v>213</v>
      </c>
      <c r="Y24" s="29" t="s">
        <v>214</v>
      </c>
      <c r="AA24" s="29" t="s">
        <v>215</v>
      </c>
    </row>
    <row r="25">
      <c r="A25" s="28">
        <v>21.0</v>
      </c>
      <c r="B25" s="26" t="s">
        <v>216</v>
      </c>
      <c r="C25" s="26" t="s">
        <v>126</v>
      </c>
      <c r="D25" s="26" t="s">
        <v>108</v>
      </c>
      <c r="E25" s="26" t="s">
        <v>109</v>
      </c>
      <c r="F25" s="26" t="s">
        <v>217</v>
      </c>
      <c r="G25" s="28">
        <v>5.0</v>
      </c>
      <c r="H25" s="26" t="s">
        <v>127</v>
      </c>
      <c r="I25" s="28">
        <v>6500.0</v>
      </c>
      <c r="J25" s="28">
        <v>2750.0</v>
      </c>
      <c r="K25" s="28">
        <v>5050.0</v>
      </c>
      <c r="L25" s="28">
        <v>2100.0</v>
      </c>
      <c r="M25" s="28">
        <v>1300.0</v>
      </c>
      <c r="N25" s="28">
        <v>9400.0</v>
      </c>
      <c r="O25" s="28">
        <v>4200.0</v>
      </c>
      <c r="P25" s="28">
        <v>14300.0</v>
      </c>
      <c r="Q25" s="28">
        <v>2300.0</v>
      </c>
      <c r="R25" s="28">
        <v>1950.0</v>
      </c>
      <c r="S25" s="28">
        <v>1150.0</v>
      </c>
      <c r="T25" s="28">
        <v>2400.0</v>
      </c>
      <c r="U25" s="28">
        <v>0.2</v>
      </c>
      <c r="V25" s="28">
        <v>1.0</v>
      </c>
      <c r="W25" s="26" t="s">
        <v>218</v>
      </c>
      <c r="X25" s="26" t="s">
        <v>219</v>
      </c>
      <c r="Y25" s="29" t="s">
        <v>220</v>
      </c>
      <c r="Z25" s="29" t="s">
        <v>221</v>
      </c>
      <c r="AA25" s="29" t="s">
        <v>222</v>
      </c>
      <c r="AB25" s="29" t="s">
        <v>223</v>
      </c>
      <c r="AC25" s="29" t="s">
        <v>224</v>
      </c>
    </row>
    <row r="26">
      <c r="A26" s="28">
        <v>22.0</v>
      </c>
      <c r="B26" s="26" t="s">
        <v>225</v>
      </c>
      <c r="C26" s="26" t="s">
        <v>126</v>
      </c>
      <c r="D26" s="26" t="s">
        <v>226</v>
      </c>
      <c r="E26" s="26" t="s">
        <v>226</v>
      </c>
      <c r="F26" s="26" t="s">
        <v>227</v>
      </c>
      <c r="G26" s="28">
        <v>5.0</v>
      </c>
      <c r="H26" s="26" t="s">
        <v>127</v>
      </c>
      <c r="I26" s="28">
        <v>20700.0</v>
      </c>
      <c r="J26" s="28">
        <v>8700.0</v>
      </c>
      <c r="K26" s="28">
        <v>16150.0</v>
      </c>
      <c r="L26" s="28">
        <v>6600.0</v>
      </c>
      <c r="M26" s="28">
        <v>4150.0</v>
      </c>
      <c r="N26" s="28">
        <v>30000.0</v>
      </c>
      <c r="O26" s="28">
        <v>13450.0</v>
      </c>
      <c r="P26" s="28">
        <v>45550.0</v>
      </c>
      <c r="Q26" s="28">
        <v>7250.0</v>
      </c>
      <c r="R26" s="28">
        <v>6200.0</v>
      </c>
      <c r="S26" s="28">
        <v>3750.0</v>
      </c>
      <c r="T26" s="28">
        <v>2400.0</v>
      </c>
      <c r="U26" s="28">
        <v>0.5</v>
      </c>
      <c r="V26" s="28">
        <v>1.0</v>
      </c>
      <c r="W26" s="26" t="s">
        <v>218</v>
      </c>
      <c r="X26" s="26" t="s">
        <v>225</v>
      </c>
      <c r="Y26" s="29" t="s">
        <v>228</v>
      </c>
      <c r="Z26" s="29" t="s">
        <v>229</v>
      </c>
      <c r="AA26" s="29" t="s">
        <v>230</v>
      </c>
      <c r="AB26" s="29" t="s">
        <v>231</v>
      </c>
      <c r="AE26" s="29" t="s">
        <v>232</v>
      </c>
    </row>
    <row r="27">
      <c r="A27" s="28">
        <v>23.0</v>
      </c>
      <c r="B27" s="26" t="s">
        <v>233</v>
      </c>
      <c r="C27" s="26" t="s">
        <v>126</v>
      </c>
      <c r="D27" s="26" t="s">
        <v>226</v>
      </c>
      <c r="E27" s="26" t="s">
        <v>226</v>
      </c>
      <c r="F27" s="26" t="s">
        <v>110</v>
      </c>
      <c r="G27" s="28">
        <v>6.0</v>
      </c>
      <c r="H27" s="26" t="s">
        <v>127</v>
      </c>
      <c r="I27" s="28">
        <v>22500.0</v>
      </c>
      <c r="J27" s="28">
        <v>9450.0</v>
      </c>
      <c r="K27" s="28">
        <v>17550.0</v>
      </c>
      <c r="L27" s="28">
        <v>7200.0</v>
      </c>
      <c r="M27" s="28">
        <v>4500.0</v>
      </c>
      <c r="N27" s="28">
        <v>32600.0</v>
      </c>
      <c r="O27" s="28">
        <v>14600.0</v>
      </c>
      <c r="P27" s="28">
        <v>49500.0</v>
      </c>
      <c r="Q27" s="28">
        <v>7850.0</v>
      </c>
      <c r="R27" s="28">
        <v>6750.0</v>
      </c>
      <c r="S27" s="28">
        <v>4050.0</v>
      </c>
      <c r="T27" s="28">
        <v>2400.0</v>
      </c>
      <c r="U27" s="28">
        <v>0.5</v>
      </c>
      <c r="V27" s="28">
        <v>1.0</v>
      </c>
      <c r="W27" s="26" t="s">
        <v>234</v>
      </c>
      <c r="X27" s="26" t="s">
        <v>233</v>
      </c>
      <c r="Y27" s="29" t="s">
        <v>235</v>
      </c>
      <c r="Z27" s="29" t="s">
        <v>236</v>
      </c>
      <c r="AA27" s="29" t="s">
        <v>237</v>
      </c>
      <c r="AB27" s="29" t="s">
        <v>238</v>
      </c>
      <c r="AD27" s="29" t="s">
        <v>239</v>
      </c>
      <c r="AE27" s="29" t="s">
        <v>240</v>
      </c>
    </row>
    <row r="28">
      <c r="A28" s="28">
        <v>24.0</v>
      </c>
      <c r="B28" s="26" t="s">
        <v>241</v>
      </c>
      <c r="C28" s="26" t="s">
        <v>107</v>
      </c>
      <c r="D28" s="26" t="s">
        <v>226</v>
      </c>
      <c r="E28" s="26" t="s">
        <v>226</v>
      </c>
      <c r="G28" s="28">
        <v>0.0</v>
      </c>
      <c r="H28" s="26" t="s">
        <v>111</v>
      </c>
      <c r="I28" s="28">
        <v>22500.0</v>
      </c>
      <c r="J28" s="28">
        <v>9450.0</v>
      </c>
      <c r="K28" s="28">
        <v>17550.0</v>
      </c>
      <c r="L28" s="28">
        <v>7200.0</v>
      </c>
      <c r="M28" s="28">
        <v>4500.0</v>
      </c>
      <c r="N28" s="28">
        <v>32600.0</v>
      </c>
      <c r="O28" s="28">
        <v>14600.0</v>
      </c>
      <c r="P28" s="28">
        <v>49500.0</v>
      </c>
      <c r="Q28" s="28">
        <v>7850.0</v>
      </c>
      <c r="R28" s="28">
        <v>6750.0</v>
      </c>
      <c r="S28" s="28">
        <v>4050.0</v>
      </c>
      <c r="T28" s="26" t="s">
        <v>112</v>
      </c>
      <c r="U28" s="28">
        <v>0.3</v>
      </c>
      <c r="V28" s="28">
        <v>1.0</v>
      </c>
      <c r="W28" s="26" t="s">
        <v>242</v>
      </c>
      <c r="X28" s="26" t="s">
        <v>243</v>
      </c>
    </row>
    <row r="29">
      <c r="A29" s="28">
        <v>25.0</v>
      </c>
      <c r="B29" s="26" t="s">
        <v>244</v>
      </c>
      <c r="C29" s="26" t="s">
        <v>126</v>
      </c>
      <c r="D29" s="26" t="s">
        <v>245</v>
      </c>
      <c r="E29" s="26" t="s">
        <v>109</v>
      </c>
      <c r="F29" s="26" t="s">
        <v>246</v>
      </c>
      <c r="G29" s="28">
        <v>3.0</v>
      </c>
      <c r="H29" s="26" t="s">
        <v>127</v>
      </c>
      <c r="I29" s="28">
        <v>15000.0</v>
      </c>
      <c r="J29" s="28">
        <v>6750.0</v>
      </c>
      <c r="K29" s="28">
        <v>11000.0</v>
      </c>
      <c r="L29" s="28">
        <v>5000.0</v>
      </c>
      <c r="M29" s="28">
        <v>3200.0</v>
      </c>
      <c r="N29" s="28">
        <v>19500.0</v>
      </c>
      <c r="O29" s="28">
        <v>8775.0</v>
      </c>
      <c r="P29" s="28">
        <v>30000.0</v>
      </c>
      <c r="Q29" s="28">
        <v>6800.0</v>
      </c>
      <c r="R29" s="28">
        <v>5950.0</v>
      </c>
      <c r="S29" s="28">
        <v>3570.0</v>
      </c>
      <c r="T29" s="28">
        <v>2400.0</v>
      </c>
      <c r="U29" s="28">
        <v>0.75</v>
      </c>
      <c r="V29" s="28">
        <v>1.0</v>
      </c>
      <c r="W29" s="26" t="s">
        <v>150</v>
      </c>
      <c r="X29" s="26" t="s">
        <v>247</v>
      </c>
      <c r="Y29" s="29" t="s">
        <v>248</v>
      </c>
      <c r="Z29" s="29" t="s">
        <v>249</v>
      </c>
      <c r="AA29" s="29" t="s">
        <v>250</v>
      </c>
    </row>
    <row r="30">
      <c r="A30" s="28">
        <v>26.0</v>
      </c>
      <c r="B30" s="26" t="s">
        <v>251</v>
      </c>
      <c r="C30" s="26" t="s">
        <v>126</v>
      </c>
      <c r="D30" s="26" t="s">
        <v>245</v>
      </c>
      <c r="E30" s="26" t="s">
        <v>109</v>
      </c>
      <c r="F30" s="26" t="s">
        <v>252</v>
      </c>
      <c r="G30" s="28">
        <v>2.0</v>
      </c>
      <c r="H30" s="26" t="s">
        <v>127</v>
      </c>
      <c r="I30" s="28">
        <v>22500.0</v>
      </c>
      <c r="J30" s="28">
        <v>9450.0</v>
      </c>
      <c r="K30" s="28">
        <v>17550.0</v>
      </c>
      <c r="L30" s="28">
        <v>7200.0</v>
      </c>
      <c r="M30" s="28">
        <v>4500.0</v>
      </c>
      <c r="N30" s="28">
        <v>32600.0</v>
      </c>
      <c r="O30" s="28">
        <v>14600.0</v>
      </c>
      <c r="P30" s="28">
        <v>49500.0</v>
      </c>
      <c r="Q30" s="28">
        <v>7850.0</v>
      </c>
      <c r="R30" s="28">
        <v>6750.0</v>
      </c>
      <c r="S30" s="28">
        <v>4050.0</v>
      </c>
      <c r="T30" s="28">
        <v>2400.0</v>
      </c>
      <c r="U30" s="28">
        <v>0.75</v>
      </c>
      <c r="V30" s="28">
        <v>1.0</v>
      </c>
      <c r="W30" s="26" t="s">
        <v>121</v>
      </c>
      <c r="X30" s="26" t="s">
        <v>253</v>
      </c>
      <c r="Y30" s="29" t="s">
        <v>254</v>
      </c>
      <c r="Z30" s="29" t="s">
        <v>255</v>
      </c>
    </row>
    <row r="31">
      <c r="A31" s="28">
        <v>27.0</v>
      </c>
      <c r="B31" s="26" t="s">
        <v>256</v>
      </c>
      <c r="C31" s="26" t="s">
        <v>126</v>
      </c>
      <c r="D31" s="26" t="s">
        <v>245</v>
      </c>
      <c r="E31" s="26" t="s">
        <v>109</v>
      </c>
      <c r="F31" s="26" t="s">
        <v>246</v>
      </c>
      <c r="G31" s="28">
        <v>4.0</v>
      </c>
      <c r="H31" s="26" t="s">
        <v>127</v>
      </c>
      <c r="I31" s="28">
        <v>22500.0</v>
      </c>
      <c r="J31" s="28">
        <v>9450.0</v>
      </c>
      <c r="K31" s="28">
        <v>17550.0</v>
      </c>
      <c r="L31" s="28">
        <v>7200.0</v>
      </c>
      <c r="M31" s="28">
        <v>4500.0</v>
      </c>
      <c r="N31" s="28">
        <v>32600.0</v>
      </c>
      <c r="O31" s="28">
        <v>14600.0</v>
      </c>
      <c r="P31" s="28">
        <v>49500.0</v>
      </c>
      <c r="Q31" s="28">
        <v>7850.0</v>
      </c>
      <c r="R31" s="28">
        <v>6750.0</v>
      </c>
      <c r="S31" s="28">
        <v>4050.0</v>
      </c>
      <c r="T31" s="28">
        <v>2400.0</v>
      </c>
      <c r="U31" s="28">
        <v>0.2</v>
      </c>
      <c r="V31" s="28">
        <v>1.0</v>
      </c>
      <c r="W31" s="26" t="s">
        <v>136</v>
      </c>
      <c r="X31" s="26" t="s">
        <v>257</v>
      </c>
      <c r="Y31" s="29" t="s">
        <v>258</v>
      </c>
      <c r="Z31" s="29" t="s">
        <v>259</v>
      </c>
      <c r="AA31" s="29" t="s">
        <v>260</v>
      </c>
      <c r="AB31" s="29" t="s">
        <v>261</v>
      </c>
    </row>
    <row r="32">
      <c r="A32" s="28">
        <v>28.0</v>
      </c>
      <c r="B32" s="26" t="s">
        <v>262</v>
      </c>
      <c r="C32" s="26" t="s">
        <v>126</v>
      </c>
      <c r="D32" s="26" t="s">
        <v>245</v>
      </c>
      <c r="E32" s="26" t="s">
        <v>109</v>
      </c>
      <c r="F32" s="26" t="s">
        <v>263</v>
      </c>
      <c r="G32" s="28">
        <v>5.0</v>
      </c>
      <c r="H32" s="26" t="s">
        <v>127</v>
      </c>
      <c r="I32" s="28">
        <v>22500.0</v>
      </c>
      <c r="J32" s="28">
        <v>9450.0</v>
      </c>
      <c r="K32" s="28">
        <v>17550.0</v>
      </c>
      <c r="L32" s="28">
        <v>7200.0</v>
      </c>
      <c r="M32" s="28">
        <v>4500.0</v>
      </c>
      <c r="N32" s="28">
        <v>32600.0</v>
      </c>
      <c r="O32" s="28">
        <v>14600.0</v>
      </c>
      <c r="P32" s="28">
        <v>49500.0</v>
      </c>
      <c r="Q32" s="28">
        <v>7850.0</v>
      </c>
      <c r="R32" s="28">
        <v>6750.0</v>
      </c>
      <c r="S32" s="28">
        <v>4050.0</v>
      </c>
      <c r="T32" s="28">
        <v>2400.0</v>
      </c>
      <c r="U32" s="28">
        <v>0.3</v>
      </c>
      <c r="V32" s="28">
        <v>1.0</v>
      </c>
      <c r="W32" s="26" t="s">
        <v>218</v>
      </c>
      <c r="X32" s="26" t="s">
        <v>264</v>
      </c>
      <c r="Y32" s="29" t="s">
        <v>265</v>
      </c>
      <c r="Z32" s="29" t="s">
        <v>266</v>
      </c>
      <c r="AA32" s="29" t="s">
        <v>267</v>
      </c>
      <c r="AB32" s="29" t="s">
        <v>268</v>
      </c>
      <c r="AE32" s="29" t="s">
        <v>269</v>
      </c>
    </row>
    <row r="33">
      <c r="A33" s="28">
        <v>29.0</v>
      </c>
      <c r="B33" s="26" t="s">
        <v>270</v>
      </c>
      <c r="C33" s="26" t="s">
        <v>107</v>
      </c>
      <c r="D33" s="26" t="s">
        <v>245</v>
      </c>
      <c r="E33" s="26" t="s">
        <v>109</v>
      </c>
      <c r="F33" s="26" t="s">
        <v>271</v>
      </c>
      <c r="G33" s="28">
        <v>1.0</v>
      </c>
      <c r="H33" s="26" t="s">
        <v>111</v>
      </c>
      <c r="I33" s="28">
        <v>22500.0</v>
      </c>
      <c r="J33" s="28">
        <v>9450.0</v>
      </c>
      <c r="K33" s="28">
        <v>17550.0</v>
      </c>
      <c r="L33" s="28">
        <v>7200.0</v>
      </c>
      <c r="M33" s="28">
        <v>4500.0</v>
      </c>
      <c r="N33" s="28">
        <v>32600.0</v>
      </c>
      <c r="O33" s="28">
        <v>14600.0</v>
      </c>
      <c r="P33" s="28">
        <v>49500.0</v>
      </c>
      <c r="Q33" s="28">
        <v>7850.0</v>
      </c>
      <c r="R33" s="28">
        <v>6750.0</v>
      </c>
      <c r="S33" s="28">
        <v>4050.0</v>
      </c>
      <c r="T33" s="26" t="s">
        <v>112</v>
      </c>
      <c r="U33" s="28">
        <v>0.3</v>
      </c>
      <c r="V33" s="28">
        <v>1.0</v>
      </c>
      <c r="W33" s="26" t="s">
        <v>113</v>
      </c>
      <c r="X33" s="26" t="s">
        <v>272</v>
      </c>
      <c r="Y33" s="29" t="s">
        <v>273</v>
      </c>
    </row>
    <row r="34">
      <c r="A34" s="28">
        <v>30.0</v>
      </c>
      <c r="B34" s="26" t="s">
        <v>274</v>
      </c>
      <c r="C34" s="26" t="s">
        <v>126</v>
      </c>
      <c r="D34" s="26" t="s">
        <v>245</v>
      </c>
      <c r="E34" s="26" t="s">
        <v>109</v>
      </c>
      <c r="F34" s="26" t="s">
        <v>275</v>
      </c>
      <c r="G34" s="28">
        <v>2.0</v>
      </c>
      <c r="H34" s="26" t="s">
        <v>120</v>
      </c>
      <c r="I34" s="28">
        <v>11250.0</v>
      </c>
      <c r="J34" s="28">
        <v>4500.0</v>
      </c>
      <c r="K34" s="28">
        <v>8000.0</v>
      </c>
      <c r="L34" s="28">
        <v>3500.0</v>
      </c>
      <c r="M34" s="28">
        <v>2000.0</v>
      </c>
      <c r="N34" s="28">
        <v>13500.0</v>
      </c>
      <c r="O34" s="28">
        <v>6075.0</v>
      </c>
      <c r="P34" s="28">
        <v>15000.0</v>
      </c>
      <c r="Q34" s="28">
        <v>4638.0</v>
      </c>
      <c r="R34" s="28">
        <v>4063.0</v>
      </c>
      <c r="S34" s="28">
        <v>2438.0</v>
      </c>
      <c r="T34" s="28">
        <v>2400.0</v>
      </c>
      <c r="U34" s="28">
        <v>0.75</v>
      </c>
      <c r="V34" s="28">
        <v>1.0</v>
      </c>
      <c r="W34" s="26" t="s">
        <v>121</v>
      </c>
      <c r="X34" s="26" t="s">
        <v>276</v>
      </c>
      <c r="Y34" s="29" t="s">
        <v>277</v>
      </c>
      <c r="Z34" s="26" t="s">
        <v>278</v>
      </c>
      <c r="AA34" s="29" t="s">
        <v>279</v>
      </c>
    </row>
    <row r="35">
      <c r="A35" s="28">
        <v>31.0</v>
      </c>
      <c r="B35" s="26" t="s">
        <v>280</v>
      </c>
      <c r="C35" s="26" t="s">
        <v>156</v>
      </c>
      <c r="D35" s="26" t="s">
        <v>245</v>
      </c>
      <c r="E35" s="26" t="s">
        <v>109</v>
      </c>
      <c r="F35" s="26" t="s">
        <v>271</v>
      </c>
      <c r="G35" s="28">
        <v>2.0</v>
      </c>
      <c r="H35" s="26" t="s">
        <v>120</v>
      </c>
      <c r="I35" s="28">
        <v>11000.0</v>
      </c>
      <c r="J35" s="28">
        <v>4600.0</v>
      </c>
      <c r="K35" s="28">
        <v>8600.0</v>
      </c>
      <c r="L35" s="28">
        <v>3500.0</v>
      </c>
      <c r="M35" s="28">
        <v>2200.0</v>
      </c>
      <c r="N35" s="28">
        <v>15950.0</v>
      </c>
      <c r="O35" s="28">
        <v>7150.0</v>
      </c>
      <c r="P35" s="28">
        <v>24200.0</v>
      </c>
      <c r="Q35" s="28">
        <v>3850.0</v>
      </c>
      <c r="R35" s="28">
        <v>3300.0</v>
      </c>
      <c r="S35" s="28">
        <v>2000.0</v>
      </c>
      <c r="T35" s="26" t="s">
        <v>112</v>
      </c>
      <c r="U35" s="28">
        <v>0.5</v>
      </c>
      <c r="V35" s="28">
        <v>1.0</v>
      </c>
      <c r="W35" s="26" t="s">
        <v>121</v>
      </c>
      <c r="X35" s="26" t="s">
        <v>281</v>
      </c>
      <c r="Y35" s="29" t="s">
        <v>282</v>
      </c>
      <c r="Z35" s="29" t="s">
        <v>283</v>
      </c>
    </row>
    <row r="36">
      <c r="A36" s="28">
        <v>32.0</v>
      </c>
      <c r="B36" s="26" t="s">
        <v>284</v>
      </c>
      <c r="C36" s="26" t="s">
        <v>117</v>
      </c>
      <c r="D36" s="26" t="s">
        <v>245</v>
      </c>
      <c r="E36" s="26" t="s">
        <v>109</v>
      </c>
      <c r="F36" s="26" t="s">
        <v>275</v>
      </c>
      <c r="G36" s="28">
        <v>2.0</v>
      </c>
      <c r="H36" s="26" t="s">
        <v>127</v>
      </c>
      <c r="I36" s="26" t="s">
        <v>112</v>
      </c>
      <c r="J36" s="26" t="s">
        <v>112</v>
      </c>
      <c r="K36" s="26" t="s">
        <v>112</v>
      </c>
      <c r="L36" s="26" t="s">
        <v>112</v>
      </c>
      <c r="M36" s="26" t="s">
        <v>112</v>
      </c>
      <c r="N36" s="26" t="s">
        <v>112</v>
      </c>
      <c r="O36" s="26" t="s">
        <v>112</v>
      </c>
      <c r="P36" s="28">
        <v>30000.0</v>
      </c>
      <c r="Q36" s="26" t="s">
        <v>112</v>
      </c>
      <c r="R36" s="26" t="s">
        <v>112</v>
      </c>
      <c r="S36" s="26" t="s">
        <v>112</v>
      </c>
      <c r="T36" s="26" t="s">
        <v>112</v>
      </c>
      <c r="U36" s="28">
        <v>0.5</v>
      </c>
      <c r="V36" s="28">
        <v>1.0</v>
      </c>
      <c r="W36" s="26" t="s">
        <v>121</v>
      </c>
      <c r="X36" s="26" t="s">
        <v>285</v>
      </c>
      <c r="Y36" s="29" t="s">
        <v>286</v>
      </c>
      <c r="Z36" s="26" t="s">
        <v>287</v>
      </c>
      <c r="AA36" s="29" t="s">
        <v>288</v>
      </c>
      <c r="AE36" s="26" t="s">
        <v>289</v>
      </c>
    </row>
    <row r="37">
      <c r="A37" s="28">
        <v>33.0</v>
      </c>
      <c r="B37" s="26" t="s">
        <v>290</v>
      </c>
      <c r="C37" s="26" t="s">
        <v>126</v>
      </c>
      <c r="D37" s="26" t="s">
        <v>245</v>
      </c>
      <c r="E37" s="26" t="s">
        <v>291</v>
      </c>
      <c r="F37" s="26" t="s">
        <v>275</v>
      </c>
      <c r="G37" s="28">
        <v>1.0</v>
      </c>
      <c r="H37" s="26" t="s">
        <v>111</v>
      </c>
      <c r="I37" s="28">
        <v>11000.0</v>
      </c>
      <c r="J37" s="28">
        <v>4600.0</v>
      </c>
      <c r="K37" s="28">
        <v>8600.0</v>
      </c>
      <c r="L37" s="28">
        <v>3500.0</v>
      </c>
      <c r="M37" s="28">
        <v>2200.0</v>
      </c>
      <c r="N37" s="28">
        <v>15950.0</v>
      </c>
      <c r="O37" s="28">
        <v>7150.0</v>
      </c>
      <c r="P37" s="28">
        <v>24200.0</v>
      </c>
      <c r="Q37" s="28">
        <v>3850.0</v>
      </c>
      <c r="R37" s="28">
        <v>3300.0</v>
      </c>
      <c r="S37" s="28">
        <v>2000.0</v>
      </c>
      <c r="T37" s="28">
        <v>2400.0</v>
      </c>
      <c r="U37" s="28">
        <v>0.75</v>
      </c>
      <c r="V37" s="28">
        <v>1.0</v>
      </c>
      <c r="W37" s="26" t="s">
        <v>113</v>
      </c>
      <c r="X37" s="26" t="s">
        <v>292</v>
      </c>
      <c r="Y37" s="29" t="s">
        <v>293</v>
      </c>
    </row>
    <row r="38">
      <c r="A38" s="28">
        <v>34.0</v>
      </c>
      <c r="B38" s="26" t="s">
        <v>294</v>
      </c>
      <c r="C38" s="26" t="s">
        <v>126</v>
      </c>
      <c r="D38" s="26" t="s">
        <v>245</v>
      </c>
      <c r="E38" s="26" t="s">
        <v>291</v>
      </c>
      <c r="F38" s="26" t="s">
        <v>295</v>
      </c>
      <c r="G38" s="28">
        <v>2.0</v>
      </c>
      <c r="H38" s="26" t="s">
        <v>120</v>
      </c>
      <c r="I38" s="28">
        <v>5200.0</v>
      </c>
      <c r="J38" s="28">
        <v>2200.0</v>
      </c>
      <c r="K38" s="28">
        <v>4050.0</v>
      </c>
      <c r="L38" s="28">
        <v>1650.0</v>
      </c>
      <c r="M38" s="28">
        <v>1050.0</v>
      </c>
      <c r="N38" s="28">
        <v>7550.0</v>
      </c>
      <c r="O38" s="28">
        <v>3400.0</v>
      </c>
      <c r="P38" s="28">
        <v>11450.0</v>
      </c>
      <c r="Q38" s="28">
        <v>1800.0</v>
      </c>
      <c r="R38" s="28">
        <v>1550.0</v>
      </c>
      <c r="S38" s="28">
        <v>950.0</v>
      </c>
      <c r="T38" s="28">
        <v>2400.0</v>
      </c>
      <c r="U38" s="28">
        <v>0.75</v>
      </c>
      <c r="V38" s="28">
        <v>1.0</v>
      </c>
      <c r="W38" s="26" t="s">
        <v>121</v>
      </c>
      <c r="X38" s="26" t="s">
        <v>296</v>
      </c>
      <c r="Y38" s="29" t="s">
        <v>297</v>
      </c>
      <c r="AA38" s="29" t="s">
        <v>298</v>
      </c>
    </row>
    <row r="39">
      <c r="A39" s="28">
        <v>35.0</v>
      </c>
      <c r="B39" s="26" t="s">
        <v>299</v>
      </c>
      <c r="C39" s="26" t="s">
        <v>126</v>
      </c>
      <c r="D39" s="26" t="s">
        <v>245</v>
      </c>
      <c r="E39" s="26" t="s">
        <v>291</v>
      </c>
      <c r="F39" s="26" t="s">
        <v>300</v>
      </c>
      <c r="G39" s="28">
        <v>3.0</v>
      </c>
      <c r="H39" s="26" t="s">
        <v>120</v>
      </c>
      <c r="I39" s="28">
        <v>12100.0</v>
      </c>
      <c r="J39" s="28">
        <v>5100.0</v>
      </c>
      <c r="K39" s="28">
        <v>9450.0</v>
      </c>
      <c r="L39" s="28">
        <v>3850.0</v>
      </c>
      <c r="M39" s="28">
        <v>2400.0</v>
      </c>
      <c r="N39" s="28">
        <v>17550.0</v>
      </c>
      <c r="O39" s="28">
        <v>7850.0</v>
      </c>
      <c r="P39" s="28">
        <v>26600.0</v>
      </c>
      <c r="Q39" s="28">
        <v>4250.0</v>
      </c>
      <c r="R39" s="28">
        <v>3650.0</v>
      </c>
      <c r="S39" s="28">
        <v>2200.0</v>
      </c>
      <c r="T39" s="28">
        <v>2400.0</v>
      </c>
      <c r="U39" s="28">
        <v>0.75</v>
      </c>
      <c r="V39" s="28">
        <v>1.0</v>
      </c>
      <c r="W39" s="26" t="s">
        <v>150</v>
      </c>
      <c r="X39" s="26" t="s">
        <v>301</v>
      </c>
      <c r="Y39" s="29" t="s">
        <v>302</v>
      </c>
      <c r="AA39" s="29" t="s">
        <v>303</v>
      </c>
      <c r="AB39" s="29" t="s">
        <v>304</v>
      </c>
    </row>
    <row r="40">
      <c r="A40" s="28">
        <v>36.0</v>
      </c>
      <c r="B40" s="26" t="s">
        <v>305</v>
      </c>
      <c r="C40" s="26" t="s">
        <v>117</v>
      </c>
      <c r="D40" s="26" t="s">
        <v>245</v>
      </c>
      <c r="E40" s="26" t="s">
        <v>291</v>
      </c>
      <c r="F40" s="26" t="s">
        <v>275</v>
      </c>
      <c r="G40" s="28">
        <v>5.0</v>
      </c>
      <c r="H40" s="26" t="s">
        <v>120</v>
      </c>
      <c r="I40" s="28">
        <v>11000.0</v>
      </c>
      <c r="J40" s="28">
        <v>4600.0</v>
      </c>
      <c r="K40" s="28">
        <v>8600.0</v>
      </c>
      <c r="L40" s="28">
        <v>3500.0</v>
      </c>
      <c r="M40" s="28">
        <v>2200.0</v>
      </c>
      <c r="N40" s="28">
        <v>15950.0</v>
      </c>
      <c r="O40" s="28">
        <v>7150.0</v>
      </c>
      <c r="P40" s="28">
        <v>24200.0</v>
      </c>
      <c r="Q40" s="28">
        <v>3850.0</v>
      </c>
      <c r="R40" s="28">
        <v>3300.0</v>
      </c>
      <c r="S40" s="28">
        <v>2000.0</v>
      </c>
      <c r="T40" s="26" t="s">
        <v>112</v>
      </c>
      <c r="U40" s="28">
        <v>0.2</v>
      </c>
      <c r="V40" s="28">
        <v>1.0</v>
      </c>
      <c r="W40" s="26" t="s">
        <v>218</v>
      </c>
      <c r="X40" s="26" t="s">
        <v>306</v>
      </c>
      <c r="Y40" s="29" t="s">
        <v>307</v>
      </c>
      <c r="Z40" s="29" t="s">
        <v>308</v>
      </c>
      <c r="AA40" s="29" t="s">
        <v>309</v>
      </c>
      <c r="AB40" s="29" t="s">
        <v>310</v>
      </c>
    </row>
    <row r="41">
      <c r="A41" s="28">
        <v>37.0</v>
      </c>
      <c r="B41" s="26" t="s">
        <v>311</v>
      </c>
      <c r="C41" s="26" t="s">
        <v>107</v>
      </c>
      <c r="D41" s="26" t="s">
        <v>245</v>
      </c>
      <c r="E41" s="26" t="s">
        <v>291</v>
      </c>
      <c r="F41" s="26" t="s">
        <v>271</v>
      </c>
      <c r="G41" s="28">
        <v>2.0</v>
      </c>
      <c r="H41" s="26" t="s">
        <v>120</v>
      </c>
      <c r="I41" s="26" t="s">
        <v>112</v>
      </c>
      <c r="J41" s="26" t="s">
        <v>112</v>
      </c>
      <c r="K41" s="26" t="s">
        <v>112</v>
      </c>
      <c r="L41" s="26" t="s">
        <v>112</v>
      </c>
      <c r="M41" s="26" t="s">
        <v>112</v>
      </c>
      <c r="N41" s="26" t="s">
        <v>112</v>
      </c>
      <c r="O41" s="26" t="s">
        <v>112</v>
      </c>
      <c r="P41" s="28">
        <v>15000.0</v>
      </c>
      <c r="Q41" s="26" t="s">
        <v>112</v>
      </c>
      <c r="R41" s="26" t="s">
        <v>112</v>
      </c>
      <c r="S41" s="26" t="s">
        <v>112</v>
      </c>
      <c r="T41" s="26" t="s">
        <v>112</v>
      </c>
      <c r="U41" s="28">
        <v>0.2</v>
      </c>
      <c r="V41" s="28">
        <v>1.0</v>
      </c>
      <c r="W41" s="26" t="s">
        <v>121</v>
      </c>
      <c r="X41" s="26" t="s">
        <v>312</v>
      </c>
      <c r="Y41" s="29" t="s">
        <v>313</v>
      </c>
      <c r="Z41" s="29" t="s">
        <v>314</v>
      </c>
    </row>
    <row r="42">
      <c r="A42" s="28">
        <v>38.0</v>
      </c>
      <c r="B42" s="26" t="s">
        <v>315</v>
      </c>
      <c r="C42" s="26" t="s">
        <v>126</v>
      </c>
      <c r="D42" s="26" t="s">
        <v>245</v>
      </c>
      <c r="E42" s="26" t="s">
        <v>291</v>
      </c>
      <c r="F42" s="26" t="s">
        <v>316</v>
      </c>
      <c r="G42" s="28">
        <v>1.0</v>
      </c>
      <c r="H42" s="26" t="s">
        <v>111</v>
      </c>
      <c r="I42" s="28">
        <v>8750.0</v>
      </c>
      <c r="J42" s="28">
        <v>3000.0</v>
      </c>
      <c r="K42" s="28">
        <v>6000.0</v>
      </c>
      <c r="L42" s="28">
        <v>2500.0</v>
      </c>
      <c r="M42" s="28">
        <v>1200.0</v>
      </c>
      <c r="N42" s="28">
        <v>9000.0</v>
      </c>
      <c r="O42" s="28">
        <v>4050.0</v>
      </c>
      <c r="P42" s="28">
        <v>7500.0</v>
      </c>
      <c r="Q42" s="28">
        <v>2200.0</v>
      </c>
      <c r="R42" s="28">
        <v>1925.0</v>
      </c>
      <c r="S42" s="28">
        <v>1155.0</v>
      </c>
      <c r="T42" s="28">
        <v>2400.0</v>
      </c>
      <c r="U42" s="28">
        <v>0.75</v>
      </c>
      <c r="V42" s="28">
        <v>1.0</v>
      </c>
      <c r="W42" s="26" t="s">
        <v>113</v>
      </c>
      <c r="X42" s="26" t="s">
        <v>317</v>
      </c>
      <c r="Y42" s="29" t="s">
        <v>318</v>
      </c>
    </row>
    <row r="43">
      <c r="A43" s="28">
        <v>39.0</v>
      </c>
      <c r="B43" s="26" t="s">
        <v>319</v>
      </c>
      <c r="C43" s="26" t="s">
        <v>126</v>
      </c>
      <c r="D43" s="26" t="s">
        <v>320</v>
      </c>
      <c r="E43" s="26" t="s">
        <v>320</v>
      </c>
      <c r="F43" s="26" t="s">
        <v>321</v>
      </c>
      <c r="G43" s="28">
        <v>2.0</v>
      </c>
      <c r="H43" s="26" t="s">
        <v>120</v>
      </c>
      <c r="I43" s="28">
        <v>5200.0</v>
      </c>
      <c r="J43" s="28">
        <v>2200.0</v>
      </c>
      <c r="K43" s="28">
        <v>4050.0</v>
      </c>
      <c r="L43" s="28">
        <v>1650.0</v>
      </c>
      <c r="M43" s="28">
        <v>1050.0</v>
      </c>
      <c r="N43" s="28">
        <v>7550.0</v>
      </c>
      <c r="O43" s="28">
        <v>3400.0</v>
      </c>
      <c r="P43" s="28">
        <v>11450.0</v>
      </c>
      <c r="Q43" s="28">
        <v>1800.0</v>
      </c>
      <c r="R43" s="28">
        <v>1550.0</v>
      </c>
      <c r="S43" s="28">
        <v>950.0</v>
      </c>
      <c r="T43" s="28">
        <v>2400.0</v>
      </c>
      <c r="U43" s="28">
        <v>0.75</v>
      </c>
      <c r="V43" s="28">
        <v>1.0</v>
      </c>
      <c r="W43" s="26" t="s">
        <v>121</v>
      </c>
      <c r="X43" s="26" t="s">
        <v>322</v>
      </c>
      <c r="Y43" s="29" t="s">
        <v>323</v>
      </c>
      <c r="Z43" s="26" t="s">
        <v>324</v>
      </c>
      <c r="AE43" s="29" t="s">
        <v>325</v>
      </c>
    </row>
    <row r="44">
      <c r="A44" s="28">
        <v>40.0</v>
      </c>
      <c r="B44" s="26" t="s">
        <v>326</v>
      </c>
      <c r="C44" s="26" t="s">
        <v>126</v>
      </c>
      <c r="D44" s="26" t="s">
        <v>320</v>
      </c>
      <c r="E44" s="26" t="s">
        <v>320</v>
      </c>
      <c r="F44" s="26" t="s">
        <v>246</v>
      </c>
      <c r="G44" s="28">
        <v>2.0</v>
      </c>
      <c r="H44" s="26" t="s">
        <v>120</v>
      </c>
      <c r="I44" s="28">
        <v>11000.0</v>
      </c>
      <c r="J44" s="28">
        <v>4600.0</v>
      </c>
      <c r="K44" s="28">
        <v>8600.0</v>
      </c>
      <c r="L44" s="28">
        <v>3500.0</v>
      </c>
      <c r="M44" s="28">
        <v>2200.0</v>
      </c>
      <c r="N44" s="28">
        <v>15950.0</v>
      </c>
      <c r="O44" s="28">
        <v>7150.0</v>
      </c>
      <c r="P44" s="28">
        <v>24200.0</v>
      </c>
      <c r="Q44" s="28">
        <v>3850.0</v>
      </c>
      <c r="R44" s="28">
        <v>3300.0</v>
      </c>
      <c r="S44" s="28">
        <v>2000.0</v>
      </c>
      <c r="T44" s="28">
        <v>2400.0</v>
      </c>
      <c r="U44" s="28">
        <v>0.75</v>
      </c>
      <c r="V44" s="28">
        <v>1.0</v>
      </c>
      <c r="W44" s="26" t="s">
        <v>121</v>
      </c>
      <c r="X44" s="26" t="s">
        <v>327</v>
      </c>
      <c r="Y44" s="29" t="s">
        <v>328</v>
      </c>
      <c r="Z44" s="26" t="s">
        <v>329</v>
      </c>
      <c r="AA44" s="29" t="s">
        <v>330</v>
      </c>
    </row>
    <row r="45">
      <c r="A45" s="28">
        <v>41.0</v>
      </c>
      <c r="B45" s="26" t="s">
        <v>331</v>
      </c>
      <c r="C45" s="26" t="s">
        <v>126</v>
      </c>
      <c r="D45" s="26" t="s">
        <v>320</v>
      </c>
      <c r="E45" s="26" t="s">
        <v>320</v>
      </c>
      <c r="F45" s="26" t="s">
        <v>332</v>
      </c>
      <c r="G45" s="28">
        <v>2.0</v>
      </c>
      <c r="H45" s="26" t="s">
        <v>120</v>
      </c>
      <c r="I45" s="28">
        <v>11000.0</v>
      </c>
      <c r="J45" s="28">
        <v>4600.0</v>
      </c>
      <c r="K45" s="28">
        <v>8600.0</v>
      </c>
      <c r="L45" s="28">
        <v>3500.0</v>
      </c>
      <c r="M45" s="28">
        <v>2200.0</v>
      </c>
      <c r="N45" s="28">
        <v>15950.0</v>
      </c>
      <c r="O45" s="28">
        <v>7150.0</v>
      </c>
      <c r="P45" s="28">
        <v>24200.0</v>
      </c>
      <c r="Q45" s="28">
        <v>3850.0</v>
      </c>
      <c r="R45" s="28">
        <v>3300.0</v>
      </c>
      <c r="S45" s="28">
        <v>2000.0</v>
      </c>
      <c r="T45" s="28">
        <v>2400.0</v>
      </c>
      <c r="U45" s="28">
        <v>0.75</v>
      </c>
      <c r="V45" s="28">
        <v>1.0</v>
      </c>
      <c r="W45" s="26" t="s">
        <v>121</v>
      </c>
      <c r="X45" s="26" t="s">
        <v>333</v>
      </c>
      <c r="Y45" s="29" t="s">
        <v>334</v>
      </c>
      <c r="Z45" s="26" t="s">
        <v>335</v>
      </c>
      <c r="AA45" s="29" t="s">
        <v>336</v>
      </c>
    </row>
    <row r="46">
      <c r="A46" s="28">
        <v>42.0</v>
      </c>
      <c r="B46" s="26" t="s">
        <v>337</v>
      </c>
      <c r="C46" s="26" t="s">
        <v>126</v>
      </c>
      <c r="D46" s="26" t="s">
        <v>320</v>
      </c>
      <c r="E46" s="26" t="s">
        <v>320</v>
      </c>
      <c r="F46" s="26" t="s">
        <v>275</v>
      </c>
      <c r="G46" s="28">
        <v>3.0</v>
      </c>
      <c r="H46" s="26" t="s">
        <v>127</v>
      </c>
      <c r="I46" s="28">
        <v>12100.0</v>
      </c>
      <c r="J46" s="28">
        <v>5100.0</v>
      </c>
      <c r="K46" s="28">
        <v>9450.0</v>
      </c>
      <c r="L46" s="28">
        <v>3850.0</v>
      </c>
      <c r="M46" s="28">
        <v>2400.0</v>
      </c>
      <c r="N46" s="28">
        <v>17550.0</v>
      </c>
      <c r="O46" s="28">
        <v>7850.0</v>
      </c>
      <c r="P46" s="28">
        <v>26600.0</v>
      </c>
      <c r="Q46" s="28">
        <v>4250.0</v>
      </c>
      <c r="R46" s="28">
        <v>3650.0</v>
      </c>
      <c r="S46" s="28">
        <v>2200.0</v>
      </c>
      <c r="T46" s="28">
        <v>2400.0</v>
      </c>
      <c r="U46" s="28">
        <v>0.75</v>
      </c>
      <c r="V46" s="28">
        <v>1.0</v>
      </c>
      <c r="W46" s="26" t="s">
        <v>150</v>
      </c>
      <c r="X46" s="26" t="s">
        <v>338</v>
      </c>
      <c r="Y46" s="29" t="s">
        <v>339</v>
      </c>
      <c r="Z46" s="26" t="s">
        <v>340</v>
      </c>
      <c r="AA46" s="29" t="s">
        <v>341</v>
      </c>
      <c r="AB46" s="26" t="s">
        <v>342</v>
      </c>
      <c r="AE46" s="29" t="s">
        <v>343</v>
      </c>
    </row>
    <row r="47">
      <c r="A47" s="28">
        <v>43.0</v>
      </c>
      <c r="B47" s="26" t="s">
        <v>344</v>
      </c>
      <c r="C47" s="26" t="s">
        <v>126</v>
      </c>
      <c r="D47" s="26" t="s">
        <v>320</v>
      </c>
      <c r="E47" s="26" t="s">
        <v>320</v>
      </c>
      <c r="F47" s="26" t="s">
        <v>345</v>
      </c>
      <c r="G47" s="28">
        <v>2.0</v>
      </c>
      <c r="H47" s="26" t="s">
        <v>120</v>
      </c>
      <c r="I47" s="28">
        <v>20700.0</v>
      </c>
      <c r="J47" s="28">
        <v>8700.0</v>
      </c>
      <c r="K47" s="28">
        <v>16150.0</v>
      </c>
      <c r="L47" s="28">
        <v>6600.0</v>
      </c>
      <c r="M47" s="28">
        <v>4150.0</v>
      </c>
      <c r="N47" s="28">
        <v>30000.0</v>
      </c>
      <c r="O47" s="28">
        <v>13450.0</v>
      </c>
      <c r="P47" s="28">
        <v>45550.0</v>
      </c>
      <c r="Q47" s="28">
        <v>7250.0</v>
      </c>
      <c r="R47" s="28">
        <v>6200.0</v>
      </c>
      <c r="S47" s="28">
        <v>3750.0</v>
      </c>
      <c r="T47" s="28">
        <v>2400.0</v>
      </c>
      <c r="U47" s="28">
        <v>0.75</v>
      </c>
      <c r="V47" s="28">
        <v>1.0</v>
      </c>
      <c r="W47" s="26" t="s">
        <v>121</v>
      </c>
      <c r="X47" s="26" t="s">
        <v>346</v>
      </c>
      <c r="Y47" s="29" t="s">
        <v>347</v>
      </c>
      <c r="AA47" s="29" t="s">
        <v>348</v>
      </c>
    </row>
    <row r="48">
      <c r="A48" s="28">
        <v>44.0</v>
      </c>
      <c r="B48" s="26" t="s">
        <v>349</v>
      </c>
      <c r="C48" s="26" t="s">
        <v>117</v>
      </c>
      <c r="D48" s="26" t="s">
        <v>320</v>
      </c>
      <c r="E48" s="26" t="s">
        <v>320</v>
      </c>
      <c r="F48" s="26" t="s">
        <v>350</v>
      </c>
      <c r="G48" s="28">
        <v>2.0</v>
      </c>
      <c r="H48" s="26" t="s">
        <v>120</v>
      </c>
      <c r="I48" s="28">
        <v>11000.0</v>
      </c>
      <c r="J48" s="28">
        <v>4600.0</v>
      </c>
      <c r="K48" s="28">
        <v>8600.0</v>
      </c>
      <c r="L48" s="28">
        <v>3500.0</v>
      </c>
      <c r="M48" s="28">
        <v>2200.0</v>
      </c>
      <c r="N48" s="28">
        <v>15950.0</v>
      </c>
      <c r="O48" s="28">
        <v>7150.0</v>
      </c>
      <c r="P48" s="28">
        <v>24200.0</v>
      </c>
      <c r="Q48" s="28">
        <v>3850.0</v>
      </c>
      <c r="R48" s="28">
        <v>3300.0</v>
      </c>
      <c r="S48" s="28">
        <v>2000.0</v>
      </c>
      <c r="T48" s="26" t="s">
        <v>112</v>
      </c>
      <c r="U48" s="28">
        <v>0.75</v>
      </c>
      <c r="V48" s="28">
        <v>1.0</v>
      </c>
      <c r="W48" s="26" t="s">
        <v>121</v>
      </c>
      <c r="X48" s="26" t="s">
        <v>351</v>
      </c>
      <c r="Y48" s="29" t="s">
        <v>352</v>
      </c>
      <c r="AA48" s="29" t="s">
        <v>353</v>
      </c>
      <c r="AB48" s="26" t="s">
        <v>354</v>
      </c>
    </row>
    <row r="49">
      <c r="A49" s="28">
        <v>45.0</v>
      </c>
      <c r="B49" s="26" t="s">
        <v>355</v>
      </c>
      <c r="C49" s="26" t="s">
        <v>107</v>
      </c>
      <c r="D49" s="26" t="s">
        <v>320</v>
      </c>
      <c r="E49" s="26" t="s">
        <v>320</v>
      </c>
      <c r="F49" s="26" t="s">
        <v>332</v>
      </c>
      <c r="G49" s="28">
        <v>3.0</v>
      </c>
      <c r="H49" s="26" t="s">
        <v>120</v>
      </c>
      <c r="I49" s="26" t="s">
        <v>112</v>
      </c>
      <c r="J49" s="26" t="s">
        <v>112</v>
      </c>
      <c r="K49" s="26" t="s">
        <v>112</v>
      </c>
      <c r="L49" s="26" t="s">
        <v>112</v>
      </c>
      <c r="M49" s="26" t="s">
        <v>112</v>
      </c>
      <c r="N49" s="26" t="s">
        <v>112</v>
      </c>
      <c r="O49" s="26" t="s">
        <v>112</v>
      </c>
      <c r="P49" s="28">
        <v>15000.0</v>
      </c>
      <c r="Q49" s="26" t="s">
        <v>112</v>
      </c>
      <c r="R49" s="26" t="s">
        <v>112</v>
      </c>
      <c r="S49" s="26" t="s">
        <v>112</v>
      </c>
      <c r="T49" s="26" t="s">
        <v>112</v>
      </c>
      <c r="U49" s="28">
        <v>0.5</v>
      </c>
      <c r="V49" s="28">
        <v>1.0</v>
      </c>
      <c r="W49" s="26" t="s">
        <v>150</v>
      </c>
      <c r="X49" s="26" t="s">
        <v>356</v>
      </c>
      <c r="Y49" s="29" t="s">
        <v>357</v>
      </c>
      <c r="AA49" s="29" t="s">
        <v>358</v>
      </c>
      <c r="AE49" s="29" t="s">
        <v>359</v>
      </c>
    </row>
    <row r="50">
      <c r="A50" s="28">
        <v>46.0</v>
      </c>
      <c r="B50" s="26" t="s">
        <v>360</v>
      </c>
      <c r="C50" s="26" t="s">
        <v>134</v>
      </c>
      <c r="D50" s="26" t="s">
        <v>320</v>
      </c>
      <c r="E50" s="26" t="s">
        <v>320</v>
      </c>
      <c r="F50" s="26" t="s">
        <v>361</v>
      </c>
      <c r="G50" s="28">
        <v>1.0</v>
      </c>
      <c r="H50" s="26" t="s">
        <v>111</v>
      </c>
      <c r="I50" s="26" t="s">
        <v>112</v>
      </c>
      <c r="J50" s="26" t="s">
        <v>112</v>
      </c>
      <c r="K50" s="26" t="s">
        <v>112</v>
      </c>
      <c r="L50" s="26" t="s">
        <v>112</v>
      </c>
      <c r="M50" s="26" t="s">
        <v>112</v>
      </c>
      <c r="N50" s="26" t="s">
        <v>112</v>
      </c>
      <c r="O50" s="26" t="s">
        <v>112</v>
      </c>
      <c r="P50" s="28">
        <v>7500.0</v>
      </c>
      <c r="Q50" s="26" t="s">
        <v>112</v>
      </c>
      <c r="R50" s="26" t="s">
        <v>112</v>
      </c>
      <c r="S50" s="26" t="s">
        <v>112</v>
      </c>
      <c r="T50" s="26" t="s">
        <v>112</v>
      </c>
      <c r="U50" s="28">
        <v>0.5</v>
      </c>
      <c r="V50" s="28">
        <v>1.0</v>
      </c>
      <c r="W50" s="26" t="s">
        <v>113</v>
      </c>
      <c r="X50" s="26" t="s">
        <v>362</v>
      </c>
      <c r="Y50" s="29" t="s">
        <v>363</v>
      </c>
    </row>
    <row r="51">
      <c r="A51" s="28">
        <v>47.0</v>
      </c>
      <c r="B51" s="26" t="s">
        <v>364</v>
      </c>
      <c r="C51" s="26" t="s">
        <v>126</v>
      </c>
      <c r="D51" s="26" t="s">
        <v>365</v>
      </c>
      <c r="E51" s="26" t="s">
        <v>366</v>
      </c>
      <c r="F51" s="26" t="s">
        <v>157</v>
      </c>
      <c r="G51" s="28">
        <v>2.0</v>
      </c>
      <c r="H51" s="26" t="s">
        <v>120</v>
      </c>
      <c r="I51" s="28">
        <v>11250.0</v>
      </c>
      <c r="J51" s="28">
        <v>4500.0</v>
      </c>
      <c r="K51" s="28">
        <v>8000.0</v>
      </c>
      <c r="L51" s="28">
        <v>3500.0</v>
      </c>
      <c r="M51" s="28">
        <v>2000.0</v>
      </c>
      <c r="N51" s="28">
        <v>13500.0</v>
      </c>
      <c r="O51" s="28">
        <v>6075.0</v>
      </c>
      <c r="P51" s="28">
        <v>15000.0</v>
      </c>
      <c r="Q51" s="28">
        <v>4638.0</v>
      </c>
      <c r="R51" s="28">
        <v>4063.0</v>
      </c>
      <c r="S51" s="28">
        <v>2438.0</v>
      </c>
      <c r="T51" s="28">
        <v>2400.0</v>
      </c>
      <c r="U51" s="28">
        <v>0.3</v>
      </c>
      <c r="V51" s="28">
        <v>1.0</v>
      </c>
      <c r="W51" s="26" t="s">
        <v>121</v>
      </c>
      <c r="X51" s="26" t="s">
        <v>367</v>
      </c>
      <c r="Y51" s="29" t="s">
        <v>368</v>
      </c>
      <c r="AA51" s="29" t="s">
        <v>369</v>
      </c>
    </row>
    <row r="52">
      <c r="A52" s="28">
        <v>48.0</v>
      </c>
      <c r="B52" s="26" t="s">
        <v>370</v>
      </c>
      <c r="C52" s="26" t="s">
        <v>371</v>
      </c>
      <c r="D52" s="26" t="s">
        <v>365</v>
      </c>
      <c r="E52" s="26" t="s">
        <v>366</v>
      </c>
      <c r="F52" s="26" t="s">
        <v>157</v>
      </c>
      <c r="G52" s="28">
        <v>1.0</v>
      </c>
      <c r="H52" s="26" t="s">
        <v>111</v>
      </c>
      <c r="I52" s="28">
        <v>12100.0</v>
      </c>
      <c r="J52" s="28">
        <v>5100.0</v>
      </c>
      <c r="K52" s="28">
        <v>9450.0</v>
      </c>
      <c r="L52" s="28">
        <v>3850.0</v>
      </c>
      <c r="M52" s="28">
        <v>2400.0</v>
      </c>
      <c r="N52" s="28">
        <v>17550.0</v>
      </c>
      <c r="O52" s="28">
        <v>7850.0</v>
      </c>
      <c r="P52" s="28">
        <v>26600.0</v>
      </c>
      <c r="Q52" s="28">
        <v>4250.0</v>
      </c>
      <c r="R52" s="28">
        <v>3650.0</v>
      </c>
      <c r="S52" s="28">
        <v>2200.0</v>
      </c>
      <c r="T52" s="26" t="s">
        <v>112</v>
      </c>
      <c r="U52" s="28">
        <v>0.3</v>
      </c>
      <c r="V52" s="28">
        <v>1.0</v>
      </c>
      <c r="W52" s="26" t="s">
        <v>113</v>
      </c>
      <c r="X52" s="26" t="s">
        <v>372</v>
      </c>
      <c r="Y52" s="29" t="s">
        <v>373</v>
      </c>
    </row>
    <row r="53">
      <c r="A53" s="28">
        <v>49.0</v>
      </c>
      <c r="B53" s="26" t="s">
        <v>374</v>
      </c>
      <c r="C53" s="26" t="s">
        <v>371</v>
      </c>
      <c r="D53" s="26" t="s">
        <v>365</v>
      </c>
      <c r="E53" s="26" t="s">
        <v>366</v>
      </c>
      <c r="F53" s="26" t="s">
        <v>375</v>
      </c>
      <c r="G53" s="28">
        <v>4.0</v>
      </c>
      <c r="H53" s="26" t="s">
        <v>127</v>
      </c>
      <c r="I53" s="26" t="s">
        <v>112</v>
      </c>
      <c r="J53" s="26" t="s">
        <v>112</v>
      </c>
      <c r="K53" s="26" t="s">
        <v>112</v>
      </c>
      <c r="L53" s="26" t="s">
        <v>112</v>
      </c>
      <c r="M53" s="26" t="s">
        <v>112</v>
      </c>
      <c r="N53" s="26" t="s">
        <v>112</v>
      </c>
      <c r="O53" s="26" t="s">
        <v>112</v>
      </c>
      <c r="P53" s="28">
        <v>30000.0</v>
      </c>
      <c r="Q53" s="26" t="s">
        <v>112</v>
      </c>
      <c r="R53" s="26" t="s">
        <v>112</v>
      </c>
      <c r="S53" s="26" t="s">
        <v>112</v>
      </c>
      <c r="T53" s="26" t="s">
        <v>112</v>
      </c>
      <c r="U53" s="28">
        <v>0.3</v>
      </c>
      <c r="V53" s="28">
        <v>1.0</v>
      </c>
      <c r="W53" s="26" t="s">
        <v>136</v>
      </c>
      <c r="X53" s="26" t="s">
        <v>376</v>
      </c>
      <c r="Y53" s="29" t="s">
        <v>377</v>
      </c>
      <c r="Z53" s="26" t="s">
        <v>378</v>
      </c>
      <c r="AA53" s="29" t="s">
        <v>379</v>
      </c>
      <c r="AB53" s="29" t="s">
        <v>380</v>
      </c>
      <c r="AC53" s="29" t="s">
        <v>381</v>
      </c>
    </row>
    <row r="54">
      <c r="A54" s="28">
        <v>50.0</v>
      </c>
      <c r="B54" s="26" t="s">
        <v>382</v>
      </c>
      <c r="C54" s="26" t="s">
        <v>126</v>
      </c>
      <c r="D54" s="26" t="s">
        <v>365</v>
      </c>
      <c r="E54" s="26" t="s">
        <v>366</v>
      </c>
      <c r="F54" s="26" t="s">
        <v>157</v>
      </c>
      <c r="G54" s="28">
        <v>1.0</v>
      </c>
      <c r="H54" s="26" t="s">
        <v>120</v>
      </c>
      <c r="I54" s="28">
        <v>11250.0</v>
      </c>
      <c r="J54" s="28">
        <v>4500.0</v>
      </c>
      <c r="K54" s="28">
        <v>8000.0</v>
      </c>
      <c r="L54" s="28">
        <v>3500.0</v>
      </c>
      <c r="M54" s="28">
        <v>2000.0</v>
      </c>
      <c r="N54" s="28">
        <v>13500.0</v>
      </c>
      <c r="O54" s="28">
        <v>6075.0</v>
      </c>
      <c r="P54" s="28">
        <v>15000.0</v>
      </c>
      <c r="Q54" s="28">
        <v>4638.0</v>
      </c>
      <c r="R54" s="28">
        <v>4063.0</v>
      </c>
      <c r="S54" s="28">
        <v>2438.0</v>
      </c>
      <c r="T54" s="28">
        <v>2400.0</v>
      </c>
      <c r="U54" s="28">
        <v>0.3</v>
      </c>
      <c r="V54" s="28">
        <v>1.0</v>
      </c>
      <c r="W54" s="26" t="s">
        <v>113</v>
      </c>
      <c r="X54" s="26" t="s">
        <v>383</v>
      </c>
      <c r="Y54" s="29" t="s">
        <v>384</v>
      </c>
      <c r="Z54" s="26" t="s">
        <v>385</v>
      </c>
      <c r="AB54" s="26" t="s">
        <v>386</v>
      </c>
    </row>
    <row r="55">
      <c r="A55" s="28">
        <v>51.0</v>
      </c>
      <c r="B55" s="26" t="s">
        <v>387</v>
      </c>
      <c r="C55" s="26" t="s">
        <v>126</v>
      </c>
      <c r="D55" s="26" t="s">
        <v>365</v>
      </c>
      <c r="E55" s="26" t="s">
        <v>366</v>
      </c>
      <c r="F55" s="26" t="s">
        <v>275</v>
      </c>
      <c r="G55" s="28">
        <v>4.0</v>
      </c>
      <c r="H55" s="26" t="s">
        <v>127</v>
      </c>
      <c r="I55" s="28">
        <v>12100.0</v>
      </c>
      <c r="J55" s="28">
        <v>5100.0</v>
      </c>
      <c r="K55" s="28">
        <v>9450.0</v>
      </c>
      <c r="L55" s="28">
        <v>3850.0</v>
      </c>
      <c r="M55" s="28">
        <v>2400.0</v>
      </c>
      <c r="N55" s="28">
        <v>17550.0</v>
      </c>
      <c r="O55" s="28">
        <v>7850.0</v>
      </c>
      <c r="P55" s="28">
        <v>26600.0</v>
      </c>
      <c r="Q55" s="28">
        <v>4250.0</v>
      </c>
      <c r="R55" s="28">
        <v>3650.0</v>
      </c>
      <c r="S55" s="28">
        <v>2200.0</v>
      </c>
      <c r="T55" s="28">
        <v>2400.0</v>
      </c>
      <c r="U55" s="28">
        <v>0.3</v>
      </c>
      <c r="V55" s="28">
        <v>1.0</v>
      </c>
      <c r="W55" s="26" t="s">
        <v>136</v>
      </c>
      <c r="X55" s="26" t="s">
        <v>388</v>
      </c>
      <c r="Y55" s="29" t="s">
        <v>389</v>
      </c>
      <c r="Z55" s="29" t="s">
        <v>390</v>
      </c>
      <c r="AA55" s="29" t="s">
        <v>391</v>
      </c>
      <c r="AB55" s="29" t="s">
        <v>392</v>
      </c>
    </row>
    <row r="56">
      <c r="A56" s="28">
        <v>52.0</v>
      </c>
      <c r="B56" s="26" t="s">
        <v>393</v>
      </c>
      <c r="C56" s="26" t="s">
        <v>107</v>
      </c>
      <c r="D56" s="26" t="s">
        <v>365</v>
      </c>
      <c r="E56" s="26" t="s">
        <v>366</v>
      </c>
      <c r="F56" s="26" t="s">
        <v>157</v>
      </c>
      <c r="G56" s="28">
        <v>0.0</v>
      </c>
      <c r="H56" s="26" t="s">
        <v>111</v>
      </c>
      <c r="I56" s="28">
        <v>20700.0</v>
      </c>
      <c r="J56" s="28">
        <v>8700.0</v>
      </c>
      <c r="K56" s="28">
        <v>16150.0</v>
      </c>
      <c r="L56" s="28">
        <v>6600.0</v>
      </c>
      <c r="M56" s="28">
        <v>4150.0</v>
      </c>
      <c r="N56" s="28">
        <v>30000.0</v>
      </c>
      <c r="O56" s="28">
        <v>13450.0</v>
      </c>
      <c r="P56" s="28">
        <v>45550.0</v>
      </c>
      <c r="Q56" s="28">
        <v>7250.0</v>
      </c>
      <c r="R56" s="28">
        <v>6200.0</v>
      </c>
      <c r="S56" s="28">
        <v>3750.0</v>
      </c>
      <c r="T56" s="26" t="s">
        <v>112</v>
      </c>
      <c r="U56" s="28">
        <v>0.3</v>
      </c>
      <c r="V56" s="28">
        <v>1.0</v>
      </c>
      <c r="W56" s="26" t="s">
        <v>242</v>
      </c>
      <c r="X56" s="26" t="s">
        <v>394</v>
      </c>
    </row>
    <row r="57">
      <c r="A57" s="28">
        <v>53.0</v>
      </c>
      <c r="B57" s="26" t="s">
        <v>395</v>
      </c>
      <c r="C57" s="26" t="s">
        <v>126</v>
      </c>
      <c r="D57" s="26" t="s">
        <v>365</v>
      </c>
      <c r="E57" s="26" t="s">
        <v>366</v>
      </c>
      <c r="F57" s="26" t="s">
        <v>157</v>
      </c>
      <c r="G57" s="28">
        <v>2.0</v>
      </c>
      <c r="H57" s="26" t="s">
        <v>120</v>
      </c>
      <c r="I57" s="28">
        <v>11250.0</v>
      </c>
      <c r="J57" s="28">
        <v>4500.0</v>
      </c>
      <c r="K57" s="28">
        <v>8000.0</v>
      </c>
      <c r="L57" s="28">
        <v>3500.0</v>
      </c>
      <c r="M57" s="28">
        <v>2000.0</v>
      </c>
      <c r="N57" s="28">
        <v>13500.0</v>
      </c>
      <c r="O57" s="28">
        <v>6075.0</v>
      </c>
      <c r="P57" s="28">
        <v>15000.0</v>
      </c>
      <c r="Q57" s="28">
        <v>4638.0</v>
      </c>
      <c r="R57" s="28">
        <v>4063.0</v>
      </c>
      <c r="S57" s="28">
        <v>2438.0</v>
      </c>
      <c r="T57" s="28">
        <v>2400.0</v>
      </c>
      <c r="U57" s="28">
        <v>0.3</v>
      </c>
      <c r="V57" s="28">
        <v>1.0</v>
      </c>
      <c r="W57" s="26" t="s">
        <v>121</v>
      </c>
      <c r="X57" s="26" t="s">
        <v>396</v>
      </c>
      <c r="Y57" s="29" t="s">
        <v>397</v>
      </c>
      <c r="Z57" s="29" t="s">
        <v>398</v>
      </c>
    </row>
    <row r="58">
      <c r="A58" s="28">
        <v>54.0</v>
      </c>
      <c r="B58" s="26" t="s">
        <v>399</v>
      </c>
      <c r="C58" s="26" t="s">
        <v>107</v>
      </c>
      <c r="D58" s="26" t="s">
        <v>400</v>
      </c>
      <c r="E58" s="26" t="s">
        <v>400</v>
      </c>
      <c r="F58" s="26" t="s">
        <v>401</v>
      </c>
      <c r="G58" s="28">
        <v>0.0</v>
      </c>
      <c r="H58" s="26" t="s">
        <v>111</v>
      </c>
      <c r="I58" s="28">
        <v>12100.0</v>
      </c>
      <c r="J58" s="28">
        <v>5100.0</v>
      </c>
      <c r="K58" s="28">
        <v>9450.0</v>
      </c>
      <c r="L58" s="28">
        <v>3850.0</v>
      </c>
      <c r="M58" s="28">
        <v>2400.0</v>
      </c>
      <c r="N58" s="28">
        <v>17550.0</v>
      </c>
      <c r="O58" s="28">
        <v>7850.0</v>
      </c>
      <c r="P58" s="28">
        <v>26600.0</v>
      </c>
      <c r="Q58" s="28">
        <v>4250.0</v>
      </c>
      <c r="R58" s="28">
        <v>3650.0</v>
      </c>
      <c r="S58" s="28">
        <v>2200.0</v>
      </c>
      <c r="T58" s="26" t="s">
        <v>112</v>
      </c>
      <c r="U58" s="28">
        <v>0.3</v>
      </c>
      <c r="V58" s="28">
        <v>1.0</v>
      </c>
      <c r="W58" s="26" t="s">
        <v>242</v>
      </c>
      <c r="X58" s="26" t="s">
        <v>402</v>
      </c>
    </row>
    <row r="59">
      <c r="A59" s="28">
        <v>55.0</v>
      </c>
      <c r="B59" s="26" t="s">
        <v>403</v>
      </c>
      <c r="C59" s="26" t="s">
        <v>126</v>
      </c>
      <c r="D59" s="26" t="s">
        <v>404</v>
      </c>
      <c r="E59" s="26" t="s">
        <v>404</v>
      </c>
      <c r="F59" s="26" t="s">
        <v>401</v>
      </c>
      <c r="G59" s="28">
        <v>1.0</v>
      </c>
      <c r="H59" s="26" t="s">
        <v>111</v>
      </c>
      <c r="I59" s="28">
        <v>8750.0</v>
      </c>
      <c r="J59" s="28">
        <v>3000.0</v>
      </c>
      <c r="K59" s="28">
        <v>6000.0</v>
      </c>
      <c r="L59" s="28">
        <v>2500.0</v>
      </c>
      <c r="M59" s="28">
        <v>1200.0</v>
      </c>
      <c r="N59" s="28">
        <v>9000.0</v>
      </c>
      <c r="O59" s="28">
        <v>4050.0</v>
      </c>
      <c r="P59" s="28">
        <v>7500.0</v>
      </c>
      <c r="Q59" s="28">
        <v>2200.0</v>
      </c>
      <c r="R59" s="28">
        <v>1925.0</v>
      </c>
      <c r="S59" s="28">
        <v>1155.0</v>
      </c>
      <c r="T59" s="28">
        <v>2400.0</v>
      </c>
      <c r="U59" s="28">
        <v>0.3</v>
      </c>
      <c r="V59" s="28">
        <v>1.0</v>
      </c>
      <c r="W59" s="26" t="s">
        <v>113</v>
      </c>
      <c r="X59" s="26" t="s">
        <v>405</v>
      </c>
      <c r="Y59" s="29" t="s">
        <v>406</v>
      </c>
    </row>
    <row r="60">
      <c r="A60" s="28">
        <v>56.0</v>
      </c>
      <c r="B60" s="26" t="s">
        <v>407</v>
      </c>
      <c r="C60" s="26" t="s">
        <v>126</v>
      </c>
      <c r="D60" s="26" t="s">
        <v>404</v>
      </c>
      <c r="E60" s="26" t="s">
        <v>404</v>
      </c>
      <c r="F60" s="26" t="s">
        <v>408</v>
      </c>
      <c r="G60" s="28">
        <v>3.0</v>
      </c>
      <c r="H60" s="26" t="s">
        <v>120</v>
      </c>
      <c r="I60" s="28">
        <v>5700.0</v>
      </c>
      <c r="J60" s="28">
        <v>2400.0</v>
      </c>
      <c r="K60" s="28">
        <v>4450.0</v>
      </c>
      <c r="L60" s="28">
        <v>1850.0</v>
      </c>
      <c r="M60" s="28">
        <v>1150.0</v>
      </c>
      <c r="N60" s="28">
        <v>8300.0</v>
      </c>
      <c r="O60" s="28">
        <v>3700.0</v>
      </c>
      <c r="P60" s="28">
        <v>12600.0</v>
      </c>
      <c r="Q60" s="28">
        <v>2000.0</v>
      </c>
      <c r="R60" s="28">
        <v>1700.0</v>
      </c>
      <c r="S60" s="28">
        <v>1050.0</v>
      </c>
      <c r="T60" s="28">
        <v>2400.0</v>
      </c>
      <c r="U60" s="28">
        <v>0.1</v>
      </c>
      <c r="V60" s="28">
        <v>1.0</v>
      </c>
      <c r="W60" s="26" t="s">
        <v>150</v>
      </c>
      <c r="X60" s="26" t="s">
        <v>409</v>
      </c>
      <c r="Y60" s="29" t="s">
        <v>410</v>
      </c>
      <c r="Z60" s="29" t="s">
        <v>411</v>
      </c>
      <c r="AE60" s="29" t="s">
        <v>412</v>
      </c>
    </row>
    <row r="61">
      <c r="A61" s="28">
        <v>57.0</v>
      </c>
      <c r="B61" s="26" t="s">
        <v>413</v>
      </c>
      <c r="C61" s="26" t="s">
        <v>107</v>
      </c>
      <c r="D61" s="26" t="s">
        <v>414</v>
      </c>
      <c r="E61" s="26" t="s">
        <v>414</v>
      </c>
      <c r="F61" s="26" t="s">
        <v>415</v>
      </c>
      <c r="G61" s="28">
        <v>1.0</v>
      </c>
      <c r="H61" s="26" t="s">
        <v>111</v>
      </c>
      <c r="I61" s="28">
        <v>11000.0</v>
      </c>
      <c r="J61" s="28">
        <v>4600.0</v>
      </c>
      <c r="K61" s="28">
        <v>8600.0</v>
      </c>
      <c r="L61" s="28">
        <v>3500.0</v>
      </c>
      <c r="M61" s="28">
        <v>2200.0</v>
      </c>
      <c r="N61" s="28">
        <v>15950.0</v>
      </c>
      <c r="O61" s="28">
        <v>7150.0</v>
      </c>
      <c r="P61" s="28">
        <v>24200.0</v>
      </c>
      <c r="Q61" s="28">
        <v>3850.0</v>
      </c>
      <c r="R61" s="28">
        <v>3300.0</v>
      </c>
      <c r="S61" s="28">
        <v>2000.0</v>
      </c>
      <c r="T61" s="26" t="s">
        <v>112</v>
      </c>
      <c r="U61" s="28">
        <v>0.5</v>
      </c>
      <c r="V61" s="28">
        <v>1.0</v>
      </c>
      <c r="W61" s="26" t="s">
        <v>113</v>
      </c>
      <c r="X61" s="26" t="s">
        <v>416</v>
      </c>
      <c r="Y61" s="29" t="s">
        <v>417</v>
      </c>
    </row>
    <row r="62">
      <c r="A62" s="28">
        <v>58.0</v>
      </c>
      <c r="B62" s="26" t="s">
        <v>418</v>
      </c>
      <c r="C62" s="26" t="s">
        <v>126</v>
      </c>
      <c r="D62" s="26" t="s">
        <v>404</v>
      </c>
      <c r="E62" s="26" t="s">
        <v>404</v>
      </c>
      <c r="F62" s="26" t="s">
        <v>419</v>
      </c>
      <c r="G62" s="28">
        <v>3.0</v>
      </c>
      <c r="H62" s="26" t="s">
        <v>120</v>
      </c>
      <c r="I62" s="28">
        <v>11250.0</v>
      </c>
      <c r="J62" s="28">
        <v>4500.0</v>
      </c>
      <c r="K62" s="28">
        <v>8000.0</v>
      </c>
      <c r="L62" s="28">
        <v>3500.0</v>
      </c>
      <c r="M62" s="28">
        <v>2000.0</v>
      </c>
      <c r="N62" s="28">
        <v>13500.0</v>
      </c>
      <c r="O62" s="28">
        <v>6075.0</v>
      </c>
      <c r="P62" s="28">
        <v>15000.0</v>
      </c>
      <c r="Q62" s="28">
        <v>4638.0</v>
      </c>
      <c r="R62" s="28">
        <v>4063.0</v>
      </c>
      <c r="S62" s="28">
        <v>2438.0</v>
      </c>
      <c r="T62" s="28">
        <v>2400.0</v>
      </c>
      <c r="U62" s="28">
        <v>0.75</v>
      </c>
      <c r="V62" s="28">
        <v>1.0</v>
      </c>
      <c r="W62" s="26" t="s">
        <v>150</v>
      </c>
      <c r="X62" s="26" t="s">
        <v>420</v>
      </c>
      <c r="Y62" s="29" t="s">
        <v>421</v>
      </c>
      <c r="AA62" s="29" t="s">
        <v>422</v>
      </c>
      <c r="AB62" s="29" t="s">
        <v>423</v>
      </c>
    </row>
    <row r="63">
      <c r="A63" s="28">
        <v>59.0</v>
      </c>
      <c r="B63" s="26" t="s">
        <v>424</v>
      </c>
      <c r="C63" s="26" t="s">
        <v>126</v>
      </c>
      <c r="D63" s="26" t="s">
        <v>404</v>
      </c>
      <c r="E63" s="26" t="s">
        <v>404</v>
      </c>
      <c r="F63" s="26" t="s">
        <v>425</v>
      </c>
      <c r="G63" s="28">
        <v>2.0</v>
      </c>
      <c r="H63" s="26" t="s">
        <v>120</v>
      </c>
      <c r="I63" s="28">
        <v>11000.0</v>
      </c>
      <c r="J63" s="28">
        <v>4600.0</v>
      </c>
      <c r="K63" s="28">
        <v>8600.0</v>
      </c>
      <c r="L63" s="28">
        <v>3500.0</v>
      </c>
      <c r="M63" s="28">
        <v>2200.0</v>
      </c>
      <c r="N63" s="28">
        <v>15950.0</v>
      </c>
      <c r="O63" s="28">
        <v>7150.0</v>
      </c>
      <c r="P63" s="28">
        <v>24200.0</v>
      </c>
      <c r="Q63" s="28">
        <v>3850.0</v>
      </c>
      <c r="R63" s="28">
        <v>3300.0</v>
      </c>
      <c r="S63" s="28">
        <v>2000.0</v>
      </c>
      <c r="T63" s="28">
        <v>2400.0</v>
      </c>
      <c r="U63" s="28">
        <v>0.75</v>
      </c>
      <c r="V63" s="28">
        <v>1.0</v>
      </c>
      <c r="W63" s="26" t="s">
        <v>121</v>
      </c>
      <c r="X63" s="26" t="s">
        <v>426</v>
      </c>
      <c r="Y63" s="29" t="s">
        <v>427</v>
      </c>
      <c r="AB63" s="29" t="s">
        <v>428</v>
      </c>
    </row>
    <row r="64">
      <c r="A64" s="28">
        <v>60.0</v>
      </c>
      <c r="B64" s="26" t="s">
        <v>429</v>
      </c>
      <c r="C64" s="26" t="s">
        <v>126</v>
      </c>
      <c r="D64" s="26" t="s">
        <v>404</v>
      </c>
      <c r="E64" s="26" t="s">
        <v>404</v>
      </c>
      <c r="F64" s="26" t="s">
        <v>401</v>
      </c>
      <c r="G64" s="28">
        <v>1.0</v>
      </c>
      <c r="H64" s="26" t="s">
        <v>111</v>
      </c>
      <c r="I64" s="28">
        <v>11000.0</v>
      </c>
      <c r="J64" s="28">
        <v>4600.0</v>
      </c>
      <c r="K64" s="28">
        <v>8600.0</v>
      </c>
      <c r="L64" s="28">
        <v>3500.0</v>
      </c>
      <c r="M64" s="28">
        <v>2200.0</v>
      </c>
      <c r="N64" s="28">
        <v>15950.0</v>
      </c>
      <c r="O64" s="28">
        <v>7150.0</v>
      </c>
      <c r="P64" s="28">
        <v>24200.0</v>
      </c>
      <c r="Q64" s="28">
        <v>3850.0</v>
      </c>
      <c r="R64" s="28">
        <v>3300.0</v>
      </c>
      <c r="S64" s="28">
        <v>2000.0</v>
      </c>
      <c r="T64" s="28">
        <v>2400.0</v>
      </c>
      <c r="U64" s="28">
        <v>0.3</v>
      </c>
      <c r="V64" s="28">
        <v>1.0</v>
      </c>
      <c r="W64" s="26" t="s">
        <v>113</v>
      </c>
      <c r="X64" s="26" t="s">
        <v>430</v>
      </c>
      <c r="Y64" s="29" t="s">
        <v>431</v>
      </c>
    </row>
    <row r="65">
      <c r="A65" s="28">
        <v>61.0</v>
      </c>
      <c r="B65" s="26" t="s">
        <v>432</v>
      </c>
      <c r="C65" s="26" t="s">
        <v>126</v>
      </c>
      <c r="D65" s="26" t="s">
        <v>404</v>
      </c>
      <c r="E65" s="26" t="s">
        <v>404</v>
      </c>
      <c r="F65" s="26" t="s">
        <v>433</v>
      </c>
      <c r="G65" s="28">
        <v>2.0</v>
      </c>
      <c r="H65" s="26" t="s">
        <v>120</v>
      </c>
      <c r="I65" s="28">
        <v>5700.0</v>
      </c>
      <c r="J65" s="28">
        <v>2400.0</v>
      </c>
      <c r="K65" s="28">
        <v>4450.0</v>
      </c>
      <c r="L65" s="28">
        <v>1850.0</v>
      </c>
      <c r="M65" s="28">
        <v>1150.0</v>
      </c>
      <c r="N65" s="28">
        <v>8300.0</v>
      </c>
      <c r="O65" s="28">
        <v>3700.0</v>
      </c>
      <c r="P65" s="28">
        <v>12600.0</v>
      </c>
      <c r="Q65" s="28">
        <v>2000.0</v>
      </c>
      <c r="R65" s="28">
        <v>1700.0</v>
      </c>
      <c r="S65" s="28">
        <v>1050.0</v>
      </c>
      <c r="T65" s="28">
        <v>2400.0</v>
      </c>
      <c r="U65" s="28">
        <v>0.75</v>
      </c>
      <c r="V65" s="28">
        <v>1.0</v>
      </c>
      <c r="W65" s="26" t="s">
        <v>121</v>
      </c>
      <c r="X65" s="26" t="s">
        <v>434</v>
      </c>
      <c r="Y65" s="29" t="s">
        <v>435</v>
      </c>
      <c r="AA65" s="29" t="s">
        <v>436</v>
      </c>
    </row>
    <row r="66">
      <c r="A66" s="28">
        <v>62.0</v>
      </c>
      <c r="B66" s="26" t="s">
        <v>437</v>
      </c>
      <c r="C66" s="26" t="s">
        <v>126</v>
      </c>
      <c r="D66" s="26" t="s">
        <v>404</v>
      </c>
      <c r="E66" s="26" t="s">
        <v>404</v>
      </c>
      <c r="F66" s="26" t="s">
        <v>433</v>
      </c>
      <c r="G66" s="28">
        <v>1.0</v>
      </c>
      <c r="H66" s="26" t="s">
        <v>111</v>
      </c>
      <c r="I66" s="28">
        <v>11000.0</v>
      </c>
      <c r="J66" s="28">
        <v>4600.0</v>
      </c>
      <c r="K66" s="28">
        <v>8600.0</v>
      </c>
      <c r="L66" s="28">
        <v>3500.0</v>
      </c>
      <c r="M66" s="28">
        <v>2200.0</v>
      </c>
      <c r="N66" s="28">
        <v>15950.0</v>
      </c>
      <c r="O66" s="28">
        <v>7150.0</v>
      </c>
      <c r="P66" s="28">
        <v>24200.0</v>
      </c>
      <c r="Q66" s="28">
        <v>3850.0</v>
      </c>
      <c r="R66" s="28">
        <v>3300.0</v>
      </c>
      <c r="S66" s="28">
        <v>2000.0</v>
      </c>
      <c r="T66" s="28">
        <v>2400.0</v>
      </c>
      <c r="U66" s="28">
        <v>0.75</v>
      </c>
      <c r="V66" s="28">
        <v>1.0</v>
      </c>
      <c r="W66" s="26" t="s">
        <v>113</v>
      </c>
      <c r="X66" s="26" t="s">
        <v>438</v>
      </c>
      <c r="Y66" s="29" t="s">
        <v>439</v>
      </c>
    </row>
    <row r="67">
      <c r="A67" s="28">
        <v>63.0</v>
      </c>
      <c r="B67" s="26" t="s">
        <v>440</v>
      </c>
      <c r="C67" s="26" t="s">
        <v>126</v>
      </c>
      <c r="D67" s="26" t="s">
        <v>404</v>
      </c>
      <c r="E67" s="26" t="s">
        <v>404</v>
      </c>
      <c r="F67" s="26" t="s">
        <v>441</v>
      </c>
      <c r="G67" s="28">
        <v>2.0</v>
      </c>
      <c r="H67" s="26" t="s">
        <v>120</v>
      </c>
      <c r="I67" s="28">
        <v>5200.0</v>
      </c>
      <c r="J67" s="28">
        <v>2200.0</v>
      </c>
      <c r="K67" s="28">
        <v>4050.0</v>
      </c>
      <c r="L67" s="28">
        <v>1650.0</v>
      </c>
      <c r="M67" s="28">
        <v>1050.0</v>
      </c>
      <c r="N67" s="28">
        <v>7550.0</v>
      </c>
      <c r="O67" s="28">
        <v>3400.0</v>
      </c>
      <c r="P67" s="28">
        <v>11450.0</v>
      </c>
      <c r="Q67" s="28">
        <v>1800.0</v>
      </c>
      <c r="R67" s="28">
        <v>1550.0</v>
      </c>
      <c r="S67" s="28">
        <v>950.0</v>
      </c>
      <c r="T67" s="28">
        <v>2400.0</v>
      </c>
      <c r="U67" s="28">
        <v>0.75</v>
      </c>
      <c r="V67" s="28">
        <v>1.0</v>
      </c>
      <c r="W67" s="26" t="s">
        <v>121</v>
      </c>
      <c r="X67" s="26" t="s">
        <v>442</v>
      </c>
      <c r="Y67" s="29" t="s">
        <v>443</v>
      </c>
      <c r="AA67" s="29" t="s">
        <v>444</v>
      </c>
    </row>
    <row r="68">
      <c r="A68" s="28">
        <v>64.0</v>
      </c>
      <c r="B68" s="26" t="s">
        <v>445</v>
      </c>
      <c r="C68" s="26" t="s">
        <v>126</v>
      </c>
      <c r="D68" s="26" t="s">
        <v>446</v>
      </c>
      <c r="E68" s="26" t="s">
        <v>446</v>
      </c>
      <c r="F68" s="26" t="s">
        <v>447</v>
      </c>
      <c r="G68" s="28">
        <v>1.0</v>
      </c>
      <c r="H68" s="26" t="s">
        <v>111</v>
      </c>
      <c r="I68" s="28">
        <v>11000.0</v>
      </c>
      <c r="J68" s="28">
        <v>4600.0</v>
      </c>
      <c r="K68" s="28">
        <v>8600.0</v>
      </c>
      <c r="L68" s="28">
        <v>3500.0</v>
      </c>
      <c r="M68" s="28">
        <v>2200.0</v>
      </c>
      <c r="N68" s="28">
        <v>15950.0</v>
      </c>
      <c r="O68" s="28">
        <v>7150.0</v>
      </c>
      <c r="P68" s="28">
        <v>24200.0</v>
      </c>
      <c r="Q68" s="28">
        <v>3850.0</v>
      </c>
      <c r="R68" s="28">
        <v>3300.0</v>
      </c>
      <c r="S68" s="28">
        <v>2000.0</v>
      </c>
      <c r="T68" s="28">
        <v>2400.0</v>
      </c>
      <c r="U68" s="28">
        <v>0.1</v>
      </c>
      <c r="V68" s="28">
        <v>1.0</v>
      </c>
      <c r="W68" s="26" t="s">
        <v>113</v>
      </c>
      <c r="X68" s="26" t="s">
        <v>448</v>
      </c>
      <c r="Y68" s="29" t="s">
        <v>449</v>
      </c>
    </row>
    <row r="69">
      <c r="A69" s="28">
        <v>65.0</v>
      </c>
      <c r="B69" s="26" t="s">
        <v>450</v>
      </c>
      <c r="C69" s="26" t="s">
        <v>126</v>
      </c>
      <c r="D69" s="26" t="s">
        <v>400</v>
      </c>
      <c r="E69" s="26" t="s">
        <v>400</v>
      </c>
      <c r="F69" s="26" t="s">
        <v>451</v>
      </c>
      <c r="G69" s="28">
        <v>3.0</v>
      </c>
      <c r="H69" s="26" t="s">
        <v>120</v>
      </c>
      <c r="I69" s="28">
        <v>11000.0</v>
      </c>
      <c r="J69" s="28">
        <v>4600.0</v>
      </c>
      <c r="K69" s="28">
        <v>8600.0</v>
      </c>
      <c r="L69" s="28">
        <v>3500.0</v>
      </c>
      <c r="M69" s="28">
        <v>2200.0</v>
      </c>
      <c r="N69" s="28">
        <v>15950.0</v>
      </c>
      <c r="O69" s="28">
        <v>7150.0</v>
      </c>
      <c r="P69" s="28">
        <v>24200.0</v>
      </c>
      <c r="Q69" s="28">
        <v>3850.0</v>
      </c>
      <c r="R69" s="28">
        <v>3300.0</v>
      </c>
      <c r="S69" s="28">
        <v>2000.0</v>
      </c>
      <c r="T69" s="28">
        <v>2400.0</v>
      </c>
      <c r="U69" s="28">
        <v>0.5</v>
      </c>
      <c r="V69" s="28">
        <v>1.0</v>
      </c>
      <c r="W69" s="26" t="s">
        <v>150</v>
      </c>
      <c r="X69" s="26" t="s">
        <v>452</v>
      </c>
      <c r="Y69" s="29" t="s">
        <v>453</v>
      </c>
      <c r="AA69" s="29" t="s">
        <v>454</v>
      </c>
      <c r="AB69" s="29" t="s">
        <v>455</v>
      </c>
    </row>
    <row r="70">
      <c r="A70" s="28">
        <v>66.0</v>
      </c>
      <c r="B70" s="26" t="s">
        <v>456</v>
      </c>
      <c r="C70" s="26" t="s">
        <v>126</v>
      </c>
      <c r="D70" s="26" t="s">
        <v>400</v>
      </c>
      <c r="E70" s="26" t="s">
        <v>400</v>
      </c>
      <c r="F70" s="26" t="s">
        <v>401</v>
      </c>
      <c r="G70" s="28">
        <v>3.0</v>
      </c>
      <c r="H70" s="26" t="s">
        <v>120</v>
      </c>
      <c r="I70" s="28">
        <v>11000.0</v>
      </c>
      <c r="J70" s="28">
        <v>4600.0</v>
      </c>
      <c r="K70" s="28">
        <v>8600.0</v>
      </c>
      <c r="L70" s="28">
        <v>3500.0</v>
      </c>
      <c r="M70" s="28">
        <v>2200.0</v>
      </c>
      <c r="N70" s="28">
        <v>15950.0</v>
      </c>
      <c r="O70" s="28">
        <v>7150.0</v>
      </c>
      <c r="P70" s="28">
        <v>24200.0</v>
      </c>
      <c r="Q70" s="28">
        <v>3850.0</v>
      </c>
      <c r="R70" s="28">
        <v>3300.0</v>
      </c>
      <c r="S70" s="28">
        <v>2000.0</v>
      </c>
      <c r="T70" s="28">
        <v>2400.0</v>
      </c>
      <c r="U70" s="28">
        <v>0.3</v>
      </c>
      <c r="V70" s="28">
        <v>1.0</v>
      </c>
      <c r="W70" s="26" t="s">
        <v>150</v>
      </c>
      <c r="X70" s="26" t="s">
        <v>457</v>
      </c>
      <c r="Y70" s="29" t="s">
        <v>458</v>
      </c>
      <c r="Z70" s="29" t="s">
        <v>459</v>
      </c>
      <c r="AA70" s="29" t="s">
        <v>460</v>
      </c>
    </row>
    <row r="71">
      <c r="A71" s="28">
        <v>67.0</v>
      </c>
      <c r="B71" s="26" t="s">
        <v>461</v>
      </c>
      <c r="C71" s="26" t="s">
        <v>126</v>
      </c>
      <c r="D71" s="26" t="s">
        <v>148</v>
      </c>
      <c r="E71" s="26" t="s">
        <v>184</v>
      </c>
      <c r="F71" s="26" t="s">
        <v>401</v>
      </c>
      <c r="G71" s="28">
        <v>4.0</v>
      </c>
      <c r="H71" s="26" t="s">
        <v>111</v>
      </c>
      <c r="I71" s="28">
        <v>12100.0</v>
      </c>
      <c r="J71" s="28">
        <v>5100.0</v>
      </c>
      <c r="K71" s="28">
        <v>9450.0</v>
      </c>
      <c r="L71" s="28">
        <v>3850.0</v>
      </c>
      <c r="M71" s="28">
        <v>2400.0</v>
      </c>
      <c r="N71" s="28">
        <v>17550.0</v>
      </c>
      <c r="O71" s="28">
        <v>7850.0</v>
      </c>
      <c r="P71" s="28">
        <v>26600.0</v>
      </c>
      <c r="Q71" s="28">
        <v>4250.0</v>
      </c>
      <c r="R71" s="28">
        <v>3650.0</v>
      </c>
      <c r="S71" s="28">
        <v>2200.0</v>
      </c>
      <c r="T71" s="28">
        <v>2400.0</v>
      </c>
      <c r="U71" s="28">
        <v>0.3</v>
      </c>
      <c r="V71" s="28">
        <v>1.0</v>
      </c>
      <c r="W71" s="26" t="s">
        <v>136</v>
      </c>
      <c r="X71" s="26" t="s">
        <v>462</v>
      </c>
      <c r="Y71" s="29" t="s">
        <v>463</v>
      </c>
      <c r="Z71" s="29" t="s">
        <v>464</v>
      </c>
      <c r="AA71" s="29" t="s">
        <v>465</v>
      </c>
      <c r="AB71" s="29" t="s">
        <v>466</v>
      </c>
    </row>
    <row r="72">
      <c r="A72" s="28">
        <v>68.0</v>
      </c>
      <c r="B72" s="26" t="s">
        <v>467</v>
      </c>
      <c r="C72" s="26" t="s">
        <v>126</v>
      </c>
      <c r="D72" s="26" t="s">
        <v>400</v>
      </c>
      <c r="E72" s="26" t="s">
        <v>400</v>
      </c>
      <c r="F72" s="26" t="s">
        <v>401</v>
      </c>
      <c r="G72" s="28">
        <v>4.0</v>
      </c>
      <c r="H72" s="26" t="s">
        <v>111</v>
      </c>
      <c r="I72" s="28">
        <v>5700.0</v>
      </c>
      <c r="J72" s="28">
        <v>2400.0</v>
      </c>
      <c r="K72" s="28">
        <v>4450.0</v>
      </c>
      <c r="L72" s="28">
        <v>1850.0</v>
      </c>
      <c r="M72" s="28">
        <v>1150.0</v>
      </c>
      <c r="N72" s="28">
        <v>8300.0</v>
      </c>
      <c r="O72" s="28">
        <v>3700.0</v>
      </c>
      <c r="P72" s="28">
        <v>12600.0</v>
      </c>
      <c r="Q72" s="28">
        <v>2000.0</v>
      </c>
      <c r="R72" s="28">
        <v>1700.0</v>
      </c>
      <c r="S72" s="28">
        <v>1050.0</v>
      </c>
      <c r="T72" s="28">
        <v>2400.0</v>
      </c>
      <c r="U72" s="28">
        <v>0.3</v>
      </c>
      <c r="V72" s="28">
        <v>1.0</v>
      </c>
      <c r="W72" s="26" t="s">
        <v>136</v>
      </c>
      <c r="X72" s="26" t="s">
        <v>468</v>
      </c>
      <c r="Y72" s="29" t="s">
        <v>469</v>
      </c>
      <c r="Z72" s="29" t="s">
        <v>470</v>
      </c>
      <c r="AA72" s="29" t="s">
        <v>471</v>
      </c>
      <c r="AB72" s="29" t="s">
        <v>472</v>
      </c>
    </row>
    <row r="73">
      <c r="A73" s="28">
        <v>69.0</v>
      </c>
      <c r="B73" s="26" t="s">
        <v>473</v>
      </c>
      <c r="C73" s="26" t="s">
        <v>126</v>
      </c>
      <c r="D73" s="26" t="s">
        <v>400</v>
      </c>
      <c r="E73" s="26" t="s">
        <v>400</v>
      </c>
      <c r="F73" s="26" t="s">
        <v>401</v>
      </c>
      <c r="G73" s="28">
        <v>4.0</v>
      </c>
      <c r="H73" s="26" t="s">
        <v>111</v>
      </c>
      <c r="I73" s="28">
        <v>5700.0</v>
      </c>
      <c r="J73" s="28">
        <v>2400.0</v>
      </c>
      <c r="K73" s="28">
        <v>4450.0</v>
      </c>
      <c r="L73" s="28">
        <v>1850.0</v>
      </c>
      <c r="M73" s="28">
        <v>1150.0</v>
      </c>
      <c r="N73" s="28">
        <v>8300.0</v>
      </c>
      <c r="O73" s="28">
        <v>3700.0</v>
      </c>
      <c r="P73" s="28">
        <v>12600.0</v>
      </c>
      <c r="Q73" s="28">
        <v>2000.0</v>
      </c>
      <c r="R73" s="28">
        <v>1700.0</v>
      </c>
      <c r="S73" s="28">
        <v>1050.0</v>
      </c>
      <c r="T73" s="28">
        <v>2400.0</v>
      </c>
      <c r="U73" s="28">
        <v>0.3</v>
      </c>
      <c r="V73" s="28">
        <v>1.0</v>
      </c>
      <c r="W73" s="26" t="s">
        <v>136</v>
      </c>
      <c r="X73" s="26" t="s">
        <v>474</v>
      </c>
      <c r="Y73" s="29" t="s">
        <v>475</v>
      </c>
      <c r="Z73" s="29" t="s">
        <v>476</v>
      </c>
      <c r="AA73" s="29" t="s">
        <v>477</v>
      </c>
      <c r="AB73" s="29" t="s">
        <v>478</v>
      </c>
    </row>
    <row r="74">
      <c r="A74" s="28">
        <v>70.0</v>
      </c>
      <c r="B74" s="26" t="s">
        <v>479</v>
      </c>
      <c r="C74" s="26" t="s">
        <v>126</v>
      </c>
      <c r="D74" s="26" t="s">
        <v>400</v>
      </c>
      <c r="E74" s="26" t="s">
        <v>400</v>
      </c>
      <c r="F74" s="26" t="s">
        <v>401</v>
      </c>
      <c r="G74" s="28">
        <v>3.0</v>
      </c>
      <c r="H74" s="26" t="s">
        <v>111</v>
      </c>
      <c r="I74" s="28">
        <v>5700.0</v>
      </c>
      <c r="J74" s="28">
        <v>2400.0</v>
      </c>
      <c r="K74" s="28">
        <v>4450.0</v>
      </c>
      <c r="L74" s="28">
        <v>1850.0</v>
      </c>
      <c r="M74" s="28">
        <v>1150.0</v>
      </c>
      <c r="N74" s="28">
        <v>8300.0</v>
      </c>
      <c r="O74" s="28">
        <v>3700.0</v>
      </c>
      <c r="P74" s="28">
        <v>12600.0</v>
      </c>
      <c r="Q74" s="28">
        <v>2000.0</v>
      </c>
      <c r="R74" s="28">
        <v>1700.0</v>
      </c>
      <c r="S74" s="28">
        <v>1050.0</v>
      </c>
      <c r="T74" s="28">
        <v>2400.0</v>
      </c>
      <c r="U74" s="28">
        <v>0.3</v>
      </c>
      <c r="V74" s="28">
        <v>1.0</v>
      </c>
      <c r="W74" s="26" t="s">
        <v>150</v>
      </c>
      <c r="X74" s="26" t="s">
        <v>480</v>
      </c>
      <c r="Y74" s="29" t="s">
        <v>481</v>
      </c>
      <c r="AA74" s="29" t="s">
        <v>482</v>
      </c>
      <c r="AB74" s="29" t="s">
        <v>483</v>
      </c>
    </row>
    <row r="75">
      <c r="A75" s="28">
        <v>71.0</v>
      </c>
      <c r="B75" s="26" t="s">
        <v>484</v>
      </c>
      <c r="C75" s="26" t="s">
        <v>107</v>
      </c>
      <c r="D75" s="26" t="s">
        <v>400</v>
      </c>
      <c r="E75" s="26" t="s">
        <v>400</v>
      </c>
      <c r="F75" s="26" t="s">
        <v>271</v>
      </c>
      <c r="G75" s="28">
        <v>0.0</v>
      </c>
      <c r="H75" s="26" t="s">
        <v>111</v>
      </c>
      <c r="I75" s="26" t="s">
        <v>112</v>
      </c>
      <c r="J75" s="26" t="s">
        <v>112</v>
      </c>
      <c r="K75" s="26" t="s">
        <v>112</v>
      </c>
      <c r="L75" s="26" t="s">
        <v>112</v>
      </c>
      <c r="M75" s="26" t="s">
        <v>112</v>
      </c>
      <c r="N75" s="26" t="s">
        <v>112</v>
      </c>
      <c r="O75" s="26" t="s">
        <v>112</v>
      </c>
      <c r="P75" s="28">
        <v>7500.0</v>
      </c>
      <c r="Q75" s="26" t="s">
        <v>112</v>
      </c>
      <c r="R75" s="26" t="s">
        <v>112</v>
      </c>
      <c r="S75" s="26" t="s">
        <v>112</v>
      </c>
      <c r="T75" s="26" t="s">
        <v>112</v>
      </c>
      <c r="U75" s="28">
        <v>0.3</v>
      </c>
      <c r="V75" s="28">
        <v>1.0</v>
      </c>
      <c r="W75" s="26" t="s">
        <v>242</v>
      </c>
      <c r="X75" s="26" t="s">
        <v>485</v>
      </c>
    </row>
    <row r="76">
      <c r="A76" s="28">
        <v>72.0</v>
      </c>
      <c r="B76" s="26" t="s">
        <v>486</v>
      </c>
      <c r="C76" s="26" t="s">
        <v>117</v>
      </c>
      <c r="D76" s="26" t="s">
        <v>487</v>
      </c>
      <c r="E76" s="26" t="s">
        <v>109</v>
      </c>
      <c r="F76" s="26" t="s">
        <v>488</v>
      </c>
      <c r="G76" s="28">
        <v>2.0</v>
      </c>
      <c r="H76" s="26" t="s">
        <v>120</v>
      </c>
      <c r="I76" s="26" t="s">
        <v>112</v>
      </c>
      <c r="J76" s="26" t="s">
        <v>112</v>
      </c>
      <c r="K76" s="26" t="s">
        <v>112</v>
      </c>
      <c r="L76" s="26" t="s">
        <v>112</v>
      </c>
      <c r="M76" s="26" t="s">
        <v>112</v>
      </c>
      <c r="N76" s="26" t="s">
        <v>112</v>
      </c>
      <c r="O76" s="26" t="s">
        <v>112</v>
      </c>
      <c r="P76" s="28">
        <v>15000.0</v>
      </c>
      <c r="Q76" s="26" t="s">
        <v>112</v>
      </c>
      <c r="R76" s="26" t="s">
        <v>112</v>
      </c>
      <c r="S76" s="26" t="s">
        <v>112</v>
      </c>
      <c r="T76" s="26" t="s">
        <v>112</v>
      </c>
      <c r="U76" s="28">
        <v>0.3</v>
      </c>
      <c r="V76" s="28">
        <v>1.0</v>
      </c>
      <c r="W76" s="26" t="s">
        <v>121</v>
      </c>
      <c r="X76" s="26" t="s">
        <v>489</v>
      </c>
      <c r="Z76" s="29" t="s">
        <v>490</v>
      </c>
      <c r="AE76" s="29" t="s">
        <v>491</v>
      </c>
    </row>
    <row r="77">
      <c r="A77" s="28">
        <v>73.0</v>
      </c>
      <c r="B77" s="26" t="s">
        <v>492</v>
      </c>
      <c r="C77" s="26" t="s">
        <v>126</v>
      </c>
      <c r="D77" s="26" t="s">
        <v>487</v>
      </c>
      <c r="E77" s="26" t="s">
        <v>109</v>
      </c>
      <c r="F77" s="26" t="s">
        <v>488</v>
      </c>
      <c r="G77" s="28">
        <v>2.0</v>
      </c>
      <c r="H77" s="26" t="s">
        <v>120</v>
      </c>
      <c r="I77" s="28">
        <v>11250.0</v>
      </c>
      <c r="J77" s="28">
        <v>4500.0</v>
      </c>
      <c r="K77" s="28">
        <v>8000.0</v>
      </c>
      <c r="L77" s="28">
        <v>3500.0</v>
      </c>
      <c r="M77" s="28">
        <v>2000.0</v>
      </c>
      <c r="N77" s="28">
        <v>13500.0</v>
      </c>
      <c r="O77" s="28">
        <v>6075.0</v>
      </c>
      <c r="P77" s="28">
        <v>15000.0</v>
      </c>
      <c r="Q77" s="28">
        <v>4638.0</v>
      </c>
      <c r="R77" s="28">
        <v>4063.0</v>
      </c>
      <c r="S77" s="28">
        <v>2438.0</v>
      </c>
      <c r="T77" s="28">
        <v>2400.0</v>
      </c>
      <c r="U77" s="28">
        <v>0.3</v>
      </c>
      <c r="V77" s="28">
        <v>1.0</v>
      </c>
      <c r="W77" s="26" t="s">
        <v>121</v>
      </c>
      <c r="X77" s="26" t="s">
        <v>493</v>
      </c>
      <c r="Z77" s="29" t="s">
        <v>494</v>
      </c>
      <c r="AE77" s="29" t="s">
        <v>495</v>
      </c>
    </row>
    <row r="78">
      <c r="A78" s="28">
        <v>74.0</v>
      </c>
      <c r="B78" s="26" t="s">
        <v>496</v>
      </c>
      <c r="C78" s="26" t="s">
        <v>126</v>
      </c>
      <c r="D78" s="26" t="s">
        <v>487</v>
      </c>
      <c r="E78" s="26" t="s">
        <v>109</v>
      </c>
      <c r="F78" s="26" t="s">
        <v>488</v>
      </c>
      <c r="G78" s="28">
        <v>3.0</v>
      </c>
      <c r="H78" s="26" t="s">
        <v>120</v>
      </c>
      <c r="I78" s="28">
        <v>11000.0</v>
      </c>
      <c r="J78" s="28">
        <v>4600.0</v>
      </c>
      <c r="K78" s="28">
        <v>8600.0</v>
      </c>
      <c r="L78" s="28">
        <v>3500.0</v>
      </c>
      <c r="M78" s="28">
        <v>2200.0</v>
      </c>
      <c r="N78" s="28">
        <v>15950.0</v>
      </c>
      <c r="O78" s="28">
        <v>7150.0</v>
      </c>
      <c r="P78" s="28">
        <v>24200.0</v>
      </c>
      <c r="Q78" s="28">
        <v>3850.0</v>
      </c>
      <c r="R78" s="28">
        <v>3300.0</v>
      </c>
      <c r="S78" s="28">
        <v>2000.0</v>
      </c>
      <c r="T78" s="28">
        <v>2400.0</v>
      </c>
      <c r="U78" s="28">
        <v>0.3</v>
      </c>
      <c r="V78" s="28">
        <v>1.0</v>
      </c>
      <c r="W78" s="26" t="s">
        <v>150</v>
      </c>
      <c r="X78" s="26" t="s">
        <v>497</v>
      </c>
      <c r="Z78" s="29" t="s">
        <v>498</v>
      </c>
      <c r="AC78" s="29" t="s">
        <v>499</v>
      </c>
      <c r="AE78" s="29" t="s">
        <v>500</v>
      </c>
    </row>
    <row r="79">
      <c r="A79" s="28">
        <v>75.0</v>
      </c>
      <c r="B79" s="26" t="s">
        <v>501</v>
      </c>
      <c r="C79" s="26" t="s">
        <v>126</v>
      </c>
      <c r="D79" s="26" t="s">
        <v>487</v>
      </c>
      <c r="E79" s="26" t="s">
        <v>109</v>
      </c>
      <c r="F79" s="26" t="s">
        <v>488</v>
      </c>
      <c r="G79" s="28">
        <v>3.0</v>
      </c>
      <c r="H79" s="26" t="s">
        <v>120</v>
      </c>
      <c r="I79" s="28">
        <v>11000.0</v>
      </c>
      <c r="J79" s="28">
        <v>4600.0</v>
      </c>
      <c r="K79" s="28">
        <v>8600.0</v>
      </c>
      <c r="L79" s="28">
        <v>3500.0</v>
      </c>
      <c r="M79" s="28">
        <v>2200.0</v>
      </c>
      <c r="N79" s="28">
        <v>15950.0</v>
      </c>
      <c r="O79" s="28">
        <v>7150.0</v>
      </c>
      <c r="P79" s="28">
        <v>24200.0</v>
      </c>
      <c r="Q79" s="28">
        <v>3850.0</v>
      </c>
      <c r="R79" s="28">
        <v>3300.0</v>
      </c>
      <c r="S79" s="28">
        <v>2000.0</v>
      </c>
      <c r="T79" s="28">
        <v>2400.0</v>
      </c>
      <c r="U79" s="28">
        <v>0.3</v>
      </c>
      <c r="V79" s="28">
        <v>1.0</v>
      </c>
      <c r="W79" s="26" t="s">
        <v>150</v>
      </c>
      <c r="X79" s="26" t="s">
        <v>502</v>
      </c>
      <c r="Z79" s="29" t="s">
        <v>503</v>
      </c>
      <c r="AC79" s="29" t="s">
        <v>504</v>
      </c>
      <c r="AE79" s="29" t="s">
        <v>505</v>
      </c>
    </row>
    <row r="80">
      <c r="A80" s="28">
        <v>76.0</v>
      </c>
      <c r="B80" s="26" t="s">
        <v>506</v>
      </c>
      <c r="C80" s="26" t="s">
        <v>126</v>
      </c>
      <c r="D80" s="26" t="s">
        <v>487</v>
      </c>
      <c r="E80" s="26" t="s">
        <v>109</v>
      </c>
      <c r="F80" s="26" t="s">
        <v>488</v>
      </c>
      <c r="G80" s="28">
        <v>3.0</v>
      </c>
      <c r="H80" s="26" t="s">
        <v>120</v>
      </c>
      <c r="I80" s="28">
        <v>11000.0</v>
      </c>
      <c r="J80" s="28">
        <v>4600.0</v>
      </c>
      <c r="K80" s="28">
        <v>8600.0</v>
      </c>
      <c r="L80" s="28">
        <v>3500.0</v>
      </c>
      <c r="M80" s="28">
        <v>2200.0</v>
      </c>
      <c r="N80" s="28">
        <v>15950.0</v>
      </c>
      <c r="O80" s="28">
        <v>7150.0</v>
      </c>
      <c r="P80" s="28">
        <v>24200.0</v>
      </c>
      <c r="Q80" s="28">
        <v>3850.0</v>
      </c>
      <c r="R80" s="28">
        <v>3300.0</v>
      </c>
      <c r="S80" s="28">
        <v>2000.0</v>
      </c>
      <c r="T80" s="28">
        <v>2400.0</v>
      </c>
      <c r="U80" s="28">
        <v>0.3</v>
      </c>
      <c r="V80" s="28">
        <v>1.0</v>
      </c>
      <c r="W80" s="26" t="s">
        <v>150</v>
      </c>
      <c r="X80" s="26" t="s">
        <v>507</v>
      </c>
      <c r="Z80" s="29" t="s">
        <v>508</v>
      </c>
      <c r="AC80" s="29" t="s">
        <v>509</v>
      </c>
      <c r="AE80" s="29" t="s">
        <v>510</v>
      </c>
    </row>
    <row r="81">
      <c r="A81" s="28">
        <v>77.0</v>
      </c>
      <c r="B81" s="26" t="s">
        <v>511</v>
      </c>
      <c r="C81" s="26" t="s">
        <v>126</v>
      </c>
      <c r="D81" s="26" t="s">
        <v>487</v>
      </c>
      <c r="E81" s="26" t="s">
        <v>109</v>
      </c>
      <c r="F81" s="26" t="s">
        <v>488</v>
      </c>
      <c r="G81" s="28">
        <v>2.0</v>
      </c>
      <c r="H81" s="26" t="s">
        <v>120</v>
      </c>
      <c r="I81" s="28">
        <v>11000.0</v>
      </c>
      <c r="J81" s="28">
        <v>4600.0</v>
      </c>
      <c r="K81" s="28">
        <v>8600.0</v>
      </c>
      <c r="L81" s="28">
        <v>3500.0</v>
      </c>
      <c r="M81" s="28">
        <v>2200.0</v>
      </c>
      <c r="N81" s="28">
        <v>15950.0</v>
      </c>
      <c r="O81" s="28">
        <v>7150.0</v>
      </c>
      <c r="P81" s="28">
        <v>24200.0</v>
      </c>
      <c r="Q81" s="28">
        <v>3850.0</v>
      </c>
      <c r="R81" s="28">
        <v>3300.0</v>
      </c>
      <c r="S81" s="28">
        <v>2000.0</v>
      </c>
      <c r="T81" s="28">
        <v>2400.0</v>
      </c>
      <c r="U81" s="28">
        <v>0.3</v>
      </c>
      <c r="V81" s="28">
        <v>1.0</v>
      </c>
      <c r="W81" s="26" t="s">
        <v>121</v>
      </c>
      <c r="X81" s="26" t="s">
        <v>512</v>
      </c>
      <c r="Z81" s="29" t="s">
        <v>513</v>
      </c>
      <c r="AC81" s="29" t="s">
        <v>514</v>
      </c>
    </row>
    <row r="82">
      <c r="A82" s="28">
        <v>78.0</v>
      </c>
      <c r="B82" s="26" t="s">
        <v>515</v>
      </c>
      <c r="C82" s="26" t="s">
        <v>126</v>
      </c>
      <c r="D82" s="26" t="s">
        <v>487</v>
      </c>
      <c r="E82" s="26" t="s">
        <v>109</v>
      </c>
      <c r="F82" s="26" t="s">
        <v>488</v>
      </c>
      <c r="G82" s="28">
        <v>2.0</v>
      </c>
      <c r="H82" s="26" t="s">
        <v>120</v>
      </c>
      <c r="I82" s="28">
        <v>11000.0</v>
      </c>
      <c r="J82" s="28">
        <v>4600.0</v>
      </c>
      <c r="K82" s="28">
        <v>8600.0</v>
      </c>
      <c r="L82" s="28">
        <v>3500.0</v>
      </c>
      <c r="M82" s="28">
        <v>2200.0</v>
      </c>
      <c r="N82" s="28">
        <v>15950.0</v>
      </c>
      <c r="O82" s="28">
        <v>7150.0</v>
      </c>
      <c r="P82" s="28">
        <v>24200.0</v>
      </c>
      <c r="Q82" s="28">
        <v>3850.0</v>
      </c>
      <c r="R82" s="28">
        <v>3300.0</v>
      </c>
      <c r="S82" s="28">
        <v>2000.0</v>
      </c>
      <c r="T82" s="28">
        <v>2400.0</v>
      </c>
      <c r="U82" s="28">
        <v>0.3</v>
      </c>
      <c r="V82" s="28">
        <v>1.0</v>
      </c>
      <c r="W82" s="26" t="s">
        <v>121</v>
      </c>
      <c r="X82" s="26" t="s">
        <v>516</v>
      </c>
      <c r="Z82" s="29" t="s">
        <v>517</v>
      </c>
      <c r="AE82" s="29" t="s">
        <v>518</v>
      </c>
    </row>
    <row r="83">
      <c r="A83" s="28">
        <v>79.0</v>
      </c>
      <c r="B83" s="26" t="s">
        <v>519</v>
      </c>
      <c r="C83" s="26" t="s">
        <v>107</v>
      </c>
      <c r="D83" s="26" t="s">
        <v>487</v>
      </c>
      <c r="E83" s="26" t="s">
        <v>109</v>
      </c>
      <c r="F83" s="26" t="s">
        <v>488</v>
      </c>
      <c r="G83" s="28">
        <v>0.0</v>
      </c>
      <c r="H83" s="26" t="s">
        <v>111</v>
      </c>
      <c r="I83" s="28">
        <v>11000.0</v>
      </c>
      <c r="J83" s="28">
        <v>4600.0</v>
      </c>
      <c r="K83" s="28">
        <v>8600.0</v>
      </c>
      <c r="L83" s="28">
        <v>3500.0</v>
      </c>
      <c r="M83" s="28">
        <v>2200.0</v>
      </c>
      <c r="N83" s="28">
        <v>15950.0</v>
      </c>
      <c r="O83" s="28">
        <v>7150.0</v>
      </c>
      <c r="P83" s="28">
        <v>24200.0</v>
      </c>
      <c r="Q83" s="28">
        <v>3850.0</v>
      </c>
      <c r="R83" s="28">
        <v>3300.0</v>
      </c>
      <c r="S83" s="28">
        <v>2000.0</v>
      </c>
      <c r="T83" s="26" t="s">
        <v>112</v>
      </c>
      <c r="U83" s="28">
        <v>0.3</v>
      </c>
      <c r="V83" s="28">
        <v>1.0</v>
      </c>
      <c r="W83" s="26" t="s">
        <v>242</v>
      </c>
      <c r="X83" s="26" t="s">
        <v>520</v>
      </c>
    </row>
    <row r="84">
      <c r="A84" s="28">
        <v>80.0</v>
      </c>
      <c r="B84" s="26" t="s">
        <v>521</v>
      </c>
      <c r="C84" s="26" t="s">
        <v>126</v>
      </c>
      <c r="D84" s="26" t="s">
        <v>522</v>
      </c>
      <c r="E84" s="26" t="s">
        <v>522</v>
      </c>
      <c r="F84" s="26" t="s">
        <v>375</v>
      </c>
      <c r="G84" s="28">
        <v>3.0</v>
      </c>
      <c r="H84" s="26" t="s">
        <v>120</v>
      </c>
      <c r="I84" s="28">
        <v>11250.0</v>
      </c>
      <c r="J84" s="28">
        <v>4500.0</v>
      </c>
      <c r="K84" s="28">
        <v>8000.0</v>
      </c>
      <c r="L84" s="28">
        <v>3500.0</v>
      </c>
      <c r="M84" s="28">
        <v>2000.0</v>
      </c>
      <c r="N84" s="28">
        <v>13500.0</v>
      </c>
      <c r="O84" s="28">
        <v>6075.0</v>
      </c>
      <c r="P84" s="28">
        <v>15000.0</v>
      </c>
      <c r="Q84" s="28">
        <v>4638.0</v>
      </c>
      <c r="R84" s="28">
        <v>4063.0</v>
      </c>
      <c r="S84" s="28">
        <v>2438.0</v>
      </c>
      <c r="T84" s="28">
        <v>2400.0</v>
      </c>
      <c r="U84" s="28">
        <v>0.75</v>
      </c>
      <c r="V84" s="28">
        <v>1.0</v>
      </c>
      <c r="W84" s="26" t="s">
        <v>150</v>
      </c>
      <c r="X84" s="26" t="s">
        <v>521</v>
      </c>
      <c r="Y84" s="29" t="s">
        <v>523</v>
      </c>
      <c r="Z84" s="29" t="s">
        <v>524</v>
      </c>
      <c r="AA84" s="29" t="s">
        <v>525</v>
      </c>
    </row>
    <row r="85">
      <c r="A85" s="28">
        <v>81.0</v>
      </c>
      <c r="B85" s="26" t="s">
        <v>526</v>
      </c>
      <c r="C85" s="26" t="s">
        <v>126</v>
      </c>
      <c r="D85" s="26" t="s">
        <v>522</v>
      </c>
      <c r="E85" s="26" t="s">
        <v>522</v>
      </c>
      <c r="F85" s="26" t="s">
        <v>401</v>
      </c>
      <c r="G85" s="28">
        <v>2.0</v>
      </c>
      <c r="H85" s="26" t="s">
        <v>120</v>
      </c>
      <c r="I85" s="28">
        <v>11000.0</v>
      </c>
      <c r="J85" s="28">
        <v>4600.0</v>
      </c>
      <c r="K85" s="28">
        <v>8600.0</v>
      </c>
      <c r="L85" s="28">
        <v>3500.0</v>
      </c>
      <c r="M85" s="28">
        <v>2200.0</v>
      </c>
      <c r="N85" s="28">
        <v>15950.0</v>
      </c>
      <c r="O85" s="28">
        <v>7150.0</v>
      </c>
      <c r="P85" s="28">
        <v>24200.0</v>
      </c>
      <c r="Q85" s="28">
        <v>3850.0</v>
      </c>
      <c r="R85" s="28">
        <v>3300.0</v>
      </c>
      <c r="S85" s="28">
        <v>2000.0</v>
      </c>
      <c r="T85" s="28">
        <v>2400.0</v>
      </c>
      <c r="U85" s="28">
        <v>0.3</v>
      </c>
      <c r="V85" s="28">
        <v>1.0</v>
      </c>
      <c r="W85" s="26" t="s">
        <v>121</v>
      </c>
      <c r="X85" s="26" t="s">
        <v>526</v>
      </c>
      <c r="Y85" s="29" t="s">
        <v>527</v>
      </c>
      <c r="Z85" s="29" t="s">
        <v>528</v>
      </c>
    </row>
    <row r="86">
      <c r="A86" s="28">
        <v>82.0</v>
      </c>
      <c r="B86" s="26" t="s">
        <v>529</v>
      </c>
      <c r="C86" s="26" t="s">
        <v>126</v>
      </c>
      <c r="D86" s="26" t="s">
        <v>522</v>
      </c>
      <c r="E86" s="26" t="s">
        <v>522</v>
      </c>
      <c r="F86" s="26" t="s">
        <v>375</v>
      </c>
      <c r="G86" s="28">
        <v>2.0</v>
      </c>
      <c r="H86" s="26" t="s">
        <v>120</v>
      </c>
      <c r="I86" s="28">
        <v>12100.0</v>
      </c>
      <c r="J86" s="28">
        <v>5100.0</v>
      </c>
      <c r="K86" s="28">
        <v>9450.0</v>
      </c>
      <c r="L86" s="28">
        <v>3850.0</v>
      </c>
      <c r="M86" s="28">
        <v>2400.0</v>
      </c>
      <c r="N86" s="28">
        <v>17550.0</v>
      </c>
      <c r="O86" s="28">
        <v>7850.0</v>
      </c>
      <c r="P86" s="28">
        <v>26600.0</v>
      </c>
      <c r="Q86" s="28">
        <v>4250.0</v>
      </c>
      <c r="R86" s="28">
        <v>3650.0</v>
      </c>
      <c r="S86" s="28">
        <v>2200.0</v>
      </c>
      <c r="T86" s="28">
        <v>2400.0</v>
      </c>
      <c r="U86" s="28">
        <v>0.75</v>
      </c>
      <c r="V86" s="28">
        <v>1.0</v>
      </c>
      <c r="W86" s="26" t="s">
        <v>121</v>
      </c>
      <c r="X86" s="26" t="s">
        <v>529</v>
      </c>
      <c r="Y86" s="29" t="s">
        <v>530</v>
      </c>
      <c r="Z86" s="29" t="s">
        <v>531</v>
      </c>
    </row>
    <row r="87">
      <c r="A87" s="28">
        <v>83.0</v>
      </c>
      <c r="B87" s="26" t="s">
        <v>532</v>
      </c>
      <c r="C87" s="26" t="s">
        <v>126</v>
      </c>
      <c r="D87" s="26" t="s">
        <v>522</v>
      </c>
      <c r="E87" s="26" t="s">
        <v>522</v>
      </c>
      <c r="F87" s="26" t="s">
        <v>401</v>
      </c>
      <c r="G87" s="28">
        <v>2.0</v>
      </c>
      <c r="H87" s="26" t="s">
        <v>120</v>
      </c>
      <c r="I87" s="28">
        <v>11000.0</v>
      </c>
      <c r="J87" s="28">
        <v>4600.0</v>
      </c>
      <c r="K87" s="28">
        <v>8600.0</v>
      </c>
      <c r="L87" s="28">
        <v>3500.0</v>
      </c>
      <c r="M87" s="28">
        <v>2200.0</v>
      </c>
      <c r="N87" s="28">
        <v>15950.0</v>
      </c>
      <c r="O87" s="28">
        <v>7150.0</v>
      </c>
      <c r="P87" s="28">
        <v>24200.0</v>
      </c>
      <c r="Q87" s="28">
        <v>3850.0</v>
      </c>
      <c r="R87" s="28">
        <v>3300.0</v>
      </c>
      <c r="S87" s="28">
        <v>2000.0</v>
      </c>
      <c r="T87" s="28">
        <v>2400.0</v>
      </c>
      <c r="U87" s="28">
        <v>0.3</v>
      </c>
      <c r="V87" s="28">
        <v>1.0</v>
      </c>
      <c r="W87" s="26" t="s">
        <v>121</v>
      </c>
      <c r="X87" s="26" t="s">
        <v>532</v>
      </c>
      <c r="Y87" s="29" t="s">
        <v>533</v>
      </c>
      <c r="Z87" s="29" t="s">
        <v>534</v>
      </c>
    </row>
    <row r="88">
      <c r="A88" s="28">
        <v>84.0</v>
      </c>
      <c r="B88" s="26" t="s">
        <v>535</v>
      </c>
      <c r="C88" s="26" t="s">
        <v>107</v>
      </c>
      <c r="D88" s="26" t="s">
        <v>522</v>
      </c>
      <c r="E88" s="26" t="s">
        <v>522</v>
      </c>
      <c r="F88" s="26" t="s">
        <v>271</v>
      </c>
      <c r="G88" s="28">
        <v>2.0</v>
      </c>
      <c r="H88" s="26" t="s">
        <v>120</v>
      </c>
      <c r="I88" s="28">
        <v>12100.0</v>
      </c>
      <c r="J88" s="28">
        <v>5100.0</v>
      </c>
      <c r="K88" s="28">
        <v>9450.0</v>
      </c>
      <c r="L88" s="28">
        <v>3850.0</v>
      </c>
      <c r="M88" s="28">
        <v>2400.0</v>
      </c>
      <c r="N88" s="28">
        <v>17550.0</v>
      </c>
      <c r="O88" s="28">
        <v>7850.0</v>
      </c>
      <c r="P88" s="28">
        <v>26600.0</v>
      </c>
      <c r="Q88" s="28">
        <v>4250.0</v>
      </c>
      <c r="R88" s="28">
        <v>3650.0</v>
      </c>
      <c r="S88" s="28">
        <v>2200.0</v>
      </c>
      <c r="T88" s="26" t="s">
        <v>112</v>
      </c>
      <c r="U88" s="28">
        <v>0.3</v>
      </c>
      <c r="V88" s="28">
        <v>1.0</v>
      </c>
      <c r="W88" s="26" t="s">
        <v>121</v>
      </c>
      <c r="X88" s="26" t="s">
        <v>536</v>
      </c>
      <c r="Y88" s="29" t="s">
        <v>537</v>
      </c>
      <c r="Z88" s="29" t="s">
        <v>538</v>
      </c>
    </row>
    <row r="89">
      <c r="A89" s="28">
        <v>85.0</v>
      </c>
      <c r="B89" s="26" t="s">
        <v>539</v>
      </c>
      <c r="C89" s="26" t="s">
        <v>126</v>
      </c>
      <c r="D89" s="26" t="s">
        <v>540</v>
      </c>
      <c r="E89" s="26" t="s">
        <v>198</v>
      </c>
      <c r="F89" s="26" t="s">
        <v>541</v>
      </c>
      <c r="G89" s="28">
        <v>1.0</v>
      </c>
      <c r="H89" s="26" t="s">
        <v>111</v>
      </c>
      <c r="I89" s="28">
        <v>8750.0</v>
      </c>
      <c r="J89" s="28">
        <v>3000.0</v>
      </c>
      <c r="K89" s="28">
        <v>6000.0</v>
      </c>
      <c r="L89" s="28">
        <v>2500.0</v>
      </c>
      <c r="M89" s="28">
        <v>1200.0</v>
      </c>
      <c r="N89" s="28">
        <v>9000.0</v>
      </c>
      <c r="O89" s="28">
        <v>4050.0</v>
      </c>
      <c r="P89" s="28">
        <v>7500.0</v>
      </c>
      <c r="Q89" s="28">
        <v>2200.0</v>
      </c>
      <c r="R89" s="28">
        <v>1925.0</v>
      </c>
      <c r="S89" s="28">
        <v>1155.0</v>
      </c>
      <c r="T89" s="28">
        <v>2400.0</v>
      </c>
      <c r="U89" s="28">
        <v>0.3</v>
      </c>
      <c r="V89" s="28">
        <v>1.0</v>
      </c>
      <c r="W89" s="26" t="s">
        <v>113</v>
      </c>
      <c r="X89" s="26" t="s">
        <v>542</v>
      </c>
      <c r="Z89" s="29" t="s">
        <v>543</v>
      </c>
    </row>
    <row r="90">
      <c r="A90" s="28">
        <v>86.0</v>
      </c>
      <c r="B90" s="26" t="s">
        <v>544</v>
      </c>
      <c r="C90" s="26" t="s">
        <v>126</v>
      </c>
      <c r="D90" s="26" t="s">
        <v>540</v>
      </c>
      <c r="E90" s="26" t="s">
        <v>198</v>
      </c>
      <c r="F90" s="26" t="s">
        <v>157</v>
      </c>
      <c r="G90" s="28">
        <v>1.0</v>
      </c>
      <c r="H90" s="26" t="s">
        <v>111</v>
      </c>
      <c r="I90" s="28">
        <v>5200.0</v>
      </c>
      <c r="J90" s="28">
        <v>2200.0</v>
      </c>
      <c r="K90" s="28">
        <v>4050.0</v>
      </c>
      <c r="L90" s="28">
        <v>1650.0</v>
      </c>
      <c r="M90" s="28">
        <v>1050.0</v>
      </c>
      <c r="N90" s="28">
        <v>7550.0</v>
      </c>
      <c r="O90" s="28">
        <v>3400.0</v>
      </c>
      <c r="P90" s="28">
        <v>11450.0</v>
      </c>
      <c r="Q90" s="28">
        <v>1800.0</v>
      </c>
      <c r="R90" s="28">
        <v>1550.0</v>
      </c>
      <c r="S90" s="28">
        <v>950.0</v>
      </c>
      <c r="T90" s="28">
        <v>2400.0</v>
      </c>
      <c r="U90" s="28">
        <v>0.3</v>
      </c>
      <c r="V90" s="28">
        <v>1.0</v>
      </c>
      <c r="W90" s="26" t="s">
        <v>113</v>
      </c>
      <c r="X90" s="26" t="s">
        <v>545</v>
      </c>
      <c r="Z90" s="29" t="s">
        <v>546</v>
      </c>
    </row>
    <row r="91">
      <c r="A91" s="28">
        <v>87.0</v>
      </c>
      <c r="B91" s="26" t="s">
        <v>547</v>
      </c>
      <c r="C91" s="26" t="s">
        <v>107</v>
      </c>
      <c r="D91" s="26" t="s">
        <v>540</v>
      </c>
      <c r="E91" s="26" t="s">
        <v>548</v>
      </c>
      <c r="F91" s="26" t="s">
        <v>549</v>
      </c>
      <c r="G91" s="28">
        <v>1.0</v>
      </c>
      <c r="H91" s="26" t="s">
        <v>111</v>
      </c>
      <c r="I91" s="28">
        <v>5700.0</v>
      </c>
      <c r="J91" s="28">
        <v>2400.0</v>
      </c>
      <c r="K91" s="28">
        <v>4450.0</v>
      </c>
      <c r="L91" s="28">
        <v>1850.0</v>
      </c>
      <c r="M91" s="28">
        <v>1150.0</v>
      </c>
      <c r="N91" s="28">
        <v>8300.0</v>
      </c>
      <c r="O91" s="28">
        <v>3700.0</v>
      </c>
      <c r="P91" s="28">
        <v>12600.0</v>
      </c>
      <c r="Q91" s="28">
        <v>2000.0</v>
      </c>
      <c r="R91" s="28">
        <v>1700.0</v>
      </c>
      <c r="S91" s="28">
        <v>1050.0</v>
      </c>
      <c r="T91" s="26" t="s">
        <v>112</v>
      </c>
      <c r="U91" s="28">
        <v>0.3</v>
      </c>
      <c r="V91" s="28">
        <v>1.0</v>
      </c>
      <c r="W91" s="26" t="s">
        <v>113</v>
      </c>
      <c r="X91" s="26" t="s">
        <v>550</v>
      </c>
      <c r="Z91" s="29" t="s">
        <v>551</v>
      </c>
    </row>
    <row r="92">
      <c r="A92" s="28">
        <v>88.0</v>
      </c>
      <c r="B92" s="26" t="s">
        <v>547</v>
      </c>
      <c r="C92" s="26" t="s">
        <v>107</v>
      </c>
      <c r="D92" s="26" t="s">
        <v>540</v>
      </c>
      <c r="E92" s="26" t="s">
        <v>548</v>
      </c>
      <c r="F92" s="26" t="s">
        <v>549</v>
      </c>
      <c r="G92" s="28">
        <v>1.0</v>
      </c>
      <c r="H92" s="26" t="s">
        <v>111</v>
      </c>
      <c r="I92" s="26" t="s">
        <v>112</v>
      </c>
      <c r="J92" s="26" t="s">
        <v>112</v>
      </c>
      <c r="K92" s="26" t="s">
        <v>112</v>
      </c>
      <c r="L92" s="26" t="s">
        <v>112</v>
      </c>
      <c r="M92" s="26" t="s">
        <v>112</v>
      </c>
      <c r="N92" s="26" t="s">
        <v>112</v>
      </c>
      <c r="O92" s="26" t="s">
        <v>112</v>
      </c>
      <c r="P92" s="28">
        <v>7500.0</v>
      </c>
      <c r="Q92" s="26" t="s">
        <v>112</v>
      </c>
      <c r="R92" s="26" t="s">
        <v>112</v>
      </c>
      <c r="S92" s="26" t="s">
        <v>112</v>
      </c>
      <c r="T92" s="26" t="s">
        <v>112</v>
      </c>
      <c r="U92" s="28">
        <v>0.3</v>
      </c>
      <c r="V92" s="28">
        <v>1.0</v>
      </c>
      <c r="W92" s="26" t="s">
        <v>113</v>
      </c>
      <c r="X92" s="26" t="s">
        <v>550</v>
      </c>
      <c r="Z92" s="29" t="s">
        <v>551</v>
      </c>
    </row>
    <row r="93">
      <c r="A93" s="28">
        <v>89.0</v>
      </c>
      <c r="B93" s="26" t="s">
        <v>552</v>
      </c>
      <c r="C93" s="26" t="s">
        <v>126</v>
      </c>
      <c r="D93" s="26" t="s">
        <v>540</v>
      </c>
      <c r="E93" s="26" t="s">
        <v>198</v>
      </c>
      <c r="F93" s="26" t="s">
        <v>157</v>
      </c>
      <c r="G93" s="28">
        <v>0.0</v>
      </c>
      <c r="H93" s="26" t="s">
        <v>111</v>
      </c>
      <c r="I93" s="28">
        <v>8750.0</v>
      </c>
      <c r="J93" s="28">
        <v>3000.0</v>
      </c>
      <c r="K93" s="28">
        <v>6000.0</v>
      </c>
      <c r="L93" s="28">
        <v>2500.0</v>
      </c>
      <c r="M93" s="28">
        <v>1200.0</v>
      </c>
      <c r="N93" s="28">
        <v>9000.0</v>
      </c>
      <c r="O93" s="28">
        <v>4050.0</v>
      </c>
      <c r="P93" s="28">
        <v>7500.0</v>
      </c>
      <c r="Q93" s="28">
        <v>2200.0</v>
      </c>
      <c r="R93" s="28">
        <v>1925.0</v>
      </c>
      <c r="S93" s="28">
        <v>1155.0</v>
      </c>
      <c r="T93" s="28">
        <v>2400.0</v>
      </c>
      <c r="U93" s="28">
        <v>0.3</v>
      </c>
      <c r="V93" s="28">
        <v>1.0</v>
      </c>
      <c r="W93" s="26" t="s">
        <v>242</v>
      </c>
      <c r="X93" s="26" t="s">
        <v>553</v>
      </c>
    </row>
    <row r="94">
      <c r="A94" s="28">
        <v>90.0</v>
      </c>
      <c r="B94" s="26" t="s">
        <v>554</v>
      </c>
      <c r="C94" s="26" t="s">
        <v>126</v>
      </c>
      <c r="D94" s="26" t="s">
        <v>540</v>
      </c>
      <c r="E94" s="26" t="s">
        <v>198</v>
      </c>
      <c r="F94" s="26" t="s">
        <v>157</v>
      </c>
      <c r="G94" s="28">
        <v>1.0</v>
      </c>
      <c r="H94" s="26" t="s">
        <v>111</v>
      </c>
      <c r="I94" s="28">
        <v>5700.0</v>
      </c>
      <c r="J94" s="28">
        <v>2400.0</v>
      </c>
      <c r="K94" s="28">
        <v>4450.0</v>
      </c>
      <c r="L94" s="28">
        <v>1850.0</v>
      </c>
      <c r="M94" s="28">
        <v>1150.0</v>
      </c>
      <c r="N94" s="28">
        <v>8300.0</v>
      </c>
      <c r="O94" s="28">
        <v>3700.0</v>
      </c>
      <c r="P94" s="28">
        <v>12600.0</v>
      </c>
      <c r="Q94" s="28">
        <v>2000.0</v>
      </c>
      <c r="R94" s="28">
        <v>1700.0</v>
      </c>
      <c r="S94" s="28">
        <v>1050.0</v>
      </c>
      <c r="T94" s="28">
        <v>2400.0</v>
      </c>
      <c r="U94" s="28">
        <v>0.3</v>
      </c>
      <c r="V94" s="28">
        <v>1.0</v>
      </c>
      <c r="W94" s="26" t="s">
        <v>113</v>
      </c>
      <c r="X94" s="26" t="s">
        <v>555</v>
      </c>
      <c r="Z94" s="29" t="s">
        <v>556</v>
      </c>
    </row>
    <row r="95">
      <c r="A95" s="28">
        <v>91.0</v>
      </c>
      <c r="B95" s="26" t="s">
        <v>557</v>
      </c>
      <c r="C95" s="26" t="s">
        <v>126</v>
      </c>
      <c r="D95" s="26" t="s">
        <v>540</v>
      </c>
      <c r="E95" s="26" t="s">
        <v>198</v>
      </c>
      <c r="F95" s="26" t="s">
        <v>157</v>
      </c>
      <c r="G95" s="28">
        <v>0.0</v>
      </c>
      <c r="H95" s="26" t="s">
        <v>111</v>
      </c>
      <c r="I95" s="28">
        <v>5700.0</v>
      </c>
      <c r="J95" s="28">
        <v>2400.0</v>
      </c>
      <c r="K95" s="28">
        <v>4450.0</v>
      </c>
      <c r="L95" s="28">
        <v>1850.0</v>
      </c>
      <c r="M95" s="28">
        <v>1150.0</v>
      </c>
      <c r="N95" s="28">
        <v>8300.0</v>
      </c>
      <c r="O95" s="28">
        <v>3700.0</v>
      </c>
      <c r="P95" s="28">
        <v>12600.0</v>
      </c>
      <c r="Q95" s="28">
        <v>2000.0</v>
      </c>
      <c r="R95" s="28">
        <v>1700.0</v>
      </c>
      <c r="S95" s="28">
        <v>1050.0</v>
      </c>
      <c r="T95" s="28">
        <v>2400.0</v>
      </c>
      <c r="U95" s="28">
        <v>0.3</v>
      </c>
      <c r="V95" s="28">
        <v>1.0</v>
      </c>
      <c r="W95" s="26" t="s">
        <v>242</v>
      </c>
      <c r="X95" s="26" t="s">
        <v>558</v>
      </c>
    </row>
    <row r="96">
      <c r="A96" s="28">
        <v>92.0</v>
      </c>
      <c r="B96" s="26" t="s">
        <v>559</v>
      </c>
      <c r="C96" s="26" t="s">
        <v>126</v>
      </c>
      <c r="D96" s="26" t="s">
        <v>540</v>
      </c>
      <c r="E96" s="26" t="s">
        <v>198</v>
      </c>
      <c r="F96" s="26" t="s">
        <v>157</v>
      </c>
      <c r="G96" s="28">
        <v>0.0</v>
      </c>
      <c r="H96" s="26" t="s">
        <v>111</v>
      </c>
      <c r="I96" s="28">
        <v>5700.0</v>
      </c>
      <c r="J96" s="28">
        <v>2400.0</v>
      </c>
      <c r="K96" s="28">
        <v>4450.0</v>
      </c>
      <c r="L96" s="28">
        <v>1850.0</v>
      </c>
      <c r="M96" s="28">
        <v>1150.0</v>
      </c>
      <c r="N96" s="28">
        <v>8300.0</v>
      </c>
      <c r="O96" s="28">
        <v>3700.0</v>
      </c>
      <c r="P96" s="28">
        <v>12600.0</v>
      </c>
      <c r="Q96" s="28">
        <v>2000.0</v>
      </c>
      <c r="R96" s="28">
        <v>1700.0</v>
      </c>
      <c r="S96" s="28">
        <v>1050.0</v>
      </c>
      <c r="T96" s="28">
        <v>2400.0</v>
      </c>
      <c r="U96" s="28">
        <v>0.3</v>
      </c>
      <c r="V96" s="28">
        <v>1.0</v>
      </c>
      <c r="W96" s="26" t="s">
        <v>242</v>
      </c>
      <c r="X96" s="26" t="s">
        <v>560</v>
      </c>
    </row>
    <row r="97">
      <c r="A97" s="28">
        <v>93.0</v>
      </c>
      <c r="B97" s="26" t="s">
        <v>561</v>
      </c>
      <c r="C97" s="26" t="s">
        <v>126</v>
      </c>
      <c r="D97" s="26" t="s">
        <v>540</v>
      </c>
      <c r="E97" s="26" t="s">
        <v>562</v>
      </c>
      <c r="F97" s="26" t="s">
        <v>541</v>
      </c>
      <c r="G97" s="28">
        <v>4.0</v>
      </c>
      <c r="H97" s="26" t="s">
        <v>127</v>
      </c>
      <c r="I97" s="28">
        <v>11000.0</v>
      </c>
      <c r="J97" s="28">
        <v>4600.0</v>
      </c>
      <c r="K97" s="28">
        <v>8600.0</v>
      </c>
      <c r="L97" s="28">
        <v>3500.0</v>
      </c>
      <c r="M97" s="28">
        <v>2200.0</v>
      </c>
      <c r="N97" s="28">
        <v>15950.0</v>
      </c>
      <c r="O97" s="28">
        <v>7150.0</v>
      </c>
      <c r="P97" s="28">
        <v>24200.0</v>
      </c>
      <c r="Q97" s="28">
        <v>3850.0</v>
      </c>
      <c r="R97" s="28">
        <v>3300.0</v>
      </c>
      <c r="S97" s="28">
        <v>2000.0</v>
      </c>
      <c r="T97" s="28">
        <v>2400.0</v>
      </c>
      <c r="U97" s="28">
        <v>0.3</v>
      </c>
      <c r="V97" s="28">
        <v>1.0</v>
      </c>
      <c r="W97" s="26" t="s">
        <v>136</v>
      </c>
      <c r="X97" s="26" t="s">
        <v>563</v>
      </c>
      <c r="Y97" s="29" t="s">
        <v>564</v>
      </c>
      <c r="Z97" s="29" t="s">
        <v>565</v>
      </c>
      <c r="AC97" s="29" t="s">
        <v>566</v>
      </c>
      <c r="AE97" s="29" t="s">
        <v>567</v>
      </c>
    </row>
    <row r="98">
      <c r="A98" s="28">
        <v>94.0</v>
      </c>
      <c r="B98" s="26" t="s">
        <v>568</v>
      </c>
      <c r="C98" s="26" t="s">
        <v>126</v>
      </c>
      <c r="D98" s="26" t="s">
        <v>540</v>
      </c>
      <c r="E98" s="26" t="s">
        <v>562</v>
      </c>
      <c r="F98" s="26" t="s">
        <v>541</v>
      </c>
      <c r="G98" s="28">
        <v>3.0</v>
      </c>
      <c r="H98" s="26" t="s">
        <v>120</v>
      </c>
      <c r="I98" s="28">
        <v>18000.0</v>
      </c>
      <c r="J98" s="28">
        <v>7550.0</v>
      </c>
      <c r="K98" s="28">
        <v>14050.0</v>
      </c>
      <c r="L98" s="28">
        <v>5750.0</v>
      </c>
      <c r="M98" s="28">
        <v>3600.0</v>
      </c>
      <c r="N98" s="28">
        <v>26100.0</v>
      </c>
      <c r="O98" s="28">
        <v>11700.0</v>
      </c>
      <c r="P98" s="28">
        <v>39600.0</v>
      </c>
      <c r="Q98" s="28">
        <v>6300.0</v>
      </c>
      <c r="R98" s="28">
        <v>5400.0</v>
      </c>
      <c r="S98" s="28">
        <v>3250.0</v>
      </c>
      <c r="T98" s="28">
        <v>2400.0</v>
      </c>
      <c r="U98" s="28">
        <v>0.3</v>
      </c>
      <c r="V98" s="28">
        <v>1.0</v>
      </c>
      <c r="W98" s="26" t="s">
        <v>150</v>
      </c>
      <c r="X98" s="26" t="s">
        <v>569</v>
      </c>
      <c r="Z98" s="29" t="s">
        <v>570</v>
      </c>
      <c r="AC98" s="29" t="s">
        <v>570</v>
      </c>
      <c r="AE98" s="29" t="s">
        <v>571</v>
      </c>
    </row>
    <row r="99">
      <c r="A99" s="28">
        <v>95.0</v>
      </c>
      <c r="B99" s="26" t="s">
        <v>572</v>
      </c>
      <c r="C99" s="26" t="s">
        <v>126</v>
      </c>
      <c r="D99" s="26" t="s">
        <v>540</v>
      </c>
      <c r="E99" s="26" t="s">
        <v>562</v>
      </c>
      <c r="F99" s="26" t="s">
        <v>541</v>
      </c>
      <c r="G99" s="28">
        <v>3.0</v>
      </c>
      <c r="H99" s="26" t="s">
        <v>120</v>
      </c>
      <c r="I99" s="28">
        <v>11000.0</v>
      </c>
      <c r="J99" s="28">
        <v>4600.0</v>
      </c>
      <c r="K99" s="28">
        <v>8600.0</v>
      </c>
      <c r="L99" s="28">
        <v>3500.0</v>
      </c>
      <c r="M99" s="28">
        <v>2200.0</v>
      </c>
      <c r="N99" s="28">
        <v>15950.0</v>
      </c>
      <c r="O99" s="28">
        <v>7150.0</v>
      </c>
      <c r="P99" s="28">
        <v>24200.0</v>
      </c>
      <c r="Q99" s="28">
        <v>3850.0</v>
      </c>
      <c r="R99" s="28">
        <v>3300.0</v>
      </c>
      <c r="S99" s="28">
        <v>2000.0</v>
      </c>
      <c r="T99" s="28">
        <v>2400.0</v>
      </c>
      <c r="U99" s="28">
        <v>0.3</v>
      </c>
      <c r="V99" s="28">
        <v>1.0</v>
      </c>
      <c r="W99" s="26" t="s">
        <v>150</v>
      </c>
      <c r="X99" s="26" t="s">
        <v>573</v>
      </c>
      <c r="Z99" s="29" t="s">
        <v>574</v>
      </c>
      <c r="AC99" s="29" t="s">
        <v>575</v>
      </c>
      <c r="AE99" s="29" t="s">
        <v>576</v>
      </c>
    </row>
    <row r="100">
      <c r="A100" s="28">
        <v>96.0</v>
      </c>
      <c r="B100" s="26" t="s">
        <v>577</v>
      </c>
      <c r="C100" s="26" t="s">
        <v>156</v>
      </c>
      <c r="D100" s="26" t="s">
        <v>540</v>
      </c>
      <c r="E100" s="26" t="s">
        <v>562</v>
      </c>
      <c r="F100" s="26" t="s">
        <v>541</v>
      </c>
      <c r="G100" s="28">
        <v>3.0</v>
      </c>
      <c r="H100" s="26" t="s">
        <v>120</v>
      </c>
      <c r="I100" s="26" t="s">
        <v>112</v>
      </c>
      <c r="J100" s="26" t="s">
        <v>112</v>
      </c>
      <c r="K100" s="26" t="s">
        <v>112</v>
      </c>
      <c r="L100" s="26" t="s">
        <v>112</v>
      </c>
      <c r="M100" s="26" t="s">
        <v>112</v>
      </c>
      <c r="N100" s="26" t="s">
        <v>112</v>
      </c>
      <c r="O100" s="26" t="s">
        <v>112</v>
      </c>
      <c r="P100" s="28">
        <v>15000.0</v>
      </c>
      <c r="Q100" s="26" t="s">
        <v>112</v>
      </c>
      <c r="R100" s="26" t="s">
        <v>112</v>
      </c>
      <c r="S100" s="26" t="s">
        <v>112</v>
      </c>
      <c r="T100" s="26" t="s">
        <v>112</v>
      </c>
      <c r="U100" s="28">
        <v>0.3</v>
      </c>
      <c r="V100" s="28">
        <v>1.0</v>
      </c>
      <c r="W100" s="26" t="s">
        <v>150</v>
      </c>
      <c r="X100" s="26" t="s">
        <v>578</v>
      </c>
      <c r="Z100" s="29" t="s">
        <v>579</v>
      </c>
      <c r="AC100" s="29" t="s">
        <v>580</v>
      </c>
      <c r="AE100" s="29" t="s">
        <v>581</v>
      </c>
    </row>
    <row r="101">
      <c r="A101" s="28">
        <v>97.0</v>
      </c>
      <c r="B101" s="26" t="s">
        <v>582</v>
      </c>
      <c r="C101" s="26" t="s">
        <v>134</v>
      </c>
      <c r="D101" s="26" t="s">
        <v>540</v>
      </c>
      <c r="E101" s="26" t="s">
        <v>562</v>
      </c>
      <c r="F101" s="26" t="s">
        <v>541</v>
      </c>
      <c r="G101" s="28">
        <v>3.0</v>
      </c>
      <c r="H101" s="26" t="s">
        <v>120</v>
      </c>
      <c r="I101" s="26" t="s">
        <v>112</v>
      </c>
      <c r="J101" s="26" t="s">
        <v>112</v>
      </c>
      <c r="K101" s="26" t="s">
        <v>112</v>
      </c>
      <c r="L101" s="26" t="s">
        <v>112</v>
      </c>
      <c r="M101" s="26" t="s">
        <v>112</v>
      </c>
      <c r="N101" s="26" t="s">
        <v>112</v>
      </c>
      <c r="O101" s="26" t="s">
        <v>112</v>
      </c>
      <c r="P101" s="28">
        <v>15000.0</v>
      </c>
      <c r="Q101" s="26" t="s">
        <v>112</v>
      </c>
      <c r="R101" s="26" t="s">
        <v>112</v>
      </c>
      <c r="S101" s="26" t="s">
        <v>112</v>
      </c>
      <c r="T101" s="26" t="s">
        <v>112</v>
      </c>
      <c r="U101" s="28">
        <v>0.3</v>
      </c>
      <c r="V101" s="28">
        <v>1.0</v>
      </c>
      <c r="W101" s="26" t="s">
        <v>150</v>
      </c>
      <c r="X101" s="26" t="s">
        <v>583</v>
      </c>
      <c r="Z101" s="29" t="s">
        <v>584</v>
      </c>
      <c r="AC101" s="29" t="s">
        <v>585</v>
      </c>
      <c r="AE101" s="29" t="s">
        <v>586</v>
      </c>
    </row>
    <row r="102">
      <c r="A102" s="28">
        <v>98.0</v>
      </c>
      <c r="B102" s="26" t="s">
        <v>587</v>
      </c>
      <c r="C102" s="26" t="s">
        <v>126</v>
      </c>
      <c r="D102" s="26" t="s">
        <v>540</v>
      </c>
      <c r="E102" s="26" t="s">
        <v>548</v>
      </c>
      <c r="F102" s="26" t="s">
        <v>549</v>
      </c>
      <c r="G102" s="28">
        <v>1.0</v>
      </c>
      <c r="H102" s="26" t="s">
        <v>111</v>
      </c>
      <c r="I102" s="28">
        <v>8750.0</v>
      </c>
      <c r="J102" s="28">
        <v>3000.0</v>
      </c>
      <c r="K102" s="28">
        <v>6000.0</v>
      </c>
      <c r="L102" s="28">
        <v>2500.0</v>
      </c>
      <c r="M102" s="28">
        <v>1200.0</v>
      </c>
      <c r="N102" s="28">
        <v>9000.0</v>
      </c>
      <c r="O102" s="28">
        <v>4050.0</v>
      </c>
      <c r="P102" s="28">
        <v>7500.0</v>
      </c>
      <c r="Q102" s="28">
        <v>2200.0</v>
      </c>
      <c r="R102" s="28">
        <v>1925.0</v>
      </c>
      <c r="S102" s="28">
        <v>1155.0</v>
      </c>
      <c r="T102" s="28">
        <v>2400.0</v>
      </c>
      <c r="U102" s="28">
        <v>0.3</v>
      </c>
      <c r="V102" s="28">
        <v>1.0</v>
      </c>
      <c r="W102" s="26" t="s">
        <v>113</v>
      </c>
      <c r="X102" s="26" t="s">
        <v>588</v>
      </c>
      <c r="Z102" s="29" t="s">
        <v>589</v>
      </c>
    </row>
    <row r="103">
      <c r="A103" s="28">
        <v>99.0</v>
      </c>
      <c r="B103" s="26" t="s">
        <v>590</v>
      </c>
      <c r="C103" s="26" t="s">
        <v>117</v>
      </c>
      <c r="D103" s="26" t="s">
        <v>540</v>
      </c>
      <c r="E103" s="26" t="s">
        <v>548</v>
      </c>
      <c r="F103" s="26" t="s">
        <v>549</v>
      </c>
      <c r="G103" s="28">
        <v>1.0</v>
      </c>
      <c r="H103" s="26" t="s">
        <v>111</v>
      </c>
      <c r="I103" s="28">
        <v>5700.0</v>
      </c>
      <c r="J103" s="28">
        <v>2400.0</v>
      </c>
      <c r="K103" s="28">
        <v>4450.0</v>
      </c>
      <c r="L103" s="28">
        <v>1850.0</v>
      </c>
      <c r="M103" s="28">
        <v>1150.0</v>
      </c>
      <c r="N103" s="28">
        <v>8300.0</v>
      </c>
      <c r="O103" s="28">
        <v>3700.0</v>
      </c>
      <c r="P103" s="28">
        <v>12600.0</v>
      </c>
      <c r="Q103" s="28">
        <v>2000.0</v>
      </c>
      <c r="R103" s="28">
        <v>1700.0</v>
      </c>
      <c r="S103" s="28">
        <v>1050.0</v>
      </c>
      <c r="T103" s="26" t="s">
        <v>112</v>
      </c>
      <c r="U103" s="28">
        <v>0.3</v>
      </c>
      <c r="V103" s="28">
        <v>1.0</v>
      </c>
      <c r="W103" s="26" t="s">
        <v>113</v>
      </c>
      <c r="X103" s="26" t="s">
        <v>591</v>
      </c>
      <c r="Z103" s="29" t="s">
        <v>592</v>
      </c>
    </row>
    <row r="104">
      <c r="A104" s="28">
        <v>100.0</v>
      </c>
      <c r="B104" s="26" t="s">
        <v>593</v>
      </c>
      <c r="C104" s="26" t="s">
        <v>126</v>
      </c>
      <c r="D104" s="26" t="s">
        <v>540</v>
      </c>
      <c r="E104" s="26" t="s">
        <v>548</v>
      </c>
      <c r="F104" s="26" t="s">
        <v>549</v>
      </c>
      <c r="G104" s="28">
        <v>2.0</v>
      </c>
      <c r="H104" s="26" t="s">
        <v>120</v>
      </c>
      <c r="I104" s="28">
        <v>11250.0</v>
      </c>
      <c r="J104" s="28">
        <v>4500.0</v>
      </c>
      <c r="K104" s="28">
        <v>8000.0</v>
      </c>
      <c r="L104" s="28">
        <v>3500.0</v>
      </c>
      <c r="M104" s="28">
        <v>2000.0</v>
      </c>
      <c r="N104" s="28">
        <v>13500.0</v>
      </c>
      <c r="O104" s="28">
        <v>6075.0</v>
      </c>
      <c r="P104" s="28">
        <v>15000.0</v>
      </c>
      <c r="Q104" s="28">
        <v>4638.0</v>
      </c>
      <c r="R104" s="28">
        <v>4063.0</v>
      </c>
      <c r="S104" s="28">
        <v>2438.0</v>
      </c>
      <c r="T104" s="28">
        <v>2400.0</v>
      </c>
      <c r="U104" s="28">
        <v>0.3</v>
      </c>
      <c r="V104" s="28">
        <v>1.0</v>
      </c>
      <c r="W104" s="26" t="s">
        <v>121</v>
      </c>
      <c r="X104" s="26" t="s">
        <v>594</v>
      </c>
      <c r="Z104" s="29" t="s">
        <v>595</v>
      </c>
      <c r="AC104" s="29" t="s">
        <v>596</v>
      </c>
    </row>
    <row r="105">
      <c r="A105" s="28">
        <v>101.0</v>
      </c>
      <c r="B105" s="26" t="s">
        <v>597</v>
      </c>
      <c r="C105" s="26" t="s">
        <v>126</v>
      </c>
      <c r="D105" s="26" t="s">
        <v>540</v>
      </c>
      <c r="E105" s="26" t="s">
        <v>548</v>
      </c>
      <c r="F105" s="26" t="s">
        <v>549</v>
      </c>
      <c r="G105" s="28">
        <v>1.0</v>
      </c>
      <c r="H105" s="26" t="s">
        <v>111</v>
      </c>
      <c r="I105" s="28">
        <v>12100.0</v>
      </c>
      <c r="J105" s="28">
        <v>5100.0</v>
      </c>
      <c r="K105" s="28">
        <v>9450.0</v>
      </c>
      <c r="L105" s="28">
        <v>3850.0</v>
      </c>
      <c r="M105" s="28">
        <v>2400.0</v>
      </c>
      <c r="N105" s="28">
        <v>17550.0</v>
      </c>
      <c r="O105" s="28">
        <v>7850.0</v>
      </c>
      <c r="P105" s="28">
        <v>26600.0</v>
      </c>
      <c r="Q105" s="28">
        <v>4250.0</v>
      </c>
      <c r="R105" s="28">
        <v>3650.0</v>
      </c>
      <c r="S105" s="28">
        <v>2200.0</v>
      </c>
      <c r="T105" s="28">
        <v>2400.0</v>
      </c>
      <c r="U105" s="28">
        <v>0.3</v>
      </c>
      <c r="V105" s="28">
        <v>1.0</v>
      </c>
      <c r="W105" s="26" t="s">
        <v>113</v>
      </c>
      <c r="X105" s="26" t="s">
        <v>598</v>
      </c>
      <c r="Z105" s="29" t="s">
        <v>599</v>
      </c>
    </row>
    <row r="106">
      <c r="A106" s="28">
        <v>102.0</v>
      </c>
      <c r="B106" s="26" t="s">
        <v>600</v>
      </c>
      <c r="C106" s="26" t="s">
        <v>126</v>
      </c>
      <c r="D106" s="26" t="s">
        <v>540</v>
      </c>
      <c r="E106" s="26" t="s">
        <v>548</v>
      </c>
      <c r="F106" s="26" t="s">
        <v>549</v>
      </c>
      <c r="G106" s="28">
        <v>0.0</v>
      </c>
      <c r="H106" s="26" t="s">
        <v>111</v>
      </c>
      <c r="I106" s="28">
        <v>5700.0</v>
      </c>
      <c r="J106" s="28">
        <v>2400.0</v>
      </c>
      <c r="K106" s="28">
        <v>4450.0</v>
      </c>
      <c r="L106" s="28">
        <v>1850.0</v>
      </c>
      <c r="M106" s="28">
        <v>1150.0</v>
      </c>
      <c r="N106" s="28">
        <v>8300.0</v>
      </c>
      <c r="O106" s="28">
        <v>3700.0</v>
      </c>
      <c r="P106" s="28">
        <v>12600.0</v>
      </c>
      <c r="Q106" s="28">
        <v>2000.0</v>
      </c>
      <c r="R106" s="28">
        <v>1700.0</v>
      </c>
      <c r="S106" s="28">
        <v>1050.0</v>
      </c>
      <c r="T106" s="28">
        <v>2400.0</v>
      </c>
      <c r="U106" s="28">
        <v>0.3</v>
      </c>
      <c r="V106" s="28">
        <v>1.0</v>
      </c>
      <c r="W106" s="26" t="s">
        <v>242</v>
      </c>
      <c r="X106" s="26" t="s">
        <v>601</v>
      </c>
    </row>
    <row r="107">
      <c r="A107" s="28">
        <v>103.0</v>
      </c>
      <c r="B107" s="26" t="s">
        <v>602</v>
      </c>
      <c r="C107" s="26" t="s">
        <v>126</v>
      </c>
      <c r="D107" s="26" t="s">
        <v>540</v>
      </c>
      <c r="E107" s="26" t="s">
        <v>548</v>
      </c>
      <c r="F107" s="26" t="s">
        <v>549</v>
      </c>
      <c r="G107" s="28">
        <v>1.0</v>
      </c>
      <c r="H107" s="26" t="s">
        <v>111</v>
      </c>
      <c r="I107" s="28">
        <v>5700.0</v>
      </c>
      <c r="J107" s="28">
        <v>2400.0</v>
      </c>
      <c r="K107" s="28">
        <v>4450.0</v>
      </c>
      <c r="L107" s="28">
        <v>1850.0</v>
      </c>
      <c r="M107" s="28">
        <v>1150.0</v>
      </c>
      <c r="N107" s="28">
        <v>8300.0</v>
      </c>
      <c r="O107" s="28">
        <v>3700.0</v>
      </c>
      <c r="P107" s="28">
        <v>12600.0</v>
      </c>
      <c r="Q107" s="28">
        <v>2000.0</v>
      </c>
      <c r="R107" s="28">
        <v>1700.0</v>
      </c>
      <c r="S107" s="28">
        <v>1050.0</v>
      </c>
      <c r="T107" s="28">
        <v>2400.0</v>
      </c>
      <c r="U107" s="28">
        <v>0.3</v>
      </c>
      <c r="V107" s="28">
        <v>1.0</v>
      </c>
      <c r="W107" s="26" t="s">
        <v>113</v>
      </c>
      <c r="X107" s="26" t="s">
        <v>603</v>
      </c>
      <c r="Z107" s="29" t="s">
        <v>604</v>
      </c>
    </row>
    <row r="108">
      <c r="A108" s="28">
        <v>104.0</v>
      </c>
      <c r="B108" s="26" t="s">
        <v>605</v>
      </c>
      <c r="C108" s="26" t="s">
        <v>126</v>
      </c>
      <c r="D108" s="26" t="s">
        <v>540</v>
      </c>
      <c r="E108" s="26" t="s">
        <v>606</v>
      </c>
      <c r="F108" s="26" t="s">
        <v>607</v>
      </c>
      <c r="G108" s="28">
        <v>3.0</v>
      </c>
      <c r="H108" s="26" t="s">
        <v>120</v>
      </c>
      <c r="I108" s="28">
        <v>5700.0</v>
      </c>
      <c r="J108" s="28">
        <v>2400.0</v>
      </c>
      <c r="K108" s="28">
        <v>4450.0</v>
      </c>
      <c r="L108" s="28">
        <v>1850.0</v>
      </c>
      <c r="M108" s="28">
        <v>1150.0</v>
      </c>
      <c r="N108" s="28">
        <v>8300.0</v>
      </c>
      <c r="O108" s="28">
        <v>3700.0</v>
      </c>
      <c r="P108" s="28">
        <v>12600.0</v>
      </c>
      <c r="Q108" s="28">
        <v>2000.0</v>
      </c>
      <c r="R108" s="28">
        <v>1700.0</v>
      </c>
      <c r="S108" s="28">
        <v>1050.0</v>
      </c>
      <c r="T108" s="28">
        <v>2400.0</v>
      </c>
      <c r="U108" s="28">
        <v>0.3</v>
      </c>
      <c r="V108" s="28">
        <v>1.0</v>
      </c>
      <c r="W108" s="26" t="s">
        <v>150</v>
      </c>
      <c r="X108" s="26" t="s">
        <v>608</v>
      </c>
      <c r="Z108" s="29" t="s">
        <v>609</v>
      </c>
      <c r="AB108" s="29" t="s">
        <v>610</v>
      </c>
      <c r="AC108" s="29" t="s">
        <v>611</v>
      </c>
    </row>
    <row r="109">
      <c r="A109" s="28">
        <v>105.0</v>
      </c>
      <c r="B109" s="26" t="s">
        <v>612</v>
      </c>
      <c r="C109" s="26" t="s">
        <v>126</v>
      </c>
      <c r="D109" s="26" t="s">
        <v>540</v>
      </c>
      <c r="E109" s="26" t="s">
        <v>606</v>
      </c>
      <c r="F109" s="26" t="s">
        <v>607</v>
      </c>
      <c r="G109" s="28">
        <v>2.0</v>
      </c>
      <c r="H109" s="26" t="s">
        <v>120</v>
      </c>
      <c r="I109" s="28">
        <v>11000.0</v>
      </c>
      <c r="J109" s="28">
        <v>4600.0</v>
      </c>
      <c r="K109" s="28">
        <v>8600.0</v>
      </c>
      <c r="L109" s="28">
        <v>3500.0</v>
      </c>
      <c r="M109" s="28">
        <v>2200.0</v>
      </c>
      <c r="N109" s="28">
        <v>15950.0</v>
      </c>
      <c r="O109" s="28">
        <v>7150.0</v>
      </c>
      <c r="P109" s="28">
        <v>24200.0</v>
      </c>
      <c r="Q109" s="28">
        <v>3850.0</v>
      </c>
      <c r="R109" s="28">
        <v>3300.0</v>
      </c>
      <c r="S109" s="28">
        <v>2000.0</v>
      </c>
      <c r="T109" s="28">
        <v>2400.0</v>
      </c>
      <c r="U109" s="28">
        <v>0.3</v>
      </c>
      <c r="V109" s="28">
        <v>1.0</v>
      </c>
      <c r="W109" s="26" t="s">
        <v>121</v>
      </c>
      <c r="X109" s="26" t="s">
        <v>613</v>
      </c>
      <c r="Z109" s="29" t="s">
        <v>614</v>
      </c>
      <c r="AC109" s="29" t="s">
        <v>615</v>
      </c>
    </row>
    <row r="110">
      <c r="A110" s="28">
        <v>106.0</v>
      </c>
      <c r="B110" s="26" t="s">
        <v>616</v>
      </c>
      <c r="C110" s="26" t="s">
        <v>126</v>
      </c>
      <c r="D110" s="26" t="s">
        <v>540</v>
      </c>
      <c r="E110" s="26" t="s">
        <v>606</v>
      </c>
      <c r="F110" s="26" t="s">
        <v>607</v>
      </c>
      <c r="G110" s="28">
        <v>3.0</v>
      </c>
      <c r="H110" s="26" t="s">
        <v>120</v>
      </c>
      <c r="I110" s="28">
        <v>11000.0</v>
      </c>
      <c r="J110" s="28">
        <v>4600.0</v>
      </c>
      <c r="K110" s="28">
        <v>8600.0</v>
      </c>
      <c r="L110" s="28">
        <v>3500.0</v>
      </c>
      <c r="M110" s="28">
        <v>2200.0</v>
      </c>
      <c r="N110" s="28">
        <v>15950.0</v>
      </c>
      <c r="O110" s="28">
        <v>7150.0</v>
      </c>
      <c r="P110" s="28">
        <v>24200.0</v>
      </c>
      <c r="Q110" s="28">
        <v>3850.0</v>
      </c>
      <c r="R110" s="28">
        <v>3300.0</v>
      </c>
      <c r="S110" s="28">
        <v>2000.0</v>
      </c>
      <c r="T110" s="28">
        <v>2400.0</v>
      </c>
      <c r="U110" s="28">
        <v>0.3</v>
      </c>
      <c r="V110" s="28">
        <v>1.0</v>
      </c>
      <c r="W110" s="26" t="s">
        <v>150</v>
      </c>
      <c r="X110" s="26" t="s">
        <v>617</v>
      </c>
      <c r="Z110" s="29" t="s">
        <v>618</v>
      </c>
      <c r="AB110" s="29" t="s">
        <v>619</v>
      </c>
      <c r="AC110" s="29" t="s">
        <v>620</v>
      </c>
    </row>
    <row r="111">
      <c r="A111" s="28">
        <v>107.0</v>
      </c>
      <c r="B111" s="26" t="s">
        <v>621</v>
      </c>
      <c r="C111" s="26" t="s">
        <v>126</v>
      </c>
      <c r="D111" s="26" t="s">
        <v>540</v>
      </c>
      <c r="E111" s="26" t="s">
        <v>606</v>
      </c>
      <c r="F111" s="26" t="s">
        <v>607</v>
      </c>
      <c r="G111" s="28">
        <v>2.0</v>
      </c>
      <c r="H111" s="26" t="s">
        <v>120</v>
      </c>
      <c r="I111" s="28">
        <v>11000.0</v>
      </c>
      <c r="J111" s="28">
        <v>4600.0</v>
      </c>
      <c r="K111" s="28">
        <v>8600.0</v>
      </c>
      <c r="L111" s="28">
        <v>3500.0</v>
      </c>
      <c r="M111" s="28">
        <v>2200.0</v>
      </c>
      <c r="N111" s="28">
        <v>15950.0</v>
      </c>
      <c r="O111" s="28">
        <v>7150.0</v>
      </c>
      <c r="P111" s="28">
        <v>24200.0</v>
      </c>
      <c r="Q111" s="28">
        <v>3850.0</v>
      </c>
      <c r="R111" s="28">
        <v>3300.0</v>
      </c>
      <c r="S111" s="28">
        <v>2000.0</v>
      </c>
      <c r="T111" s="28">
        <v>2400.0</v>
      </c>
      <c r="U111" s="28">
        <v>0.3</v>
      </c>
      <c r="V111" s="28">
        <v>1.0</v>
      </c>
      <c r="W111" s="26" t="s">
        <v>121</v>
      </c>
      <c r="X111" s="26" t="s">
        <v>622</v>
      </c>
      <c r="Z111" s="29" t="s">
        <v>623</v>
      </c>
      <c r="AC111" s="29" t="s">
        <v>624</v>
      </c>
    </row>
    <row r="112">
      <c r="A112" s="28">
        <v>108.0</v>
      </c>
      <c r="B112" s="26" t="s">
        <v>625</v>
      </c>
      <c r="C112" s="26" t="s">
        <v>126</v>
      </c>
      <c r="D112" s="26" t="s">
        <v>540</v>
      </c>
      <c r="E112" s="26" t="s">
        <v>606</v>
      </c>
      <c r="F112" s="26" t="s">
        <v>607</v>
      </c>
      <c r="G112" s="28">
        <v>3.0</v>
      </c>
      <c r="H112" s="26" t="s">
        <v>120</v>
      </c>
      <c r="I112" s="28">
        <v>11000.0</v>
      </c>
      <c r="J112" s="28">
        <v>4600.0</v>
      </c>
      <c r="K112" s="28">
        <v>8600.0</v>
      </c>
      <c r="L112" s="28">
        <v>3500.0</v>
      </c>
      <c r="M112" s="28">
        <v>2200.0</v>
      </c>
      <c r="N112" s="28">
        <v>15950.0</v>
      </c>
      <c r="O112" s="28">
        <v>7150.0</v>
      </c>
      <c r="P112" s="28">
        <v>24200.0</v>
      </c>
      <c r="Q112" s="28">
        <v>3850.0</v>
      </c>
      <c r="R112" s="28">
        <v>3300.0</v>
      </c>
      <c r="S112" s="28">
        <v>2000.0</v>
      </c>
      <c r="T112" s="28">
        <v>2400.0</v>
      </c>
      <c r="U112" s="28">
        <v>0.3</v>
      </c>
      <c r="V112" s="28">
        <v>1.0</v>
      </c>
      <c r="W112" s="26" t="s">
        <v>150</v>
      </c>
      <c r="X112" s="26" t="s">
        <v>626</v>
      </c>
      <c r="Z112" s="29" t="s">
        <v>627</v>
      </c>
      <c r="AB112" s="29" t="s">
        <v>628</v>
      </c>
      <c r="AC112" s="29" t="s">
        <v>629</v>
      </c>
    </row>
    <row r="113">
      <c r="A113" s="28">
        <v>109.0</v>
      </c>
      <c r="B113" s="26" t="s">
        <v>630</v>
      </c>
      <c r="C113" s="26" t="s">
        <v>126</v>
      </c>
      <c r="D113" s="26" t="s">
        <v>540</v>
      </c>
      <c r="E113" s="26" t="s">
        <v>606</v>
      </c>
      <c r="F113" s="26" t="s">
        <v>607</v>
      </c>
      <c r="G113" s="28">
        <v>2.0</v>
      </c>
      <c r="H113" s="26" t="s">
        <v>120</v>
      </c>
      <c r="I113" s="28">
        <v>11000.0</v>
      </c>
      <c r="J113" s="28">
        <v>4600.0</v>
      </c>
      <c r="K113" s="28">
        <v>8600.0</v>
      </c>
      <c r="L113" s="28">
        <v>3500.0</v>
      </c>
      <c r="M113" s="28">
        <v>2200.0</v>
      </c>
      <c r="N113" s="28">
        <v>15950.0</v>
      </c>
      <c r="O113" s="28">
        <v>7150.0</v>
      </c>
      <c r="P113" s="28">
        <v>24200.0</v>
      </c>
      <c r="Q113" s="28">
        <v>3850.0</v>
      </c>
      <c r="R113" s="28">
        <v>3300.0</v>
      </c>
      <c r="S113" s="28">
        <v>2000.0</v>
      </c>
      <c r="T113" s="28">
        <v>2400.0</v>
      </c>
      <c r="U113" s="28">
        <v>0.3</v>
      </c>
      <c r="V113" s="28">
        <v>1.0</v>
      </c>
      <c r="W113" s="26" t="s">
        <v>121</v>
      </c>
      <c r="X113" s="26" t="s">
        <v>631</v>
      </c>
      <c r="Z113" s="29" t="s">
        <v>632</v>
      </c>
      <c r="AC113" s="29" t="s">
        <v>633</v>
      </c>
    </row>
    <row r="114">
      <c r="A114" s="28">
        <v>110.0</v>
      </c>
      <c r="B114" s="26" t="s">
        <v>634</v>
      </c>
      <c r="C114" s="26" t="s">
        <v>117</v>
      </c>
      <c r="D114" s="26" t="s">
        <v>540</v>
      </c>
      <c r="E114" s="26" t="s">
        <v>606</v>
      </c>
      <c r="F114" s="26" t="s">
        <v>607</v>
      </c>
      <c r="G114" s="28">
        <v>2.0</v>
      </c>
      <c r="H114" s="26" t="s">
        <v>120</v>
      </c>
      <c r="I114" s="28">
        <v>11000.0</v>
      </c>
      <c r="J114" s="28">
        <v>4600.0</v>
      </c>
      <c r="K114" s="28">
        <v>8600.0</v>
      </c>
      <c r="L114" s="28">
        <v>3500.0</v>
      </c>
      <c r="M114" s="28">
        <v>2200.0</v>
      </c>
      <c r="N114" s="28">
        <v>15950.0</v>
      </c>
      <c r="O114" s="28">
        <v>7150.0</v>
      </c>
      <c r="P114" s="28">
        <v>24200.0</v>
      </c>
      <c r="Q114" s="28">
        <v>3850.0</v>
      </c>
      <c r="R114" s="28">
        <v>3300.0</v>
      </c>
      <c r="S114" s="28">
        <v>2000.0</v>
      </c>
      <c r="T114" s="26" t="s">
        <v>112</v>
      </c>
      <c r="U114" s="28">
        <v>0.3</v>
      </c>
      <c r="V114" s="28">
        <v>1.0</v>
      </c>
      <c r="W114" s="26" t="s">
        <v>121</v>
      </c>
      <c r="X114" s="26" t="s">
        <v>635</v>
      </c>
      <c r="Z114" s="29" t="s">
        <v>636</v>
      </c>
      <c r="AC114" s="29" t="s">
        <v>637</v>
      </c>
    </row>
    <row r="115">
      <c r="A115" s="28">
        <v>111.0</v>
      </c>
      <c r="B115" s="26" t="s">
        <v>638</v>
      </c>
      <c r="C115" s="26" t="s">
        <v>134</v>
      </c>
      <c r="D115" s="26" t="s">
        <v>540</v>
      </c>
      <c r="E115" s="26" t="s">
        <v>606</v>
      </c>
      <c r="F115" s="26" t="s">
        <v>607</v>
      </c>
      <c r="G115" s="28">
        <v>3.0</v>
      </c>
      <c r="H115" s="26" t="s">
        <v>120</v>
      </c>
      <c r="I115" s="26" t="s">
        <v>112</v>
      </c>
      <c r="J115" s="26" t="s">
        <v>112</v>
      </c>
      <c r="K115" s="26" t="s">
        <v>112</v>
      </c>
      <c r="L115" s="26" t="s">
        <v>112</v>
      </c>
      <c r="M115" s="26" t="s">
        <v>112</v>
      </c>
      <c r="N115" s="26" t="s">
        <v>112</v>
      </c>
      <c r="O115" s="26" t="s">
        <v>112</v>
      </c>
      <c r="P115" s="28">
        <v>15000.0</v>
      </c>
      <c r="Q115" s="26" t="s">
        <v>112</v>
      </c>
      <c r="R115" s="26" t="s">
        <v>112</v>
      </c>
      <c r="S115" s="26" t="s">
        <v>112</v>
      </c>
      <c r="T115" s="26" t="s">
        <v>112</v>
      </c>
      <c r="U115" s="28">
        <v>0.3</v>
      </c>
      <c r="V115" s="28">
        <v>1.0</v>
      </c>
      <c r="W115" s="26" t="s">
        <v>150</v>
      </c>
      <c r="X115" s="26" t="s">
        <v>639</v>
      </c>
      <c r="Z115" s="29" t="s">
        <v>640</v>
      </c>
      <c r="AB115" s="29" t="s">
        <v>641</v>
      </c>
      <c r="AC115" s="29" t="s">
        <v>642</v>
      </c>
    </row>
    <row r="116">
      <c r="A116" s="28">
        <v>112.0</v>
      </c>
      <c r="B116" s="26" t="s">
        <v>643</v>
      </c>
      <c r="C116" s="26" t="s">
        <v>107</v>
      </c>
      <c r="D116" s="26" t="s">
        <v>540</v>
      </c>
      <c r="E116" s="26" t="s">
        <v>562</v>
      </c>
      <c r="F116" s="26" t="s">
        <v>541</v>
      </c>
      <c r="G116" s="28">
        <v>0.0</v>
      </c>
      <c r="H116" s="26" t="s">
        <v>111</v>
      </c>
      <c r="I116" s="26" t="s">
        <v>112</v>
      </c>
      <c r="J116" s="26" t="s">
        <v>112</v>
      </c>
      <c r="K116" s="26" t="s">
        <v>112</v>
      </c>
      <c r="L116" s="26" t="s">
        <v>112</v>
      </c>
      <c r="M116" s="26" t="s">
        <v>112</v>
      </c>
      <c r="N116" s="26" t="s">
        <v>112</v>
      </c>
      <c r="O116" s="26" t="s">
        <v>112</v>
      </c>
      <c r="P116" s="28">
        <v>7500.0</v>
      </c>
      <c r="Q116" s="26" t="s">
        <v>112</v>
      </c>
      <c r="R116" s="26" t="s">
        <v>112</v>
      </c>
      <c r="S116" s="26" t="s">
        <v>112</v>
      </c>
      <c r="T116" s="26" t="s">
        <v>112</v>
      </c>
      <c r="U116" s="28">
        <v>0.3</v>
      </c>
      <c r="V116" s="28">
        <v>1.0</v>
      </c>
      <c r="W116" s="26" t="s">
        <v>242</v>
      </c>
      <c r="X116" s="26" t="s">
        <v>644</v>
      </c>
    </row>
    <row r="117">
      <c r="A117" s="28">
        <v>113.0</v>
      </c>
      <c r="B117" s="26" t="s">
        <v>645</v>
      </c>
      <c r="C117" s="26" t="s">
        <v>107</v>
      </c>
      <c r="D117" s="26" t="s">
        <v>540</v>
      </c>
      <c r="E117" s="26" t="s">
        <v>606</v>
      </c>
      <c r="F117" s="26" t="s">
        <v>607</v>
      </c>
      <c r="G117" s="28">
        <v>5.0</v>
      </c>
      <c r="H117" s="26" t="s">
        <v>127</v>
      </c>
      <c r="I117" s="26" t="s">
        <v>112</v>
      </c>
      <c r="J117" s="26" t="s">
        <v>112</v>
      </c>
      <c r="K117" s="26" t="s">
        <v>112</v>
      </c>
      <c r="L117" s="26" t="s">
        <v>112</v>
      </c>
      <c r="M117" s="26" t="s">
        <v>112</v>
      </c>
      <c r="N117" s="26" t="s">
        <v>112</v>
      </c>
      <c r="O117" s="26" t="s">
        <v>112</v>
      </c>
      <c r="P117" s="28">
        <v>30000.0</v>
      </c>
      <c r="Q117" s="26" t="s">
        <v>112</v>
      </c>
      <c r="R117" s="26" t="s">
        <v>112</v>
      </c>
      <c r="S117" s="26" t="s">
        <v>112</v>
      </c>
      <c r="T117" s="26" t="s">
        <v>112</v>
      </c>
      <c r="U117" s="28">
        <v>0.3</v>
      </c>
      <c r="V117" s="28">
        <v>1.0</v>
      </c>
      <c r="W117" s="26" t="s">
        <v>218</v>
      </c>
      <c r="X117" s="26" t="s">
        <v>646</v>
      </c>
      <c r="Y117" s="29" t="s">
        <v>647</v>
      </c>
      <c r="Z117" s="29" t="s">
        <v>648</v>
      </c>
      <c r="AB117" s="29" t="s">
        <v>649</v>
      </c>
      <c r="AC117" s="29" t="s">
        <v>650</v>
      </c>
      <c r="AE117" s="29" t="s">
        <v>651</v>
      </c>
    </row>
    <row r="118">
      <c r="A118" s="28">
        <v>114.0</v>
      </c>
      <c r="B118" s="26" t="s">
        <v>652</v>
      </c>
      <c r="C118" s="26" t="s">
        <v>126</v>
      </c>
      <c r="D118" s="26" t="s">
        <v>653</v>
      </c>
      <c r="E118" s="26" t="s">
        <v>109</v>
      </c>
      <c r="F118" s="26" t="s">
        <v>441</v>
      </c>
      <c r="G118" s="28">
        <v>2.0</v>
      </c>
      <c r="H118" s="26" t="s">
        <v>120</v>
      </c>
      <c r="I118" s="28">
        <v>11250.0</v>
      </c>
      <c r="J118" s="28">
        <v>4500.0</v>
      </c>
      <c r="K118" s="28">
        <v>8000.0</v>
      </c>
      <c r="L118" s="28">
        <v>3500.0</v>
      </c>
      <c r="M118" s="28">
        <v>2000.0</v>
      </c>
      <c r="N118" s="28">
        <v>13500.0</v>
      </c>
      <c r="O118" s="28">
        <v>6075.0</v>
      </c>
      <c r="P118" s="28">
        <v>15000.0</v>
      </c>
      <c r="Q118" s="28">
        <v>4638.0</v>
      </c>
      <c r="R118" s="28">
        <v>4063.0</v>
      </c>
      <c r="S118" s="28">
        <v>2438.0</v>
      </c>
      <c r="T118" s="28">
        <v>2400.0</v>
      </c>
      <c r="U118" s="28">
        <v>0.75</v>
      </c>
      <c r="V118" s="28">
        <v>1.0</v>
      </c>
      <c r="W118" s="26" t="s">
        <v>121</v>
      </c>
      <c r="X118" s="26" t="s">
        <v>654</v>
      </c>
      <c r="Y118" s="29" t="s">
        <v>655</v>
      </c>
      <c r="AA118" s="29" t="s">
        <v>656</v>
      </c>
    </row>
    <row r="119">
      <c r="A119" s="28">
        <v>115.0</v>
      </c>
      <c r="B119" s="26" t="s">
        <v>657</v>
      </c>
      <c r="C119" s="26" t="s">
        <v>126</v>
      </c>
      <c r="D119" s="26" t="s">
        <v>653</v>
      </c>
      <c r="E119" s="26" t="s">
        <v>109</v>
      </c>
      <c r="F119" s="26" t="s">
        <v>441</v>
      </c>
      <c r="G119" s="28">
        <v>3.0</v>
      </c>
      <c r="H119" s="26" t="s">
        <v>120</v>
      </c>
      <c r="I119" s="28">
        <v>11000.0</v>
      </c>
      <c r="J119" s="28">
        <v>4600.0</v>
      </c>
      <c r="K119" s="28">
        <v>8600.0</v>
      </c>
      <c r="L119" s="28">
        <v>3500.0</v>
      </c>
      <c r="M119" s="28">
        <v>2200.0</v>
      </c>
      <c r="N119" s="28">
        <v>15950.0</v>
      </c>
      <c r="O119" s="28">
        <v>7150.0</v>
      </c>
      <c r="P119" s="28">
        <v>24200.0</v>
      </c>
      <c r="Q119" s="28">
        <v>3850.0</v>
      </c>
      <c r="R119" s="28">
        <v>3300.0</v>
      </c>
      <c r="S119" s="28">
        <v>2000.0</v>
      </c>
      <c r="T119" s="28">
        <v>2400.0</v>
      </c>
      <c r="U119" s="28">
        <v>0.75</v>
      </c>
      <c r="V119" s="28">
        <v>1.0</v>
      </c>
      <c r="W119" s="26" t="s">
        <v>150</v>
      </c>
      <c r="X119" s="26" t="s">
        <v>658</v>
      </c>
      <c r="Y119" s="29" t="s">
        <v>659</v>
      </c>
      <c r="AA119" s="29" t="s">
        <v>660</v>
      </c>
      <c r="AB119" s="29" t="s">
        <v>661</v>
      </c>
    </row>
    <row r="120">
      <c r="A120" s="28">
        <v>116.0</v>
      </c>
      <c r="B120" s="26" t="s">
        <v>662</v>
      </c>
      <c r="C120" s="26" t="s">
        <v>126</v>
      </c>
      <c r="D120" s="26" t="s">
        <v>653</v>
      </c>
      <c r="E120" s="26" t="s">
        <v>109</v>
      </c>
      <c r="F120" s="26" t="s">
        <v>441</v>
      </c>
      <c r="G120" s="28">
        <v>2.0</v>
      </c>
      <c r="H120" s="26" t="s">
        <v>120</v>
      </c>
      <c r="I120" s="28">
        <v>11000.0</v>
      </c>
      <c r="J120" s="28">
        <v>4600.0</v>
      </c>
      <c r="K120" s="28">
        <v>8600.0</v>
      </c>
      <c r="L120" s="28">
        <v>3500.0</v>
      </c>
      <c r="M120" s="28">
        <v>2200.0</v>
      </c>
      <c r="N120" s="28">
        <v>15950.0</v>
      </c>
      <c r="O120" s="28">
        <v>7150.0</v>
      </c>
      <c r="P120" s="28">
        <v>24200.0</v>
      </c>
      <c r="Q120" s="28">
        <v>3850.0</v>
      </c>
      <c r="R120" s="28">
        <v>3300.0</v>
      </c>
      <c r="S120" s="28">
        <v>2000.0</v>
      </c>
      <c r="T120" s="28">
        <v>2400.0</v>
      </c>
      <c r="U120" s="28">
        <v>0.75</v>
      </c>
      <c r="V120" s="28">
        <v>1.0</v>
      </c>
      <c r="W120" s="26" t="s">
        <v>121</v>
      </c>
      <c r="X120" s="26" t="s">
        <v>663</v>
      </c>
      <c r="Y120" s="29" t="s">
        <v>664</v>
      </c>
      <c r="AA120" s="29" t="s">
        <v>665</v>
      </c>
    </row>
    <row r="121">
      <c r="A121" s="28">
        <v>117.0</v>
      </c>
      <c r="B121" s="26" t="s">
        <v>666</v>
      </c>
      <c r="C121" s="26" t="s">
        <v>107</v>
      </c>
      <c r="D121" s="26" t="s">
        <v>653</v>
      </c>
      <c r="E121" s="26" t="s">
        <v>109</v>
      </c>
      <c r="F121" s="26" t="s">
        <v>441</v>
      </c>
      <c r="G121" s="28">
        <v>2.0</v>
      </c>
      <c r="H121" s="26" t="s">
        <v>120</v>
      </c>
      <c r="I121" s="28">
        <v>11000.0</v>
      </c>
      <c r="J121" s="28">
        <v>4600.0</v>
      </c>
      <c r="K121" s="28">
        <v>8600.0</v>
      </c>
      <c r="L121" s="28">
        <v>3500.0</v>
      </c>
      <c r="M121" s="28">
        <v>2200.0</v>
      </c>
      <c r="N121" s="28">
        <v>15950.0</v>
      </c>
      <c r="O121" s="28">
        <v>7150.0</v>
      </c>
      <c r="P121" s="28">
        <v>24200.0</v>
      </c>
      <c r="Q121" s="28">
        <v>3850.0</v>
      </c>
      <c r="R121" s="28">
        <v>3300.0</v>
      </c>
      <c r="S121" s="28">
        <v>2000.0</v>
      </c>
      <c r="T121" s="26" t="s">
        <v>112</v>
      </c>
      <c r="U121" s="28">
        <v>0.3</v>
      </c>
      <c r="V121" s="28">
        <v>1.0</v>
      </c>
      <c r="W121" s="26" t="s">
        <v>121</v>
      </c>
      <c r="X121" s="26" t="s">
        <v>667</v>
      </c>
      <c r="Y121" s="29" t="s">
        <v>668</v>
      </c>
      <c r="Z121" s="29" t="s">
        <v>669</v>
      </c>
    </row>
    <row r="122">
      <c r="A122" s="28">
        <v>118.0</v>
      </c>
      <c r="B122" s="26" t="s">
        <v>670</v>
      </c>
      <c r="C122" s="26" t="s">
        <v>126</v>
      </c>
      <c r="D122" s="26" t="s">
        <v>653</v>
      </c>
      <c r="E122" s="26" t="s">
        <v>109</v>
      </c>
      <c r="F122" s="26" t="s">
        <v>441</v>
      </c>
      <c r="G122" s="28">
        <v>3.0</v>
      </c>
      <c r="H122" s="26" t="s">
        <v>120</v>
      </c>
      <c r="I122" s="28">
        <v>11250.0</v>
      </c>
      <c r="J122" s="28">
        <v>4500.0</v>
      </c>
      <c r="K122" s="28">
        <v>8000.0</v>
      </c>
      <c r="L122" s="28">
        <v>3500.0</v>
      </c>
      <c r="M122" s="28">
        <v>2000.0</v>
      </c>
      <c r="N122" s="28">
        <v>13500.0</v>
      </c>
      <c r="O122" s="28">
        <v>6075.0</v>
      </c>
      <c r="P122" s="28">
        <v>15000.0</v>
      </c>
      <c r="Q122" s="28">
        <v>4638.0</v>
      </c>
      <c r="R122" s="28">
        <v>4063.0</v>
      </c>
      <c r="S122" s="28">
        <v>2438.0</v>
      </c>
      <c r="T122" s="28">
        <v>2400.0</v>
      </c>
      <c r="U122" s="28">
        <v>0.75</v>
      </c>
      <c r="V122" s="28">
        <v>1.0</v>
      </c>
      <c r="W122" s="26" t="s">
        <v>150</v>
      </c>
      <c r="X122" s="26" t="s">
        <v>671</v>
      </c>
      <c r="Y122" s="29" t="s">
        <v>672</v>
      </c>
      <c r="Z122" s="29" t="s">
        <v>673</v>
      </c>
      <c r="AA122" s="29" t="s">
        <v>674</v>
      </c>
    </row>
    <row r="123">
      <c r="A123" s="28">
        <v>119.0</v>
      </c>
      <c r="B123" s="26" t="s">
        <v>675</v>
      </c>
      <c r="C123" s="26" t="s">
        <v>117</v>
      </c>
      <c r="D123" s="26" t="s">
        <v>653</v>
      </c>
      <c r="E123" s="26" t="s">
        <v>109</v>
      </c>
      <c r="F123" s="26" t="s">
        <v>441</v>
      </c>
      <c r="G123" s="28">
        <v>2.0</v>
      </c>
      <c r="H123" s="26" t="s">
        <v>120</v>
      </c>
      <c r="I123" s="28">
        <v>11000.0</v>
      </c>
      <c r="J123" s="28">
        <v>4600.0</v>
      </c>
      <c r="K123" s="28">
        <v>8600.0</v>
      </c>
      <c r="L123" s="28">
        <v>3500.0</v>
      </c>
      <c r="M123" s="28">
        <v>2200.0</v>
      </c>
      <c r="N123" s="28">
        <v>15950.0</v>
      </c>
      <c r="O123" s="28">
        <v>7150.0</v>
      </c>
      <c r="P123" s="28">
        <v>24200.0</v>
      </c>
      <c r="Q123" s="28">
        <v>3850.0</v>
      </c>
      <c r="R123" s="28">
        <v>3300.0</v>
      </c>
      <c r="S123" s="28">
        <v>2000.0</v>
      </c>
      <c r="T123" s="26" t="s">
        <v>112</v>
      </c>
      <c r="U123" s="28">
        <v>0.3</v>
      </c>
      <c r="V123" s="28">
        <v>1.0</v>
      </c>
      <c r="W123" s="26" t="s">
        <v>121</v>
      </c>
      <c r="X123" s="26" t="s">
        <v>676</v>
      </c>
      <c r="Y123" s="29" t="s">
        <v>677</v>
      </c>
      <c r="AB123" s="29" t="s">
        <v>678</v>
      </c>
    </row>
    <row r="124">
      <c r="A124" s="28">
        <v>120.0</v>
      </c>
      <c r="B124" s="26" t="s">
        <v>679</v>
      </c>
      <c r="C124" s="26" t="s">
        <v>126</v>
      </c>
      <c r="D124" s="26" t="s">
        <v>653</v>
      </c>
      <c r="E124" s="26" t="s">
        <v>109</v>
      </c>
      <c r="F124" s="26" t="s">
        <v>441</v>
      </c>
      <c r="G124" s="28">
        <v>3.0</v>
      </c>
      <c r="H124" s="26" t="s">
        <v>120</v>
      </c>
      <c r="I124" s="28">
        <v>22750.0</v>
      </c>
      <c r="J124" s="28">
        <v>9550.0</v>
      </c>
      <c r="K124" s="28">
        <v>17750.0</v>
      </c>
      <c r="L124" s="28">
        <v>7300.0</v>
      </c>
      <c r="M124" s="28">
        <v>4550.0</v>
      </c>
      <c r="N124" s="28">
        <v>33000.0</v>
      </c>
      <c r="O124" s="28">
        <v>14800.0</v>
      </c>
      <c r="P124" s="28">
        <v>50100.0</v>
      </c>
      <c r="Q124" s="28">
        <v>7950.0</v>
      </c>
      <c r="R124" s="28">
        <v>6850.0</v>
      </c>
      <c r="S124" s="28">
        <v>4100.0</v>
      </c>
      <c r="T124" s="28">
        <v>2400.0</v>
      </c>
      <c r="U124" s="28">
        <v>0.75</v>
      </c>
      <c r="V124" s="28">
        <v>1.0</v>
      </c>
      <c r="W124" s="26" t="s">
        <v>150</v>
      </c>
      <c r="X124" s="26" t="s">
        <v>680</v>
      </c>
      <c r="Y124" s="29" t="s">
        <v>681</v>
      </c>
      <c r="Z124" s="29" t="s">
        <v>682</v>
      </c>
      <c r="AA124" s="29" t="s">
        <v>683</v>
      </c>
    </row>
    <row r="125">
      <c r="A125" s="28">
        <v>121.0</v>
      </c>
      <c r="B125" s="26" t="s">
        <v>684</v>
      </c>
      <c r="C125" s="26" t="s">
        <v>371</v>
      </c>
      <c r="D125" s="26" t="s">
        <v>653</v>
      </c>
      <c r="E125" s="26" t="s">
        <v>109</v>
      </c>
      <c r="F125" s="26" t="s">
        <v>441</v>
      </c>
      <c r="G125" s="28">
        <v>4.0</v>
      </c>
      <c r="H125" s="26" t="s">
        <v>127</v>
      </c>
      <c r="I125" s="28">
        <v>11000.0</v>
      </c>
      <c r="J125" s="28">
        <v>4600.0</v>
      </c>
      <c r="K125" s="28">
        <v>8600.0</v>
      </c>
      <c r="L125" s="28">
        <v>3500.0</v>
      </c>
      <c r="M125" s="28">
        <v>2200.0</v>
      </c>
      <c r="N125" s="28">
        <v>15950.0</v>
      </c>
      <c r="O125" s="28">
        <v>7150.0</v>
      </c>
      <c r="P125" s="28">
        <v>24200.0</v>
      </c>
      <c r="Q125" s="28">
        <v>3850.0</v>
      </c>
      <c r="R125" s="28">
        <v>3300.0</v>
      </c>
      <c r="S125" s="28">
        <v>2000.0</v>
      </c>
      <c r="T125" s="26" t="s">
        <v>112</v>
      </c>
      <c r="U125" s="28">
        <v>0.3</v>
      </c>
      <c r="V125" s="28">
        <v>1.0</v>
      </c>
      <c r="W125" s="26" t="s">
        <v>136</v>
      </c>
      <c r="X125" s="26" t="s">
        <v>685</v>
      </c>
      <c r="Y125" s="29" t="s">
        <v>686</v>
      </c>
      <c r="Z125" s="29" t="s">
        <v>687</v>
      </c>
      <c r="AA125" s="29" t="s">
        <v>688</v>
      </c>
      <c r="AB125" s="29" t="s">
        <v>689</v>
      </c>
    </row>
    <row r="126">
      <c r="A126" s="28">
        <v>122.0</v>
      </c>
      <c r="B126" s="26" t="s">
        <v>690</v>
      </c>
      <c r="C126" s="26" t="s">
        <v>117</v>
      </c>
      <c r="D126" s="26" t="s">
        <v>691</v>
      </c>
      <c r="E126" s="26" t="s">
        <v>109</v>
      </c>
      <c r="F126" s="26" t="s">
        <v>110</v>
      </c>
      <c r="G126" s="28">
        <v>3.0</v>
      </c>
      <c r="H126" s="26" t="s">
        <v>120</v>
      </c>
      <c r="I126" s="28">
        <v>11000.0</v>
      </c>
      <c r="J126" s="28">
        <v>4600.0</v>
      </c>
      <c r="K126" s="28">
        <v>8600.0</v>
      </c>
      <c r="L126" s="28">
        <v>3500.0</v>
      </c>
      <c r="M126" s="28">
        <v>2200.0</v>
      </c>
      <c r="N126" s="28">
        <v>15950.0</v>
      </c>
      <c r="O126" s="28">
        <v>7150.0</v>
      </c>
      <c r="P126" s="28">
        <v>24200.0</v>
      </c>
      <c r="Q126" s="28">
        <v>3850.0</v>
      </c>
      <c r="R126" s="28">
        <v>3300.0</v>
      </c>
      <c r="S126" s="28">
        <v>2000.0</v>
      </c>
      <c r="T126" s="26" t="s">
        <v>112</v>
      </c>
      <c r="U126" s="28">
        <v>0.3</v>
      </c>
      <c r="V126" s="28">
        <v>1.0</v>
      </c>
      <c r="W126" s="26" t="s">
        <v>150</v>
      </c>
      <c r="X126" s="26" t="s">
        <v>692</v>
      </c>
      <c r="Y126" s="29" t="s">
        <v>693</v>
      </c>
      <c r="Z126" s="29" t="s">
        <v>694</v>
      </c>
      <c r="AA126" s="29" t="s">
        <v>695</v>
      </c>
    </row>
    <row r="127">
      <c r="A127" s="28">
        <v>123.0</v>
      </c>
      <c r="B127" s="26" t="s">
        <v>696</v>
      </c>
      <c r="C127" s="26" t="s">
        <v>126</v>
      </c>
      <c r="D127" s="26" t="s">
        <v>691</v>
      </c>
      <c r="E127" s="26" t="s">
        <v>109</v>
      </c>
      <c r="F127" s="26" t="s">
        <v>110</v>
      </c>
      <c r="G127" s="28">
        <v>4.0</v>
      </c>
      <c r="H127" s="26" t="s">
        <v>127</v>
      </c>
      <c r="I127" s="28">
        <v>15000.0</v>
      </c>
      <c r="J127" s="28">
        <v>6750.0</v>
      </c>
      <c r="K127" s="28">
        <v>11000.0</v>
      </c>
      <c r="L127" s="28">
        <v>5000.0</v>
      </c>
      <c r="M127" s="28">
        <v>3200.0</v>
      </c>
      <c r="N127" s="28">
        <v>19500.0</v>
      </c>
      <c r="O127" s="28">
        <v>8775.0</v>
      </c>
      <c r="P127" s="28">
        <v>30000.0</v>
      </c>
      <c r="Q127" s="28">
        <v>6800.0</v>
      </c>
      <c r="R127" s="28">
        <v>5950.0</v>
      </c>
      <c r="S127" s="28">
        <v>3570.0</v>
      </c>
      <c r="T127" s="28">
        <v>2400.0</v>
      </c>
      <c r="U127" s="28">
        <v>0.3</v>
      </c>
      <c r="V127" s="28">
        <v>1.0</v>
      </c>
      <c r="W127" s="26" t="s">
        <v>136</v>
      </c>
      <c r="X127" s="26" t="s">
        <v>697</v>
      </c>
      <c r="Y127" s="29" t="s">
        <v>698</v>
      </c>
      <c r="Z127" s="29" t="s">
        <v>699</v>
      </c>
      <c r="AA127" s="29" t="s">
        <v>700</v>
      </c>
      <c r="AB127" s="29" t="s">
        <v>701</v>
      </c>
    </row>
    <row r="128">
      <c r="A128" s="28">
        <v>124.0</v>
      </c>
      <c r="B128" s="26" t="s">
        <v>702</v>
      </c>
      <c r="C128" s="26" t="s">
        <v>126</v>
      </c>
      <c r="D128" s="26" t="s">
        <v>691</v>
      </c>
      <c r="E128" s="26" t="s">
        <v>109</v>
      </c>
      <c r="F128" s="26" t="s">
        <v>110</v>
      </c>
      <c r="G128" s="28">
        <v>4.0</v>
      </c>
      <c r="H128" s="26" t="s">
        <v>127</v>
      </c>
      <c r="I128" s="28">
        <v>20700.0</v>
      </c>
      <c r="J128" s="28">
        <v>8700.0</v>
      </c>
      <c r="K128" s="28">
        <v>16150.0</v>
      </c>
      <c r="L128" s="28">
        <v>6600.0</v>
      </c>
      <c r="M128" s="28">
        <v>4150.0</v>
      </c>
      <c r="N128" s="28">
        <v>30000.0</v>
      </c>
      <c r="O128" s="28">
        <v>13450.0</v>
      </c>
      <c r="P128" s="28">
        <v>45550.0</v>
      </c>
      <c r="Q128" s="28">
        <v>7250.0</v>
      </c>
      <c r="R128" s="28">
        <v>6200.0</v>
      </c>
      <c r="S128" s="28">
        <v>3750.0</v>
      </c>
      <c r="T128" s="28">
        <v>2400.0</v>
      </c>
      <c r="U128" s="28">
        <v>0.3</v>
      </c>
      <c r="V128" s="28">
        <v>1.0</v>
      </c>
      <c r="W128" s="26" t="s">
        <v>136</v>
      </c>
      <c r="X128" s="26" t="s">
        <v>703</v>
      </c>
      <c r="Y128" s="29" t="s">
        <v>704</v>
      </c>
      <c r="Z128" s="29" t="s">
        <v>705</v>
      </c>
      <c r="AA128" s="29" t="s">
        <v>706</v>
      </c>
      <c r="AB128" s="29" t="s">
        <v>707</v>
      </c>
    </row>
    <row r="129">
      <c r="A129" s="28">
        <v>125.0</v>
      </c>
      <c r="B129" s="26" t="s">
        <v>708</v>
      </c>
      <c r="C129" s="26" t="s">
        <v>126</v>
      </c>
      <c r="D129" s="26" t="s">
        <v>691</v>
      </c>
      <c r="E129" s="26" t="s">
        <v>109</v>
      </c>
      <c r="F129" s="26" t="s">
        <v>110</v>
      </c>
      <c r="G129" s="28">
        <v>4.0</v>
      </c>
      <c r="H129" s="26" t="s">
        <v>127</v>
      </c>
      <c r="I129" s="28">
        <v>20700.0</v>
      </c>
      <c r="J129" s="28">
        <v>8700.0</v>
      </c>
      <c r="K129" s="28">
        <v>16150.0</v>
      </c>
      <c r="L129" s="28">
        <v>6600.0</v>
      </c>
      <c r="M129" s="28">
        <v>4150.0</v>
      </c>
      <c r="N129" s="28">
        <v>30000.0</v>
      </c>
      <c r="O129" s="28">
        <v>13450.0</v>
      </c>
      <c r="P129" s="28">
        <v>45550.0</v>
      </c>
      <c r="Q129" s="28">
        <v>7250.0</v>
      </c>
      <c r="R129" s="28">
        <v>6200.0</v>
      </c>
      <c r="S129" s="28">
        <v>3750.0</v>
      </c>
      <c r="T129" s="28">
        <v>2400.0</v>
      </c>
      <c r="U129" s="28">
        <v>0.3</v>
      </c>
      <c r="V129" s="28">
        <v>1.0</v>
      </c>
      <c r="W129" s="26" t="s">
        <v>136</v>
      </c>
      <c r="X129" s="26" t="s">
        <v>709</v>
      </c>
      <c r="Y129" s="29" t="s">
        <v>710</v>
      </c>
      <c r="Z129" s="29" t="s">
        <v>711</v>
      </c>
      <c r="AA129" s="29" t="s">
        <v>712</v>
      </c>
      <c r="AB129" s="29" t="s">
        <v>713</v>
      </c>
    </row>
    <row r="130">
      <c r="A130" s="28">
        <v>126.0</v>
      </c>
      <c r="B130" s="26" t="s">
        <v>714</v>
      </c>
      <c r="C130" s="26" t="s">
        <v>126</v>
      </c>
      <c r="D130" s="26" t="s">
        <v>691</v>
      </c>
      <c r="E130" s="26" t="s">
        <v>109</v>
      </c>
      <c r="F130" s="26" t="s">
        <v>119</v>
      </c>
      <c r="G130" s="28">
        <v>5.0</v>
      </c>
      <c r="H130" s="26" t="s">
        <v>127</v>
      </c>
      <c r="I130" s="28">
        <v>20700.0</v>
      </c>
      <c r="J130" s="28">
        <v>8700.0</v>
      </c>
      <c r="K130" s="28">
        <v>16150.0</v>
      </c>
      <c r="L130" s="28">
        <v>6600.0</v>
      </c>
      <c r="M130" s="28">
        <v>4150.0</v>
      </c>
      <c r="N130" s="28">
        <v>30000.0</v>
      </c>
      <c r="O130" s="28">
        <v>13450.0</v>
      </c>
      <c r="P130" s="28">
        <v>45550.0</v>
      </c>
      <c r="Q130" s="28">
        <v>7250.0</v>
      </c>
      <c r="R130" s="28">
        <v>6200.0</v>
      </c>
      <c r="S130" s="28">
        <v>3750.0</v>
      </c>
      <c r="T130" s="28">
        <v>2400.0</v>
      </c>
      <c r="U130" s="28">
        <v>0.3</v>
      </c>
      <c r="V130" s="28">
        <v>1.0</v>
      </c>
      <c r="W130" s="26" t="s">
        <v>218</v>
      </c>
      <c r="X130" s="26" t="s">
        <v>715</v>
      </c>
      <c r="Y130" s="29" t="s">
        <v>716</v>
      </c>
      <c r="Z130" s="29" t="s">
        <v>717</v>
      </c>
      <c r="AA130" s="29" t="s">
        <v>718</v>
      </c>
      <c r="AB130" s="29" t="s">
        <v>719</v>
      </c>
      <c r="AD130" s="29" t="s">
        <v>720</v>
      </c>
    </row>
    <row r="131">
      <c r="A131" s="28">
        <v>127.0</v>
      </c>
      <c r="B131" s="26" t="s">
        <v>721</v>
      </c>
      <c r="C131" s="26" t="s">
        <v>126</v>
      </c>
      <c r="D131" s="26" t="s">
        <v>722</v>
      </c>
      <c r="E131" s="26" t="s">
        <v>109</v>
      </c>
      <c r="F131" s="26" t="s">
        <v>271</v>
      </c>
      <c r="G131" s="28">
        <v>3.0</v>
      </c>
      <c r="H131" s="26" t="s">
        <v>120</v>
      </c>
      <c r="I131" s="28">
        <v>20700.0</v>
      </c>
      <c r="J131" s="28">
        <v>8700.0</v>
      </c>
      <c r="K131" s="28">
        <v>16150.0</v>
      </c>
      <c r="L131" s="28">
        <v>6600.0</v>
      </c>
      <c r="M131" s="28">
        <v>4150.0</v>
      </c>
      <c r="N131" s="28">
        <v>30000.0</v>
      </c>
      <c r="O131" s="28">
        <v>13450.0</v>
      </c>
      <c r="P131" s="28">
        <v>45550.0</v>
      </c>
      <c r="Q131" s="28">
        <v>7250.0</v>
      </c>
      <c r="R131" s="28">
        <v>6200.0</v>
      </c>
      <c r="S131" s="28">
        <v>3750.0</v>
      </c>
      <c r="T131" s="28">
        <v>2400.0</v>
      </c>
      <c r="U131" s="28">
        <v>0.75</v>
      </c>
      <c r="V131" s="28">
        <v>1.0</v>
      </c>
      <c r="W131" s="26" t="s">
        <v>150</v>
      </c>
      <c r="X131" s="26" t="s">
        <v>723</v>
      </c>
      <c r="Y131" s="29" t="s">
        <v>724</v>
      </c>
      <c r="Z131" s="29" t="s">
        <v>725</v>
      </c>
      <c r="AA131" s="29" t="s">
        <v>726</v>
      </c>
    </row>
    <row r="132">
      <c r="A132" s="28">
        <v>128.0</v>
      </c>
      <c r="B132" s="26" t="s">
        <v>727</v>
      </c>
      <c r="C132" s="26" t="s">
        <v>134</v>
      </c>
      <c r="D132" s="26" t="s">
        <v>722</v>
      </c>
      <c r="E132" s="26" t="s">
        <v>109</v>
      </c>
      <c r="F132" s="26" t="s">
        <v>728</v>
      </c>
      <c r="G132" s="28">
        <v>1.0</v>
      </c>
      <c r="H132" s="26" t="s">
        <v>111</v>
      </c>
      <c r="I132" s="28">
        <v>11000.0</v>
      </c>
      <c r="J132" s="28">
        <v>4600.0</v>
      </c>
      <c r="K132" s="28">
        <v>8600.0</v>
      </c>
      <c r="L132" s="28">
        <v>3500.0</v>
      </c>
      <c r="M132" s="28">
        <v>2200.0</v>
      </c>
      <c r="N132" s="28">
        <v>15950.0</v>
      </c>
      <c r="O132" s="28">
        <v>7150.0</v>
      </c>
      <c r="P132" s="28">
        <v>24200.0</v>
      </c>
      <c r="Q132" s="28">
        <v>3850.0</v>
      </c>
      <c r="R132" s="28">
        <v>3300.0</v>
      </c>
      <c r="S132" s="28">
        <v>2000.0</v>
      </c>
      <c r="T132" s="26" t="s">
        <v>112</v>
      </c>
      <c r="U132" s="28">
        <v>0.75</v>
      </c>
      <c r="V132" s="28">
        <v>1.0</v>
      </c>
      <c r="W132" s="26" t="s">
        <v>113</v>
      </c>
      <c r="X132" s="26" t="s">
        <v>729</v>
      </c>
      <c r="Y132" s="29" t="s">
        <v>730</v>
      </c>
    </row>
    <row r="133">
      <c r="A133" s="28">
        <v>129.0</v>
      </c>
      <c r="B133" s="26" t="s">
        <v>731</v>
      </c>
      <c r="C133" s="26" t="s">
        <v>107</v>
      </c>
      <c r="D133" s="26" t="s">
        <v>722</v>
      </c>
      <c r="E133" s="26" t="s">
        <v>109</v>
      </c>
      <c r="F133" s="26" t="s">
        <v>271</v>
      </c>
      <c r="G133" s="28">
        <v>0.0</v>
      </c>
      <c r="H133" s="26" t="s">
        <v>127</v>
      </c>
      <c r="I133" s="26" t="s">
        <v>112</v>
      </c>
      <c r="J133" s="26" t="s">
        <v>112</v>
      </c>
      <c r="K133" s="26" t="s">
        <v>112</v>
      </c>
      <c r="L133" s="26" t="s">
        <v>112</v>
      </c>
      <c r="M133" s="26" t="s">
        <v>112</v>
      </c>
      <c r="N133" s="26" t="s">
        <v>112</v>
      </c>
      <c r="O133" s="26" t="s">
        <v>112</v>
      </c>
      <c r="P133" s="28">
        <v>30000.0</v>
      </c>
      <c r="Q133" s="26" t="s">
        <v>112</v>
      </c>
      <c r="R133" s="26" t="s">
        <v>112</v>
      </c>
      <c r="S133" s="26" t="s">
        <v>112</v>
      </c>
      <c r="T133" s="26" t="s">
        <v>112</v>
      </c>
      <c r="U133" s="28">
        <v>0.5</v>
      </c>
      <c r="V133" s="28">
        <v>1.0</v>
      </c>
      <c r="W133" s="26" t="s">
        <v>242</v>
      </c>
      <c r="X133" s="26" t="s">
        <v>732</v>
      </c>
    </row>
    <row r="134">
      <c r="A134" s="28">
        <v>130.0</v>
      </c>
      <c r="B134" s="26" t="s">
        <v>733</v>
      </c>
      <c r="C134" s="26" t="s">
        <v>371</v>
      </c>
      <c r="D134" s="26" t="s">
        <v>722</v>
      </c>
      <c r="E134" s="26" t="s">
        <v>109</v>
      </c>
      <c r="F134" s="26" t="s">
        <v>734</v>
      </c>
      <c r="G134" s="28">
        <v>3.0</v>
      </c>
      <c r="H134" s="26" t="s">
        <v>120</v>
      </c>
      <c r="I134" s="26" t="s">
        <v>112</v>
      </c>
      <c r="J134" s="26" t="s">
        <v>112</v>
      </c>
      <c r="K134" s="26" t="s">
        <v>112</v>
      </c>
      <c r="L134" s="26" t="s">
        <v>112</v>
      </c>
      <c r="M134" s="26" t="s">
        <v>112</v>
      </c>
      <c r="N134" s="26" t="s">
        <v>112</v>
      </c>
      <c r="O134" s="26" t="s">
        <v>112</v>
      </c>
      <c r="P134" s="28">
        <v>15000.0</v>
      </c>
      <c r="Q134" s="26" t="s">
        <v>112</v>
      </c>
      <c r="R134" s="26" t="s">
        <v>112</v>
      </c>
      <c r="S134" s="26" t="s">
        <v>112</v>
      </c>
      <c r="T134" s="26" t="s">
        <v>112</v>
      </c>
      <c r="U134" s="28">
        <v>0.75</v>
      </c>
      <c r="V134" s="28">
        <v>1.0</v>
      </c>
      <c r="W134" s="26" t="s">
        <v>150</v>
      </c>
      <c r="X134" s="26" t="s">
        <v>735</v>
      </c>
      <c r="Y134" s="29" t="s">
        <v>736</v>
      </c>
      <c r="Z134" s="29" t="s">
        <v>737</v>
      </c>
      <c r="AA134" s="29" t="s">
        <v>738</v>
      </c>
    </row>
    <row r="135">
      <c r="A135" s="28">
        <v>131.0</v>
      </c>
      <c r="B135" s="26" t="s">
        <v>739</v>
      </c>
      <c r="C135" s="26" t="s">
        <v>126</v>
      </c>
      <c r="D135" s="26" t="s">
        <v>722</v>
      </c>
      <c r="E135" s="26" t="s">
        <v>109</v>
      </c>
      <c r="F135" s="26" t="s">
        <v>271</v>
      </c>
      <c r="G135" s="28">
        <v>3.0</v>
      </c>
      <c r="H135" s="26" t="s">
        <v>120</v>
      </c>
      <c r="I135" s="28">
        <v>11250.0</v>
      </c>
      <c r="J135" s="28">
        <v>4500.0</v>
      </c>
      <c r="K135" s="28">
        <v>8000.0</v>
      </c>
      <c r="L135" s="28">
        <v>3500.0</v>
      </c>
      <c r="M135" s="28">
        <v>2000.0</v>
      </c>
      <c r="N135" s="28">
        <v>13500.0</v>
      </c>
      <c r="O135" s="28">
        <v>6075.0</v>
      </c>
      <c r="P135" s="28">
        <v>15000.0</v>
      </c>
      <c r="Q135" s="28">
        <v>4638.0</v>
      </c>
      <c r="R135" s="28">
        <v>4063.0</v>
      </c>
      <c r="S135" s="28">
        <v>2438.0</v>
      </c>
      <c r="T135" s="28">
        <v>2400.0</v>
      </c>
      <c r="U135" s="28">
        <v>0.75</v>
      </c>
      <c r="V135" s="28">
        <v>1.0</v>
      </c>
      <c r="W135" s="26" t="s">
        <v>150</v>
      </c>
      <c r="X135" s="26" t="s">
        <v>740</v>
      </c>
      <c r="Y135" s="29" t="s">
        <v>741</v>
      </c>
      <c r="Z135" s="29" t="s">
        <v>742</v>
      </c>
      <c r="AA135" s="29" t="s">
        <v>743</v>
      </c>
    </row>
    <row r="136">
      <c r="A136" s="28">
        <v>132.0</v>
      </c>
      <c r="B136" s="26" t="s">
        <v>744</v>
      </c>
      <c r="C136" s="26" t="s">
        <v>126</v>
      </c>
      <c r="D136" s="26" t="s">
        <v>722</v>
      </c>
      <c r="E136" s="26" t="s">
        <v>109</v>
      </c>
      <c r="F136" s="26" t="s">
        <v>745</v>
      </c>
      <c r="G136" s="28">
        <v>1.0</v>
      </c>
      <c r="H136" s="26" t="s">
        <v>120</v>
      </c>
      <c r="I136" s="28">
        <v>20700.0</v>
      </c>
      <c r="J136" s="28">
        <v>8700.0</v>
      </c>
      <c r="K136" s="28">
        <v>16150.0</v>
      </c>
      <c r="L136" s="28">
        <v>6600.0</v>
      </c>
      <c r="M136" s="28">
        <v>4150.0</v>
      </c>
      <c r="N136" s="28">
        <v>30000.0</v>
      </c>
      <c r="O136" s="28">
        <v>13450.0</v>
      </c>
      <c r="P136" s="28">
        <v>45550.0</v>
      </c>
      <c r="Q136" s="28">
        <v>7250.0</v>
      </c>
      <c r="R136" s="28">
        <v>6200.0</v>
      </c>
      <c r="S136" s="28">
        <v>3750.0</v>
      </c>
      <c r="T136" s="28">
        <v>2400.0</v>
      </c>
      <c r="U136" s="28">
        <v>0.75</v>
      </c>
      <c r="V136" s="28">
        <v>1.0</v>
      </c>
      <c r="W136" s="26" t="s">
        <v>113</v>
      </c>
      <c r="X136" s="26" t="s">
        <v>746</v>
      </c>
      <c r="Y136" s="29" t="s">
        <v>747</v>
      </c>
    </row>
    <row r="137">
      <c r="A137" s="28">
        <v>133.0</v>
      </c>
      <c r="B137" s="26" t="s">
        <v>748</v>
      </c>
      <c r="C137" s="26" t="s">
        <v>117</v>
      </c>
      <c r="D137" s="26" t="s">
        <v>722</v>
      </c>
      <c r="E137" s="26" t="s">
        <v>109</v>
      </c>
      <c r="F137" s="26" t="s">
        <v>271</v>
      </c>
      <c r="G137" s="28">
        <v>1.0</v>
      </c>
      <c r="H137" s="26" t="s">
        <v>120</v>
      </c>
      <c r="I137" s="28">
        <v>11000.0</v>
      </c>
      <c r="J137" s="28">
        <v>4600.0</v>
      </c>
      <c r="K137" s="28">
        <v>8600.0</v>
      </c>
      <c r="L137" s="28">
        <v>3500.0</v>
      </c>
      <c r="M137" s="28">
        <v>2200.0</v>
      </c>
      <c r="N137" s="28">
        <v>15950.0</v>
      </c>
      <c r="O137" s="28">
        <v>7150.0</v>
      </c>
      <c r="P137" s="28">
        <v>24200.0</v>
      </c>
      <c r="Q137" s="28">
        <v>3850.0</v>
      </c>
      <c r="R137" s="28">
        <v>3300.0</v>
      </c>
      <c r="S137" s="28">
        <v>2000.0</v>
      </c>
      <c r="T137" s="26" t="s">
        <v>112</v>
      </c>
      <c r="U137" s="28">
        <v>0.75</v>
      </c>
      <c r="V137" s="28">
        <v>1.0</v>
      </c>
      <c r="W137" s="26" t="s">
        <v>113</v>
      </c>
      <c r="X137" s="26" t="s">
        <v>749</v>
      </c>
      <c r="Y137" s="29" t="s">
        <v>750</v>
      </c>
    </row>
    <row r="138">
      <c r="A138" s="28">
        <v>134.0</v>
      </c>
      <c r="B138" s="26" t="s">
        <v>751</v>
      </c>
      <c r="C138" s="26" t="s">
        <v>126</v>
      </c>
      <c r="D138" s="26" t="s">
        <v>722</v>
      </c>
      <c r="E138" s="26" t="s">
        <v>109</v>
      </c>
      <c r="F138" s="26" t="s">
        <v>361</v>
      </c>
      <c r="G138" s="28">
        <v>4.0</v>
      </c>
      <c r="H138" s="26" t="s">
        <v>127</v>
      </c>
      <c r="I138" s="28">
        <v>15000.0</v>
      </c>
      <c r="J138" s="28">
        <v>6750.0</v>
      </c>
      <c r="K138" s="28">
        <v>11000.0</v>
      </c>
      <c r="L138" s="28">
        <v>5000.0</v>
      </c>
      <c r="M138" s="28">
        <v>3200.0</v>
      </c>
      <c r="N138" s="28">
        <v>19500.0</v>
      </c>
      <c r="O138" s="28">
        <v>8775.0</v>
      </c>
      <c r="P138" s="28">
        <v>30000.0</v>
      </c>
      <c r="Q138" s="28">
        <v>6800.0</v>
      </c>
      <c r="R138" s="28">
        <v>5950.0</v>
      </c>
      <c r="S138" s="28">
        <v>3570.0</v>
      </c>
      <c r="T138" s="28">
        <v>2400.0</v>
      </c>
      <c r="U138" s="28">
        <v>0.75</v>
      </c>
      <c r="V138" s="28">
        <v>1.0</v>
      </c>
      <c r="W138" s="26" t="s">
        <v>136</v>
      </c>
      <c r="X138" s="26" t="s">
        <v>752</v>
      </c>
      <c r="Y138" s="29" t="s">
        <v>753</v>
      </c>
      <c r="Z138" s="29" t="s">
        <v>754</v>
      </c>
      <c r="AA138" s="29" t="s">
        <v>755</v>
      </c>
      <c r="AB138" s="29" t="s">
        <v>756</v>
      </c>
    </row>
    <row r="139">
      <c r="A139" s="28">
        <v>135.0</v>
      </c>
      <c r="B139" s="26" t="s">
        <v>731</v>
      </c>
      <c r="C139" s="26" t="s">
        <v>107</v>
      </c>
      <c r="D139" s="26" t="s">
        <v>722</v>
      </c>
      <c r="E139" s="26" t="s">
        <v>109</v>
      </c>
      <c r="F139" s="26" t="s">
        <v>271</v>
      </c>
      <c r="G139" s="28">
        <v>0.0</v>
      </c>
      <c r="H139" s="26" t="s">
        <v>111</v>
      </c>
      <c r="I139" s="28">
        <v>20700.0</v>
      </c>
      <c r="J139" s="28">
        <v>8700.0</v>
      </c>
      <c r="K139" s="28">
        <v>16150.0</v>
      </c>
      <c r="L139" s="28">
        <v>6600.0</v>
      </c>
      <c r="M139" s="28">
        <v>4150.0</v>
      </c>
      <c r="N139" s="28">
        <v>30000.0</v>
      </c>
      <c r="O139" s="28">
        <v>13450.0</v>
      </c>
      <c r="P139" s="28">
        <v>45550.0</v>
      </c>
      <c r="Q139" s="28">
        <v>7250.0</v>
      </c>
      <c r="R139" s="28">
        <v>6200.0</v>
      </c>
      <c r="S139" s="28">
        <v>3750.0</v>
      </c>
      <c r="T139" s="26" t="s">
        <v>112</v>
      </c>
      <c r="U139" s="28">
        <v>0.5</v>
      </c>
      <c r="V139" s="28">
        <v>1.0</v>
      </c>
      <c r="W139" s="26" t="s">
        <v>242</v>
      </c>
      <c r="X139" s="26" t="s">
        <v>732</v>
      </c>
    </row>
    <row r="140">
      <c r="A140" s="28">
        <v>136.0</v>
      </c>
      <c r="B140" s="26" t="s">
        <v>757</v>
      </c>
      <c r="C140" s="26" t="s">
        <v>107</v>
      </c>
      <c r="D140" s="26" t="s">
        <v>758</v>
      </c>
      <c r="E140" s="26" t="s">
        <v>109</v>
      </c>
      <c r="F140" s="26" t="s">
        <v>157</v>
      </c>
      <c r="G140" s="28">
        <v>1.0</v>
      </c>
      <c r="H140" s="26" t="s">
        <v>111</v>
      </c>
      <c r="I140" s="26" t="s">
        <v>112</v>
      </c>
      <c r="J140" s="26" t="s">
        <v>112</v>
      </c>
      <c r="K140" s="26" t="s">
        <v>112</v>
      </c>
      <c r="L140" s="26" t="s">
        <v>112</v>
      </c>
      <c r="M140" s="26" t="s">
        <v>112</v>
      </c>
      <c r="N140" s="26" t="s">
        <v>112</v>
      </c>
      <c r="O140" s="26" t="s">
        <v>112</v>
      </c>
      <c r="P140" s="28">
        <v>7500.0</v>
      </c>
      <c r="Q140" s="26" t="s">
        <v>112</v>
      </c>
      <c r="R140" s="26" t="s">
        <v>112</v>
      </c>
      <c r="S140" s="26" t="s">
        <v>112</v>
      </c>
      <c r="T140" s="26" t="s">
        <v>112</v>
      </c>
      <c r="U140" s="28">
        <v>0.3</v>
      </c>
      <c r="V140" s="28">
        <v>1.0</v>
      </c>
      <c r="W140" s="26" t="s">
        <v>113</v>
      </c>
      <c r="X140" s="26" t="s">
        <v>759</v>
      </c>
      <c r="Y140" s="29" t="s">
        <v>760</v>
      </c>
    </row>
    <row r="141">
      <c r="A141" s="28">
        <v>137.0</v>
      </c>
      <c r="B141" s="26" t="s">
        <v>761</v>
      </c>
      <c r="C141" s="26" t="s">
        <v>117</v>
      </c>
      <c r="D141" s="26" t="s">
        <v>758</v>
      </c>
      <c r="E141" s="26" t="s">
        <v>109</v>
      </c>
      <c r="F141" s="26" t="s">
        <v>157</v>
      </c>
      <c r="G141" s="28">
        <v>1.0</v>
      </c>
      <c r="H141" s="26" t="s">
        <v>120</v>
      </c>
      <c r="I141" s="26" t="s">
        <v>112</v>
      </c>
      <c r="J141" s="26" t="s">
        <v>112</v>
      </c>
      <c r="K141" s="26" t="s">
        <v>112</v>
      </c>
      <c r="L141" s="26" t="s">
        <v>112</v>
      </c>
      <c r="M141" s="26" t="s">
        <v>112</v>
      </c>
      <c r="N141" s="26" t="s">
        <v>112</v>
      </c>
      <c r="O141" s="26" t="s">
        <v>112</v>
      </c>
      <c r="P141" s="28">
        <v>15000.0</v>
      </c>
      <c r="Q141" s="26" t="s">
        <v>112</v>
      </c>
      <c r="R141" s="26" t="s">
        <v>112</v>
      </c>
      <c r="S141" s="26" t="s">
        <v>112</v>
      </c>
      <c r="T141" s="26" t="s">
        <v>112</v>
      </c>
      <c r="U141" s="28">
        <v>0.3</v>
      </c>
      <c r="V141" s="28">
        <v>1.0</v>
      </c>
      <c r="W141" s="26" t="s">
        <v>113</v>
      </c>
      <c r="X141" s="26" t="s">
        <v>762</v>
      </c>
      <c r="Y141" s="29" t="s">
        <v>763</v>
      </c>
      <c r="Z141" s="26" t="s">
        <v>764</v>
      </c>
    </row>
    <row r="142">
      <c r="A142" s="28">
        <v>138.0</v>
      </c>
      <c r="B142" s="26" t="s">
        <v>765</v>
      </c>
      <c r="C142" s="26" t="s">
        <v>126</v>
      </c>
      <c r="D142" s="26" t="s">
        <v>758</v>
      </c>
      <c r="E142" s="26" t="s">
        <v>109</v>
      </c>
      <c r="F142" s="26" t="s">
        <v>766</v>
      </c>
      <c r="G142" s="28">
        <v>2.0</v>
      </c>
      <c r="H142" s="26" t="s">
        <v>120</v>
      </c>
      <c r="I142" s="28">
        <v>11250.0</v>
      </c>
      <c r="J142" s="28">
        <v>4500.0</v>
      </c>
      <c r="K142" s="28">
        <v>8000.0</v>
      </c>
      <c r="L142" s="28">
        <v>3500.0</v>
      </c>
      <c r="M142" s="28">
        <v>2000.0</v>
      </c>
      <c r="N142" s="28">
        <v>13500.0</v>
      </c>
      <c r="O142" s="28">
        <v>6075.0</v>
      </c>
      <c r="P142" s="28">
        <v>15000.0</v>
      </c>
      <c r="Q142" s="28">
        <v>4638.0</v>
      </c>
      <c r="R142" s="28">
        <v>4063.0</v>
      </c>
      <c r="S142" s="28">
        <v>2438.0</v>
      </c>
      <c r="T142" s="28">
        <v>2400.0</v>
      </c>
      <c r="U142" s="28">
        <v>0.3</v>
      </c>
      <c r="V142" s="28">
        <v>1.0</v>
      </c>
      <c r="W142" s="26" t="s">
        <v>121</v>
      </c>
      <c r="X142" s="26" t="s">
        <v>767</v>
      </c>
      <c r="Y142" s="29" t="s">
        <v>768</v>
      </c>
      <c r="AA142" s="29" t="s">
        <v>769</v>
      </c>
    </row>
    <row r="143">
      <c r="A143" s="28">
        <v>139.0</v>
      </c>
      <c r="B143" s="26" t="s">
        <v>770</v>
      </c>
      <c r="C143" s="26" t="s">
        <v>126</v>
      </c>
      <c r="D143" s="26" t="s">
        <v>758</v>
      </c>
      <c r="E143" s="26" t="s">
        <v>109</v>
      </c>
      <c r="F143" s="26" t="s">
        <v>157</v>
      </c>
      <c r="G143" s="28">
        <v>2.0</v>
      </c>
      <c r="H143" s="26" t="s">
        <v>120</v>
      </c>
      <c r="I143" s="28">
        <v>11000.0</v>
      </c>
      <c r="J143" s="28">
        <v>4600.0</v>
      </c>
      <c r="K143" s="28">
        <v>8600.0</v>
      </c>
      <c r="L143" s="28">
        <v>3500.0</v>
      </c>
      <c r="M143" s="28">
        <v>2200.0</v>
      </c>
      <c r="N143" s="28">
        <v>15950.0</v>
      </c>
      <c r="O143" s="28">
        <v>7150.0</v>
      </c>
      <c r="P143" s="28">
        <v>24200.0</v>
      </c>
      <c r="Q143" s="28">
        <v>3850.0</v>
      </c>
      <c r="R143" s="28">
        <v>3300.0</v>
      </c>
      <c r="S143" s="28">
        <v>2000.0</v>
      </c>
      <c r="T143" s="28">
        <v>2400.0</v>
      </c>
      <c r="U143" s="28">
        <v>0.3</v>
      </c>
      <c r="V143" s="28">
        <v>1.0</v>
      </c>
      <c r="W143" s="26" t="s">
        <v>121</v>
      </c>
      <c r="X143" s="26" t="s">
        <v>771</v>
      </c>
      <c r="Y143" s="29" t="s">
        <v>772</v>
      </c>
      <c r="Z143" s="26" t="s">
        <v>773</v>
      </c>
      <c r="AA143" s="29" t="s">
        <v>774</v>
      </c>
    </row>
    <row r="144">
      <c r="A144" s="28">
        <v>140.0</v>
      </c>
      <c r="B144" s="26" t="s">
        <v>775</v>
      </c>
      <c r="C144" s="26" t="s">
        <v>126</v>
      </c>
      <c r="D144" s="26" t="s">
        <v>758</v>
      </c>
      <c r="E144" s="26" t="s">
        <v>109</v>
      </c>
      <c r="F144" s="26" t="s">
        <v>157</v>
      </c>
      <c r="G144" s="28">
        <v>2.0</v>
      </c>
      <c r="H144" s="26" t="s">
        <v>120</v>
      </c>
      <c r="I144" s="28">
        <v>12100.0</v>
      </c>
      <c r="J144" s="28">
        <v>5100.0</v>
      </c>
      <c r="K144" s="28">
        <v>9450.0</v>
      </c>
      <c r="L144" s="28">
        <v>3850.0</v>
      </c>
      <c r="M144" s="28">
        <v>2400.0</v>
      </c>
      <c r="N144" s="28">
        <v>17550.0</v>
      </c>
      <c r="O144" s="28">
        <v>7850.0</v>
      </c>
      <c r="P144" s="28">
        <v>26600.0</v>
      </c>
      <c r="Q144" s="28">
        <v>4250.0</v>
      </c>
      <c r="R144" s="28">
        <v>3650.0</v>
      </c>
      <c r="S144" s="28">
        <v>2200.0</v>
      </c>
      <c r="T144" s="28">
        <v>2400.0</v>
      </c>
      <c r="U144" s="28">
        <v>0.3</v>
      </c>
      <c r="V144" s="28">
        <v>1.0</v>
      </c>
      <c r="W144" s="26" t="s">
        <v>121</v>
      </c>
      <c r="X144" s="26" t="s">
        <v>776</v>
      </c>
      <c r="Y144" s="29" t="s">
        <v>777</v>
      </c>
      <c r="AA144" s="29" t="s">
        <v>778</v>
      </c>
    </row>
    <row r="145">
      <c r="A145" s="28">
        <v>141.0</v>
      </c>
      <c r="B145" s="26" t="s">
        <v>779</v>
      </c>
      <c r="C145" s="26" t="s">
        <v>126</v>
      </c>
      <c r="D145" s="26" t="s">
        <v>780</v>
      </c>
      <c r="E145" s="26" t="s">
        <v>780</v>
      </c>
      <c r="F145" s="26" t="s">
        <v>781</v>
      </c>
      <c r="G145" s="28">
        <v>2.0</v>
      </c>
      <c r="H145" s="26" t="s">
        <v>120</v>
      </c>
      <c r="I145" s="28">
        <v>12100.0</v>
      </c>
      <c r="J145" s="28">
        <v>5100.0</v>
      </c>
      <c r="K145" s="28">
        <v>9450.0</v>
      </c>
      <c r="L145" s="28">
        <v>3850.0</v>
      </c>
      <c r="M145" s="28">
        <v>2400.0</v>
      </c>
      <c r="N145" s="28">
        <v>17550.0</v>
      </c>
      <c r="O145" s="28">
        <v>7850.0</v>
      </c>
      <c r="P145" s="28">
        <v>26600.0</v>
      </c>
      <c r="Q145" s="28">
        <v>4250.0</v>
      </c>
      <c r="R145" s="28">
        <v>3650.0</v>
      </c>
      <c r="S145" s="28">
        <v>2200.0</v>
      </c>
      <c r="T145" s="28">
        <v>2400.0</v>
      </c>
      <c r="U145" s="28">
        <v>0.3</v>
      </c>
      <c r="V145" s="28">
        <v>1.0</v>
      </c>
      <c r="W145" s="26" t="s">
        <v>121</v>
      </c>
      <c r="X145" s="26" t="s">
        <v>782</v>
      </c>
      <c r="Y145" s="29" t="s">
        <v>783</v>
      </c>
      <c r="Z145" s="29" t="s">
        <v>784</v>
      </c>
    </row>
    <row r="146">
      <c r="A146" s="28">
        <v>142.0</v>
      </c>
      <c r="B146" s="26" t="s">
        <v>785</v>
      </c>
      <c r="C146" s="26" t="s">
        <v>126</v>
      </c>
      <c r="D146" s="26" t="s">
        <v>780</v>
      </c>
      <c r="E146" s="26" t="s">
        <v>780</v>
      </c>
      <c r="F146" s="26" t="s">
        <v>781</v>
      </c>
      <c r="G146" s="28">
        <v>1.0</v>
      </c>
      <c r="H146" s="26" t="s">
        <v>111</v>
      </c>
      <c r="I146" s="28">
        <v>11000.0</v>
      </c>
      <c r="J146" s="28">
        <v>4600.0</v>
      </c>
      <c r="K146" s="28">
        <v>8600.0</v>
      </c>
      <c r="L146" s="28">
        <v>3500.0</v>
      </c>
      <c r="M146" s="28">
        <v>2200.0</v>
      </c>
      <c r="N146" s="28">
        <v>15950.0</v>
      </c>
      <c r="O146" s="28">
        <v>7150.0</v>
      </c>
      <c r="P146" s="28">
        <v>24200.0</v>
      </c>
      <c r="Q146" s="28">
        <v>3850.0</v>
      </c>
      <c r="R146" s="28">
        <v>3300.0</v>
      </c>
      <c r="S146" s="28">
        <v>2000.0</v>
      </c>
      <c r="T146" s="28">
        <v>2400.0</v>
      </c>
      <c r="U146" s="28">
        <v>0.3</v>
      </c>
      <c r="V146" s="28">
        <v>1.0</v>
      </c>
      <c r="W146" s="26" t="s">
        <v>113</v>
      </c>
      <c r="X146" s="26" t="s">
        <v>786</v>
      </c>
      <c r="Z146" s="29" t="s">
        <v>787</v>
      </c>
    </row>
    <row r="147">
      <c r="A147" s="28">
        <v>143.0</v>
      </c>
      <c r="B147" s="26" t="s">
        <v>788</v>
      </c>
      <c r="C147" s="26" t="s">
        <v>126</v>
      </c>
      <c r="D147" s="26" t="s">
        <v>780</v>
      </c>
      <c r="E147" s="26" t="s">
        <v>780</v>
      </c>
      <c r="F147" s="26" t="s">
        <v>781</v>
      </c>
      <c r="G147" s="28">
        <v>3.0</v>
      </c>
      <c r="H147" s="26" t="s">
        <v>120</v>
      </c>
      <c r="I147" s="28">
        <v>5200.0</v>
      </c>
      <c r="J147" s="28">
        <v>2200.0</v>
      </c>
      <c r="K147" s="28">
        <v>4050.0</v>
      </c>
      <c r="L147" s="28">
        <v>1650.0</v>
      </c>
      <c r="M147" s="28">
        <v>1050.0</v>
      </c>
      <c r="N147" s="28">
        <v>7550.0</v>
      </c>
      <c r="O147" s="28">
        <v>3400.0</v>
      </c>
      <c r="P147" s="28">
        <v>11450.0</v>
      </c>
      <c r="Q147" s="28">
        <v>1800.0</v>
      </c>
      <c r="R147" s="28">
        <v>1550.0</v>
      </c>
      <c r="S147" s="28">
        <v>950.0</v>
      </c>
      <c r="T147" s="28">
        <v>2400.0</v>
      </c>
      <c r="U147" s="28">
        <v>0.3</v>
      </c>
      <c r="V147" s="28">
        <v>1.0</v>
      </c>
      <c r="W147" s="26" t="s">
        <v>150</v>
      </c>
      <c r="X147" s="26" t="s">
        <v>789</v>
      </c>
      <c r="Y147" s="29" t="s">
        <v>790</v>
      </c>
      <c r="Z147" s="29" t="s">
        <v>791</v>
      </c>
      <c r="AA147" s="29" t="s">
        <v>792</v>
      </c>
    </row>
    <row r="148">
      <c r="A148" s="28">
        <v>144.0</v>
      </c>
      <c r="B148" s="26" t="s">
        <v>793</v>
      </c>
      <c r="C148" s="26" t="s">
        <v>126</v>
      </c>
      <c r="D148" s="26" t="s">
        <v>446</v>
      </c>
      <c r="E148" s="26" t="s">
        <v>446</v>
      </c>
      <c r="F148" s="26" t="s">
        <v>794</v>
      </c>
      <c r="G148" s="28">
        <v>1.0</v>
      </c>
      <c r="H148" s="26" t="s">
        <v>111</v>
      </c>
      <c r="I148" s="28">
        <v>11000.0</v>
      </c>
      <c r="J148" s="28">
        <v>4600.0</v>
      </c>
      <c r="K148" s="28">
        <v>8600.0</v>
      </c>
      <c r="L148" s="28">
        <v>3500.0</v>
      </c>
      <c r="M148" s="28">
        <v>2200.0</v>
      </c>
      <c r="N148" s="28">
        <v>15950.0</v>
      </c>
      <c r="O148" s="28">
        <v>7150.0</v>
      </c>
      <c r="P148" s="28">
        <v>24200.0</v>
      </c>
      <c r="Q148" s="28">
        <v>3850.0</v>
      </c>
      <c r="R148" s="28">
        <v>3300.0</v>
      </c>
      <c r="S148" s="28">
        <v>2000.0</v>
      </c>
      <c r="T148" s="28">
        <v>2400.0</v>
      </c>
      <c r="U148" s="28">
        <v>0.75</v>
      </c>
      <c r="V148" s="28">
        <v>1.0</v>
      </c>
      <c r="W148" s="26" t="s">
        <v>113</v>
      </c>
      <c r="X148" s="26" t="s">
        <v>795</v>
      </c>
      <c r="Y148" s="29" t="s">
        <v>796</v>
      </c>
    </row>
    <row r="149">
      <c r="A149" s="28">
        <v>145.0</v>
      </c>
      <c r="B149" s="26" t="s">
        <v>797</v>
      </c>
      <c r="C149" s="26" t="s">
        <v>126</v>
      </c>
      <c r="D149" s="26" t="s">
        <v>446</v>
      </c>
      <c r="E149" s="26" t="s">
        <v>446</v>
      </c>
      <c r="F149" s="26" t="s">
        <v>271</v>
      </c>
      <c r="G149" s="28">
        <v>2.0</v>
      </c>
      <c r="H149" s="26" t="s">
        <v>120</v>
      </c>
      <c r="I149" s="28">
        <v>5200.0</v>
      </c>
      <c r="J149" s="28">
        <v>2200.0</v>
      </c>
      <c r="K149" s="28">
        <v>4050.0</v>
      </c>
      <c r="L149" s="28">
        <v>1650.0</v>
      </c>
      <c r="M149" s="28">
        <v>1050.0</v>
      </c>
      <c r="N149" s="28">
        <v>7550.0</v>
      </c>
      <c r="O149" s="28">
        <v>3400.0</v>
      </c>
      <c r="P149" s="28">
        <v>11450.0</v>
      </c>
      <c r="Q149" s="28">
        <v>1800.0</v>
      </c>
      <c r="R149" s="28">
        <v>1550.0</v>
      </c>
      <c r="S149" s="28">
        <v>950.0</v>
      </c>
      <c r="T149" s="28">
        <v>2400.0</v>
      </c>
      <c r="U149" s="28">
        <v>0.5</v>
      </c>
      <c r="V149" s="28">
        <v>1.0</v>
      </c>
      <c r="W149" s="26" t="s">
        <v>121</v>
      </c>
      <c r="X149" s="26" t="s">
        <v>798</v>
      </c>
      <c r="Y149" s="29" t="s">
        <v>799</v>
      </c>
      <c r="AA149" s="29" t="s">
        <v>800</v>
      </c>
    </row>
    <row r="150">
      <c r="A150" s="28">
        <v>146.0</v>
      </c>
      <c r="B150" s="26" t="s">
        <v>801</v>
      </c>
      <c r="C150" s="26" t="s">
        <v>126</v>
      </c>
      <c r="D150" s="26" t="s">
        <v>446</v>
      </c>
      <c r="E150" s="26" t="s">
        <v>446</v>
      </c>
      <c r="F150" s="26" t="s">
        <v>781</v>
      </c>
      <c r="G150" s="28">
        <v>3.0</v>
      </c>
      <c r="H150" s="26" t="s">
        <v>120</v>
      </c>
      <c r="I150" s="28">
        <v>11000.0</v>
      </c>
      <c r="J150" s="28">
        <v>4600.0</v>
      </c>
      <c r="K150" s="28">
        <v>8600.0</v>
      </c>
      <c r="L150" s="28">
        <v>3500.0</v>
      </c>
      <c r="M150" s="28">
        <v>2200.0</v>
      </c>
      <c r="N150" s="28">
        <v>15950.0</v>
      </c>
      <c r="O150" s="28">
        <v>7150.0</v>
      </c>
      <c r="P150" s="28">
        <v>24200.0</v>
      </c>
      <c r="Q150" s="28">
        <v>3850.0</v>
      </c>
      <c r="R150" s="28">
        <v>3300.0</v>
      </c>
      <c r="S150" s="28">
        <v>2000.0</v>
      </c>
      <c r="T150" s="28">
        <v>2400.0</v>
      </c>
      <c r="U150" s="28">
        <v>0.75</v>
      </c>
      <c r="V150" s="28">
        <v>1.0</v>
      </c>
      <c r="W150" s="26" t="s">
        <v>150</v>
      </c>
      <c r="X150" s="26" t="s">
        <v>802</v>
      </c>
      <c r="Y150" s="29" t="s">
        <v>803</v>
      </c>
      <c r="AA150" s="29" t="s">
        <v>804</v>
      </c>
      <c r="AB150" s="29" t="s">
        <v>805</v>
      </c>
    </row>
    <row r="151">
      <c r="A151" s="28">
        <v>147.0</v>
      </c>
      <c r="B151" s="26" t="s">
        <v>445</v>
      </c>
      <c r="C151" s="26" t="s">
        <v>126</v>
      </c>
      <c r="D151" s="26" t="s">
        <v>446</v>
      </c>
      <c r="E151" s="26" t="s">
        <v>446</v>
      </c>
      <c r="F151" s="26" t="s">
        <v>447</v>
      </c>
      <c r="G151" s="28">
        <v>1.0</v>
      </c>
      <c r="H151" s="26" t="s">
        <v>111</v>
      </c>
      <c r="I151" s="28">
        <v>11000.0</v>
      </c>
      <c r="J151" s="28">
        <v>4600.0</v>
      </c>
      <c r="K151" s="28">
        <v>8600.0</v>
      </c>
      <c r="L151" s="28">
        <v>3500.0</v>
      </c>
      <c r="M151" s="28">
        <v>2200.0</v>
      </c>
      <c r="N151" s="28">
        <v>15950.0</v>
      </c>
      <c r="O151" s="28">
        <v>7150.0</v>
      </c>
      <c r="P151" s="28">
        <v>24200.0</v>
      </c>
      <c r="Q151" s="28">
        <v>3850.0</v>
      </c>
      <c r="R151" s="28">
        <v>3300.0</v>
      </c>
      <c r="S151" s="28">
        <v>2000.0</v>
      </c>
      <c r="T151" s="28">
        <v>2400.0</v>
      </c>
      <c r="U151" s="28">
        <v>0.1</v>
      </c>
      <c r="V151" s="28">
        <v>1.0</v>
      </c>
      <c r="W151" s="26" t="s">
        <v>113</v>
      </c>
      <c r="X151" s="26" t="s">
        <v>448</v>
      </c>
      <c r="Y151" s="29" t="s">
        <v>449</v>
      </c>
    </row>
    <row r="152">
      <c r="A152" s="28">
        <v>148.0</v>
      </c>
      <c r="B152" s="26" t="s">
        <v>413</v>
      </c>
      <c r="C152" s="26" t="s">
        <v>107</v>
      </c>
      <c r="D152" s="26" t="s">
        <v>414</v>
      </c>
      <c r="E152" s="26" t="s">
        <v>414</v>
      </c>
      <c r="F152" s="26" t="s">
        <v>415</v>
      </c>
      <c r="G152" s="28">
        <v>1.0</v>
      </c>
      <c r="H152" s="26" t="s">
        <v>111</v>
      </c>
      <c r="I152" s="28">
        <v>5200.0</v>
      </c>
      <c r="J152" s="28">
        <v>2200.0</v>
      </c>
      <c r="K152" s="28">
        <v>4050.0</v>
      </c>
      <c r="L152" s="28">
        <v>1650.0</v>
      </c>
      <c r="M152" s="28">
        <v>1050.0</v>
      </c>
      <c r="N152" s="28">
        <v>7550.0</v>
      </c>
      <c r="O152" s="28">
        <v>3400.0</v>
      </c>
      <c r="P152" s="28">
        <v>11450.0</v>
      </c>
      <c r="Q152" s="28">
        <v>1800.0</v>
      </c>
      <c r="R152" s="28">
        <v>1550.0</v>
      </c>
      <c r="S152" s="28">
        <v>950.0</v>
      </c>
      <c r="T152" s="26" t="s">
        <v>112</v>
      </c>
      <c r="U152" s="28">
        <v>0.25</v>
      </c>
      <c r="V152" s="28">
        <v>1.0</v>
      </c>
      <c r="W152" s="26" t="s">
        <v>113</v>
      </c>
      <c r="X152" s="26" t="s">
        <v>416</v>
      </c>
      <c r="Y152" s="29" t="s">
        <v>417</v>
      </c>
    </row>
    <row r="153">
      <c r="A153" s="28">
        <v>149.0</v>
      </c>
      <c r="B153" s="26" t="s">
        <v>806</v>
      </c>
      <c r="C153" s="26" t="s">
        <v>126</v>
      </c>
      <c r="D153" s="26" t="s">
        <v>414</v>
      </c>
      <c r="E153" s="26" t="s">
        <v>414</v>
      </c>
      <c r="F153" s="26" t="s">
        <v>157</v>
      </c>
      <c r="G153" s="28">
        <v>2.0</v>
      </c>
      <c r="H153" s="26" t="s">
        <v>120</v>
      </c>
      <c r="I153" s="28">
        <v>11250.0</v>
      </c>
      <c r="J153" s="28">
        <v>4500.0</v>
      </c>
      <c r="K153" s="28">
        <v>8000.0</v>
      </c>
      <c r="L153" s="28">
        <v>3500.0</v>
      </c>
      <c r="M153" s="28">
        <v>2000.0</v>
      </c>
      <c r="N153" s="28">
        <v>13500.0</v>
      </c>
      <c r="O153" s="28">
        <v>6075.0</v>
      </c>
      <c r="P153" s="28">
        <v>15000.0</v>
      </c>
      <c r="Q153" s="28">
        <v>4638.0</v>
      </c>
      <c r="R153" s="28">
        <v>4063.0</v>
      </c>
      <c r="S153" s="28">
        <v>2438.0</v>
      </c>
      <c r="T153" s="28">
        <v>2400.0</v>
      </c>
      <c r="U153" s="28">
        <v>0.3</v>
      </c>
      <c r="V153" s="28">
        <v>1.0</v>
      </c>
      <c r="W153" s="26" t="s">
        <v>121</v>
      </c>
      <c r="X153" s="26" t="s">
        <v>807</v>
      </c>
      <c r="Y153" s="29" t="s">
        <v>808</v>
      </c>
      <c r="AA153" s="29" t="s">
        <v>809</v>
      </c>
    </row>
    <row r="154">
      <c r="A154" s="28">
        <v>150.0</v>
      </c>
      <c r="B154" s="26" t="s">
        <v>810</v>
      </c>
      <c r="C154" s="26" t="s">
        <v>126</v>
      </c>
      <c r="D154" s="26" t="s">
        <v>414</v>
      </c>
      <c r="E154" s="26" t="s">
        <v>414</v>
      </c>
      <c r="F154" s="26" t="s">
        <v>811</v>
      </c>
      <c r="G154" s="28">
        <v>1.0</v>
      </c>
      <c r="H154" s="26" t="s">
        <v>111</v>
      </c>
      <c r="I154" s="28">
        <v>12100.0</v>
      </c>
      <c r="J154" s="28">
        <v>5100.0</v>
      </c>
      <c r="K154" s="28">
        <v>9450.0</v>
      </c>
      <c r="L154" s="28">
        <v>3850.0</v>
      </c>
      <c r="M154" s="28">
        <v>2400.0</v>
      </c>
      <c r="N154" s="28">
        <v>17550.0</v>
      </c>
      <c r="O154" s="28">
        <v>7850.0</v>
      </c>
      <c r="P154" s="28">
        <v>26600.0</v>
      </c>
      <c r="Q154" s="28">
        <v>4250.0</v>
      </c>
      <c r="R154" s="28">
        <v>3650.0</v>
      </c>
      <c r="S154" s="28">
        <v>2200.0</v>
      </c>
      <c r="T154" s="28">
        <v>2400.0</v>
      </c>
      <c r="U154" s="28">
        <v>0.5</v>
      </c>
      <c r="V154" s="28">
        <v>1.0</v>
      </c>
      <c r="W154" s="26" t="s">
        <v>113</v>
      </c>
      <c r="X154" s="26" t="s">
        <v>812</v>
      </c>
      <c r="Y154" s="29" t="s">
        <v>813</v>
      </c>
    </row>
    <row r="155">
      <c r="A155" s="28">
        <v>151.0</v>
      </c>
      <c r="B155" s="26" t="s">
        <v>814</v>
      </c>
      <c r="C155" s="26" t="s">
        <v>126</v>
      </c>
      <c r="D155" s="26" t="s">
        <v>414</v>
      </c>
      <c r="E155" s="26" t="s">
        <v>414</v>
      </c>
      <c r="F155" s="26" t="s">
        <v>811</v>
      </c>
      <c r="G155" s="28">
        <v>2.0</v>
      </c>
      <c r="H155" s="26" t="s">
        <v>120</v>
      </c>
      <c r="I155" s="28">
        <v>5200.0</v>
      </c>
      <c r="J155" s="28">
        <v>2200.0</v>
      </c>
      <c r="K155" s="28">
        <v>4050.0</v>
      </c>
      <c r="L155" s="28">
        <v>1650.0</v>
      </c>
      <c r="M155" s="28">
        <v>1050.0</v>
      </c>
      <c r="N155" s="28">
        <v>7550.0</v>
      </c>
      <c r="O155" s="28">
        <v>3400.0</v>
      </c>
      <c r="P155" s="28">
        <v>11450.0</v>
      </c>
      <c r="Q155" s="28">
        <v>1800.0</v>
      </c>
      <c r="R155" s="28">
        <v>1550.0</v>
      </c>
      <c r="S155" s="28">
        <v>950.0</v>
      </c>
      <c r="T155" s="28">
        <v>2400.0</v>
      </c>
      <c r="U155" s="28">
        <v>0.75</v>
      </c>
      <c r="V155" s="28">
        <v>1.0</v>
      </c>
      <c r="W155" s="26" t="s">
        <v>121</v>
      </c>
      <c r="X155" s="26" t="s">
        <v>815</v>
      </c>
      <c r="Y155" s="29" t="s">
        <v>816</v>
      </c>
      <c r="Z155" s="29" t="s">
        <v>817</v>
      </c>
    </row>
    <row r="156">
      <c r="A156" s="28">
        <v>152.0</v>
      </c>
      <c r="B156" s="26" t="s">
        <v>818</v>
      </c>
      <c r="C156" s="26" t="s">
        <v>126</v>
      </c>
      <c r="D156" s="26" t="s">
        <v>414</v>
      </c>
      <c r="E156" s="26" t="s">
        <v>414</v>
      </c>
      <c r="F156" s="26" t="s">
        <v>811</v>
      </c>
      <c r="G156" s="28">
        <v>1.0</v>
      </c>
      <c r="H156" s="26" t="s">
        <v>111</v>
      </c>
      <c r="I156" s="28">
        <v>11000.0</v>
      </c>
      <c r="J156" s="28">
        <v>4600.0</v>
      </c>
      <c r="K156" s="28">
        <v>8600.0</v>
      </c>
      <c r="L156" s="28">
        <v>3500.0</v>
      </c>
      <c r="M156" s="28">
        <v>2200.0</v>
      </c>
      <c r="N156" s="28">
        <v>15950.0</v>
      </c>
      <c r="O156" s="28">
        <v>7150.0</v>
      </c>
      <c r="P156" s="28">
        <v>24200.0</v>
      </c>
      <c r="Q156" s="28">
        <v>3850.0</v>
      </c>
      <c r="R156" s="28">
        <v>3300.0</v>
      </c>
      <c r="S156" s="28">
        <v>2000.0</v>
      </c>
      <c r="T156" s="28">
        <v>2400.0</v>
      </c>
      <c r="U156" s="28">
        <v>0.75</v>
      </c>
      <c r="V156" s="28">
        <v>1.0</v>
      </c>
      <c r="W156" s="26" t="s">
        <v>113</v>
      </c>
      <c r="X156" s="26" t="s">
        <v>819</v>
      </c>
      <c r="Y156" s="29" t="s">
        <v>820</v>
      </c>
    </row>
    <row r="157">
      <c r="A157" s="28">
        <v>153.0</v>
      </c>
      <c r="B157" s="26" t="s">
        <v>821</v>
      </c>
      <c r="C157" s="26" t="s">
        <v>126</v>
      </c>
      <c r="D157" s="26" t="s">
        <v>414</v>
      </c>
      <c r="E157" s="26" t="s">
        <v>414</v>
      </c>
      <c r="F157" s="26" t="s">
        <v>811</v>
      </c>
      <c r="G157" s="28">
        <v>1.0</v>
      </c>
      <c r="H157" s="26" t="s">
        <v>111</v>
      </c>
      <c r="I157" s="28">
        <v>5200.0</v>
      </c>
      <c r="J157" s="28">
        <v>2200.0</v>
      </c>
      <c r="K157" s="28">
        <v>4050.0</v>
      </c>
      <c r="L157" s="28">
        <v>1650.0</v>
      </c>
      <c r="M157" s="28">
        <v>1050.0</v>
      </c>
      <c r="N157" s="28">
        <v>7550.0</v>
      </c>
      <c r="O157" s="28">
        <v>3400.0</v>
      </c>
      <c r="P157" s="28">
        <v>11450.0</v>
      </c>
      <c r="Q157" s="28">
        <v>1800.0</v>
      </c>
      <c r="R157" s="28">
        <v>1550.0</v>
      </c>
      <c r="S157" s="28">
        <v>950.0</v>
      </c>
      <c r="T157" s="28">
        <v>2400.0</v>
      </c>
      <c r="U157" s="28">
        <v>0.75</v>
      </c>
      <c r="V157" s="28">
        <v>1.0</v>
      </c>
      <c r="W157" s="26" t="s">
        <v>113</v>
      </c>
      <c r="X157" s="26" t="s">
        <v>821</v>
      </c>
      <c r="Y157" s="29" t="s">
        <v>822</v>
      </c>
    </row>
    <row r="158">
      <c r="A158" s="28">
        <v>154.0</v>
      </c>
      <c r="B158" s="26" t="s">
        <v>413</v>
      </c>
      <c r="C158" s="26" t="s">
        <v>107</v>
      </c>
      <c r="D158" s="26" t="s">
        <v>414</v>
      </c>
      <c r="E158" s="26" t="s">
        <v>414</v>
      </c>
      <c r="F158" s="26" t="s">
        <v>415</v>
      </c>
      <c r="G158" s="28">
        <v>1.0</v>
      </c>
      <c r="H158" s="26" t="s">
        <v>111</v>
      </c>
      <c r="I158" s="28">
        <v>5200.0</v>
      </c>
      <c r="J158" s="28">
        <v>2200.0</v>
      </c>
      <c r="K158" s="28">
        <v>4050.0</v>
      </c>
      <c r="L158" s="28">
        <v>1650.0</v>
      </c>
      <c r="M158" s="28">
        <v>1050.0</v>
      </c>
      <c r="N158" s="28">
        <v>7550.0</v>
      </c>
      <c r="O158" s="28">
        <v>3400.0</v>
      </c>
      <c r="P158" s="28">
        <v>11450.0</v>
      </c>
      <c r="Q158" s="28">
        <v>1800.0</v>
      </c>
      <c r="R158" s="28">
        <v>1550.0</v>
      </c>
      <c r="S158" s="28">
        <v>950.0</v>
      </c>
      <c r="T158" s="26" t="s">
        <v>112</v>
      </c>
      <c r="U158" s="28">
        <v>0.25</v>
      </c>
      <c r="V158" s="28">
        <v>1.0</v>
      </c>
      <c r="W158" s="26" t="s">
        <v>113</v>
      </c>
      <c r="X158" s="26" t="s">
        <v>416</v>
      </c>
      <c r="Y158" s="29" t="s">
        <v>417</v>
      </c>
    </row>
    <row r="159">
      <c r="A159" s="28">
        <v>155.0</v>
      </c>
      <c r="B159" s="26" t="s">
        <v>823</v>
      </c>
      <c r="C159" s="26" t="s">
        <v>126</v>
      </c>
      <c r="D159" s="26" t="s">
        <v>824</v>
      </c>
      <c r="E159" s="26" t="s">
        <v>825</v>
      </c>
      <c r="F159" s="26" t="s">
        <v>826</v>
      </c>
      <c r="G159" s="28">
        <v>3.0</v>
      </c>
      <c r="H159" s="26" t="s">
        <v>120</v>
      </c>
      <c r="I159" s="28">
        <v>11250.0</v>
      </c>
      <c r="J159" s="28">
        <v>4500.0</v>
      </c>
      <c r="K159" s="28">
        <v>8000.0</v>
      </c>
      <c r="L159" s="28">
        <v>3500.0</v>
      </c>
      <c r="M159" s="28">
        <v>2000.0</v>
      </c>
      <c r="N159" s="28">
        <v>13500.0</v>
      </c>
      <c r="O159" s="28">
        <v>6075.0</v>
      </c>
      <c r="P159" s="28">
        <v>15000.0</v>
      </c>
      <c r="Q159" s="28">
        <v>4638.0</v>
      </c>
      <c r="R159" s="28">
        <v>4063.0</v>
      </c>
      <c r="S159" s="28">
        <v>2438.0</v>
      </c>
      <c r="T159" s="28">
        <v>2400.0</v>
      </c>
      <c r="U159" s="28">
        <v>0.3</v>
      </c>
      <c r="V159" s="28">
        <v>1.0</v>
      </c>
      <c r="W159" s="26" t="s">
        <v>150</v>
      </c>
      <c r="X159" s="26" t="s">
        <v>827</v>
      </c>
      <c r="Y159" s="29" t="s">
        <v>828</v>
      </c>
      <c r="AA159" s="29" t="s">
        <v>829</v>
      </c>
      <c r="AE159" s="29" t="s">
        <v>830</v>
      </c>
    </row>
    <row r="160">
      <c r="A160" s="28">
        <v>156.0</v>
      </c>
      <c r="B160" s="26" t="s">
        <v>831</v>
      </c>
      <c r="C160" s="26" t="s">
        <v>126</v>
      </c>
      <c r="D160" s="26" t="s">
        <v>824</v>
      </c>
      <c r="E160" s="26" t="s">
        <v>825</v>
      </c>
      <c r="F160" s="26" t="s">
        <v>607</v>
      </c>
      <c r="G160" s="28">
        <v>2.0</v>
      </c>
      <c r="H160" s="26" t="s">
        <v>120</v>
      </c>
      <c r="I160" s="28">
        <v>11000.0</v>
      </c>
      <c r="J160" s="28">
        <v>4600.0</v>
      </c>
      <c r="K160" s="28">
        <v>8600.0</v>
      </c>
      <c r="L160" s="28">
        <v>3500.0</v>
      </c>
      <c r="M160" s="28">
        <v>2200.0</v>
      </c>
      <c r="N160" s="28">
        <v>15950.0</v>
      </c>
      <c r="O160" s="28">
        <v>7150.0</v>
      </c>
      <c r="P160" s="28">
        <v>24200.0</v>
      </c>
      <c r="Q160" s="28">
        <v>3850.0</v>
      </c>
      <c r="R160" s="28">
        <v>3300.0</v>
      </c>
      <c r="S160" s="28">
        <v>2000.0</v>
      </c>
      <c r="T160" s="28">
        <v>2400.0</v>
      </c>
      <c r="U160" s="28">
        <v>0.3</v>
      </c>
      <c r="V160" s="28">
        <v>1.0</v>
      </c>
      <c r="W160" s="26" t="s">
        <v>121</v>
      </c>
      <c r="X160" s="26" t="s">
        <v>832</v>
      </c>
      <c r="Y160" s="29" t="s">
        <v>833</v>
      </c>
      <c r="AA160" s="29" t="s">
        <v>834</v>
      </c>
    </row>
    <row r="161">
      <c r="A161" s="28">
        <v>157.0</v>
      </c>
      <c r="B161" s="26" t="s">
        <v>835</v>
      </c>
      <c r="C161" s="26" t="s">
        <v>126</v>
      </c>
      <c r="D161" s="26" t="s">
        <v>824</v>
      </c>
      <c r="E161" s="26" t="s">
        <v>825</v>
      </c>
      <c r="F161" s="26" t="s">
        <v>826</v>
      </c>
      <c r="G161" s="28">
        <v>1.0</v>
      </c>
      <c r="H161" s="26" t="s">
        <v>111</v>
      </c>
      <c r="I161" s="28">
        <v>11000.0</v>
      </c>
      <c r="J161" s="28">
        <v>4600.0</v>
      </c>
      <c r="K161" s="28">
        <v>8600.0</v>
      </c>
      <c r="L161" s="28">
        <v>3500.0</v>
      </c>
      <c r="M161" s="28">
        <v>2200.0</v>
      </c>
      <c r="N161" s="28">
        <v>15950.0</v>
      </c>
      <c r="O161" s="28">
        <v>7150.0</v>
      </c>
      <c r="P161" s="28">
        <v>24200.0</v>
      </c>
      <c r="Q161" s="28">
        <v>3850.0</v>
      </c>
      <c r="R161" s="28">
        <v>3300.0</v>
      </c>
      <c r="S161" s="28">
        <v>2000.0</v>
      </c>
      <c r="T161" s="28">
        <v>2400.0</v>
      </c>
      <c r="U161" s="28">
        <v>0.4</v>
      </c>
      <c r="V161" s="28">
        <v>1.0</v>
      </c>
      <c r="W161" s="26" t="s">
        <v>113</v>
      </c>
      <c r="X161" s="26" t="s">
        <v>836</v>
      </c>
      <c r="Y161" s="29" t="s">
        <v>837</v>
      </c>
    </row>
    <row r="162">
      <c r="A162" s="28">
        <v>158.0</v>
      </c>
      <c r="B162" s="26" t="s">
        <v>838</v>
      </c>
      <c r="C162" s="26" t="s">
        <v>126</v>
      </c>
      <c r="D162" s="26" t="s">
        <v>824</v>
      </c>
      <c r="E162" s="26" t="s">
        <v>825</v>
      </c>
      <c r="F162" s="26" t="s">
        <v>401</v>
      </c>
      <c r="G162" s="28">
        <v>2.0</v>
      </c>
      <c r="H162" s="26" t="s">
        <v>120</v>
      </c>
      <c r="I162" s="28">
        <v>5200.0</v>
      </c>
      <c r="J162" s="28">
        <v>2200.0</v>
      </c>
      <c r="K162" s="28">
        <v>4050.0</v>
      </c>
      <c r="L162" s="28">
        <v>1650.0</v>
      </c>
      <c r="M162" s="28">
        <v>1050.0</v>
      </c>
      <c r="N162" s="28">
        <v>7550.0</v>
      </c>
      <c r="O162" s="28">
        <v>3400.0</v>
      </c>
      <c r="P162" s="28">
        <v>11450.0</v>
      </c>
      <c r="Q162" s="28">
        <v>1800.0</v>
      </c>
      <c r="R162" s="28">
        <v>1550.0</v>
      </c>
      <c r="S162" s="28">
        <v>950.0</v>
      </c>
      <c r="T162" s="28">
        <v>2400.0</v>
      </c>
      <c r="U162" s="28">
        <v>0.2</v>
      </c>
      <c r="V162" s="28">
        <v>1.0</v>
      </c>
      <c r="W162" s="26" t="s">
        <v>121</v>
      </c>
      <c r="X162" s="26" t="s">
        <v>839</v>
      </c>
      <c r="Y162" s="29" t="s">
        <v>840</v>
      </c>
      <c r="AA162" s="29" t="s">
        <v>841</v>
      </c>
    </row>
    <row r="163">
      <c r="A163" s="28">
        <v>159.0</v>
      </c>
      <c r="B163" s="26" t="s">
        <v>842</v>
      </c>
      <c r="C163" s="26" t="s">
        <v>117</v>
      </c>
      <c r="D163" s="26" t="s">
        <v>824</v>
      </c>
      <c r="E163" s="26" t="s">
        <v>825</v>
      </c>
      <c r="F163" s="26" t="s">
        <v>843</v>
      </c>
      <c r="G163" s="28">
        <v>1.0</v>
      </c>
      <c r="H163" s="26" t="s">
        <v>111</v>
      </c>
      <c r="I163" s="28">
        <v>12100.0</v>
      </c>
      <c r="J163" s="28">
        <v>5100.0</v>
      </c>
      <c r="K163" s="28">
        <v>9450.0</v>
      </c>
      <c r="L163" s="28">
        <v>3850.0</v>
      </c>
      <c r="M163" s="28">
        <v>2400.0</v>
      </c>
      <c r="N163" s="28">
        <v>17550.0</v>
      </c>
      <c r="O163" s="28">
        <v>7850.0</v>
      </c>
      <c r="P163" s="28">
        <v>26600.0</v>
      </c>
      <c r="Q163" s="28">
        <v>4250.0</v>
      </c>
      <c r="R163" s="28">
        <v>3650.0</v>
      </c>
      <c r="S163" s="28">
        <v>2200.0</v>
      </c>
      <c r="T163" s="26" t="s">
        <v>112</v>
      </c>
      <c r="U163" s="28">
        <v>0.5</v>
      </c>
      <c r="V163" s="28">
        <v>1.0</v>
      </c>
      <c r="W163" s="26" t="s">
        <v>113</v>
      </c>
      <c r="X163" s="26" t="s">
        <v>844</v>
      </c>
      <c r="Y163" s="29" t="s">
        <v>845</v>
      </c>
    </row>
    <row r="164">
      <c r="A164" s="28">
        <v>160.0</v>
      </c>
      <c r="B164" s="26" t="s">
        <v>846</v>
      </c>
      <c r="C164" s="26" t="s">
        <v>126</v>
      </c>
      <c r="D164" s="26" t="s">
        <v>847</v>
      </c>
      <c r="E164" s="26" t="s">
        <v>109</v>
      </c>
      <c r="F164" s="26" t="s">
        <v>848</v>
      </c>
      <c r="G164" s="28">
        <v>5.0</v>
      </c>
      <c r="H164" s="26" t="s">
        <v>127</v>
      </c>
      <c r="I164" s="28">
        <v>5700.0</v>
      </c>
      <c r="J164" s="28">
        <v>2400.0</v>
      </c>
      <c r="K164" s="28">
        <v>4450.0</v>
      </c>
      <c r="L164" s="28">
        <v>1850.0</v>
      </c>
      <c r="M164" s="28">
        <v>1150.0</v>
      </c>
      <c r="N164" s="28">
        <v>8300.0</v>
      </c>
      <c r="O164" s="28">
        <v>3700.0</v>
      </c>
      <c r="P164" s="28">
        <v>12600.0</v>
      </c>
      <c r="Q164" s="28">
        <v>2000.0</v>
      </c>
      <c r="R164" s="28">
        <v>1700.0</v>
      </c>
      <c r="S164" s="28">
        <v>1050.0</v>
      </c>
      <c r="T164" s="28">
        <v>2400.0</v>
      </c>
      <c r="U164" s="28">
        <v>0.25</v>
      </c>
      <c r="V164" s="28">
        <v>1.0</v>
      </c>
      <c r="W164" s="26" t="s">
        <v>218</v>
      </c>
      <c r="X164" s="26" t="s">
        <v>849</v>
      </c>
      <c r="Y164" s="29" t="s">
        <v>850</v>
      </c>
      <c r="Z164" s="29" t="s">
        <v>851</v>
      </c>
      <c r="AA164" s="29" t="s">
        <v>852</v>
      </c>
      <c r="AB164" s="29" t="s">
        <v>853</v>
      </c>
      <c r="AC164" s="29" t="s">
        <v>854</v>
      </c>
    </row>
    <row r="165">
      <c r="A165" s="28">
        <v>161.0</v>
      </c>
      <c r="B165" s="26" t="s">
        <v>855</v>
      </c>
      <c r="C165" s="26" t="s">
        <v>371</v>
      </c>
      <c r="D165" s="26" t="s">
        <v>847</v>
      </c>
      <c r="E165" s="26" t="s">
        <v>109</v>
      </c>
      <c r="F165" s="26" t="s">
        <v>856</v>
      </c>
      <c r="G165" s="28">
        <v>5.0</v>
      </c>
      <c r="H165" s="26" t="s">
        <v>127</v>
      </c>
      <c r="I165" s="28">
        <v>20700.0</v>
      </c>
      <c r="J165" s="28">
        <v>8700.0</v>
      </c>
      <c r="K165" s="28">
        <v>16150.0</v>
      </c>
      <c r="L165" s="28">
        <v>6600.0</v>
      </c>
      <c r="M165" s="28">
        <v>4150.0</v>
      </c>
      <c r="N165" s="28">
        <v>30000.0</v>
      </c>
      <c r="O165" s="28">
        <v>13450.0</v>
      </c>
      <c r="P165" s="28">
        <v>45550.0</v>
      </c>
      <c r="Q165" s="28">
        <v>7250.0</v>
      </c>
      <c r="R165" s="28">
        <v>6200.0</v>
      </c>
      <c r="S165" s="28">
        <v>3750.0</v>
      </c>
      <c r="T165" s="26" t="s">
        <v>112</v>
      </c>
      <c r="U165" s="28">
        <v>0.25</v>
      </c>
      <c r="V165" s="28">
        <v>1.0</v>
      </c>
      <c r="W165" s="26" t="s">
        <v>218</v>
      </c>
      <c r="X165" s="26" t="s">
        <v>857</v>
      </c>
      <c r="Y165" s="29" t="s">
        <v>858</v>
      </c>
      <c r="Z165" s="29" t="s">
        <v>859</v>
      </c>
      <c r="AA165" s="29" t="s">
        <v>860</v>
      </c>
      <c r="AB165" s="29" t="s">
        <v>861</v>
      </c>
      <c r="AE165" s="29" t="s">
        <v>862</v>
      </c>
    </row>
    <row r="166">
      <c r="A166" s="28">
        <v>162.0</v>
      </c>
      <c r="B166" s="26" t="s">
        <v>863</v>
      </c>
      <c r="C166" s="26" t="s">
        <v>126</v>
      </c>
      <c r="D166" s="26" t="s">
        <v>148</v>
      </c>
      <c r="E166" s="26" t="s">
        <v>188</v>
      </c>
      <c r="F166" s="26" t="s">
        <v>110</v>
      </c>
      <c r="G166" s="28">
        <v>1.0</v>
      </c>
      <c r="H166" s="26" t="s">
        <v>120</v>
      </c>
      <c r="I166" s="28">
        <v>8800.0</v>
      </c>
      <c r="J166" s="28">
        <v>3700.0</v>
      </c>
      <c r="K166" s="28">
        <v>6850.0</v>
      </c>
      <c r="L166" s="28">
        <v>2800.0</v>
      </c>
      <c r="M166" s="28">
        <v>1750.0</v>
      </c>
      <c r="N166" s="28">
        <v>12750.0</v>
      </c>
      <c r="O166" s="28">
        <v>5700.0</v>
      </c>
      <c r="P166" s="28">
        <v>19350.0</v>
      </c>
      <c r="Q166" s="28">
        <v>3100.0</v>
      </c>
      <c r="R166" s="28">
        <v>2650.0</v>
      </c>
      <c r="S166" s="28">
        <v>1600.0</v>
      </c>
      <c r="U166" s="28">
        <v>0.3</v>
      </c>
      <c r="V166" s="28">
        <v>1.0</v>
      </c>
      <c r="W166" s="26" t="s">
        <v>113</v>
      </c>
      <c r="X166" s="26" t="s">
        <v>864</v>
      </c>
      <c r="Y166" s="29" t="s">
        <v>865</v>
      </c>
    </row>
    <row r="167">
      <c r="A167" s="28">
        <v>163.0</v>
      </c>
      <c r="B167" s="26" t="s">
        <v>866</v>
      </c>
      <c r="C167" s="26" t="s">
        <v>126</v>
      </c>
      <c r="D167" s="26" t="s">
        <v>148</v>
      </c>
      <c r="E167" s="26" t="s">
        <v>188</v>
      </c>
      <c r="F167" s="26" t="s">
        <v>110</v>
      </c>
      <c r="G167" s="28">
        <v>1.0</v>
      </c>
      <c r="H167" s="26" t="s">
        <v>120</v>
      </c>
      <c r="I167" s="28">
        <v>8800.0</v>
      </c>
      <c r="J167" s="28">
        <v>3700.0</v>
      </c>
      <c r="K167" s="28">
        <v>6850.0</v>
      </c>
      <c r="L167" s="28">
        <v>2800.0</v>
      </c>
      <c r="M167" s="28">
        <v>1750.0</v>
      </c>
      <c r="N167" s="28">
        <v>12750.0</v>
      </c>
      <c r="O167" s="28">
        <v>5700.0</v>
      </c>
      <c r="P167" s="28">
        <v>19350.0</v>
      </c>
      <c r="Q167" s="28">
        <v>3100.0</v>
      </c>
      <c r="R167" s="28">
        <v>2650.0</v>
      </c>
      <c r="S167" s="28">
        <v>1600.0</v>
      </c>
      <c r="U167" s="28">
        <v>0.3</v>
      </c>
      <c r="V167" s="28">
        <v>1.0</v>
      </c>
      <c r="W167" s="26" t="s">
        <v>113</v>
      </c>
      <c r="X167" s="26" t="s">
        <v>867</v>
      </c>
      <c r="Y167" s="29" t="s">
        <v>868</v>
      </c>
    </row>
    <row r="168">
      <c r="A168" s="28">
        <v>164.0</v>
      </c>
      <c r="B168" s="26" t="s">
        <v>869</v>
      </c>
      <c r="C168" s="26" t="s">
        <v>126</v>
      </c>
      <c r="D168" s="26" t="s">
        <v>148</v>
      </c>
      <c r="E168" s="26" t="s">
        <v>184</v>
      </c>
      <c r="G168" s="28">
        <v>2.0</v>
      </c>
      <c r="H168" s="26" t="s">
        <v>120</v>
      </c>
      <c r="I168" s="28">
        <v>8800.0</v>
      </c>
      <c r="J168" s="28">
        <v>3700.0</v>
      </c>
      <c r="K168" s="28">
        <v>6850.0</v>
      </c>
      <c r="L168" s="28">
        <v>2800.0</v>
      </c>
      <c r="M168" s="28">
        <v>1750.0</v>
      </c>
      <c r="N168" s="28">
        <v>12750.0</v>
      </c>
      <c r="O168" s="28">
        <v>5700.0</v>
      </c>
      <c r="P168" s="28">
        <v>19350.0</v>
      </c>
      <c r="Q168" s="28">
        <v>3100.0</v>
      </c>
      <c r="R168" s="28">
        <v>2650.0</v>
      </c>
      <c r="S168" s="28">
        <v>1600.0</v>
      </c>
      <c r="U168" s="28">
        <v>0.3</v>
      </c>
      <c r="V168" s="28">
        <v>1.0</v>
      </c>
      <c r="W168" s="26" t="s">
        <v>121</v>
      </c>
      <c r="X168" s="26" t="s">
        <v>870</v>
      </c>
      <c r="Y168" s="29" t="s">
        <v>871</v>
      </c>
      <c r="AA168" s="29" t="s">
        <v>872</v>
      </c>
    </row>
    <row r="169">
      <c r="A169" s="28">
        <v>165.0</v>
      </c>
      <c r="B169" s="26" t="s">
        <v>873</v>
      </c>
      <c r="C169" s="26" t="s">
        <v>126</v>
      </c>
      <c r="D169" s="26" t="s">
        <v>148</v>
      </c>
      <c r="E169" s="26" t="s">
        <v>184</v>
      </c>
      <c r="F169" s="26" t="s">
        <v>110</v>
      </c>
      <c r="G169" s="28">
        <v>3.0</v>
      </c>
      <c r="H169" s="26" t="s">
        <v>120</v>
      </c>
      <c r="I169" s="28">
        <v>11000.0</v>
      </c>
      <c r="J169" s="28">
        <v>4600.0</v>
      </c>
      <c r="K169" s="28">
        <v>8600.0</v>
      </c>
      <c r="L169" s="28">
        <v>3500.0</v>
      </c>
      <c r="M169" s="28">
        <v>2200.0</v>
      </c>
      <c r="N169" s="28">
        <v>15950.0</v>
      </c>
      <c r="O169" s="28">
        <v>7150.0</v>
      </c>
      <c r="P169" s="28">
        <v>24200.0</v>
      </c>
      <c r="Q169" s="28">
        <v>3850.0</v>
      </c>
      <c r="R169" s="28">
        <v>3300.0</v>
      </c>
      <c r="S169" s="28">
        <v>2000.0</v>
      </c>
      <c r="U169" s="28">
        <v>0.3</v>
      </c>
      <c r="V169" s="28">
        <v>1.0</v>
      </c>
      <c r="W169" s="26" t="s">
        <v>150</v>
      </c>
      <c r="X169" s="26" t="s">
        <v>874</v>
      </c>
      <c r="Y169" s="29" t="s">
        <v>875</v>
      </c>
      <c r="AA169" s="29" t="s">
        <v>876</v>
      </c>
      <c r="AB169" s="29" t="s">
        <v>877</v>
      </c>
    </row>
    <row r="170">
      <c r="A170" s="28">
        <v>166.0</v>
      </c>
      <c r="B170" s="26" t="s">
        <v>878</v>
      </c>
      <c r="C170" s="26" t="s">
        <v>126</v>
      </c>
      <c r="D170" s="26" t="s">
        <v>245</v>
      </c>
      <c r="E170" s="26" t="s">
        <v>291</v>
      </c>
      <c r="F170" s="26" t="s">
        <v>879</v>
      </c>
      <c r="G170" s="28">
        <v>2.0</v>
      </c>
      <c r="H170" s="26" t="s">
        <v>120</v>
      </c>
      <c r="I170" s="28">
        <v>11000.0</v>
      </c>
      <c r="J170" s="28">
        <v>4600.0</v>
      </c>
      <c r="K170" s="28">
        <v>8600.0</v>
      </c>
      <c r="L170" s="28">
        <v>3500.0</v>
      </c>
      <c r="M170" s="28">
        <v>2200.0</v>
      </c>
      <c r="N170" s="28">
        <v>15950.0</v>
      </c>
      <c r="O170" s="28">
        <v>7150.0</v>
      </c>
      <c r="P170" s="28">
        <v>24200.0</v>
      </c>
      <c r="Q170" s="28">
        <v>3850.0</v>
      </c>
      <c r="R170" s="28">
        <v>3300.0</v>
      </c>
      <c r="S170" s="28">
        <v>2000.0</v>
      </c>
      <c r="U170" s="28">
        <v>0.75</v>
      </c>
      <c r="V170" s="28">
        <v>1.0</v>
      </c>
      <c r="W170" s="26" t="s">
        <v>121</v>
      </c>
      <c r="X170" s="26" t="s">
        <v>880</v>
      </c>
      <c r="Y170" s="29" t="s">
        <v>881</v>
      </c>
      <c r="AA170" s="29" t="s">
        <v>882</v>
      </c>
    </row>
    <row r="171">
      <c r="A171" s="28">
        <v>167.0</v>
      </c>
      <c r="B171" s="26" t="s">
        <v>883</v>
      </c>
      <c r="C171" s="26" t="s">
        <v>126</v>
      </c>
      <c r="D171" s="26" t="s">
        <v>400</v>
      </c>
      <c r="E171" s="26" t="s">
        <v>400</v>
      </c>
      <c r="F171" s="26" t="s">
        <v>884</v>
      </c>
      <c r="G171" s="28">
        <v>3.0</v>
      </c>
      <c r="H171" s="26" t="s">
        <v>120</v>
      </c>
      <c r="I171" s="28">
        <v>11000.0</v>
      </c>
      <c r="J171" s="28">
        <v>4600.0</v>
      </c>
      <c r="K171" s="28">
        <v>8600.0</v>
      </c>
      <c r="L171" s="28">
        <v>3500.0</v>
      </c>
      <c r="M171" s="28">
        <v>2200.0</v>
      </c>
      <c r="N171" s="28">
        <v>15950.0</v>
      </c>
      <c r="O171" s="28">
        <v>7150.0</v>
      </c>
      <c r="P171" s="28">
        <v>24200.0</v>
      </c>
      <c r="Q171" s="28">
        <v>3850.0</v>
      </c>
      <c r="R171" s="28">
        <v>3300.0</v>
      </c>
      <c r="S171" s="28">
        <v>2000.0</v>
      </c>
      <c r="U171" s="28">
        <v>0.25</v>
      </c>
      <c r="V171" s="28">
        <v>1.0</v>
      </c>
      <c r="W171" s="26" t="s">
        <v>150</v>
      </c>
      <c r="X171" s="26" t="s">
        <v>885</v>
      </c>
      <c r="Y171" s="29" t="s">
        <v>886</v>
      </c>
      <c r="AA171" s="29" t="s">
        <v>887</v>
      </c>
      <c r="AB171" s="29" t="s">
        <v>888</v>
      </c>
    </row>
    <row r="172">
      <c r="A172" s="28">
        <v>168.0</v>
      </c>
      <c r="B172" s="26" t="s">
        <v>889</v>
      </c>
      <c r="C172" s="26" t="s">
        <v>126</v>
      </c>
      <c r="D172" s="26" t="s">
        <v>540</v>
      </c>
      <c r="E172" s="26" t="s">
        <v>562</v>
      </c>
      <c r="F172" s="26" t="s">
        <v>541</v>
      </c>
      <c r="G172" s="28">
        <v>5.0</v>
      </c>
      <c r="H172" s="26" t="s">
        <v>120</v>
      </c>
      <c r="I172" s="28">
        <v>11000.0</v>
      </c>
      <c r="J172" s="28">
        <v>4600.0</v>
      </c>
      <c r="K172" s="28">
        <v>8600.0</v>
      </c>
      <c r="L172" s="28">
        <v>3500.0</v>
      </c>
      <c r="M172" s="28">
        <v>2200.0</v>
      </c>
      <c r="N172" s="28">
        <v>15950.0</v>
      </c>
      <c r="O172" s="28">
        <v>7150.0</v>
      </c>
      <c r="P172" s="28">
        <v>24200.0</v>
      </c>
      <c r="Q172" s="28">
        <v>3850.0</v>
      </c>
      <c r="R172" s="28">
        <v>3300.0</v>
      </c>
      <c r="S172" s="28">
        <v>2000.0</v>
      </c>
      <c r="U172" s="28">
        <v>0.3</v>
      </c>
      <c r="V172" s="28">
        <v>1.0</v>
      </c>
      <c r="W172" s="26" t="s">
        <v>218</v>
      </c>
      <c r="X172" s="26" t="s">
        <v>890</v>
      </c>
      <c r="Y172" s="29" t="s">
        <v>891</v>
      </c>
      <c r="Z172" s="29" t="s">
        <v>892</v>
      </c>
      <c r="AB172" s="29" t="s">
        <v>893</v>
      </c>
      <c r="AC172" s="29" t="s">
        <v>894</v>
      </c>
      <c r="AE172" s="29" t="s">
        <v>895</v>
      </c>
    </row>
    <row r="173">
      <c r="A173" s="28">
        <v>169.0</v>
      </c>
      <c r="B173" s="26" t="s">
        <v>896</v>
      </c>
      <c r="C173" s="26" t="s">
        <v>126</v>
      </c>
      <c r="D173" s="26" t="s">
        <v>540</v>
      </c>
      <c r="E173" s="26" t="s">
        <v>562</v>
      </c>
      <c r="F173" s="26" t="s">
        <v>541</v>
      </c>
      <c r="G173" s="28">
        <v>3.0</v>
      </c>
      <c r="H173" s="26" t="s">
        <v>120</v>
      </c>
      <c r="I173" s="28">
        <v>12650.0</v>
      </c>
      <c r="J173" s="28">
        <v>5300.0</v>
      </c>
      <c r="K173" s="28">
        <v>9850.0</v>
      </c>
      <c r="L173" s="28">
        <v>4050.0</v>
      </c>
      <c r="M173" s="28">
        <v>2550.0</v>
      </c>
      <c r="N173" s="28">
        <v>18350.0</v>
      </c>
      <c r="O173" s="28">
        <v>8200.0</v>
      </c>
      <c r="P173" s="28">
        <v>27850.0</v>
      </c>
      <c r="Q173" s="28">
        <v>4450.0</v>
      </c>
      <c r="R173" s="28">
        <v>3800.0</v>
      </c>
      <c r="S173" s="28">
        <v>2300.0</v>
      </c>
      <c r="U173" s="28">
        <v>0.3</v>
      </c>
      <c r="V173" s="28">
        <v>1.0</v>
      </c>
      <c r="W173" s="26" t="s">
        <v>150</v>
      </c>
      <c r="X173" s="26" t="s">
        <v>897</v>
      </c>
      <c r="Z173" s="29" t="s">
        <v>898</v>
      </c>
      <c r="AC173" s="29" t="s">
        <v>899</v>
      </c>
      <c r="AE173" s="29" t="s">
        <v>900</v>
      </c>
    </row>
    <row r="174">
      <c r="A174" s="28">
        <v>170.0</v>
      </c>
      <c r="B174" s="26" t="s">
        <v>901</v>
      </c>
      <c r="C174" s="26" t="s">
        <v>126</v>
      </c>
      <c r="D174" s="26" t="s">
        <v>540</v>
      </c>
      <c r="E174" s="26" t="s">
        <v>562</v>
      </c>
      <c r="F174" s="26" t="s">
        <v>541</v>
      </c>
      <c r="G174" s="28">
        <v>2.0</v>
      </c>
      <c r="H174" s="26" t="s">
        <v>120</v>
      </c>
      <c r="I174" s="28">
        <v>11000.0</v>
      </c>
      <c r="J174" s="28">
        <v>4600.0</v>
      </c>
      <c r="K174" s="28">
        <v>8600.0</v>
      </c>
      <c r="L174" s="28">
        <v>3500.0</v>
      </c>
      <c r="M174" s="28">
        <v>2200.0</v>
      </c>
      <c r="N174" s="28">
        <v>15950.0</v>
      </c>
      <c r="O174" s="28">
        <v>7150.0</v>
      </c>
      <c r="P174" s="28">
        <v>24200.0</v>
      </c>
      <c r="Q174" s="28">
        <v>3850.0</v>
      </c>
      <c r="R174" s="28">
        <v>3300.0</v>
      </c>
      <c r="S174" s="28">
        <v>2000.0</v>
      </c>
      <c r="U174" s="28">
        <v>0.3</v>
      </c>
      <c r="V174" s="28">
        <v>1.0</v>
      </c>
      <c r="W174" s="26" t="s">
        <v>121</v>
      </c>
      <c r="X174" s="26" t="s">
        <v>902</v>
      </c>
      <c r="Z174" s="29" t="s">
        <v>903</v>
      </c>
      <c r="AE174" s="29" t="s">
        <v>904</v>
      </c>
    </row>
    <row r="175">
      <c r="A175" s="28">
        <v>171.0</v>
      </c>
      <c r="B175" s="26" t="s">
        <v>905</v>
      </c>
      <c r="C175" s="26" t="s">
        <v>117</v>
      </c>
      <c r="D175" s="26" t="s">
        <v>540</v>
      </c>
      <c r="E175" s="26" t="s">
        <v>562</v>
      </c>
      <c r="F175" s="26" t="s">
        <v>541</v>
      </c>
      <c r="G175" s="28">
        <v>3.0</v>
      </c>
      <c r="H175" s="26" t="s">
        <v>111</v>
      </c>
      <c r="I175" s="28">
        <v>11000.0</v>
      </c>
      <c r="J175" s="28">
        <v>4600.0</v>
      </c>
      <c r="K175" s="28">
        <v>8600.0</v>
      </c>
      <c r="L175" s="28">
        <v>3500.0</v>
      </c>
      <c r="M175" s="28">
        <v>2200.0</v>
      </c>
      <c r="N175" s="28">
        <v>15950.0</v>
      </c>
      <c r="O175" s="28">
        <v>7150.0</v>
      </c>
      <c r="P175" s="28">
        <v>24200.0</v>
      </c>
      <c r="Q175" s="28">
        <v>3850.0</v>
      </c>
      <c r="R175" s="28">
        <v>3300.0</v>
      </c>
      <c r="S175" s="28">
        <v>2000.0</v>
      </c>
      <c r="T175" s="26" t="s">
        <v>112</v>
      </c>
      <c r="U175" s="28">
        <v>0.3</v>
      </c>
      <c r="V175" s="28">
        <v>1.0</v>
      </c>
      <c r="W175" s="26" t="s">
        <v>150</v>
      </c>
      <c r="X175" s="26" t="s">
        <v>906</v>
      </c>
      <c r="Z175" s="29" t="s">
        <v>907</v>
      </c>
      <c r="AC175" s="29" t="s">
        <v>908</v>
      </c>
      <c r="AE175" s="29" t="s">
        <v>909</v>
      </c>
    </row>
    <row r="176">
      <c r="A176" s="28">
        <v>172.0</v>
      </c>
      <c r="B176" s="26" t="s">
        <v>910</v>
      </c>
      <c r="C176" s="26" t="s">
        <v>126</v>
      </c>
      <c r="D176" s="26" t="s">
        <v>653</v>
      </c>
      <c r="E176" s="26" t="s">
        <v>109</v>
      </c>
      <c r="F176" s="26" t="s">
        <v>441</v>
      </c>
      <c r="G176" s="28">
        <v>2.0</v>
      </c>
      <c r="H176" s="26" t="s">
        <v>120</v>
      </c>
      <c r="I176" s="28">
        <v>8000.0</v>
      </c>
      <c r="J176" s="28">
        <v>4000.0</v>
      </c>
      <c r="K176" s="28">
        <v>6000.0</v>
      </c>
      <c r="L176" s="28">
        <v>3000.0</v>
      </c>
      <c r="M176" s="28">
        <v>2000.0</v>
      </c>
      <c r="N176" s="28">
        <v>6000.0</v>
      </c>
      <c r="O176" s="28">
        <v>5000.0</v>
      </c>
      <c r="P176" s="28">
        <v>12000.0</v>
      </c>
      <c r="Q176" s="28">
        <v>3000.0</v>
      </c>
      <c r="R176" s="28">
        <v>2000.0</v>
      </c>
      <c r="S176" s="28">
        <v>1500.0</v>
      </c>
      <c r="U176" s="28">
        <v>0.75</v>
      </c>
      <c r="V176" s="28">
        <v>1.0</v>
      </c>
      <c r="W176" s="26" t="s">
        <v>121</v>
      </c>
      <c r="X176" s="26" t="s">
        <v>911</v>
      </c>
      <c r="Y176" s="29" t="s">
        <v>912</v>
      </c>
      <c r="AA176" s="29" t="s">
        <v>913</v>
      </c>
    </row>
    <row r="177">
      <c r="A177" s="28">
        <v>173.0</v>
      </c>
      <c r="B177" s="26" t="s">
        <v>914</v>
      </c>
      <c r="C177" s="26" t="s">
        <v>126</v>
      </c>
      <c r="D177" s="26" t="s">
        <v>722</v>
      </c>
      <c r="E177" s="26" t="s">
        <v>109</v>
      </c>
      <c r="F177" s="26" t="s">
        <v>915</v>
      </c>
      <c r="G177" s="28">
        <v>4.0</v>
      </c>
      <c r="H177" s="26" t="s">
        <v>120</v>
      </c>
      <c r="I177" s="28">
        <v>11000.0</v>
      </c>
      <c r="J177" s="28">
        <v>4600.0</v>
      </c>
      <c r="K177" s="28">
        <v>8600.0</v>
      </c>
      <c r="L177" s="28">
        <v>3500.0</v>
      </c>
      <c r="M177" s="28">
        <v>2200.0</v>
      </c>
      <c r="N177" s="28">
        <v>15950.0</v>
      </c>
      <c r="O177" s="28">
        <v>7150.0</v>
      </c>
      <c r="P177" s="28">
        <v>24200.0</v>
      </c>
      <c r="Q177" s="28">
        <v>3850.0</v>
      </c>
      <c r="R177" s="28">
        <v>3300.0</v>
      </c>
      <c r="S177" s="28">
        <v>2000.0</v>
      </c>
      <c r="U177" s="28">
        <v>0.75</v>
      </c>
      <c r="V177" s="28">
        <v>1.0</v>
      </c>
      <c r="W177" s="26" t="s">
        <v>136</v>
      </c>
      <c r="X177" s="26" t="s">
        <v>916</v>
      </c>
      <c r="Y177" s="29" t="s">
        <v>917</v>
      </c>
      <c r="Z177" s="29" t="s">
        <v>918</v>
      </c>
      <c r="AA177" s="29" t="s">
        <v>919</v>
      </c>
      <c r="AB177" s="29" t="s">
        <v>920</v>
      </c>
    </row>
    <row r="178">
      <c r="A178" s="28">
        <v>174.0</v>
      </c>
      <c r="B178" s="26" t="s">
        <v>921</v>
      </c>
      <c r="C178" s="26" t="s">
        <v>126</v>
      </c>
      <c r="D178" s="26" t="s">
        <v>824</v>
      </c>
      <c r="E178" s="26" t="s">
        <v>825</v>
      </c>
      <c r="F178" s="26" t="s">
        <v>157</v>
      </c>
      <c r="G178" s="28">
        <v>0.0</v>
      </c>
      <c r="H178" s="26" t="s">
        <v>120</v>
      </c>
      <c r="I178" s="28">
        <v>12650.0</v>
      </c>
      <c r="J178" s="28">
        <v>5300.0</v>
      </c>
      <c r="K178" s="28">
        <v>9850.0</v>
      </c>
      <c r="L178" s="28">
        <v>4050.0</v>
      </c>
      <c r="M178" s="28">
        <v>2550.0</v>
      </c>
      <c r="N178" s="28">
        <v>18350.0</v>
      </c>
      <c r="O178" s="28">
        <v>8200.0</v>
      </c>
      <c r="P178" s="28">
        <v>27850.0</v>
      </c>
      <c r="Q178" s="28">
        <v>4450.0</v>
      </c>
      <c r="R178" s="28">
        <v>3800.0</v>
      </c>
      <c r="S178" s="28">
        <v>2300.0</v>
      </c>
      <c r="U178" s="28">
        <v>0.75</v>
      </c>
      <c r="V178" s="28">
        <v>1.0</v>
      </c>
      <c r="W178" s="26" t="s">
        <v>242</v>
      </c>
      <c r="X178" s="26" t="s">
        <v>922</v>
      </c>
    </row>
    <row r="179">
      <c r="A179" s="28">
        <v>175.0</v>
      </c>
      <c r="B179" s="26" t="s">
        <v>923</v>
      </c>
      <c r="C179" s="26" t="s">
        <v>126</v>
      </c>
      <c r="D179" s="26" t="s">
        <v>824</v>
      </c>
      <c r="E179" s="26" t="s">
        <v>825</v>
      </c>
      <c r="F179" s="26" t="s">
        <v>826</v>
      </c>
      <c r="G179" s="28">
        <v>2.0</v>
      </c>
      <c r="H179" s="26" t="s">
        <v>120</v>
      </c>
      <c r="I179" s="28">
        <v>9700.0</v>
      </c>
      <c r="J179" s="28">
        <v>4050.0</v>
      </c>
      <c r="K179" s="28">
        <v>7550.0</v>
      </c>
      <c r="L179" s="28">
        <v>3100.0</v>
      </c>
      <c r="M179" s="28">
        <v>1950.0</v>
      </c>
      <c r="N179" s="28">
        <v>14050.0</v>
      </c>
      <c r="O179" s="28">
        <v>6300.0</v>
      </c>
      <c r="P179" s="28">
        <v>21300.0</v>
      </c>
      <c r="Q179" s="28">
        <v>3400.0</v>
      </c>
      <c r="R179" s="28">
        <v>2900.0</v>
      </c>
      <c r="S179" s="28">
        <v>1750.0</v>
      </c>
      <c r="U179" s="28">
        <v>0.75</v>
      </c>
      <c r="V179" s="28">
        <v>1.0</v>
      </c>
      <c r="W179" s="26" t="s">
        <v>121</v>
      </c>
      <c r="X179" s="26" t="s">
        <v>924</v>
      </c>
      <c r="Y179" s="29" t="s">
        <v>925</v>
      </c>
      <c r="Z179" s="29" t="s">
        <v>926</v>
      </c>
    </row>
    <row r="180">
      <c r="A180" s="28">
        <v>176.0</v>
      </c>
      <c r="B180" s="26" t="s">
        <v>927</v>
      </c>
      <c r="C180" s="26" t="s">
        <v>126</v>
      </c>
      <c r="D180" s="26" t="s">
        <v>928</v>
      </c>
      <c r="E180" s="26" t="s">
        <v>109</v>
      </c>
      <c r="F180" s="26" t="s">
        <v>929</v>
      </c>
      <c r="G180" s="28">
        <v>0.0</v>
      </c>
      <c r="H180" s="26" t="s">
        <v>120</v>
      </c>
      <c r="I180" s="28">
        <v>11000.0</v>
      </c>
      <c r="J180" s="28">
        <v>4600.0</v>
      </c>
      <c r="K180" s="28">
        <v>8600.0</v>
      </c>
      <c r="L180" s="28">
        <v>3500.0</v>
      </c>
      <c r="M180" s="28">
        <v>2200.0</v>
      </c>
      <c r="N180" s="28">
        <v>15950.0</v>
      </c>
      <c r="O180" s="28">
        <v>7150.0</v>
      </c>
      <c r="P180" s="28">
        <v>24200.0</v>
      </c>
      <c r="Q180" s="28">
        <v>3850.0</v>
      </c>
      <c r="R180" s="28">
        <v>3300.0</v>
      </c>
      <c r="S180" s="28">
        <v>2000.0</v>
      </c>
      <c r="U180" s="28">
        <v>0.3</v>
      </c>
      <c r="V180" s="28">
        <v>1.0</v>
      </c>
      <c r="W180" s="26" t="s">
        <v>242</v>
      </c>
      <c r="X180" s="26" t="s">
        <v>930</v>
      </c>
    </row>
    <row r="181">
      <c r="A181" s="28">
        <v>177.0</v>
      </c>
      <c r="B181" s="26" t="s">
        <v>931</v>
      </c>
      <c r="C181" s="26" t="s">
        <v>126</v>
      </c>
      <c r="D181" s="26" t="s">
        <v>928</v>
      </c>
      <c r="E181" s="26" t="s">
        <v>109</v>
      </c>
      <c r="F181" s="26" t="s">
        <v>929</v>
      </c>
      <c r="G181" s="28">
        <v>0.0</v>
      </c>
      <c r="H181" s="26" t="s">
        <v>120</v>
      </c>
      <c r="I181" s="28">
        <v>8800.0</v>
      </c>
      <c r="J181" s="28">
        <v>3700.0</v>
      </c>
      <c r="K181" s="28">
        <v>6850.0</v>
      </c>
      <c r="L181" s="28">
        <v>2800.0</v>
      </c>
      <c r="M181" s="28">
        <v>1750.0</v>
      </c>
      <c r="N181" s="28">
        <v>12750.0</v>
      </c>
      <c r="O181" s="28">
        <v>5700.0</v>
      </c>
      <c r="P181" s="28">
        <v>19350.0</v>
      </c>
      <c r="Q181" s="28">
        <v>3100.0</v>
      </c>
      <c r="R181" s="28">
        <v>2650.0</v>
      </c>
      <c r="S181" s="28">
        <v>1600.0</v>
      </c>
      <c r="U181" s="28">
        <v>0.3</v>
      </c>
      <c r="V181" s="28">
        <v>1.0</v>
      </c>
      <c r="W181" s="26" t="s">
        <v>242</v>
      </c>
      <c r="X181" s="26" t="s">
        <v>932</v>
      </c>
    </row>
    <row r="182">
      <c r="A182" s="28">
        <v>178.0</v>
      </c>
      <c r="B182" s="26" t="s">
        <v>933</v>
      </c>
      <c r="C182" s="26" t="s">
        <v>126</v>
      </c>
      <c r="D182" s="26" t="s">
        <v>928</v>
      </c>
      <c r="E182" s="26" t="s">
        <v>109</v>
      </c>
      <c r="F182" s="26" t="s">
        <v>929</v>
      </c>
      <c r="G182" s="28">
        <v>0.0</v>
      </c>
      <c r="H182" s="26" t="s">
        <v>120</v>
      </c>
      <c r="I182" s="28">
        <v>8800.0</v>
      </c>
      <c r="J182" s="28">
        <v>3700.0</v>
      </c>
      <c r="K182" s="28">
        <v>6850.0</v>
      </c>
      <c r="L182" s="28">
        <v>2800.0</v>
      </c>
      <c r="M182" s="28">
        <v>1750.0</v>
      </c>
      <c r="N182" s="28">
        <v>12750.0</v>
      </c>
      <c r="O182" s="28">
        <v>5700.0</v>
      </c>
      <c r="P182" s="28">
        <v>19350.0</v>
      </c>
      <c r="Q182" s="28">
        <v>3100.0</v>
      </c>
      <c r="R182" s="28">
        <v>2650.0</v>
      </c>
      <c r="S182" s="28">
        <v>1600.0</v>
      </c>
      <c r="U182" s="28">
        <v>0.3</v>
      </c>
      <c r="V182" s="28">
        <v>1.0</v>
      </c>
      <c r="W182" s="26" t="s">
        <v>242</v>
      </c>
      <c r="X182" s="26" t="s">
        <v>934</v>
      </c>
    </row>
    <row r="183">
      <c r="A183" s="28">
        <v>179.0</v>
      </c>
      <c r="B183" s="26" t="s">
        <v>935</v>
      </c>
      <c r="C183" s="26" t="s">
        <v>126</v>
      </c>
      <c r="D183" s="26" t="s">
        <v>928</v>
      </c>
      <c r="E183" s="26" t="s">
        <v>109</v>
      </c>
      <c r="F183" s="26" t="s">
        <v>929</v>
      </c>
      <c r="G183" s="28">
        <v>1.0</v>
      </c>
      <c r="H183" s="26" t="s">
        <v>120</v>
      </c>
      <c r="I183" s="28">
        <v>8800.0</v>
      </c>
      <c r="J183" s="28">
        <v>3700.0</v>
      </c>
      <c r="K183" s="28">
        <v>6850.0</v>
      </c>
      <c r="L183" s="28">
        <v>2800.0</v>
      </c>
      <c r="M183" s="28">
        <v>1750.0</v>
      </c>
      <c r="N183" s="28">
        <v>12750.0</v>
      </c>
      <c r="O183" s="28">
        <v>5700.0</v>
      </c>
      <c r="P183" s="28">
        <v>19350.0</v>
      </c>
      <c r="Q183" s="28">
        <v>3100.0</v>
      </c>
      <c r="R183" s="28">
        <v>2650.0</v>
      </c>
      <c r="S183" s="28">
        <v>1600.0</v>
      </c>
      <c r="U183" s="28">
        <v>0.3</v>
      </c>
      <c r="V183" s="28">
        <v>1.0</v>
      </c>
      <c r="W183" s="26" t="s">
        <v>113</v>
      </c>
      <c r="X183" s="26" t="s">
        <v>936</v>
      </c>
      <c r="AE183" s="29" t="s">
        <v>937</v>
      </c>
    </row>
    <row r="184">
      <c r="A184" s="28">
        <v>180.0</v>
      </c>
      <c r="B184" s="26" t="s">
        <v>938</v>
      </c>
      <c r="C184" s="26" t="s">
        <v>126</v>
      </c>
      <c r="D184" s="26" t="s">
        <v>928</v>
      </c>
      <c r="E184" s="26" t="s">
        <v>109</v>
      </c>
      <c r="F184" s="26" t="s">
        <v>929</v>
      </c>
      <c r="G184" s="28">
        <v>2.0</v>
      </c>
      <c r="H184" s="26" t="s">
        <v>120</v>
      </c>
      <c r="I184" s="28">
        <v>8800.0</v>
      </c>
      <c r="J184" s="28">
        <v>3700.0</v>
      </c>
      <c r="K184" s="28">
        <v>6850.0</v>
      </c>
      <c r="L184" s="28">
        <v>2800.0</v>
      </c>
      <c r="M184" s="28">
        <v>1750.0</v>
      </c>
      <c r="N184" s="28">
        <v>12750.0</v>
      </c>
      <c r="O184" s="28">
        <v>5700.0</v>
      </c>
      <c r="P184" s="28">
        <v>19350.0</v>
      </c>
      <c r="Q184" s="28">
        <v>3100.0</v>
      </c>
      <c r="R184" s="28">
        <v>2650.0</v>
      </c>
      <c r="S184" s="28">
        <v>1600.0</v>
      </c>
      <c r="U184" s="28">
        <v>0.3</v>
      </c>
      <c r="V184" s="28">
        <v>1.0</v>
      </c>
      <c r="W184" s="26" t="s">
        <v>121</v>
      </c>
      <c r="X184" s="26" t="s">
        <v>939</v>
      </c>
      <c r="AB184" s="29" t="s">
        <v>940</v>
      </c>
      <c r="AE184" s="29" t="s">
        <v>941</v>
      </c>
    </row>
    <row r="185">
      <c r="A185" s="28">
        <v>181.0</v>
      </c>
      <c r="B185" s="26" t="s">
        <v>942</v>
      </c>
      <c r="C185" s="26" t="s">
        <v>943</v>
      </c>
      <c r="D185" s="26" t="s">
        <v>944</v>
      </c>
      <c r="E185" s="26" t="s">
        <v>944</v>
      </c>
      <c r="G185" s="28">
        <v>6.0</v>
      </c>
      <c r="H185" s="26" t="s">
        <v>111</v>
      </c>
      <c r="I185" s="28">
        <v>11000.0</v>
      </c>
      <c r="J185" s="28">
        <v>4600.0</v>
      </c>
      <c r="K185" s="28">
        <v>8600.0</v>
      </c>
      <c r="L185" s="28">
        <v>3500.0</v>
      </c>
      <c r="M185" s="28">
        <v>2200.0</v>
      </c>
      <c r="N185" s="28">
        <v>15950.0</v>
      </c>
      <c r="O185" s="28">
        <v>7150.0</v>
      </c>
      <c r="P185" s="28">
        <v>24200.0</v>
      </c>
      <c r="Q185" s="28">
        <v>3850.0</v>
      </c>
      <c r="R185" s="28">
        <v>3300.0</v>
      </c>
      <c r="S185" s="28">
        <v>2000.0</v>
      </c>
      <c r="U185" s="28">
        <v>0.3</v>
      </c>
      <c r="V185" s="28">
        <v>1.0</v>
      </c>
      <c r="W185" s="26" t="s">
        <v>234</v>
      </c>
      <c r="X185" s="26" t="s">
        <v>945</v>
      </c>
      <c r="Y185" s="29" t="s">
        <v>946</v>
      </c>
      <c r="Z185" s="29" t="s">
        <v>947</v>
      </c>
      <c r="AA185" s="29" t="s">
        <v>948</v>
      </c>
      <c r="AB185" s="29" t="s">
        <v>949</v>
      </c>
      <c r="AC185" s="29" t="s">
        <v>950</v>
      </c>
      <c r="AD185" s="29" t="s">
        <v>951</v>
      </c>
      <c r="AF185" s="29" t="s">
        <v>952</v>
      </c>
    </row>
    <row r="186">
      <c r="A186" s="28">
        <v>182.0</v>
      </c>
      <c r="B186" s="26" t="s">
        <v>953</v>
      </c>
      <c r="C186" s="26" t="s">
        <v>943</v>
      </c>
      <c r="D186" s="26" t="s">
        <v>944</v>
      </c>
      <c r="E186" s="26" t="s">
        <v>944</v>
      </c>
      <c r="F186" s="26" t="s">
        <v>157</v>
      </c>
      <c r="G186" s="28">
        <v>4.0</v>
      </c>
      <c r="H186" s="26" t="s">
        <v>111</v>
      </c>
      <c r="I186" s="28">
        <v>8100.0</v>
      </c>
      <c r="J186" s="28">
        <v>3200.0</v>
      </c>
      <c r="K186" s="28">
        <v>6350.0</v>
      </c>
      <c r="L186" s="28">
        <v>2600.0</v>
      </c>
      <c r="M186" s="28">
        <v>1600.0</v>
      </c>
      <c r="N186" s="28">
        <v>11800.0</v>
      </c>
      <c r="O186" s="28">
        <v>5300.0</v>
      </c>
      <c r="P186" s="28">
        <v>17900.0</v>
      </c>
      <c r="Q186" s="28">
        <v>2850.0</v>
      </c>
      <c r="R186" s="28">
        <v>2450.0</v>
      </c>
      <c r="S186" s="28">
        <v>1450.0</v>
      </c>
      <c r="U186" s="28">
        <v>0.3</v>
      </c>
      <c r="V186" s="28">
        <v>1.0</v>
      </c>
      <c r="W186" s="26" t="s">
        <v>136</v>
      </c>
      <c r="X186" s="26" t="s">
        <v>954</v>
      </c>
      <c r="Y186" s="29" t="s">
        <v>955</v>
      </c>
      <c r="Z186" s="29" t="s">
        <v>956</v>
      </c>
      <c r="AA186" s="29" t="s">
        <v>957</v>
      </c>
      <c r="AB186" s="29" t="s">
        <v>958</v>
      </c>
    </row>
    <row r="187">
      <c r="A187" s="28">
        <v>183.0</v>
      </c>
      <c r="B187" s="26" t="s">
        <v>959</v>
      </c>
      <c r="C187" s="26" t="s">
        <v>943</v>
      </c>
      <c r="D187" s="26" t="s">
        <v>944</v>
      </c>
      <c r="E187" s="26" t="s">
        <v>944</v>
      </c>
      <c r="F187" s="26" t="s">
        <v>157</v>
      </c>
      <c r="G187" s="28">
        <v>4.0</v>
      </c>
      <c r="H187" s="26" t="s">
        <v>111</v>
      </c>
      <c r="I187" s="28">
        <v>7450.0</v>
      </c>
      <c r="J187" s="28">
        <v>3150.0</v>
      </c>
      <c r="K187" s="28">
        <v>5850.0</v>
      </c>
      <c r="L187" s="28">
        <v>2400.0</v>
      </c>
      <c r="M187" s="28">
        <v>1500.0</v>
      </c>
      <c r="N187" s="28">
        <v>10850.0</v>
      </c>
      <c r="O187" s="28">
        <v>4850.0</v>
      </c>
      <c r="P187" s="28">
        <v>16450.0</v>
      </c>
      <c r="Q187" s="28">
        <v>2600.0</v>
      </c>
      <c r="R187" s="28">
        <v>2250.0</v>
      </c>
      <c r="S187" s="28">
        <v>1350.0</v>
      </c>
      <c r="U187" s="28">
        <v>0.3</v>
      </c>
      <c r="V187" s="28">
        <v>1.0</v>
      </c>
      <c r="W187" s="26" t="s">
        <v>136</v>
      </c>
      <c r="X187" s="26" t="s">
        <v>960</v>
      </c>
      <c r="Y187" s="29" t="s">
        <v>961</v>
      </c>
      <c r="Z187" s="29" t="s">
        <v>962</v>
      </c>
      <c r="AA187" s="29" t="s">
        <v>963</v>
      </c>
      <c r="AD187" s="29" t="s">
        <v>964</v>
      </c>
    </row>
    <row r="188">
      <c r="A188" s="28">
        <v>184.0</v>
      </c>
      <c r="B188" s="26" t="s">
        <v>965</v>
      </c>
      <c r="C188" s="26" t="s">
        <v>943</v>
      </c>
      <c r="D188" s="26" t="s">
        <v>944</v>
      </c>
      <c r="E188" s="26" t="s">
        <v>944</v>
      </c>
      <c r="F188" s="26" t="s">
        <v>157</v>
      </c>
      <c r="G188" s="28">
        <v>3.0</v>
      </c>
      <c r="H188" s="26" t="s">
        <v>111</v>
      </c>
      <c r="I188" s="28">
        <v>5200.0</v>
      </c>
      <c r="J188" s="28">
        <v>2200.0</v>
      </c>
      <c r="K188" s="28">
        <v>4050.0</v>
      </c>
      <c r="L188" s="28">
        <v>1650.0</v>
      </c>
      <c r="M188" s="28">
        <v>1050.0</v>
      </c>
      <c r="N188" s="28">
        <v>7550.0</v>
      </c>
      <c r="O188" s="28">
        <v>3400.0</v>
      </c>
      <c r="P188" s="28">
        <v>11450.0</v>
      </c>
      <c r="Q188" s="28">
        <v>1800.0</v>
      </c>
      <c r="R188" s="28">
        <v>1550.0</v>
      </c>
      <c r="S188" s="28">
        <v>950.0</v>
      </c>
      <c r="U188" s="28">
        <v>0.3</v>
      </c>
      <c r="V188" s="28">
        <v>1.0</v>
      </c>
      <c r="W188" s="26" t="s">
        <v>150</v>
      </c>
      <c r="X188" s="26" t="s">
        <v>966</v>
      </c>
      <c r="Y188" s="29" t="s">
        <v>967</v>
      </c>
      <c r="AA188" s="29" t="s">
        <v>968</v>
      </c>
      <c r="AD188" s="29" t="s">
        <v>969</v>
      </c>
      <c r="AE188" s="29" t="s">
        <v>970</v>
      </c>
      <c r="AF188" s="29" t="s">
        <v>971</v>
      </c>
    </row>
    <row r="189">
      <c r="A189" s="28">
        <v>185.0</v>
      </c>
      <c r="B189" s="26" t="s">
        <v>972</v>
      </c>
      <c r="C189" s="26" t="s">
        <v>943</v>
      </c>
      <c r="D189" s="26" t="s">
        <v>944</v>
      </c>
      <c r="E189" s="26" t="s">
        <v>944</v>
      </c>
      <c r="F189" s="26" t="s">
        <v>973</v>
      </c>
      <c r="G189" s="28">
        <v>5.0</v>
      </c>
      <c r="H189" s="26" t="s">
        <v>111</v>
      </c>
      <c r="I189" s="28">
        <v>8100.0</v>
      </c>
      <c r="J189" s="28">
        <v>3400.0</v>
      </c>
      <c r="K189" s="28">
        <v>6350.0</v>
      </c>
      <c r="L189" s="28">
        <v>2600.0</v>
      </c>
      <c r="M189" s="28">
        <v>1600.0</v>
      </c>
      <c r="N189" s="28">
        <v>11800.0</v>
      </c>
      <c r="O189" s="28">
        <v>5300.0</v>
      </c>
      <c r="P189" s="28">
        <v>17900.0</v>
      </c>
      <c r="Q189" s="28">
        <v>2850.0</v>
      </c>
      <c r="R189" s="28">
        <v>2450.0</v>
      </c>
      <c r="S189" s="28">
        <v>1450.0</v>
      </c>
      <c r="U189" s="28">
        <v>0.3</v>
      </c>
      <c r="V189" s="28">
        <v>1.0</v>
      </c>
      <c r="W189" s="26" t="s">
        <v>218</v>
      </c>
      <c r="X189" s="26" t="s">
        <v>974</v>
      </c>
      <c r="Y189" s="29" t="s">
        <v>975</v>
      </c>
      <c r="Z189" s="29" t="s">
        <v>976</v>
      </c>
      <c r="AA189" s="29" t="s">
        <v>977</v>
      </c>
      <c r="AB189" s="29" t="s">
        <v>978</v>
      </c>
      <c r="AC189" s="29" t="s">
        <v>979</v>
      </c>
    </row>
    <row r="190">
      <c r="A190" s="28">
        <v>186.0</v>
      </c>
      <c r="B190" s="26" t="s">
        <v>980</v>
      </c>
      <c r="C190" s="26" t="s">
        <v>943</v>
      </c>
      <c r="D190" s="26" t="s">
        <v>944</v>
      </c>
      <c r="E190" s="26" t="s">
        <v>944</v>
      </c>
      <c r="F190" s="26" t="s">
        <v>157</v>
      </c>
      <c r="G190" s="28">
        <v>5.0</v>
      </c>
      <c r="H190" s="26" t="s">
        <v>111</v>
      </c>
      <c r="I190" s="28">
        <v>7450.0</v>
      </c>
      <c r="J190" s="28">
        <v>3150.0</v>
      </c>
      <c r="K190" s="28">
        <v>5850.0</v>
      </c>
      <c r="L190" s="28">
        <v>2400.0</v>
      </c>
      <c r="M190" s="28">
        <v>1500.0</v>
      </c>
      <c r="N190" s="28">
        <v>10850.0</v>
      </c>
      <c r="O190" s="28">
        <v>4850.0</v>
      </c>
      <c r="P190" s="28">
        <v>16450.0</v>
      </c>
      <c r="Q190" s="28">
        <v>2600.0</v>
      </c>
      <c r="R190" s="28">
        <v>2250.0</v>
      </c>
      <c r="S190" s="28">
        <v>1350.0</v>
      </c>
      <c r="U190" s="28">
        <v>0.3</v>
      </c>
      <c r="V190" s="28">
        <v>1.0</v>
      </c>
      <c r="W190" s="26" t="s">
        <v>218</v>
      </c>
      <c r="X190" s="26" t="s">
        <v>981</v>
      </c>
      <c r="Y190" s="29" t="s">
        <v>982</v>
      </c>
      <c r="Z190" s="29" t="s">
        <v>983</v>
      </c>
      <c r="AB190" s="29" t="s">
        <v>984</v>
      </c>
      <c r="AC190" s="29" t="s">
        <v>985</v>
      </c>
      <c r="AD190" s="29" t="s">
        <v>986</v>
      </c>
      <c r="AF190" s="29" t="s">
        <v>987</v>
      </c>
    </row>
    <row r="191">
      <c r="A191" s="28">
        <v>187.0</v>
      </c>
      <c r="B191" s="26" t="s">
        <v>988</v>
      </c>
      <c r="C191" s="26" t="s">
        <v>126</v>
      </c>
      <c r="D191" s="26" t="s">
        <v>118</v>
      </c>
      <c r="E191" s="26" t="s">
        <v>118</v>
      </c>
      <c r="F191" s="26" t="s">
        <v>110</v>
      </c>
      <c r="G191" s="28">
        <v>2.0</v>
      </c>
      <c r="H191" s="26" t="s">
        <v>120</v>
      </c>
      <c r="I191" s="28">
        <v>5700.0</v>
      </c>
      <c r="J191" s="28">
        <v>8500.0</v>
      </c>
      <c r="K191" s="28">
        <v>3500.0</v>
      </c>
      <c r="L191" s="28">
        <v>2100.0</v>
      </c>
      <c r="M191" s="28">
        <v>13500.0</v>
      </c>
      <c r="N191" s="28">
        <v>6300.0</v>
      </c>
      <c r="O191" s="26" t="s">
        <v>112</v>
      </c>
      <c r="P191" s="26" t="s">
        <v>112</v>
      </c>
      <c r="Q191" s="28">
        <v>18000.0</v>
      </c>
      <c r="R191" s="28">
        <v>1710.0</v>
      </c>
      <c r="S191" s="28">
        <v>3420.0</v>
      </c>
      <c r="T191" s="28">
        <v>1282.0</v>
      </c>
      <c r="U191" s="28">
        <v>0.75</v>
      </c>
      <c r="V191" s="28">
        <v>1.0</v>
      </c>
    </row>
    <row r="192">
      <c r="A192" s="28">
        <v>188.0</v>
      </c>
      <c r="B192" s="26" t="s">
        <v>989</v>
      </c>
      <c r="C192" s="26" t="s">
        <v>943</v>
      </c>
      <c r="D192" s="26" t="s">
        <v>944</v>
      </c>
      <c r="E192" s="26" t="s">
        <v>944</v>
      </c>
      <c r="F192" s="26" t="s">
        <v>157</v>
      </c>
      <c r="G192" s="28">
        <v>3.0</v>
      </c>
      <c r="H192" s="26" t="s">
        <v>120</v>
      </c>
      <c r="I192" s="28">
        <v>8500.0</v>
      </c>
      <c r="J192" s="28">
        <v>12000.0</v>
      </c>
      <c r="K192" s="28">
        <v>5000.0</v>
      </c>
      <c r="L192" s="28">
        <v>3000.0</v>
      </c>
      <c r="M192" s="26" t="s">
        <v>112</v>
      </c>
      <c r="N192" s="26" t="s">
        <v>112</v>
      </c>
      <c r="O192" s="26" t="s">
        <v>112</v>
      </c>
      <c r="P192" s="26" t="s">
        <v>112</v>
      </c>
      <c r="Q192" s="28">
        <v>15000.0</v>
      </c>
      <c r="R192" s="28">
        <v>1700.0</v>
      </c>
      <c r="S192" s="28">
        <v>3400.0</v>
      </c>
      <c r="T192" s="28">
        <v>1275.0</v>
      </c>
      <c r="U192" s="28">
        <v>0.3</v>
      </c>
      <c r="V192" s="28">
        <v>1.0</v>
      </c>
    </row>
  </sheetData>
  <hyperlinks>
    <hyperlink r:id="rId1" ref="Y5"/>
    <hyperlink r:id="rId2" ref="Y6"/>
    <hyperlink r:id="rId3" ref="AA6"/>
    <hyperlink r:id="rId4" ref="Y7"/>
    <hyperlink r:id="rId5" ref="AA7"/>
    <hyperlink r:id="rId6" ref="Y8"/>
    <hyperlink r:id="rId7" ref="AA8"/>
    <hyperlink r:id="rId8" ref="AB8"/>
    <hyperlink r:id="rId9" ref="AC8"/>
    <hyperlink r:id="rId10" ref="Y9"/>
    <hyperlink r:id="rId11" ref="AA9"/>
    <hyperlink r:id="rId12" ref="Y10"/>
    <hyperlink r:id="rId13" ref="Z10"/>
    <hyperlink r:id="rId14" ref="AA10"/>
    <hyperlink r:id="rId15" ref="Y11"/>
    <hyperlink r:id="rId16" ref="Y12"/>
    <hyperlink r:id="rId17" ref="Y13"/>
    <hyperlink r:id="rId18" ref="Z13"/>
    <hyperlink r:id="rId19" ref="AA13"/>
    <hyperlink r:id="rId20" ref="Y14"/>
    <hyperlink r:id="rId21" ref="AA14"/>
    <hyperlink r:id="rId22" ref="Y15"/>
    <hyperlink r:id="rId23" ref="Z15"/>
    <hyperlink r:id="rId24" ref="AA15"/>
    <hyperlink r:id="rId25" ref="Y16"/>
    <hyperlink r:id="rId26" ref="Z16"/>
    <hyperlink r:id="rId27" ref="AA16"/>
    <hyperlink r:id="rId28" ref="Y17"/>
    <hyperlink r:id="rId29" ref="Y18"/>
    <hyperlink r:id="rId30" ref="Z18"/>
    <hyperlink r:id="rId31" ref="AA18"/>
    <hyperlink r:id="rId32" ref="Y19"/>
    <hyperlink r:id="rId33" ref="AA19"/>
    <hyperlink r:id="rId34" ref="Y20"/>
    <hyperlink r:id="rId35" ref="AA20"/>
    <hyperlink r:id="rId36" ref="Y21"/>
    <hyperlink r:id="rId37" ref="Z21"/>
    <hyperlink r:id="rId38" ref="AA21"/>
    <hyperlink r:id="rId39" ref="AB21"/>
    <hyperlink r:id="rId40" ref="Y22"/>
    <hyperlink r:id="rId41" ref="Y23"/>
    <hyperlink r:id="rId42" ref="AA23"/>
    <hyperlink r:id="rId43" ref="Y24"/>
    <hyperlink r:id="rId44" ref="AA24"/>
    <hyperlink r:id="rId45" ref="Y25"/>
    <hyperlink r:id="rId46" ref="Z25"/>
    <hyperlink r:id="rId47" ref="AA25"/>
    <hyperlink r:id="rId48" ref="AB25"/>
    <hyperlink r:id="rId49" ref="AC25"/>
    <hyperlink r:id="rId50" ref="Y26"/>
    <hyperlink r:id="rId51" ref="Z26"/>
    <hyperlink r:id="rId52" ref="AA26"/>
    <hyperlink r:id="rId53" ref="AB26"/>
    <hyperlink r:id="rId54" ref="AE26"/>
    <hyperlink r:id="rId55" ref="Y27"/>
    <hyperlink r:id="rId56" ref="Z27"/>
    <hyperlink r:id="rId57" ref="AA27"/>
    <hyperlink r:id="rId58" ref="AB27"/>
    <hyperlink r:id="rId59" ref="AD27"/>
    <hyperlink r:id="rId60" ref="AE27"/>
    <hyperlink r:id="rId61" ref="Y29"/>
    <hyperlink r:id="rId62" ref="Z29"/>
    <hyperlink r:id="rId63" ref="AA29"/>
    <hyperlink r:id="rId64" ref="Y30"/>
    <hyperlink r:id="rId65" ref="Z30"/>
    <hyperlink r:id="rId66" ref="Y31"/>
    <hyperlink r:id="rId67" ref="Z31"/>
    <hyperlink r:id="rId68" ref="AA31"/>
    <hyperlink r:id="rId69" ref="AB31"/>
    <hyperlink r:id="rId70" ref="Y32"/>
    <hyperlink r:id="rId71" ref="Z32"/>
    <hyperlink r:id="rId72" ref="AA32"/>
    <hyperlink r:id="rId73" ref="AB32"/>
    <hyperlink r:id="rId74" ref="AE32"/>
    <hyperlink r:id="rId75" ref="Y33"/>
    <hyperlink r:id="rId76" ref="Y34"/>
    <hyperlink r:id="rId77" ref="AA34"/>
    <hyperlink r:id="rId78" ref="Y35"/>
    <hyperlink r:id="rId79" ref="Z35"/>
    <hyperlink r:id="rId80" ref="Y36"/>
    <hyperlink r:id="rId81" ref="AA36"/>
    <hyperlink r:id="rId82" ref="Y37"/>
    <hyperlink r:id="rId83" ref="Y38"/>
    <hyperlink r:id="rId84" ref="AA38"/>
    <hyperlink r:id="rId85" ref="Y39"/>
    <hyperlink r:id="rId86" ref="AA39"/>
    <hyperlink r:id="rId87" ref="AB39"/>
    <hyperlink r:id="rId88" ref="Y40"/>
    <hyperlink r:id="rId89" ref="Z40"/>
    <hyperlink r:id="rId90" ref="AA40"/>
    <hyperlink r:id="rId91" ref="AB40"/>
    <hyperlink r:id="rId92" ref="Y41"/>
    <hyperlink r:id="rId93" ref="Z41"/>
    <hyperlink r:id="rId94" ref="Y42"/>
    <hyperlink r:id="rId95" ref="Y43"/>
    <hyperlink r:id="rId96" ref="AE43"/>
    <hyperlink r:id="rId97" ref="Y44"/>
    <hyperlink r:id="rId98" ref="AA44"/>
    <hyperlink r:id="rId99" ref="Y45"/>
    <hyperlink r:id="rId100" ref="AA45"/>
    <hyperlink r:id="rId101" ref="Y46"/>
    <hyperlink r:id="rId102" ref="AA46"/>
    <hyperlink r:id="rId103" ref="AE46"/>
    <hyperlink r:id="rId104" ref="Y47"/>
    <hyperlink r:id="rId105" ref="AA47"/>
    <hyperlink r:id="rId106" ref="Y48"/>
    <hyperlink r:id="rId107" ref="AA48"/>
    <hyperlink r:id="rId108" ref="Y49"/>
    <hyperlink r:id="rId109" ref="AA49"/>
    <hyperlink r:id="rId110" ref="AE49"/>
    <hyperlink r:id="rId111" ref="Y50"/>
    <hyperlink r:id="rId112" ref="Y51"/>
    <hyperlink r:id="rId113" ref="AA51"/>
    <hyperlink r:id="rId114" ref="Y52"/>
    <hyperlink r:id="rId115" ref="Y53"/>
    <hyperlink r:id="rId116" ref="AA53"/>
    <hyperlink r:id="rId117" ref="AB53"/>
    <hyperlink r:id="rId118" ref="AC53"/>
    <hyperlink r:id="rId119" ref="Y54"/>
    <hyperlink r:id="rId120" ref="Y55"/>
    <hyperlink r:id="rId121" ref="Z55"/>
    <hyperlink r:id="rId122" ref="AA55"/>
    <hyperlink r:id="rId123" ref="AB55"/>
    <hyperlink r:id="rId124" ref="Y57"/>
    <hyperlink r:id="rId125" ref="Z57"/>
    <hyperlink r:id="rId126" ref="Y59"/>
    <hyperlink r:id="rId127" ref="Y60"/>
    <hyperlink r:id="rId128" ref="Z60"/>
    <hyperlink r:id="rId129" ref="AE60"/>
    <hyperlink r:id="rId130" ref="Y61"/>
    <hyperlink r:id="rId131" ref="Y62"/>
    <hyperlink r:id="rId132" ref="AA62"/>
    <hyperlink r:id="rId133" ref="AB62"/>
    <hyperlink r:id="rId134" ref="Y63"/>
    <hyperlink r:id="rId135" ref="AB63"/>
    <hyperlink r:id="rId136" ref="Y64"/>
    <hyperlink r:id="rId137" ref="Y65"/>
    <hyperlink r:id="rId138" ref="AA65"/>
    <hyperlink r:id="rId139" ref="Y66"/>
    <hyperlink r:id="rId140" ref="Y67"/>
    <hyperlink r:id="rId141" ref="AA67"/>
    <hyperlink r:id="rId142" ref="Y68"/>
    <hyperlink r:id="rId143" ref="Y69"/>
    <hyperlink r:id="rId144" ref="AA69"/>
    <hyperlink r:id="rId145" ref="AB69"/>
    <hyperlink r:id="rId146" ref="Y70"/>
    <hyperlink r:id="rId147" ref="Z70"/>
    <hyperlink r:id="rId148" ref="AA70"/>
    <hyperlink r:id="rId149" ref="Y71"/>
    <hyperlink r:id="rId150" ref="Z71"/>
    <hyperlink r:id="rId151" ref="AA71"/>
    <hyperlink r:id="rId152" ref="AB71"/>
    <hyperlink r:id="rId153" ref="Y72"/>
    <hyperlink r:id="rId154" ref="Z72"/>
    <hyperlink r:id="rId155" ref="AA72"/>
    <hyperlink r:id="rId156" ref="AB72"/>
    <hyperlink r:id="rId157" ref="Y73"/>
    <hyperlink r:id="rId158" ref="Z73"/>
    <hyperlink r:id="rId159" ref="AA73"/>
    <hyperlink r:id="rId160" ref="AB73"/>
    <hyperlink r:id="rId161" ref="Y74"/>
    <hyperlink r:id="rId162" ref="AA74"/>
    <hyperlink r:id="rId163" ref="AB74"/>
    <hyperlink r:id="rId164" ref="Z76"/>
    <hyperlink r:id="rId165" ref="AE76"/>
    <hyperlink r:id="rId166" ref="Z77"/>
    <hyperlink r:id="rId167" ref="AE77"/>
    <hyperlink r:id="rId168" ref="Z78"/>
    <hyperlink r:id="rId169" ref="AC78"/>
    <hyperlink r:id="rId170" ref="AE78"/>
    <hyperlink r:id="rId171" ref="Z79"/>
    <hyperlink r:id="rId172" ref="AC79"/>
    <hyperlink r:id="rId173" ref="AE79"/>
    <hyperlink r:id="rId174" ref="Z80"/>
    <hyperlink r:id="rId175" ref="AC80"/>
    <hyperlink r:id="rId176" ref="AE80"/>
    <hyperlink r:id="rId177" ref="Z81"/>
    <hyperlink r:id="rId178" ref="AC81"/>
    <hyperlink r:id="rId179" ref="Z82"/>
    <hyperlink r:id="rId180" ref="AE82"/>
    <hyperlink r:id="rId181" ref="Y84"/>
    <hyperlink r:id="rId182" ref="Z84"/>
    <hyperlink r:id="rId183" ref="AA84"/>
    <hyperlink r:id="rId184" ref="Y85"/>
    <hyperlink r:id="rId185" ref="Z85"/>
    <hyperlink r:id="rId186" ref="Y86"/>
    <hyperlink r:id="rId187" ref="Z86"/>
    <hyperlink r:id="rId188" ref="Y87"/>
    <hyperlink r:id="rId189" ref="Z87"/>
    <hyperlink r:id="rId190" ref="Y88"/>
    <hyperlink r:id="rId191" ref="Z88"/>
    <hyperlink r:id="rId192" ref="Z89"/>
    <hyperlink r:id="rId193" ref="Z90"/>
    <hyperlink r:id="rId194" ref="Z91"/>
    <hyperlink r:id="rId195" ref="Z92"/>
    <hyperlink r:id="rId196" ref="Z94"/>
    <hyperlink r:id="rId197" ref="Y97"/>
    <hyperlink r:id="rId198" ref="Z97"/>
    <hyperlink r:id="rId199" ref="AC97"/>
    <hyperlink r:id="rId200" ref="AE97"/>
    <hyperlink r:id="rId201" ref="Z98"/>
    <hyperlink r:id="rId202" ref="AC98"/>
    <hyperlink r:id="rId203" ref="AE98"/>
    <hyperlink r:id="rId204" ref="Z99"/>
    <hyperlink r:id="rId205" ref="AC99"/>
    <hyperlink r:id="rId206" ref="AE99"/>
    <hyperlink r:id="rId207" ref="Z100"/>
    <hyperlink r:id="rId208" ref="AC100"/>
    <hyperlink r:id="rId209" ref="AE100"/>
    <hyperlink r:id="rId210" ref="Z101"/>
    <hyperlink r:id="rId211" ref="AC101"/>
    <hyperlink r:id="rId212" ref="AE101"/>
    <hyperlink r:id="rId213" ref="Z102"/>
    <hyperlink r:id="rId214" ref="Z103"/>
    <hyperlink r:id="rId215" ref="Z104"/>
    <hyperlink r:id="rId216" ref="AC104"/>
    <hyperlink r:id="rId217" ref="Z105"/>
    <hyperlink r:id="rId218" ref="Z107"/>
    <hyperlink r:id="rId219" ref="Z108"/>
    <hyperlink r:id="rId220" ref="AB108"/>
    <hyperlink r:id="rId221" ref="AC108"/>
    <hyperlink r:id="rId222" ref="Z109"/>
    <hyperlink r:id="rId223" ref="AC109"/>
    <hyperlink r:id="rId224" ref="Z110"/>
    <hyperlink r:id="rId225" ref="AB110"/>
    <hyperlink r:id="rId226" ref="AC110"/>
    <hyperlink r:id="rId227" ref="Z111"/>
    <hyperlink r:id="rId228" ref="AC111"/>
    <hyperlink r:id="rId229" ref="Z112"/>
    <hyperlink r:id="rId230" ref="AB112"/>
    <hyperlink r:id="rId231" ref="AC112"/>
    <hyperlink r:id="rId232" ref="Z113"/>
    <hyperlink r:id="rId233" ref="AC113"/>
    <hyperlink r:id="rId234" ref="Z114"/>
    <hyperlink r:id="rId235" ref="AC114"/>
    <hyperlink r:id="rId236" ref="Z115"/>
    <hyperlink r:id="rId237" ref="AB115"/>
    <hyperlink r:id="rId238" ref="AC115"/>
    <hyperlink r:id="rId239" ref="Y117"/>
    <hyperlink r:id="rId240" ref="Z117"/>
    <hyperlink r:id="rId241" ref="AB117"/>
    <hyperlink r:id="rId242" ref="AC117"/>
    <hyperlink r:id="rId243" ref="AE117"/>
    <hyperlink r:id="rId244" ref="Y118"/>
    <hyperlink r:id="rId245" ref="AA118"/>
    <hyperlink r:id="rId246" ref="Y119"/>
    <hyperlink r:id="rId247" ref="AA119"/>
    <hyperlink r:id="rId248" ref="AB119"/>
    <hyperlink r:id="rId249" ref="Y120"/>
    <hyperlink r:id="rId250" ref="AA120"/>
    <hyperlink r:id="rId251" ref="Y121"/>
    <hyperlink r:id="rId252" ref="Z121"/>
    <hyperlink r:id="rId253" ref="Y122"/>
    <hyperlink r:id="rId254" ref="Z122"/>
    <hyperlink r:id="rId255" ref="AA122"/>
    <hyperlink r:id="rId256" ref="Y123"/>
    <hyperlink r:id="rId257" ref="AB123"/>
    <hyperlink r:id="rId258" ref="Y124"/>
    <hyperlink r:id="rId259" ref="Z124"/>
    <hyperlink r:id="rId260" ref="AA124"/>
    <hyperlink r:id="rId261" ref="Y125"/>
    <hyperlink r:id="rId262" ref="Z125"/>
    <hyperlink r:id="rId263" ref="AA125"/>
    <hyperlink r:id="rId264" ref="AB125"/>
    <hyperlink r:id="rId265" ref="Y126"/>
    <hyperlink r:id="rId266" ref="Z126"/>
    <hyperlink r:id="rId267" ref="AA126"/>
    <hyperlink r:id="rId268" ref="Y127"/>
    <hyperlink r:id="rId269" ref="Z127"/>
    <hyperlink r:id="rId270" ref="AA127"/>
    <hyperlink r:id="rId271" ref="AB127"/>
    <hyperlink r:id="rId272" ref="Y128"/>
    <hyperlink r:id="rId273" ref="Z128"/>
    <hyperlink r:id="rId274" ref="AA128"/>
    <hyperlink r:id="rId275" ref="AB128"/>
    <hyperlink r:id="rId276" ref="Y129"/>
    <hyperlink r:id="rId277" ref="Z129"/>
    <hyperlink r:id="rId278" ref="AA129"/>
    <hyperlink r:id="rId279" ref="AB129"/>
    <hyperlink r:id="rId280" ref="Y130"/>
    <hyperlink r:id="rId281" ref="Z130"/>
    <hyperlink r:id="rId282" ref="AA130"/>
    <hyperlink r:id="rId283" ref="AB130"/>
    <hyperlink r:id="rId284" ref="AD130"/>
    <hyperlink r:id="rId285" ref="Y131"/>
    <hyperlink r:id="rId286" ref="Z131"/>
    <hyperlink r:id="rId287" ref="AA131"/>
    <hyperlink r:id="rId288" ref="Y132"/>
    <hyperlink r:id="rId289" ref="Y134"/>
    <hyperlink r:id="rId290" ref="Z134"/>
    <hyperlink r:id="rId291" ref="AA134"/>
    <hyperlink r:id="rId292" ref="Y135"/>
    <hyperlink r:id="rId293" ref="Z135"/>
    <hyperlink r:id="rId294" ref="AA135"/>
    <hyperlink r:id="rId295" ref="Y136"/>
    <hyperlink r:id="rId296" ref="Y137"/>
    <hyperlink r:id="rId297" ref="Y138"/>
    <hyperlink r:id="rId298" ref="Z138"/>
    <hyperlink r:id="rId299" ref="AA138"/>
    <hyperlink r:id="rId300" ref="AB138"/>
    <hyperlink r:id="rId301" ref="Y140"/>
    <hyperlink r:id="rId302" ref="Y141"/>
    <hyperlink r:id="rId303" ref="Y142"/>
    <hyperlink r:id="rId304" ref="AA142"/>
    <hyperlink r:id="rId305" ref="Y143"/>
    <hyperlink r:id="rId306" ref="AA143"/>
    <hyperlink r:id="rId307" ref="Y144"/>
    <hyperlink r:id="rId308" ref="AA144"/>
    <hyperlink r:id="rId309" ref="Y145"/>
    <hyperlink r:id="rId310" ref="Z145"/>
    <hyperlink r:id="rId311" ref="Z146"/>
    <hyperlink r:id="rId312" ref="Y147"/>
    <hyperlink r:id="rId313" ref="Z147"/>
    <hyperlink r:id="rId314" ref="AA147"/>
    <hyperlink r:id="rId315" ref="Y148"/>
    <hyperlink r:id="rId316" ref="Y149"/>
    <hyperlink r:id="rId317" ref="AA149"/>
    <hyperlink r:id="rId318" ref="Y150"/>
    <hyperlink r:id="rId319" ref="AA150"/>
    <hyperlink r:id="rId320" ref="AB150"/>
    <hyperlink r:id="rId321" ref="Y151"/>
    <hyperlink r:id="rId322" ref="Y152"/>
    <hyperlink r:id="rId323" ref="Y153"/>
    <hyperlink r:id="rId324" ref="AA153"/>
    <hyperlink r:id="rId325" ref="Y154"/>
    <hyperlink r:id="rId326" ref="Y155"/>
    <hyperlink r:id="rId327" ref="Z155"/>
    <hyperlink r:id="rId328" ref="Y156"/>
    <hyperlink r:id="rId329" ref="Y157"/>
    <hyperlink r:id="rId330" ref="Y158"/>
    <hyperlink r:id="rId331" ref="Y159"/>
    <hyperlink r:id="rId332" ref="AA159"/>
    <hyperlink r:id="rId333" ref="AE159"/>
    <hyperlink r:id="rId334" ref="Y160"/>
    <hyperlink r:id="rId335" ref="AA160"/>
    <hyperlink r:id="rId336" ref="Y161"/>
    <hyperlink r:id="rId337" ref="Y162"/>
    <hyperlink r:id="rId338" ref="AA162"/>
    <hyperlink r:id="rId339" ref="Y163"/>
    <hyperlink r:id="rId340" ref="Y164"/>
    <hyperlink r:id="rId341" ref="Z164"/>
    <hyperlink r:id="rId342" ref="AA164"/>
    <hyperlink r:id="rId343" ref="AB164"/>
    <hyperlink r:id="rId344" ref="AC164"/>
    <hyperlink r:id="rId345" ref="Y165"/>
    <hyperlink r:id="rId346" ref="Z165"/>
    <hyperlink r:id="rId347" ref="AA165"/>
    <hyperlink r:id="rId348" ref="AB165"/>
    <hyperlink r:id="rId349" ref="AE165"/>
    <hyperlink r:id="rId350" ref="Y166"/>
    <hyperlink r:id="rId351" ref="Y167"/>
    <hyperlink r:id="rId352" ref="Y168"/>
    <hyperlink r:id="rId353" ref="AA168"/>
    <hyperlink r:id="rId354" ref="Y169"/>
    <hyperlink r:id="rId355" ref="AA169"/>
    <hyperlink r:id="rId356" ref="AB169"/>
    <hyperlink r:id="rId357" ref="Y170"/>
    <hyperlink r:id="rId358" ref="AA170"/>
    <hyperlink r:id="rId359" ref="Y171"/>
    <hyperlink r:id="rId360" ref="AA171"/>
    <hyperlink r:id="rId361" ref="AB171"/>
    <hyperlink r:id="rId362" ref="Y172"/>
    <hyperlink r:id="rId363" ref="Z172"/>
    <hyperlink r:id="rId364" ref="AB172"/>
    <hyperlink r:id="rId365" ref="AC172"/>
    <hyperlink r:id="rId366" ref="AE172"/>
    <hyperlink r:id="rId367" ref="Z173"/>
    <hyperlink r:id="rId368" ref="AC173"/>
    <hyperlink r:id="rId369" ref="AE173"/>
    <hyperlink r:id="rId370" ref="Z174"/>
    <hyperlink r:id="rId371" ref="AE174"/>
    <hyperlink r:id="rId372" ref="Z175"/>
    <hyperlink r:id="rId373" ref="AC175"/>
    <hyperlink r:id="rId374" ref="AE175"/>
    <hyperlink r:id="rId375" ref="Y176"/>
    <hyperlink r:id="rId376" ref="AA176"/>
    <hyperlink r:id="rId377" ref="Y177"/>
    <hyperlink r:id="rId378" ref="Z177"/>
    <hyperlink r:id="rId379" ref="AA177"/>
    <hyperlink r:id="rId380" ref="AB177"/>
    <hyperlink r:id="rId381" ref="Y179"/>
    <hyperlink r:id="rId382" ref="Z179"/>
    <hyperlink r:id="rId383" ref="AE183"/>
    <hyperlink r:id="rId384" ref="AB184"/>
    <hyperlink r:id="rId385" ref="AE184"/>
    <hyperlink r:id="rId386" ref="Y185"/>
    <hyperlink r:id="rId387" ref="Z185"/>
    <hyperlink r:id="rId388" ref="AA185"/>
    <hyperlink r:id="rId389" ref="AB185"/>
    <hyperlink r:id="rId390" ref="AC185"/>
    <hyperlink r:id="rId391" ref="AD185"/>
    <hyperlink r:id="rId392" ref="AF185"/>
    <hyperlink r:id="rId393" ref="Y186"/>
    <hyperlink r:id="rId394" ref="Z186"/>
    <hyperlink r:id="rId395" ref="AA186"/>
    <hyperlink r:id="rId396" ref="AB186"/>
    <hyperlink r:id="rId397" ref="Y187"/>
    <hyperlink r:id="rId398" ref="Z187"/>
    <hyperlink r:id="rId399" ref="AA187"/>
    <hyperlink r:id="rId400" ref="AD187"/>
    <hyperlink r:id="rId401" ref="Y188"/>
    <hyperlink r:id="rId402" ref="AA188"/>
    <hyperlink r:id="rId403" ref="AD188"/>
    <hyperlink r:id="rId404" ref="AE188"/>
    <hyperlink r:id="rId405" ref="AF188"/>
    <hyperlink r:id="rId406" ref="Y189"/>
    <hyperlink r:id="rId407" ref="Z189"/>
    <hyperlink r:id="rId408" ref="AA189"/>
    <hyperlink r:id="rId409" ref="AB189"/>
    <hyperlink r:id="rId410" ref="AC189"/>
    <hyperlink r:id="rId411" ref="Y190"/>
    <hyperlink r:id="rId412" ref="Z190"/>
    <hyperlink r:id="rId413" ref="AB190"/>
    <hyperlink r:id="rId414" ref="AC190"/>
    <hyperlink r:id="rId415" ref="AD190"/>
    <hyperlink r:id="rId416" ref="AF190"/>
  </hyperlinks>
  <drawing r:id="rId41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5E1F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26" t="s">
        <v>990</v>
      </c>
    </row>
    <row r="4">
      <c r="A4" s="26" t="s">
        <v>70</v>
      </c>
      <c r="B4" s="26" t="s">
        <v>991</v>
      </c>
      <c r="C4" s="26" t="s">
        <v>992</v>
      </c>
      <c r="D4" s="26" t="s">
        <v>77</v>
      </c>
      <c r="E4" s="26" t="s">
        <v>993</v>
      </c>
      <c r="F4" s="26" t="s">
        <v>994</v>
      </c>
      <c r="G4" s="26" t="s">
        <v>995</v>
      </c>
      <c r="H4" s="26" t="s">
        <v>996</v>
      </c>
      <c r="I4" s="26" t="s">
        <v>997</v>
      </c>
      <c r="J4" s="26" t="s">
        <v>998</v>
      </c>
      <c r="K4" s="26" t="s">
        <v>999</v>
      </c>
      <c r="L4" s="26" t="s">
        <v>1000</v>
      </c>
      <c r="M4" s="26" t="s">
        <v>101</v>
      </c>
      <c r="N4" s="26" t="s">
        <v>1001</v>
      </c>
      <c r="O4" s="26" t="s">
        <v>1002</v>
      </c>
      <c r="P4" s="26" t="s">
        <v>1003</v>
      </c>
      <c r="Q4" s="26" t="s">
        <v>1004</v>
      </c>
      <c r="R4" s="26" t="s">
        <v>1005</v>
      </c>
      <c r="S4" s="26" t="s">
        <v>1006</v>
      </c>
      <c r="T4" s="26" t="s">
        <v>1007</v>
      </c>
      <c r="U4" s="26" t="s">
        <v>92</v>
      </c>
      <c r="V4" s="26" t="s">
        <v>1008</v>
      </c>
      <c r="W4" s="26" t="s">
        <v>103</v>
      </c>
      <c r="X4" s="26" t="s">
        <v>104</v>
      </c>
      <c r="Y4" s="26" t="s">
        <v>105</v>
      </c>
    </row>
    <row r="5">
      <c r="A5" s="28">
        <v>1.0</v>
      </c>
      <c r="B5" s="26" t="s">
        <v>1009</v>
      </c>
      <c r="C5" s="28">
        <v>75659.0</v>
      </c>
      <c r="D5" s="26" t="s">
        <v>127</v>
      </c>
      <c r="E5" s="28">
        <v>37500.0</v>
      </c>
      <c r="F5" s="28">
        <v>18750.0</v>
      </c>
      <c r="G5" s="28">
        <v>60000.0</v>
      </c>
      <c r="H5" s="28">
        <v>41250.0</v>
      </c>
      <c r="I5" s="28">
        <v>56250.0</v>
      </c>
      <c r="J5" s="28">
        <v>165000.0</v>
      </c>
      <c r="K5" s="28">
        <v>82500.0</v>
      </c>
      <c r="L5" s="28">
        <v>41250.0</v>
      </c>
      <c r="M5" s="28">
        <v>56250.0</v>
      </c>
      <c r="N5" s="28">
        <v>56250.0</v>
      </c>
      <c r="O5" s="28">
        <v>37500.0</v>
      </c>
      <c r="P5" s="28">
        <v>120000.0</v>
      </c>
      <c r="Q5" s="26" t="s">
        <v>112</v>
      </c>
      <c r="R5" s="26" t="s">
        <v>112</v>
      </c>
      <c r="S5" s="26" t="s">
        <v>112</v>
      </c>
      <c r="T5" s="28">
        <v>300000.0</v>
      </c>
      <c r="U5" s="26" t="s">
        <v>1010</v>
      </c>
      <c r="V5" s="28">
        <v>0.75</v>
      </c>
    </row>
    <row r="6">
      <c r="A6" s="28">
        <v>2.0</v>
      </c>
      <c r="B6" s="26" t="s">
        <v>1011</v>
      </c>
      <c r="C6" s="28">
        <v>39210.0</v>
      </c>
      <c r="D6" s="26" t="s">
        <v>120</v>
      </c>
      <c r="E6" s="28">
        <v>11250.0</v>
      </c>
      <c r="F6" s="28">
        <v>5625.0</v>
      </c>
      <c r="G6" s="28">
        <v>22500.0</v>
      </c>
      <c r="H6" s="28">
        <v>16875.0</v>
      </c>
      <c r="I6" s="28">
        <v>26250.0</v>
      </c>
      <c r="J6" s="28">
        <v>90000.0</v>
      </c>
      <c r="K6" s="28">
        <v>45000.0</v>
      </c>
      <c r="L6" s="28">
        <v>26250.0</v>
      </c>
      <c r="M6" s="28">
        <v>26250.0</v>
      </c>
      <c r="N6" s="28">
        <v>26250.0</v>
      </c>
      <c r="O6" s="28">
        <v>15000.0</v>
      </c>
      <c r="P6" s="28">
        <v>75000.0</v>
      </c>
      <c r="Q6" s="26" t="s">
        <v>112</v>
      </c>
      <c r="R6" s="26" t="s">
        <v>112</v>
      </c>
      <c r="S6" s="26" t="s">
        <v>112</v>
      </c>
      <c r="T6" s="28">
        <v>75000.0</v>
      </c>
      <c r="U6" s="26" t="s">
        <v>1010</v>
      </c>
      <c r="V6" s="28">
        <v>0.75</v>
      </c>
    </row>
    <row r="7">
      <c r="A7" s="28">
        <v>3.0</v>
      </c>
      <c r="B7" s="26" t="s">
        <v>1012</v>
      </c>
      <c r="C7" s="28">
        <v>27400.0</v>
      </c>
      <c r="D7" s="26" t="s">
        <v>120</v>
      </c>
      <c r="E7" s="28">
        <v>10000.0</v>
      </c>
      <c r="F7" s="26" t="s">
        <v>112</v>
      </c>
      <c r="G7" s="28">
        <v>8000.0</v>
      </c>
      <c r="H7" s="28">
        <v>7000.0</v>
      </c>
      <c r="I7" s="26" t="s">
        <v>112</v>
      </c>
      <c r="J7" s="26" t="s">
        <v>112</v>
      </c>
      <c r="K7" s="26" t="s">
        <v>112</v>
      </c>
      <c r="L7" s="26" t="s">
        <v>112</v>
      </c>
      <c r="M7" s="28">
        <v>25000.0</v>
      </c>
      <c r="N7" s="26" t="s">
        <v>112</v>
      </c>
      <c r="O7" s="26" t="s">
        <v>112</v>
      </c>
      <c r="P7" s="28">
        <v>60000.0</v>
      </c>
      <c r="Q7" s="26" t="s">
        <v>112</v>
      </c>
      <c r="R7" s="26" t="s">
        <v>112</v>
      </c>
      <c r="S7" s="26" t="s">
        <v>112</v>
      </c>
      <c r="T7" s="28">
        <v>75000.0</v>
      </c>
      <c r="U7" s="26" t="s">
        <v>1010</v>
      </c>
      <c r="V7" s="28">
        <v>0.75</v>
      </c>
    </row>
    <row r="8">
      <c r="A8" s="28">
        <v>4.0</v>
      </c>
      <c r="B8" s="26" t="s">
        <v>1013</v>
      </c>
      <c r="C8" s="28">
        <v>18657.0</v>
      </c>
      <c r="D8" s="26" t="s">
        <v>111</v>
      </c>
      <c r="E8" s="28">
        <v>7500.0</v>
      </c>
      <c r="F8" s="28">
        <v>3750.0</v>
      </c>
      <c r="G8" s="28">
        <v>7500.0</v>
      </c>
      <c r="H8" s="28">
        <v>5625.0</v>
      </c>
      <c r="I8" s="28">
        <v>13125.0</v>
      </c>
      <c r="J8" s="28">
        <v>45000.0</v>
      </c>
      <c r="K8" s="28">
        <v>20625.0</v>
      </c>
      <c r="L8" s="28">
        <v>11250.0</v>
      </c>
      <c r="M8" s="28">
        <v>16875.0</v>
      </c>
      <c r="N8" s="28">
        <v>13125.0</v>
      </c>
      <c r="O8" s="28">
        <v>5625.0</v>
      </c>
      <c r="P8" s="28">
        <v>39375.0</v>
      </c>
      <c r="Q8" s="28">
        <v>13125.0</v>
      </c>
      <c r="R8" s="26" t="s">
        <v>112</v>
      </c>
      <c r="S8" s="26" t="s">
        <v>112</v>
      </c>
      <c r="T8" s="28">
        <v>45000.0</v>
      </c>
      <c r="U8" s="26" t="s">
        <v>1010</v>
      </c>
      <c r="V8" s="28">
        <v>0.75</v>
      </c>
    </row>
    <row r="9">
      <c r="A9" s="28">
        <v>5.0</v>
      </c>
      <c r="B9" s="26" t="s">
        <v>1014</v>
      </c>
      <c r="C9" s="28">
        <v>34084.0</v>
      </c>
      <c r="D9" s="26" t="s">
        <v>120</v>
      </c>
      <c r="E9" s="28">
        <v>7500.0</v>
      </c>
      <c r="F9" s="28">
        <v>3750.0</v>
      </c>
      <c r="G9" s="28">
        <v>16875.0</v>
      </c>
      <c r="H9" s="28">
        <v>13125.0</v>
      </c>
      <c r="I9" s="28">
        <v>20625.0</v>
      </c>
      <c r="J9" s="28">
        <v>120000.0</v>
      </c>
      <c r="K9" s="28">
        <v>30000.0</v>
      </c>
      <c r="L9" s="28">
        <v>15000.0</v>
      </c>
      <c r="M9" s="28">
        <v>20000.0</v>
      </c>
      <c r="N9" s="28">
        <v>30000.0</v>
      </c>
      <c r="O9" s="28">
        <v>9375.0</v>
      </c>
      <c r="P9" s="28">
        <v>45000.0</v>
      </c>
      <c r="Q9" s="28">
        <v>22500.0</v>
      </c>
      <c r="R9" s="26" t="s">
        <v>112</v>
      </c>
      <c r="S9" s="26" t="s">
        <v>112</v>
      </c>
      <c r="T9" s="28">
        <v>48750.0</v>
      </c>
      <c r="U9" s="26" t="s">
        <v>1010</v>
      </c>
      <c r="V9" s="28">
        <v>0.75</v>
      </c>
    </row>
    <row r="10">
      <c r="A10" s="28">
        <v>6.0</v>
      </c>
      <c r="B10" s="26" t="s">
        <v>1015</v>
      </c>
      <c r="C10" s="28">
        <v>20365.0</v>
      </c>
      <c r="D10" s="26" t="s">
        <v>120</v>
      </c>
      <c r="E10" s="28">
        <v>7500.0</v>
      </c>
      <c r="F10" s="28">
        <v>3750.0</v>
      </c>
      <c r="G10" s="28">
        <v>11250.0</v>
      </c>
      <c r="H10" s="28">
        <v>5625.0</v>
      </c>
      <c r="I10" s="28">
        <v>13125.0</v>
      </c>
      <c r="J10" s="28">
        <v>45000.0</v>
      </c>
      <c r="K10" s="28">
        <v>24375.0</v>
      </c>
      <c r="L10" s="28">
        <v>11250.0</v>
      </c>
      <c r="M10" s="28">
        <v>16875.0</v>
      </c>
      <c r="N10" s="28">
        <v>13125.0</v>
      </c>
      <c r="O10" s="28">
        <v>5625.0</v>
      </c>
      <c r="P10" s="28">
        <v>39375.0</v>
      </c>
      <c r="Q10" s="28">
        <v>24375.0</v>
      </c>
      <c r="R10" s="26" t="s">
        <v>112</v>
      </c>
      <c r="S10" s="26" t="s">
        <v>112</v>
      </c>
      <c r="T10" s="28">
        <v>48750.0</v>
      </c>
      <c r="U10" s="26" t="s">
        <v>1010</v>
      </c>
      <c r="V10" s="28">
        <v>0.75</v>
      </c>
    </row>
    <row r="11">
      <c r="A11" s="28">
        <v>7.0</v>
      </c>
      <c r="B11" s="26" t="s">
        <v>1016</v>
      </c>
      <c r="C11" s="28">
        <v>27149.0</v>
      </c>
      <c r="D11" s="26" t="s">
        <v>120</v>
      </c>
      <c r="E11" s="28">
        <v>7500.0</v>
      </c>
      <c r="F11" s="28">
        <v>3750.0</v>
      </c>
      <c r="G11" s="28">
        <v>15000.0</v>
      </c>
      <c r="H11" s="28">
        <v>10000.0</v>
      </c>
      <c r="I11" s="28">
        <v>28000.0</v>
      </c>
      <c r="J11" s="28">
        <v>45000.0</v>
      </c>
      <c r="K11" s="28">
        <v>30000.0</v>
      </c>
      <c r="L11" s="28">
        <v>28000.0</v>
      </c>
      <c r="M11" s="28">
        <v>20000.0</v>
      </c>
      <c r="N11" s="28">
        <v>28000.0</v>
      </c>
      <c r="O11" s="28">
        <v>25000.0</v>
      </c>
      <c r="P11" s="28">
        <v>36000.0</v>
      </c>
      <c r="Q11" s="28">
        <v>30000.0</v>
      </c>
      <c r="R11" s="26" t="s">
        <v>112</v>
      </c>
      <c r="S11" s="26" t="s">
        <v>112</v>
      </c>
      <c r="T11" s="28">
        <v>50000.0</v>
      </c>
      <c r="U11" s="26" t="s">
        <v>1010</v>
      </c>
      <c r="V11" s="28">
        <v>0.75</v>
      </c>
    </row>
    <row r="12">
      <c r="A12" s="28">
        <v>8.0</v>
      </c>
      <c r="B12" s="26" t="s">
        <v>1017</v>
      </c>
      <c r="C12" s="28">
        <v>16467.0</v>
      </c>
      <c r="D12" s="26" t="s">
        <v>111</v>
      </c>
      <c r="E12" s="28">
        <v>7500.0</v>
      </c>
      <c r="F12" s="28">
        <v>3750.0</v>
      </c>
      <c r="G12" s="28">
        <v>9375.0</v>
      </c>
      <c r="H12" s="28">
        <v>5625.0</v>
      </c>
      <c r="I12" s="28">
        <v>7500.0</v>
      </c>
      <c r="J12" s="28">
        <v>37500.0</v>
      </c>
      <c r="K12" s="28">
        <v>18750.0</v>
      </c>
      <c r="L12" s="28">
        <v>11250.0</v>
      </c>
      <c r="M12" s="28">
        <v>15000.0</v>
      </c>
      <c r="N12" s="28">
        <v>15000.0</v>
      </c>
      <c r="O12" s="28">
        <v>5625.0</v>
      </c>
      <c r="P12" s="28">
        <v>31875.0</v>
      </c>
      <c r="Q12" s="28">
        <v>13125.0</v>
      </c>
      <c r="R12" s="26" t="s">
        <v>112</v>
      </c>
      <c r="S12" s="26" t="s">
        <v>112</v>
      </c>
      <c r="T12" s="28">
        <v>48750.0</v>
      </c>
      <c r="U12" s="26" t="s">
        <v>1010</v>
      </c>
      <c r="V12" s="28">
        <v>0.75</v>
      </c>
    </row>
    <row r="13">
      <c r="A13" s="28">
        <v>9.0</v>
      </c>
      <c r="B13" s="26" t="s">
        <v>1018</v>
      </c>
      <c r="C13" s="28">
        <v>16741.0</v>
      </c>
      <c r="D13" s="26" t="s">
        <v>111</v>
      </c>
      <c r="E13" s="28">
        <v>9375.0</v>
      </c>
      <c r="F13" s="28">
        <v>5625.0</v>
      </c>
      <c r="G13" s="28">
        <v>10500.0</v>
      </c>
      <c r="H13" s="28">
        <v>7500.0</v>
      </c>
      <c r="I13" s="28">
        <v>9375.0</v>
      </c>
      <c r="J13" s="28">
        <v>37500.0</v>
      </c>
      <c r="K13" s="28">
        <v>18750.0</v>
      </c>
      <c r="L13" s="28">
        <v>9375.0</v>
      </c>
      <c r="M13" s="28">
        <v>13125.0</v>
      </c>
      <c r="N13" s="28">
        <v>9375.0</v>
      </c>
      <c r="O13" s="28">
        <v>7500.0</v>
      </c>
      <c r="P13" s="28">
        <v>39375.0</v>
      </c>
      <c r="Q13" s="28">
        <v>9375.0</v>
      </c>
      <c r="R13" s="26" t="s">
        <v>112</v>
      </c>
      <c r="S13" s="26" t="s">
        <v>112</v>
      </c>
      <c r="T13" s="28">
        <v>48750.0</v>
      </c>
      <c r="U13" s="26" t="s">
        <v>1010</v>
      </c>
      <c r="V13" s="28">
        <v>0.75</v>
      </c>
    </row>
    <row r="14">
      <c r="A14" s="28">
        <v>10.0</v>
      </c>
      <c r="B14" s="26" t="s">
        <v>1019</v>
      </c>
      <c r="C14" s="28">
        <v>21386.0</v>
      </c>
      <c r="D14" s="26" t="s">
        <v>120</v>
      </c>
      <c r="E14" s="28">
        <v>7500.0</v>
      </c>
      <c r="F14" s="28">
        <v>5625.0</v>
      </c>
      <c r="G14" s="28">
        <v>15000.0</v>
      </c>
      <c r="H14" s="28">
        <v>11250.0</v>
      </c>
      <c r="I14" s="28">
        <v>18750.0</v>
      </c>
      <c r="J14" s="28">
        <v>48750.0</v>
      </c>
      <c r="K14" s="28">
        <v>24375.0</v>
      </c>
      <c r="L14" s="28">
        <v>16875.0</v>
      </c>
      <c r="M14" s="28">
        <v>16875.0</v>
      </c>
      <c r="N14" s="28">
        <v>20625.0</v>
      </c>
      <c r="O14" s="28">
        <v>11250.0</v>
      </c>
      <c r="P14" s="28">
        <v>31875.0</v>
      </c>
      <c r="Q14" s="28">
        <v>11250.0</v>
      </c>
      <c r="R14" s="26" t="s">
        <v>112</v>
      </c>
      <c r="S14" s="26" t="s">
        <v>112</v>
      </c>
      <c r="T14" s="28">
        <v>48750.0</v>
      </c>
      <c r="U14" s="26" t="s">
        <v>1010</v>
      </c>
      <c r="V14" s="28">
        <v>0.75</v>
      </c>
    </row>
    <row r="15">
      <c r="A15" s="28">
        <v>11.0</v>
      </c>
      <c r="B15" s="26" t="s">
        <v>1020</v>
      </c>
      <c r="C15" s="28">
        <v>20402.0</v>
      </c>
      <c r="D15" s="26" t="s">
        <v>120</v>
      </c>
      <c r="E15" s="28">
        <v>11250.0</v>
      </c>
      <c r="F15" s="28">
        <v>5625.0</v>
      </c>
      <c r="G15" s="28">
        <v>15000.0</v>
      </c>
      <c r="H15" s="28">
        <v>9375.0</v>
      </c>
      <c r="I15" s="28">
        <v>9375.0</v>
      </c>
      <c r="J15" s="28">
        <v>52500.0</v>
      </c>
      <c r="K15" s="28">
        <v>26250.0</v>
      </c>
      <c r="L15" s="28">
        <v>13125.0</v>
      </c>
      <c r="M15" s="28">
        <v>15000.0</v>
      </c>
      <c r="N15" s="28">
        <v>13125.0</v>
      </c>
      <c r="O15" s="28">
        <v>7500.0</v>
      </c>
      <c r="P15" s="28">
        <v>39375.0</v>
      </c>
      <c r="Q15" s="28">
        <v>9375.0</v>
      </c>
      <c r="R15" s="26" t="s">
        <v>112</v>
      </c>
      <c r="S15" s="26" t="s">
        <v>112</v>
      </c>
      <c r="T15" s="28">
        <v>48750.0</v>
      </c>
      <c r="U15" s="26" t="s">
        <v>1010</v>
      </c>
      <c r="V15" s="28">
        <v>0.75</v>
      </c>
    </row>
    <row r="16">
      <c r="A16" s="28">
        <v>12.0</v>
      </c>
      <c r="B16" s="26" t="s">
        <v>1021</v>
      </c>
      <c r="C16" s="28">
        <v>60974.0</v>
      </c>
      <c r="D16" s="26" t="s">
        <v>127</v>
      </c>
      <c r="E16" s="28">
        <v>18750.0</v>
      </c>
      <c r="F16" s="28">
        <v>9375.0</v>
      </c>
      <c r="G16" s="28">
        <v>15000.0</v>
      </c>
      <c r="H16" s="28">
        <v>9375.0</v>
      </c>
      <c r="I16" s="28">
        <v>56250.0</v>
      </c>
      <c r="J16" s="28">
        <v>165000.0</v>
      </c>
      <c r="K16" s="28">
        <v>82500.0</v>
      </c>
      <c r="L16" s="28">
        <v>50625.0</v>
      </c>
      <c r="M16" s="26" t="s">
        <v>112</v>
      </c>
      <c r="N16" s="28">
        <v>56250.0</v>
      </c>
      <c r="O16" s="28">
        <v>37500.0</v>
      </c>
      <c r="P16" s="26" t="s">
        <v>112</v>
      </c>
      <c r="Q16" s="26" t="s">
        <v>112</v>
      </c>
      <c r="R16" s="26" t="s">
        <v>112</v>
      </c>
      <c r="S16" s="28">
        <v>11250.0</v>
      </c>
      <c r="T16" s="26" t="s">
        <v>112</v>
      </c>
      <c r="U16" s="26" t="s">
        <v>1010</v>
      </c>
      <c r="V16" s="28">
        <v>0.75</v>
      </c>
    </row>
    <row r="17">
      <c r="A17" s="28">
        <v>13.0</v>
      </c>
      <c r="B17" s="26" t="s">
        <v>1022</v>
      </c>
      <c r="C17" s="28">
        <v>35068.0</v>
      </c>
      <c r="D17" s="26" t="s">
        <v>120</v>
      </c>
      <c r="E17" s="28">
        <v>11250.0</v>
      </c>
      <c r="F17" s="28">
        <v>5625.0</v>
      </c>
      <c r="G17" s="28">
        <v>13125.0</v>
      </c>
      <c r="H17" s="28">
        <v>11250.0</v>
      </c>
      <c r="I17" s="28">
        <v>15000.0</v>
      </c>
      <c r="J17" s="28">
        <v>82500.0</v>
      </c>
      <c r="K17" s="28">
        <v>45000.0</v>
      </c>
      <c r="L17" s="28">
        <v>30000.0</v>
      </c>
      <c r="M17" s="28">
        <v>28125.0</v>
      </c>
      <c r="N17" s="28">
        <v>18750.0</v>
      </c>
      <c r="O17" s="28">
        <v>9375.0</v>
      </c>
      <c r="P17" s="28">
        <v>56250.0</v>
      </c>
      <c r="Q17" s="28">
        <v>56250.0</v>
      </c>
      <c r="R17" s="26" t="s">
        <v>112</v>
      </c>
      <c r="S17" s="26" t="s">
        <v>112</v>
      </c>
      <c r="T17" s="28">
        <v>131250.0</v>
      </c>
      <c r="U17" s="26" t="s">
        <v>1010</v>
      </c>
      <c r="V17" s="28">
        <v>0.75</v>
      </c>
    </row>
    <row r="18">
      <c r="A18" s="28">
        <v>14.0</v>
      </c>
      <c r="B18" s="26" t="s">
        <v>1023</v>
      </c>
      <c r="C18" s="28">
        <v>17011.0</v>
      </c>
      <c r="D18" s="26" t="s">
        <v>111</v>
      </c>
      <c r="E18" s="28">
        <v>4500.0</v>
      </c>
      <c r="F18" s="28">
        <v>3000.0</v>
      </c>
      <c r="G18" s="28">
        <v>9000.0</v>
      </c>
      <c r="H18" s="28">
        <v>7500.0</v>
      </c>
      <c r="I18" s="28">
        <v>12000.0</v>
      </c>
      <c r="J18" s="28">
        <v>41000.0</v>
      </c>
      <c r="K18" s="28">
        <v>20000.0</v>
      </c>
      <c r="L18" s="28">
        <v>11000.0</v>
      </c>
      <c r="M18" s="28">
        <v>15000.0</v>
      </c>
      <c r="N18" s="28">
        <v>16875.0</v>
      </c>
      <c r="O18" s="28">
        <v>9000.0</v>
      </c>
      <c r="P18" s="28">
        <v>28125.0</v>
      </c>
      <c r="Q18" s="28">
        <v>10000.0</v>
      </c>
      <c r="R18" s="26" t="s">
        <v>112</v>
      </c>
      <c r="S18" s="26" t="s">
        <v>112</v>
      </c>
      <c r="T18" s="28">
        <v>43000.0</v>
      </c>
      <c r="U18" s="26" t="s">
        <v>1010</v>
      </c>
      <c r="V18" s="28">
        <v>0.75</v>
      </c>
    </row>
    <row r="19">
      <c r="A19" s="28">
        <v>15.0</v>
      </c>
      <c r="B19" s="26" t="s">
        <v>1024</v>
      </c>
      <c r="C19" s="28">
        <v>16949.0</v>
      </c>
      <c r="D19" s="26" t="s">
        <v>111</v>
      </c>
      <c r="E19" s="28">
        <v>7500.0</v>
      </c>
      <c r="F19" s="28">
        <v>3750.0</v>
      </c>
      <c r="G19" s="28">
        <v>9375.0</v>
      </c>
      <c r="H19" s="28">
        <v>5625.0</v>
      </c>
      <c r="I19" s="28">
        <v>15000.0</v>
      </c>
      <c r="J19" s="28">
        <v>37500.0</v>
      </c>
      <c r="K19" s="28">
        <v>18750.0</v>
      </c>
      <c r="L19" s="28">
        <v>9375.0</v>
      </c>
      <c r="M19" s="28">
        <v>15000.0</v>
      </c>
      <c r="N19" s="28">
        <v>15000.0</v>
      </c>
      <c r="O19" s="28">
        <v>9375.0</v>
      </c>
      <c r="P19" s="28">
        <v>30000.0</v>
      </c>
      <c r="Q19" s="28">
        <v>11250.0</v>
      </c>
      <c r="R19" s="26" t="s">
        <v>112</v>
      </c>
      <c r="S19" s="26" t="s">
        <v>112</v>
      </c>
      <c r="T19" s="28">
        <v>37500.0</v>
      </c>
      <c r="U19" s="26" t="s">
        <v>1010</v>
      </c>
      <c r="V19" s="28">
        <v>0.75</v>
      </c>
    </row>
    <row r="20">
      <c r="A20" s="28">
        <v>16.0</v>
      </c>
      <c r="B20" s="26" t="s">
        <v>1025</v>
      </c>
      <c r="C20" s="28">
        <v>13189.0</v>
      </c>
      <c r="D20" s="26" t="s">
        <v>111</v>
      </c>
      <c r="E20" s="28">
        <v>3750.0</v>
      </c>
      <c r="F20" s="28">
        <v>2625.0</v>
      </c>
      <c r="G20" s="28">
        <v>5625.0</v>
      </c>
      <c r="H20" s="28">
        <v>4125.0</v>
      </c>
      <c r="I20" s="28">
        <v>9375.0</v>
      </c>
      <c r="J20" s="28">
        <v>30000.0</v>
      </c>
      <c r="K20" s="28">
        <v>13125.0</v>
      </c>
      <c r="L20" s="28">
        <v>7500.0</v>
      </c>
      <c r="M20" s="28">
        <v>11250.0</v>
      </c>
      <c r="N20" s="28">
        <v>13125.0</v>
      </c>
      <c r="O20" s="28">
        <v>5625.0</v>
      </c>
      <c r="P20" s="28">
        <v>18750.0</v>
      </c>
      <c r="Q20" s="28">
        <v>13125.0</v>
      </c>
      <c r="R20" s="28">
        <v>18750.0</v>
      </c>
      <c r="S20" s="26" t="s">
        <v>112</v>
      </c>
      <c r="T20" s="28">
        <v>18750.0</v>
      </c>
      <c r="U20" s="26" t="s">
        <v>1010</v>
      </c>
      <c r="V20" s="28">
        <v>0.75</v>
      </c>
    </row>
    <row r="21">
      <c r="A21" s="28">
        <v>17.0</v>
      </c>
      <c r="B21" s="26" t="s">
        <v>1026</v>
      </c>
      <c r="C21" s="28">
        <v>12733.0</v>
      </c>
      <c r="D21" s="26" t="s">
        <v>111</v>
      </c>
      <c r="E21" s="28">
        <v>3750.0</v>
      </c>
      <c r="F21" s="28">
        <v>2625.0</v>
      </c>
      <c r="G21" s="28">
        <v>5625.0</v>
      </c>
      <c r="H21" s="28">
        <v>4125.0</v>
      </c>
      <c r="I21" s="28">
        <v>9375.0</v>
      </c>
      <c r="J21" s="28">
        <v>30000.0</v>
      </c>
      <c r="K21" s="28">
        <v>13125.0</v>
      </c>
      <c r="L21" s="28">
        <v>7500.0</v>
      </c>
      <c r="M21" s="28">
        <v>11250.0</v>
      </c>
      <c r="N21" s="28">
        <v>9375.0</v>
      </c>
      <c r="O21" s="28">
        <v>3750.0</v>
      </c>
      <c r="P21" s="28">
        <v>18750.0</v>
      </c>
      <c r="Q21" s="28">
        <v>13125.0</v>
      </c>
      <c r="R21" s="28">
        <v>18750.0</v>
      </c>
      <c r="S21" s="26" t="s">
        <v>112</v>
      </c>
      <c r="T21" s="28">
        <v>18750.0</v>
      </c>
      <c r="U21" s="26" t="s">
        <v>1010</v>
      </c>
      <c r="V21" s="28">
        <v>0.75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5E1F"/>
    <outlinePr summaryBelow="0" summaryRight="0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/>
  <sheetData>
    <row r="1">
      <c r="A1" s="26" t="s">
        <v>1027</v>
      </c>
    </row>
    <row r="4">
      <c r="A4" s="26" t="s">
        <v>1028</v>
      </c>
      <c r="D4" s="26" t="s">
        <v>1029</v>
      </c>
      <c r="G4" s="26" t="s">
        <v>1030</v>
      </c>
      <c r="H4" s="28">
        <v>3.75</v>
      </c>
    </row>
    <row r="5">
      <c r="A5" s="26" t="s">
        <v>1031</v>
      </c>
      <c r="D5" s="26" t="s">
        <v>1032</v>
      </c>
      <c r="E5" s="26" t="s">
        <v>1033</v>
      </c>
      <c r="G5" s="26" t="s">
        <v>1034</v>
      </c>
      <c r="H5" s="26" t="s">
        <v>1035</v>
      </c>
    </row>
    <row r="6">
      <c r="A6" s="26" t="s">
        <v>1036</v>
      </c>
      <c r="D6" s="26" t="s">
        <v>1037</v>
      </c>
      <c r="E6" s="28">
        <v>0.1</v>
      </c>
      <c r="G6" s="26" t="s">
        <v>1038</v>
      </c>
      <c r="H6" s="26" t="s">
        <v>1039</v>
      </c>
    </row>
    <row r="7">
      <c r="A7" s="26" t="s">
        <v>1040</v>
      </c>
      <c r="D7" s="26" t="s">
        <v>1041</v>
      </c>
      <c r="E7" s="28">
        <v>0.15</v>
      </c>
      <c r="G7" s="26" t="s">
        <v>1042</v>
      </c>
      <c r="H7" s="26" t="s">
        <v>1039</v>
      </c>
    </row>
    <row r="8">
      <c r="A8" s="26" t="s">
        <v>1043</v>
      </c>
      <c r="B8" s="26" t="s">
        <v>1044</v>
      </c>
      <c r="D8" s="26" t="s">
        <v>1045</v>
      </c>
      <c r="G8" s="26" t="s">
        <v>1046</v>
      </c>
      <c r="H8" s="28">
        <v>0.0</v>
      </c>
    </row>
    <row r="10">
      <c r="A10" s="26" t="s">
        <v>70</v>
      </c>
      <c r="B10" s="26" t="s">
        <v>1047</v>
      </c>
      <c r="C10" s="26" t="s">
        <v>1048</v>
      </c>
      <c r="D10" s="26" t="s">
        <v>1049</v>
      </c>
      <c r="E10" s="26" t="s">
        <v>1050</v>
      </c>
      <c r="F10" s="26" t="s">
        <v>1051</v>
      </c>
      <c r="G10" s="26" t="s">
        <v>1052</v>
      </c>
      <c r="H10" s="26" t="s">
        <v>1053</v>
      </c>
      <c r="I10" s="26" t="s">
        <v>1054</v>
      </c>
      <c r="J10" s="26" t="s">
        <v>1055</v>
      </c>
      <c r="K10" s="26" t="s">
        <v>1056</v>
      </c>
      <c r="L10" s="26" t="s">
        <v>1057</v>
      </c>
      <c r="M10" s="26" t="s">
        <v>1058</v>
      </c>
      <c r="N10" s="26" t="s">
        <v>1059</v>
      </c>
      <c r="O10" s="26" t="s">
        <v>1008</v>
      </c>
      <c r="P10" s="26" t="s">
        <v>1060</v>
      </c>
      <c r="Q10" s="26" t="s">
        <v>1061</v>
      </c>
      <c r="R10" s="26" t="s">
        <v>1062</v>
      </c>
      <c r="S10" s="26" t="s">
        <v>1063</v>
      </c>
      <c r="T10" s="26" t="s">
        <v>1064</v>
      </c>
    </row>
    <row r="11">
      <c r="A11" s="28">
        <v>1.0</v>
      </c>
      <c r="C11" s="30"/>
      <c r="E11" s="28">
        <v>1.0</v>
      </c>
      <c r="F11" s="26" t="s">
        <v>1065</v>
      </c>
      <c r="G11" s="26" t="s">
        <v>1066</v>
      </c>
      <c r="H11" s="26" t="s">
        <v>1067</v>
      </c>
      <c r="I11" s="26" t="s">
        <v>1068</v>
      </c>
      <c r="J11" s="26" t="s">
        <v>1069</v>
      </c>
      <c r="K11" s="26" t="s">
        <v>1070</v>
      </c>
      <c r="L11" s="26" t="s">
        <v>1033</v>
      </c>
      <c r="M11" s="26" t="s">
        <v>1033</v>
      </c>
      <c r="O11" s="28">
        <v>1.0</v>
      </c>
    </row>
    <row r="12">
      <c r="A12" s="28">
        <v>2.0</v>
      </c>
      <c r="C12" s="30"/>
      <c r="E12" s="28">
        <v>1.0</v>
      </c>
      <c r="F12" s="26" t="s">
        <v>1065</v>
      </c>
      <c r="G12" s="26" t="s">
        <v>1066</v>
      </c>
      <c r="H12" s="26" t="s">
        <v>1067</v>
      </c>
      <c r="I12" s="26" t="s">
        <v>1068</v>
      </c>
      <c r="J12" s="26" t="s">
        <v>1069</v>
      </c>
      <c r="K12" s="26" t="s">
        <v>1070</v>
      </c>
      <c r="L12" s="26" t="s">
        <v>1033</v>
      </c>
      <c r="M12" s="26" t="s">
        <v>1033</v>
      </c>
      <c r="O12" s="28">
        <v>1.0</v>
      </c>
    </row>
    <row r="13">
      <c r="A13" s="28">
        <v>3.0</v>
      </c>
      <c r="C13" s="30"/>
      <c r="E13" s="28">
        <v>1.0</v>
      </c>
      <c r="F13" s="26" t="s">
        <v>1065</v>
      </c>
      <c r="G13" s="26" t="s">
        <v>1066</v>
      </c>
      <c r="H13" s="26" t="s">
        <v>1067</v>
      </c>
      <c r="I13" s="26" t="s">
        <v>1068</v>
      </c>
      <c r="J13" s="26" t="s">
        <v>1069</v>
      </c>
      <c r="K13" s="26" t="s">
        <v>1070</v>
      </c>
      <c r="L13" s="26" t="s">
        <v>1033</v>
      </c>
      <c r="M13" s="26" t="s">
        <v>1033</v>
      </c>
      <c r="O13" s="28">
        <v>1.0</v>
      </c>
    </row>
    <row r="14">
      <c r="A14" s="28">
        <v>4.0</v>
      </c>
      <c r="C14" s="30"/>
      <c r="E14" s="28">
        <v>1.0</v>
      </c>
      <c r="F14" s="26" t="s">
        <v>1065</v>
      </c>
      <c r="G14" s="26" t="s">
        <v>1066</v>
      </c>
      <c r="H14" s="26" t="s">
        <v>1067</v>
      </c>
      <c r="I14" s="26" t="s">
        <v>1068</v>
      </c>
      <c r="J14" s="26" t="s">
        <v>1069</v>
      </c>
      <c r="K14" s="26" t="s">
        <v>1070</v>
      </c>
      <c r="L14" s="26" t="s">
        <v>1033</v>
      </c>
      <c r="M14" s="26" t="s">
        <v>1033</v>
      </c>
      <c r="O14" s="28">
        <v>1.0</v>
      </c>
    </row>
    <row r="15">
      <c r="A15" s="28">
        <v>5.0</v>
      </c>
      <c r="C15" s="30"/>
      <c r="E15" s="28">
        <v>1.0</v>
      </c>
      <c r="F15" s="26" t="s">
        <v>1065</v>
      </c>
      <c r="G15" s="26" t="s">
        <v>1066</v>
      </c>
      <c r="H15" s="26" t="s">
        <v>1067</v>
      </c>
      <c r="I15" s="26" t="s">
        <v>1068</v>
      </c>
      <c r="J15" s="26" t="s">
        <v>1069</v>
      </c>
      <c r="K15" s="26" t="s">
        <v>1070</v>
      </c>
      <c r="L15" s="26" t="s">
        <v>1033</v>
      </c>
      <c r="M15" s="26" t="s">
        <v>1033</v>
      </c>
      <c r="O15" s="28">
        <v>1.0</v>
      </c>
    </row>
    <row r="16">
      <c r="A16" s="28">
        <v>6.0</v>
      </c>
      <c r="C16" s="30"/>
      <c r="E16" s="28">
        <v>1.0</v>
      </c>
      <c r="F16" s="26" t="s">
        <v>1065</v>
      </c>
      <c r="G16" s="26" t="s">
        <v>1066</v>
      </c>
      <c r="H16" s="26" t="s">
        <v>1067</v>
      </c>
      <c r="I16" s="26" t="s">
        <v>1068</v>
      </c>
      <c r="J16" s="26" t="s">
        <v>1069</v>
      </c>
      <c r="K16" s="26" t="s">
        <v>1070</v>
      </c>
      <c r="L16" s="26" t="s">
        <v>1033</v>
      </c>
      <c r="M16" s="26" t="s">
        <v>1033</v>
      </c>
      <c r="O16" s="28">
        <v>1.0</v>
      </c>
    </row>
    <row r="17">
      <c r="A17" s="28">
        <v>7.0</v>
      </c>
      <c r="C17" s="30"/>
      <c r="E17" s="28">
        <v>1.0</v>
      </c>
      <c r="F17" s="26" t="s">
        <v>1065</v>
      </c>
      <c r="G17" s="26" t="s">
        <v>1066</v>
      </c>
      <c r="H17" s="26" t="s">
        <v>1067</v>
      </c>
      <c r="I17" s="26" t="s">
        <v>1068</v>
      </c>
      <c r="J17" s="26" t="s">
        <v>1069</v>
      </c>
      <c r="K17" s="26" t="s">
        <v>1070</v>
      </c>
      <c r="L17" s="26" t="s">
        <v>1033</v>
      </c>
      <c r="M17" s="26" t="s">
        <v>1033</v>
      </c>
      <c r="O17" s="28">
        <v>1.0</v>
      </c>
    </row>
    <row r="18">
      <c r="A18" s="28">
        <v>8.0</v>
      </c>
      <c r="C18" s="30"/>
      <c r="E18" s="28">
        <v>1.0</v>
      </c>
      <c r="F18" s="26" t="s">
        <v>1065</v>
      </c>
      <c r="G18" s="26" t="s">
        <v>1066</v>
      </c>
      <c r="H18" s="26" t="s">
        <v>1067</v>
      </c>
      <c r="I18" s="26" t="s">
        <v>1068</v>
      </c>
      <c r="J18" s="26" t="s">
        <v>1069</v>
      </c>
      <c r="K18" s="26" t="s">
        <v>1070</v>
      </c>
      <c r="L18" s="26" t="s">
        <v>1033</v>
      </c>
      <c r="M18" s="26" t="s">
        <v>1033</v>
      </c>
      <c r="O18" s="28">
        <v>1.0</v>
      </c>
    </row>
    <row r="19">
      <c r="A19" s="28">
        <v>9.0</v>
      </c>
      <c r="C19" s="30"/>
      <c r="E19" s="28">
        <v>1.0</v>
      </c>
      <c r="F19" s="26" t="s">
        <v>1065</v>
      </c>
      <c r="G19" s="26" t="s">
        <v>1066</v>
      </c>
      <c r="H19" s="26" t="s">
        <v>1067</v>
      </c>
      <c r="I19" s="26" t="s">
        <v>1068</v>
      </c>
      <c r="J19" s="26" t="s">
        <v>1069</v>
      </c>
      <c r="K19" s="26" t="s">
        <v>1070</v>
      </c>
      <c r="L19" s="26" t="s">
        <v>1033</v>
      </c>
      <c r="M19" s="26" t="s">
        <v>1033</v>
      </c>
      <c r="O19" s="28">
        <v>1.0</v>
      </c>
    </row>
    <row r="20">
      <c r="A20" s="28">
        <v>10.0</v>
      </c>
      <c r="C20" s="30"/>
      <c r="E20" s="28">
        <v>1.0</v>
      </c>
      <c r="F20" s="26" t="s">
        <v>1065</v>
      </c>
      <c r="G20" s="26" t="s">
        <v>1066</v>
      </c>
      <c r="H20" s="26" t="s">
        <v>1067</v>
      </c>
      <c r="I20" s="26" t="s">
        <v>1068</v>
      </c>
      <c r="J20" s="26" t="s">
        <v>1069</v>
      </c>
      <c r="K20" s="26" t="s">
        <v>1070</v>
      </c>
      <c r="L20" s="26" t="s">
        <v>1033</v>
      </c>
      <c r="M20" s="26" t="s">
        <v>1033</v>
      </c>
      <c r="O20" s="28">
        <v>1.0</v>
      </c>
    </row>
    <row r="21">
      <c r="A21" s="28">
        <v>11.0</v>
      </c>
      <c r="C21" s="30"/>
      <c r="E21" s="28">
        <v>1.0</v>
      </c>
      <c r="F21" s="26" t="s">
        <v>1065</v>
      </c>
      <c r="G21" s="26" t="s">
        <v>1066</v>
      </c>
      <c r="H21" s="26" t="s">
        <v>1067</v>
      </c>
      <c r="I21" s="26" t="s">
        <v>1068</v>
      </c>
      <c r="J21" s="26" t="s">
        <v>1069</v>
      </c>
      <c r="K21" s="26" t="s">
        <v>1070</v>
      </c>
      <c r="L21" s="26" t="s">
        <v>1033</v>
      </c>
      <c r="M21" s="26" t="s">
        <v>1033</v>
      </c>
      <c r="O21" s="28">
        <v>1.0</v>
      </c>
    </row>
    <row r="22">
      <c r="A22" s="28">
        <v>12.0</v>
      </c>
      <c r="C22" s="30"/>
      <c r="E22" s="28">
        <v>1.0</v>
      </c>
      <c r="F22" s="26" t="s">
        <v>1065</v>
      </c>
      <c r="G22" s="26" t="s">
        <v>1066</v>
      </c>
      <c r="H22" s="26" t="s">
        <v>1067</v>
      </c>
      <c r="I22" s="26" t="s">
        <v>1068</v>
      </c>
      <c r="J22" s="26" t="s">
        <v>1069</v>
      </c>
      <c r="K22" s="26" t="s">
        <v>1070</v>
      </c>
      <c r="L22" s="26" t="s">
        <v>1033</v>
      </c>
      <c r="M22" s="26" t="s">
        <v>1033</v>
      </c>
      <c r="O22" s="28">
        <v>1.0</v>
      </c>
    </row>
    <row r="23">
      <c r="A23" s="28">
        <v>13.0</v>
      </c>
      <c r="C23" s="30"/>
      <c r="E23" s="28">
        <v>1.0</v>
      </c>
      <c r="F23" s="26" t="s">
        <v>1065</v>
      </c>
      <c r="G23" s="26" t="s">
        <v>1066</v>
      </c>
      <c r="H23" s="26" t="s">
        <v>1067</v>
      </c>
      <c r="I23" s="26" t="s">
        <v>1068</v>
      </c>
      <c r="J23" s="26" t="s">
        <v>1069</v>
      </c>
      <c r="K23" s="26" t="s">
        <v>1070</v>
      </c>
      <c r="L23" s="26" t="s">
        <v>1033</v>
      </c>
      <c r="M23" s="26" t="s">
        <v>1033</v>
      </c>
      <c r="O23" s="28">
        <v>1.0</v>
      </c>
    </row>
    <row r="24">
      <c r="A24" s="28">
        <v>14.0</v>
      </c>
      <c r="C24" s="30"/>
      <c r="E24" s="28">
        <v>1.0</v>
      </c>
      <c r="F24" s="26" t="s">
        <v>1065</v>
      </c>
      <c r="G24" s="26" t="s">
        <v>1066</v>
      </c>
      <c r="H24" s="26" t="s">
        <v>1067</v>
      </c>
      <c r="I24" s="26" t="s">
        <v>1068</v>
      </c>
      <c r="J24" s="26" t="s">
        <v>1069</v>
      </c>
      <c r="K24" s="26" t="s">
        <v>1070</v>
      </c>
      <c r="L24" s="26" t="s">
        <v>1033</v>
      </c>
      <c r="M24" s="26" t="s">
        <v>1033</v>
      </c>
      <c r="O24" s="28">
        <v>1.0</v>
      </c>
    </row>
    <row r="25">
      <c r="A25" s="28">
        <v>15.0</v>
      </c>
      <c r="C25" s="30"/>
      <c r="E25" s="28">
        <v>1.0</v>
      </c>
      <c r="F25" s="26" t="s">
        <v>1065</v>
      </c>
      <c r="G25" s="26" t="s">
        <v>1066</v>
      </c>
      <c r="H25" s="26" t="s">
        <v>1067</v>
      </c>
      <c r="I25" s="26" t="s">
        <v>1068</v>
      </c>
      <c r="J25" s="26" t="s">
        <v>1069</v>
      </c>
      <c r="K25" s="26" t="s">
        <v>1070</v>
      </c>
      <c r="L25" s="26" t="s">
        <v>1033</v>
      </c>
      <c r="M25" s="26" t="s">
        <v>1033</v>
      </c>
      <c r="O25" s="28">
        <v>1.0</v>
      </c>
    </row>
    <row r="26">
      <c r="A26" s="28">
        <v>16.0</v>
      </c>
      <c r="C26" s="30"/>
      <c r="E26" s="28">
        <v>1.0</v>
      </c>
      <c r="F26" s="26" t="s">
        <v>1065</v>
      </c>
      <c r="G26" s="26" t="s">
        <v>1066</v>
      </c>
      <c r="H26" s="26" t="s">
        <v>1067</v>
      </c>
      <c r="I26" s="26" t="s">
        <v>1068</v>
      </c>
      <c r="J26" s="26" t="s">
        <v>1069</v>
      </c>
      <c r="K26" s="26" t="s">
        <v>1070</v>
      </c>
      <c r="L26" s="26" t="s">
        <v>1033</v>
      </c>
      <c r="M26" s="26" t="s">
        <v>1033</v>
      </c>
      <c r="O26" s="28">
        <v>1.0</v>
      </c>
    </row>
    <row r="27">
      <c r="A27" s="28">
        <v>17.0</v>
      </c>
      <c r="C27" s="30"/>
      <c r="E27" s="28">
        <v>1.0</v>
      </c>
      <c r="F27" s="26" t="s">
        <v>1065</v>
      </c>
      <c r="G27" s="26" t="s">
        <v>1066</v>
      </c>
      <c r="H27" s="26" t="s">
        <v>1067</v>
      </c>
      <c r="I27" s="26" t="s">
        <v>1068</v>
      </c>
      <c r="J27" s="26" t="s">
        <v>1069</v>
      </c>
      <c r="K27" s="26" t="s">
        <v>1070</v>
      </c>
      <c r="L27" s="26" t="s">
        <v>1033</v>
      </c>
      <c r="M27" s="26" t="s">
        <v>1033</v>
      </c>
      <c r="O27" s="28">
        <v>1.0</v>
      </c>
    </row>
    <row r="28">
      <c r="A28" s="28">
        <v>18.0</v>
      </c>
      <c r="C28" s="30"/>
      <c r="E28" s="28">
        <v>1.0</v>
      </c>
      <c r="F28" s="26" t="s">
        <v>1065</v>
      </c>
      <c r="G28" s="26" t="s">
        <v>1066</v>
      </c>
      <c r="H28" s="26" t="s">
        <v>1067</v>
      </c>
      <c r="I28" s="26" t="s">
        <v>1068</v>
      </c>
      <c r="J28" s="26" t="s">
        <v>1069</v>
      </c>
      <c r="K28" s="26" t="s">
        <v>1070</v>
      </c>
      <c r="L28" s="26" t="s">
        <v>1033</v>
      </c>
      <c r="M28" s="26" t="s">
        <v>1033</v>
      </c>
      <c r="O28" s="28">
        <v>1.0</v>
      </c>
    </row>
    <row r="29">
      <c r="A29" s="28">
        <v>19.0</v>
      </c>
      <c r="C29" s="30"/>
      <c r="E29" s="28">
        <v>1.0</v>
      </c>
      <c r="F29" s="26" t="s">
        <v>1065</v>
      </c>
      <c r="G29" s="26" t="s">
        <v>1066</v>
      </c>
      <c r="H29" s="26" t="s">
        <v>1067</v>
      </c>
      <c r="I29" s="26" t="s">
        <v>1068</v>
      </c>
      <c r="J29" s="26" t="s">
        <v>1069</v>
      </c>
      <c r="K29" s="26" t="s">
        <v>1070</v>
      </c>
      <c r="L29" s="26" t="s">
        <v>1033</v>
      </c>
      <c r="M29" s="26" t="s">
        <v>1033</v>
      </c>
      <c r="O29" s="28">
        <v>1.0</v>
      </c>
    </row>
    <row r="30">
      <c r="A30" s="28">
        <v>20.0</v>
      </c>
      <c r="C30" s="30"/>
      <c r="E30" s="28">
        <v>1.0</v>
      </c>
      <c r="F30" s="26" t="s">
        <v>1065</v>
      </c>
      <c r="G30" s="26" t="s">
        <v>1066</v>
      </c>
      <c r="H30" s="26" t="s">
        <v>1067</v>
      </c>
      <c r="I30" s="26" t="s">
        <v>1068</v>
      </c>
      <c r="J30" s="26" t="s">
        <v>1069</v>
      </c>
      <c r="K30" s="26" t="s">
        <v>1070</v>
      </c>
      <c r="L30" s="26" t="s">
        <v>1033</v>
      </c>
      <c r="M30" s="26" t="s">
        <v>1033</v>
      </c>
      <c r="O30" s="28">
        <v>1.0</v>
      </c>
    </row>
    <row r="31">
      <c r="A31" s="28">
        <v>21.0</v>
      </c>
      <c r="C31" s="30"/>
      <c r="E31" s="28">
        <v>1.0</v>
      </c>
      <c r="F31" s="26" t="s">
        <v>1065</v>
      </c>
      <c r="G31" s="26" t="s">
        <v>1066</v>
      </c>
      <c r="H31" s="26" t="s">
        <v>1067</v>
      </c>
      <c r="I31" s="26" t="s">
        <v>1068</v>
      </c>
      <c r="J31" s="26" t="s">
        <v>1069</v>
      </c>
      <c r="K31" s="26" t="s">
        <v>1070</v>
      </c>
      <c r="L31" s="26" t="s">
        <v>1033</v>
      </c>
      <c r="M31" s="26" t="s">
        <v>1033</v>
      </c>
      <c r="O31" s="28">
        <v>1.0</v>
      </c>
    </row>
    <row r="32">
      <c r="A32" s="28">
        <v>22.0</v>
      </c>
      <c r="C32" s="30"/>
      <c r="E32" s="28">
        <v>1.0</v>
      </c>
      <c r="F32" s="26" t="s">
        <v>1065</v>
      </c>
      <c r="G32" s="26" t="s">
        <v>1066</v>
      </c>
      <c r="H32" s="26" t="s">
        <v>1067</v>
      </c>
      <c r="I32" s="26" t="s">
        <v>1068</v>
      </c>
      <c r="J32" s="26" t="s">
        <v>1069</v>
      </c>
      <c r="K32" s="26" t="s">
        <v>1070</v>
      </c>
      <c r="L32" s="26" t="s">
        <v>1033</v>
      </c>
      <c r="M32" s="26" t="s">
        <v>1033</v>
      </c>
      <c r="O32" s="28">
        <v>1.0</v>
      </c>
    </row>
    <row r="33">
      <c r="A33" s="28">
        <v>23.0</v>
      </c>
      <c r="C33" s="30"/>
      <c r="E33" s="28">
        <v>1.0</v>
      </c>
      <c r="F33" s="26" t="s">
        <v>1065</v>
      </c>
      <c r="G33" s="26" t="s">
        <v>1066</v>
      </c>
      <c r="H33" s="26" t="s">
        <v>1067</v>
      </c>
      <c r="I33" s="26" t="s">
        <v>1068</v>
      </c>
      <c r="J33" s="26" t="s">
        <v>1069</v>
      </c>
      <c r="K33" s="26" t="s">
        <v>1070</v>
      </c>
      <c r="L33" s="26" t="s">
        <v>1033</v>
      </c>
      <c r="M33" s="26" t="s">
        <v>1033</v>
      </c>
      <c r="O33" s="28">
        <v>1.0</v>
      </c>
    </row>
    <row r="34">
      <c r="A34" s="28">
        <v>24.0</v>
      </c>
      <c r="C34" s="30"/>
      <c r="E34" s="28">
        <v>1.0</v>
      </c>
      <c r="F34" s="26" t="s">
        <v>1065</v>
      </c>
      <c r="G34" s="26" t="s">
        <v>1066</v>
      </c>
      <c r="H34" s="26" t="s">
        <v>1067</v>
      </c>
      <c r="I34" s="26" t="s">
        <v>1068</v>
      </c>
      <c r="J34" s="26" t="s">
        <v>1069</v>
      </c>
      <c r="K34" s="26" t="s">
        <v>1070</v>
      </c>
      <c r="L34" s="26" t="s">
        <v>1033</v>
      </c>
      <c r="M34" s="26" t="s">
        <v>1033</v>
      </c>
      <c r="O34" s="28">
        <v>1.0</v>
      </c>
    </row>
    <row r="35">
      <c r="A35" s="28">
        <v>25.0</v>
      </c>
      <c r="C35" s="30"/>
      <c r="E35" s="28">
        <v>1.0</v>
      </c>
      <c r="F35" s="26" t="s">
        <v>1065</v>
      </c>
      <c r="G35" s="26" t="s">
        <v>1066</v>
      </c>
      <c r="H35" s="26" t="s">
        <v>1067</v>
      </c>
      <c r="I35" s="26" t="s">
        <v>1068</v>
      </c>
      <c r="J35" s="26" t="s">
        <v>1069</v>
      </c>
      <c r="K35" s="26" t="s">
        <v>1070</v>
      </c>
      <c r="L35" s="26" t="s">
        <v>1033</v>
      </c>
      <c r="M35" s="26" t="s">
        <v>1033</v>
      </c>
      <c r="O35" s="28">
        <v>1.0</v>
      </c>
    </row>
    <row r="36">
      <c r="A36" s="28">
        <v>26.0</v>
      </c>
      <c r="C36" s="30"/>
      <c r="E36" s="28">
        <v>1.0</v>
      </c>
      <c r="F36" s="26" t="s">
        <v>1065</v>
      </c>
      <c r="G36" s="26" t="s">
        <v>1066</v>
      </c>
      <c r="H36" s="26" t="s">
        <v>1067</v>
      </c>
      <c r="I36" s="26" t="s">
        <v>1068</v>
      </c>
      <c r="J36" s="26" t="s">
        <v>1069</v>
      </c>
      <c r="K36" s="26" t="s">
        <v>1070</v>
      </c>
      <c r="L36" s="26" t="s">
        <v>1033</v>
      </c>
      <c r="M36" s="26" t="s">
        <v>1033</v>
      </c>
      <c r="O36" s="28">
        <v>1.0</v>
      </c>
    </row>
    <row r="37">
      <c r="A37" s="28">
        <v>27.0</v>
      </c>
      <c r="C37" s="30"/>
      <c r="E37" s="28">
        <v>1.0</v>
      </c>
      <c r="F37" s="26" t="s">
        <v>1065</v>
      </c>
      <c r="G37" s="26" t="s">
        <v>1066</v>
      </c>
      <c r="H37" s="26" t="s">
        <v>1067</v>
      </c>
      <c r="I37" s="26" t="s">
        <v>1068</v>
      </c>
      <c r="J37" s="26" t="s">
        <v>1069</v>
      </c>
      <c r="K37" s="26" t="s">
        <v>1070</v>
      </c>
      <c r="L37" s="26" t="s">
        <v>1033</v>
      </c>
      <c r="M37" s="26" t="s">
        <v>1033</v>
      </c>
      <c r="O37" s="28">
        <v>1.0</v>
      </c>
    </row>
    <row r="38">
      <c r="A38" s="28">
        <v>28.0</v>
      </c>
      <c r="C38" s="30"/>
      <c r="E38" s="28">
        <v>1.0</v>
      </c>
      <c r="F38" s="26" t="s">
        <v>1065</v>
      </c>
      <c r="G38" s="26" t="s">
        <v>1066</v>
      </c>
      <c r="H38" s="26" t="s">
        <v>1067</v>
      </c>
      <c r="I38" s="26" t="s">
        <v>1068</v>
      </c>
      <c r="J38" s="26" t="s">
        <v>1069</v>
      </c>
      <c r="K38" s="26" t="s">
        <v>1070</v>
      </c>
      <c r="L38" s="26" t="s">
        <v>1033</v>
      </c>
      <c r="M38" s="26" t="s">
        <v>1033</v>
      </c>
      <c r="O38" s="28">
        <v>1.0</v>
      </c>
    </row>
    <row r="39">
      <c r="A39" s="28">
        <v>29.0</v>
      </c>
      <c r="C39" s="30"/>
      <c r="E39" s="28">
        <v>1.0</v>
      </c>
      <c r="F39" s="26" t="s">
        <v>1065</v>
      </c>
      <c r="G39" s="26" t="s">
        <v>1066</v>
      </c>
      <c r="H39" s="26" t="s">
        <v>1067</v>
      </c>
      <c r="I39" s="26" t="s">
        <v>1068</v>
      </c>
      <c r="J39" s="26" t="s">
        <v>1069</v>
      </c>
      <c r="K39" s="26" t="s">
        <v>1070</v>
      </c>
      <c r="L39" s="26" t="s">
        <v>1033</v>
      </c>
      <c r="M39" s="26" t="s">
        <v>1033</v>
      </c>
      <c r="O39" s="28">
        <v>1.0</v>
      </c>
    </row>
    <row r="40">
      <c r="A40" s="28">
        <v>30.0</v>
      </c>
      <c r="C40" s="30"/>
      <c r="E40" s="28">
        <v>1.0</v>
      </c>
      <c r="F40" s="26" t="s">
        <v>1065</v>
      </c>
      <c r="G40" s="26" t="s">
        <v>1066</v>
      </c>
      <c r="H40" s="26" t="s">
        <v>1067</v>
      </c>
      <c r="I40" s="26" t="s">
        <v>1068</v>
      </c>
      <c r="J40" s="26" t="s">
        <v>1069</v>
      </c>
      <c r="K40" s="26" t="s">
        <v>1070</v>
      </c>
      <c r="L40" s="26" t="s">
        <v>1033</v>
      </c>
      <c r="M40" s="26" t="s">
        <v>1033</v>
      </c>
      <c r="O40" s="28">
        <v>1.0</v>
      </c>
    </row>
    <row r="42">
      <c r="A42" s="26" t="s">
        <v>1071</v>
      </c>
      <c r="R42" s="30">
        <f>SUM(R11:R40)</f>
        <v>0</v>
      </c>
    </row>
    <row r="43">
      <c r="A43" s="26" t="s">
        <v>1032</v>
      </c>
      <c r="R43" s="30">
        <f>IF(H7="Yes",-R42*IFERROR(VLOOKUP(E5,zz_Lookups!$A$2:$B$8,2,FALSE),0),0)</f>
        <v>0</v>
      </c>
    </row>
    <row r="44">
      <c r="A44" s="26" t="s">
        <v>1072</v>
      </c>
      <c r="R44" s="30">
        <f>(R42+R43)*E6</f>
        <v>0</v>
      </c>
    </row>
    <row r="45">
      <c r="A45" s="26" t="s">
        <v>1073</v>
      </c>
      <c r="R45" s="30">
        <f>R42+R43+R44</f>
        <v>0</v>
      </c>
    </row>
    <row r="46">
      <c r="A46" s="26" t="s">
        <v>1041</v>
      </c>
      <c r="R46" s="30">
        <f>R45*E7</f>
        <v>0</v>
      </c>
    </row>
    <row r="47">
      <c r="A47" s="26" t="s">
        <v>1074</v>
      </c>
      <c r="R47" s="30">
        <f>R45+R46</f>
        <v>0</v>
      </c>
    </row>
    <row r="48">
      <c r="A48" s="26" t="s">
        <v>1075</v>
      </c>
      <c r="R48" s="30">
        <f>R47/H4</f>
        <v>0</v>
      </c>
    </row>
  </sheetData>
  <dataValidations>
    <dataValidation type="list" allowBlank="1" sqref="L11:L40">
      <formula1>"None,Organic repost 90d,Organic repost 180d,Paid usage 30d,Paid usage 90d,Paid usage 180d,Whitelisting 30d,Whitelisting 90d,Website / email only,All owned + paid 90d"</formula1>
    </dataValidation>
    <dataValidation type="list" allowBlank="1" sqref="E5">
      <formula1>"None,2 creators / lines,3-4 creators / lines,5+ creators / lines"</formula1>
    </dataValidation>
    <dataValidation type="list" allowBlank="1" sqref="K11:K40">
      <formula1>"Standard self-shoot,Scripted / extra revisions,On-ground / special shoot,Animated / motion graphics"</formula1>
    </dataValidation>
    <dataValidation type="list" allowBlank="1" sqref="H5">
      <formula1>"Cap at Card Rate,No Cap,Custom Ceiling"</formula1>
    </dataValidation>
    <dataValidation type="list" allowBlank="1" sqref="G11:G40">
      <formula1>"Esports / Gaming,Sports / Football / Active,Youth Entertainment / Variety,Broad Generic,MENA,KSA,GCC,Global"</formula1>
    </dataValidation>
    <dataValidation type="list" allowBlank="1" sqref="H6:H7">
      <formula1>"Yes,No"</formula1>
    </dataValidation>
    <dataValidation type="list" allowBlank="1" sqref="H11:H40">
      <formula1>"Emerging / New,Mid-tier / Established,Category-defining / Hero,Legacy / Icon"</formula1>
    </dataValidation>
    <dataValidation type="list" allowBlank="1" sqref="I11:I40">
      <formula1>"Regular / In-season,Off-season,Event / Tournament,Travel / Tourism / Destination,Ramadan / Seasonal"</formula1>
    </dataValidation>
    <dataValidation type="list" allowBlank="1" sqref="C11:C40">
      <formula1>"Player,Creator"</formula1>
    </dataValidation>
    <dataValidation type="list" allowBlank="1" sqref="F11:F40">
      <formula1>"&lt;2% Low,2-4% Avg,4-6% Base,6-8% Good,&gt;10% Premium"</formula1>
    </dataValidation>
    <dataValidation type="list" allowBlank="1" sqref="J11:J40">
      <formula1>"Arabic,English,Bilingual,Dialect Arabic"</formula1>
    </dataValidation>
    <dataValidation type="list" allowBlank="1" sqref="M11:M40">
      <formula1>"None,Exclusivity 30d,Exclusivity 90d,Exclusivity 180d,Rush 72h,Rush 48h,Rush 24h,Raw footage,Extra cutdowns"</formula1>
    </dataValidation>
    <dataValidation type="list" allowBlank="1" sqref="B8">
      <formula1>"Mixed,Players Only,Creators Only"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A5293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11.38"/>
    <col customWidth="1" min="3" max="3" width="31.38"/>
    <col customWidth="1" min="4" max="4" width="2.63"/>
    <col customWidth="1" min="5" max="5" width="27.63"/>
    <col customWidth="1" min="6" max="6" width="11.38"/>
    <col customWidth="1" min="7" max="7" width="31.38"/>
  </cols>
  <sheetData>
    <row r="1" ht="30.0" customHeight="1">
      <c r="A1" s="31" t="s">
        <v>1076</v>
      </c>
    </row>
    <row r="4" ht="24.0" customHeight="1">
      <c r="A4" s="32" t="s">
        <v>1077</v>
      </c>
      <c r="E4" s="32" t="s">
        <v>1078</v>
      </c>
      <c r="F4" s="33"/>
      <c r="G4" s="33"/>
    </row>
    <row r="5" ht="22.5" customHeight="1">
      <c r="A5" s="34" t="s">
        <v>1079</v>
      </c>
      <c r="B5" s="34" t="s">
        <v>1080</v>
      </c>
      <c r="C5" s="34" t="s">
        <v>92</v>
      </c>
      <c r="D5" s="35"/>
      <c r="E5" s="34" t="s">
        <v>1081</v>
      </c>
      <c r="F5" s="34" t="s">
        <v>1080</v>
      </c>
      <c r="G5" s="34" t="s">
        <v>92</v>
      </c>
    </row>
    <row r="6">
      <c r="A6" s="36" t="s">
        <v>1082</v>
      </c>
      <c r="B6" s="37">
        <v>0.7</v>
      </c>
      <c r="C6" s="36" t="s">
        <v>1083</v>
      </c>
      <c r="D6" s="38"/>
      <c r="E6" s="36" t="s">
        <v>1066</v>
      </c>
      <c r="F6" s="37">
        <v>1.0</v>
      </c>
      <c r="G6" s="36" t="s">
        <v>1084</v>
      </c>
    </row>
    <row r="7">
      <c r="A7" s="39" t="s">
        <v>1085</v>
      </c>
      <c r="B7" s="40">
        <v>0.85</v>
      </c>
      <c r="C7" s="39" t="s">
        <v>1086</v>
      </c>
      <c r="D7" s="41"/>
      <c r="E7" s="39" t="s">
        <v>1087</v>
      </c>
      <c r="F7" s="40">
        <v>1.1</v>
      </c>
      <c r="G7" s="39" t="s">
        <v>1088</v>
      </c>
    </row>
    <row r="8">
      <c r="A8" s="36" t="s">
        <v>1065</v>
      </c>
      <c r="B8" s="37">
        <v>1.0</v>
      </c>
      <c r="C8" s="36" t="s">
        <v>1089</v>
      </c>
      <c r="D8" s="38"/>
      <c r="E8" s="36" t="s">
        <v>1090</v>
      </c>
      <c r="F8" s="37">
        <v>1.05</v>
      </c>
      <c r="G8" s="36" t="s">
        <v>1091</v>
      </c>
    </row>
    <row r="9">
      <c r="A9" s="39" t="s">
        <v>1092</v>
      </c>
      <c r="B9" s="40">
        <v>1.15</v>
      </c>
      <c r="C9" s="39" t="s">
        <v>1093</v>
      </c>
      <c r="D9" s="41"/>
      <c r="E9" s="39" t="s">
        <v>1094</v>
      </c>
      <c r="F9" s="40">
        <v>0.9</v>
      </c>
      <c r="G9" s="39" t="s">
        <v>1095</v>
      </c>
    </row>
    <row r="10">
      <c r="A10" s="36" t="s">
        <v>1096</v>
      </c>
      <c r="B10" s="37">
        <v>1.3</v>
      </c>
      <c r="C10" s="36" t="s">
        <v>1097</v>
      </c>
      <c r="D10" s="38"/>
      <c r="E10" s="36" t="s">
        <v>1098</v>
      </c>
      <c r="F10" s="37">
        <v>1.05</v>
      </c>
      <c r="G10" s="36" t="s">
        <v>1099</v>
      </c>
    </row>
    <row r="11">
      <c r="E11" s="26" t="s">
        <v>1100</v>
      </c>
      <c r="F11" s="28">
        <v>1.15</v>
      </c>
      <c r="G11" s="26" t="s">
        <v>1101</v>
      </c>
    </row>
    <row r="12">
      <c r="E12" s="26" t="s">
        <v>1102</v>
      </c>
      <c r="F12" s="28">
        <v>1.1</v>
      </c>
      <c r="G12" s="26" t="s">
        <v>1103</v>
      </c>
    </row>
    <row r="13">
      <c r="E13" s="26" t="s">
        <v>1104</v>
      </c>
      <c r="F13" s="28">
        <v>0.95</v>
      </c>
      <c r="G13" s="26" t="s">
        <v>1105</v>
      </c>
    </row>
    <row r="15" ht="24.0" customHeight="1">
      <c r="A15" s="32" t="s">
        <v>1106</v>
      </c>
      <c r="E15" s="32" t="s">
        <v>1107</v>
      </c>
      <c r="F15" s="33"/>
      <c r="G15" s="33"/>
    </row>
    <row r="16" ht="22.5" customHeight="1">
      <c r="A16" s="34" t="s">
        <v>1108</v>
      </c>
      <c r="B16" s="34" t="s">
        <v>1080</v>
      </c>
      <c r="C16" s="34" t="s">
        <v>92</v>
      </c>
      <c r="D16" s="35"/>
      <c r="E16" s="34" t="s">
        <v>1109</v>
      </c>
      <c r="F16" s="34" t="s">
        <v>1080</v>
      </c>
      <c r="G16" s="34" t="s">
        <v>92</v>
      </c>
    </row>
    <row r="17">
      <c r="A17" s="26" t="s">
        <v>1110</v>
      </c>
      <c r="B17" s="28">
        <v>0.8</v>
      </c>
      <c r="C17" s="26" t="s">
        <v>1111</v>
      </c>
      <c r="E17" s="26" t="s">
        <v>1068</v>
      </c>
      <c r="F17" s="28">
        <v>1.0</v>
      </c>
      <c r="G17" s="26" t="s">
        <v>1112</v>
      </c>
    </row>
    <row r="18">
      <c r="A18" s="26" t="s">
        <v>1067</v>
      </c>
      <c r="B18" s="28">
        <v>1.0</v>
      </c>
      <c r="C18" s="26" t="s">
        <v>1113</v>
      </c>
      <c r="E18" s="26" t="s">
        <v>1114</v>
      </c>
      <c r="F18" s="28">
        <v>0.85</v>
      </c>
      <c r="G18" s="26" t="s">
        <v>1115</v>
      </c>
    </row>
    <row r="19">
      <c r="A19" s="26" t="s">
        <v>1116</v>
      </c>
      <c r="B19" s="28">
        <v>1.25</v>
      </c>
      <c r="C19" s="26" t="s">
        <v>1117</v>
      </c>
      <c r="E19" s="26" t="s">
        <v>1118</v>
      </c>
      <c r="F19" s="28">
        <v>1.2</v>
      </c>
      <c r="G19" s="26" t="s">
        <v>1119</v>
      </c>
    </row>
    <row r="20">
      <c r="A20" s="26" t="s">
        <v>1120</v>
      </c>
      <c r="B20" s="28">
        <v>1.5</v>
      </c>
      <c r="C20" s="26" t="s">
        <v>1121</v>
      </c>
      <c r="E20" s="26" t="s">
        <v>1122</v>
      </c>
      <c r="F20" s="28">
        <v>1.15</v>
      </c>
      <c r="G20" s="26" t="s">
        <v>1123</v>
      </c>
    </row>
    <row r="21">
      <c r="E21" s="26" t="s">
        <v>1124</v>
      </c>
      <c r="F21" s="28">
        <v>1.25</v>
      </c>
      <c r="G21" s="26" t="s">
        <v>1125</v>
      </c>
    </row>
    <row r="23" ht="24.0" customHeight="1">
      <c r="A23" s="32" t="s">
        <v>1126</v>
      </c>
      <c r="E23" s="32" t="s">
        <v>1127</v>
      </c>
      <c r="F23" s="33"/>
      <c r="G23" s="33"/>
    </row>
    <row r="24" ht="22.5" customHeight="1">
      <c r="A24" s="34" t="s">
        <v>1055</v>
      </c>
      <c r="B24" s="34" t="s">
        <v>1080</v>
      </c>
      <c r="C24" s="34" t="s">
        <v>92</v>
      </c>
      <c r="D24" s="35"/>
      <c r="E24" s="34" t="s">
        <v>1048</v>
      </c>
      <c r="F24" s="34" t="s">
        <v>1080</v>
      </c>
      <c r="G24" s="34" t="s">
        <v>92</v>
      </c>
    </row>
    <row r="25">
      <c r="A25" s="26" t="s">
        <v>1069</v>
      </c>
      <c r="B25" s="28">
        <v>1.1</v>
      </c>
      <c r="C25" s="26" t="s">
        <v>1128</v>
      </c>
      <c r="E25" s="26" t="s">
        <v>1070</v>
      </c>
      <c r="F25" s="28">
        <v>1.0</v>
      </c>
      <c r="G25" s="26" t="s">
        <v>1129</v>
      </c>
    </row>
    <row r="26">
      <c r="A26" s="26" t="s">
        <v>1130</v>
      </c>
      <c r="B26" s="28">
        <v>1.0</v>
      </c>
      <c r="C26" s="26" t="s">
        <v>1131</v>
      </c>
      <c r="E26" s="26" t="s">
        <v>1132</v>
      </c>
      <c r="F26" s="28">
        <v>1.15</v>
      </c>
      <c r="G26" s="26" t="s">
        <v>1133</v>
      </c>
    </row>
    <row r="27">
      <c r="A27" s="26" t="s">
        <v>1134</v>
      </c>
      <c r="B27" s="28">
        <v>1.15</v>
      </c>
      <c r="C27" s="26" t="s">
        <v>1135</v>
      </c>
      <c r="E27" s="26" t="s">
        <v>1136</v>
      </c>
      <c r="F27" s="28">
        <v>1.3</v>
      </c>
      <c r="G27" s="26" t="s">
        <v>1137</v>
      </c>
    </row>
    <row r="28">
      <c r="A28" s="26" t="s">
        <v>1138</v>
      </c>
      <c r="B28" s="28">
        <v>1.05</v>
      </c>
      <c r="C28" s="26" t="s">
        <v>1139</v>
      </c>
      <c r="E28" s="26" t="s">
        <v>1140</v>
      </c>
      <c r="F28" s="28">
        <v>1.2</v>
      </c>
      <c r="G28" s="26" t="s">
        <v>1141</v>
      </c>
    </row>
    <row r="30" ht="24.0" customHeight="1">
      <c r="A30" s="32" t="s">
        <v>1142</v>
      </c>
      <c r="E30" s="33"/>
      <c r="F30" s="33"/>
      <c r="G30" s="33"/>
    </row>
    <row r="31" ht="22.5" customHeight="1">
      <c r="A31" s="34" t="s">
        <v>77</v>
      </c>
      <c r="B31" s="34" t="s">
        <v>1143</v>
      </c>
      <c r="C31" s="34" t="s">
        <v>92</v>
      </c>
      <c r="D31" s="35"/>
      <c r="E31" s="35"/>
      <c r="F31" s="35"/>
      <c r="G31" s="35"/>
    </row>
    <row r="32">
      <c r="A32" s="26" t="s">
        <v>127</v>
      </c>
      <c r="B32" s="28">
        <v>0.65</v>
      </c>
      <c r="C32" s="26" t="s">
        <v>1144</v>
      </c>
    </row>
    <row r="33">
      <c r="A33" s="26" t="s">
        <v>120</v>
      </c>
      <c r="B33" s="28">
        <v>0.75</v>
      </c>
      <c r="C33" s="26" t="s">
        <v>1145</v>
      </c>
    </row>
    <row r="34">
      <c r="A34" s="26" t="s">
        <v>111</v>
      </c>
      <c r="B34" s="28">
        <v>0.85</v>
      </c>
      <c r="C34" s="26" t="s">
        <v>1146</v>
      </c>
    </row>
    <row r="35">
      <c r="A35" s="26" t="s">
        <v>1147</v>
      </c>
      <c r="B35" s="28">
        <v>0.8</v>
      </c>
      <c r="C35" s="26" t="s">
        <v>1148</v>
      </c>
    </row>
  </sheetData>
  <mergeCells count="5">
    <mergeCell ref="A1:G1"/>
    <mergeCell ref="A4:D4"/>
    <mergeCell ref="A15:D15"/>
    <mergeCell ref="A23:D23"/>
    <mergeCell ref="A30:D3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A5293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0.13"/>
    <col customWidth="1" min="3" max="3" width="37.63"/>
    <col customWidth="1" min="4" max="4" width="2.63"/>
    <col customWidth="1" min="5" max="5" width="22.63"/>
    <col customWidth="1" min="6" max="6" width="10.13"/>
    <col customWidth="1" min="7" max="7" width="37.63"/>
    <col customWidth="1" min="8" max="8" width="2.63"/>
  </cols>
  <sheetData>
    <row r="1" ht="30.0" customHeight="1">
      <c r="A1" s="31" t="s">
        <v>1149</v>
      </c>
    </row>
    <row r="4" ht="26.25" customHeight="1">
      <c r="A4" s="32" t="s">
        <v>1150</v>
      </c>
      <c r="E4" s="32" t="s">
        <v>1151</v>
      </c>
      <c r="F4" s="33"/>
      <c r="G4" s="33"/>
      <c r="H4" s="33"/>
    </row>
    <row r="5" ht="24.0" customHeight="1">
      <c r="A5" s="34" t="s">
        <v>1057</v>
      </c>
      <c r="B5" s="34" t="s">
        <v>1152</v>
      </c>
      <c r="C5" s="34" t="s">
        <v>1153</v>
      </c>
      <c r="D5" s="35"/>
      <c r="E5" s="34" t="s">
        <v>1154</v>
      </c>
      <c r="F5" s="34" t="s">
        <v>1152</v>
      </c>
      <c r="G5" s="34" t="s">
        <v>1153</v>
      </c>
      <c r="H5" s="35"/>
    </row>
    <row r="6">
      <c r="A6" s="36" t="s">
        <v>1033</v>
      </c>
      <c r="B6" s="42">
        <v>0.0</v>
      </c>
      <c r="C6" s="36" t="s">
        <v>1155</v>
      </c>
      <c r="D6" s="38"/>
      <c r="E6" s="36" t="s">
        <v>1033</v>
      </c>
      <c r="F6" s="42">
        <v>0.0</v>
      </c>
      <c r="G6" s="36" t="s">
        <v>1156</v>
      </c>
      <c r="H6" s="38"/>
    </row>
    <row r="7">
      <c r="A7" s="39" t="s">
        <v>1157</v>
      </c>
      <c r="B7" s="43">
        <v>0.1</v>
      </c>
      <c r="C7" s="39" t="s">
        <v>1158</v>
      </c>
      <c r="D7" s="41"/>
      <c r="E7" s="39" t="s">
        <v>1159</v>
      </c>
      <c r="F7" s="43">
        <v>0.15</v>
      </c>
      <c r="G7" s="39" t="s">
        <v>1160</v>
      </c>
      <c r="H7" s="41"/>
    </row>
    <row r="8">
      <c r="A8" s="36" t="s">
        <v>1161</v>
      </c>
      <c r="B8" s="42">
        <v>0.2</v>
      </c>
      <c r="C8" s="36" t="s">
        <v>1162</v>
      </c>
      <c r="D8" s="38"/>
      <c r="E8" s="36" t="s">
        <v>1163</v>
      </c>
      <c r="F8" s="42">
        <v>0.35</v>
      </c>
      <c r="G8" s="36" t="s">
        <v>1164</v>
      </c>
      <c r="H8" s="38"/>
    </row>
    <row r="9">
      <c r="A9" s="39" t="s">
        <v>1165</v>
      </c>
      <c r="B9" s="43">
        <v>0.25</v>
      </c>
      <c r="C9" s="39" t="s">
        <v>1166</v>
      </c>
      <c r="D9" s="41"/>
      <c r="E9" s="39" t="s">
        <v>1167</v>
      </c>
      <c r="F9" s="43">
        <v>0.6</v>
      </c>
      <c r="G9" s="39" t="s">
        <v>1168</v>
      </c>
      <c r="H9" s="41"/>
    </row>
    <row r="10">
      <c r="A10" s="36" t="s">
        <v>1169</v>
      </c>
      <c r="B10" s="42">
        <v>0.6</v>
      </c>
      <c r="C10" s="36" t="s">
        <v>1170</v>
      </c>
      <c r="D10" s="38"/>
      <c r="E10" s="36" t="s">
        <v>1171</v>
      </c>
      <c r="F10" s="42">
        <v>0.1</v>
      </c>
      <c r="G10" s="36" t="s">
        <v>1172</v>
      </c>
      <c r="H10" s="38"/>
    </row>
    <row r="11">
      <c r="A11" s="39" t="s">
        <v>1173</v>
      </c>
      <c r="B11" s="43">
        <v>1.0</v>
      </c>
      <c r="C11" s="39" t="s">
        <v>1174</v>
      </c>
      <c r="D11" s="41"/>
      <c r="E11" s="39" t="s">
        <v>1175</v>
      </c>
      <c r="F11" s="43">
        <v>0.2</v>
      </c>
      <c r="G11" s="39" t="s">
        <v>1176</v>
      </c>
      <c r="H11" s="41"/>
    </row>
    <row r="12">
      <c r="A12" s="36" t="s">
        <v>1177</v>
      </c>
      <c r="B12" s="42">
        <v>0.35</v>
      </c>
      <c r="C12" s="36" t="s">
        <v>1178</v>
      </c>
      <c r="D12" s="38"/>
      <c r="E12" s="36" t="s">
        <v>1179</v>
      </c>
      <c r="F12" s="42">
        <v>0.35</v>
      </c>
      <c r="G12" s="36" t="s">
        <v>1180</v>
      </c>
      <c r="H12" s="38"/>
    </row>
    <row r="13">
      <c r="A13" s="39" t="s">
        <v>1181</v>
      </c>
      <c r="B13" s="43">
        <v>0.9</v>
      </c>
      <c r="C13" s="39" t="s">
        <v>1182</v>
      </c>
      <c r="D13" s="41"/>
      <c r="E13" s="39" t="s">
        <v>1183</v>
      </c>
      <c r="F13" s="43">
        <v>0.15</v>
      </c>
      <c r="G13" s="39" t="s">
        <v>1184</v>
      </c>
      <c r="H13" s="41"/>
    </row>
    <row r="14">
      <c r="A14" s="36" t="s">
        <v>1185</v>
      </c>
      <c r="B14" s="42">
        <v>0.1</v>
      </c>
      <c r="C14" s="36" t="s">
        <v>1186</v>
      </c>
      <c r="D14" s="38"/>
      <c r="E14" s="36" t="s">
        <v>1187</v>
      </c>
      <c r="F14" s="42">
        <v>0.1</v>
      </c>
      <c r="G14" s="36" t="s">
        <v>1188</v>
      </c>
      <c r="H14" s="38"/>
    </row>
    <row r="15">
      <c r="A15" s="39" t="s">
        <v>1189</v>
      </c>
      <c r="B15" s="43">
        <v>1.2</v>
      </c>
      <c r="C15" s="39" t="s">
        <v>1190</v>
      </c>
      <c r="D15" s="41"/>
      <c r="E15" s="41"/>
      <c r="F15" s="41"/>
      <c r="G15" s="41"/>
      <c r="H15" s="41"/>
    </row>
    <row r="17" ht="26.25" customHeight="1">
      <c r="A17" s="32" t="s">
        <v>1191</v>
      </c>
      <c r="E17" s="33"/>
      <c r="F17" s="33"/>
      <c r="G17" s="33"/>
      <c r="H17" s="33"/>
    </row>
    <row r="18" ht="24.0" customHeight="1">
      <c r="A18" s="34" t="s">
        <v>1192</v>
      </c>
      <c r="B18" s="34" t="s">
        <v>1193</v>
      </c>
      <c r="C18" s="34" t="s">
        <v>1153</v>
      </c>
      <c r="D18" s="35"/>
      <c r="E18" s="35"/>
      <c r="F18" s="35"/>
      <c r="G18" s="35"/>
      <c r="H18" s="35"/>
    </row>
    <row r="19">
      <c r="A19" s="36" t="s">
        <v>1033</v>
      </c>
      <c r="B19" s="42">
        <v>0.0</v>
      </c>
      <c r="C19" s="36" t="s">
        <v>1194</v>
      </c>
      <c r="D19" s="38"/>
      <c r="E19" s="38"/>
      <c r="F19" s="38"/>
      <c r="G19" s="38"/>
      <c r="H19" s="38"/>
    </row>
    <row r="20">
      <c r="A20" s="39" t="s">
        <v>1195</v>
      </c>
      <c r="B20" s="43">
        <v>0.03</v>
      </c>
      <c r="C20" s="39" t="s">
        <v>1196</v>
      </c>
      <c r="D20" s="41"/>
      <c r="E20" s="41"/>
      <c r="F20" s="41"/>
      <c r="G20" s="41"/>
      <c r="H20" s="41"/>
    </row>
    <row r="21">
      <c r="A21" s="36" t="s">
        <v>1197</v>
      </c>
      <c r="B21" s="42">
        <v>0.05</v>
      </c>
      <c r="C21" s="36" t="s">
        <v>1198</v>
      </c>
      <c r="D21" s="38"/>
      <c r="E21" s="38"/>
      <c r="F21" s="38"/>
      <c r="G21" s="38"/>
      <c r="H21" s="38"/>
    </row>
    <row r="22">
      <c r="A22" s="39" t="s">
        <v>1199</v>
      </c>
      <c r="B22" s="43">
        <v>0.08</v>
      </c>
      <c r="C22" s="39" t="s">
        <v>1200</v>
      </c>
      <c r="D22" s="41"/>
      <c r="E22" s="41"/>
      <c r="F22" s="41"/>
      <c r="G22" s="41"/>
      <c r="H22" s="41"/>
    </row>
  </sheetData>
  <mergeCells count="3">
    <mergeCell ref="A1:H1"/>
    <mergeCell ref="A4:D4"/>
    <mergeCell ref="A17:D1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A5293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26" t="s">
        <v>1201</v>
      </c>
    </row>
    <row r="4">
      <c r="A4" s="26" t="s">
        <v>1202</v>
      </c>
      <c r="B4" s="26" t="s">
        <v>1203</v>
      </c>
      <c r="C4" s="26" t="s">
        <v>1028</v>
      </c>
      <c r="D4" s="26" t="s">
        <v>1204</v>
      </c>
      <c r="E4" s="26" t="s">
        <v>1205</v>
      </c>
      <c r="F4" s="26" t="s">
        <v>1040</v>
      </c>
      <c r="G4" s="26" t="s">
        <v>1206</v>
      </c>
      <c r="H4" s="26" t="s">
        <v>1047</v>
      </c>
      <c r="I4" s="26" t="s">
        <v>1048</v>
      </c>
      <c r="J4" s="26" t="s">
        <v>1049</v>
      </c>
      <c r="K4" s="26" t="s">
        <v>1050</v>
      </c>
      <c r="L4" s="26" t="s">
        <v>1029</v>
      </c>
      <c r="M4" s="26" t="s">
        <v>1052</v>
      </c>
      <c r="N4" s="26" t="s">
        <v>1034</v>
      </c>
      <c r="O4" s="26" t="s">
        <v>1046</v>
      </c>
      <c r="P4" s="26" t="s">
        <v>1207</v>
      </c>
      <c r="Q4" s="26" t="s">
        <v>51</v>
      </c>
      <c r="R4" s="26" t="s">
        <v>1208</v>
      </c>
      <c r="S4" s="26" t="s">
        <v>1057</v>
      </c>
      <c r="T4" s="26" t="s">
        <v>1058</v>
      </c>
      <c r="U4" s="26" t="s">
        <v>1209</v>
      </c>
      <c r="V4" s="26" t="s">
        <v>92</v>
      </c>
      <c r="W4" s="26" t="s">
        <v>1210</v>
      </c>
      <c r="X4" s="26" t="s">
        <v>62</v>
      </c>
    </row>
    <row r="5">
      <c r="A5" s="26" t="s">
        <v>1211</v>
      </c>
      <c r="B5" s="44">
        <v>46026.0</v>
      </c>
      <c r="C5" s="26" t="s">
        <v>1212</v>
      </c>
      <c r="D5" s="26" t="s">
        <v>1213</v>
      </c>
      <c r="E5" s="26" t="s">
        <v>1214</v>
      </c>
      <c r="F5" s="26" t="s">
        <v>1215</v>
      </c>
      <c r="G5" s="26" t="s">
        <v>1216</v>
      </c>
      <c r="H5" s="26" t="s">
        <v>169</v>
      </c>
      <c r="I5" s="26" t="s">
        <v>126</v>
      </c>
      <c r="J5" s="26" t="s">
        <v>1217</v>
      </c>
      <c r="K5" s="28">
        <v>1.0</v>
      </c>
      <c r="L5" s="26" t="s">
        <v>1218</v>
      </c>
      <c r="M5" s="26" t="s">
        <v>1066</v>
      </c>
      <c r="N5" s="26" t="s">
        <v>1035</v>
      </c>
      <c r="O5" s="28">
        <v>0.0</v>
      </c>
      <c r="P5" s="28">
        <v>11000.0</v>
      </c>
      <c r="Q5" s="28">
        <v>1.12</v>
      </c>
      <c r="R5" s="28">
        <v>12320.0</v>
      </c>
      <c r="S5" s="26" t="s">
        <v>1033</v>
      </c>
      <c r="T5" s="26" t="s">
        <v>1033</v>
      </c>
      <c r="U5" s="26" t="s">
        <v>1219</v>
      </c>
      <c r="X5" s="26" t="s">
        <v>1220</v>
      </c>
    </row>
    <row r="6">
      <c r="A6" s="26" t="s">
        <v>1221</v>
      </c>
      <c r="B6" s="44">
        <v>46026.0</v>
      </c>
      <c r="C6" s="26" t="s">
        <v>1222</v>
      </c>
      <c r="D6" s="26" t="s">
        <v>1223</v>
      </c>
      <c r="E6" s="26" t="s">
        <v>1224</v>
      </c>
      <c r="F6" s="26" t="s">
        <v>1225</v>
      </c>
      <c r="G6" s="26" t="s">
        <v>1216</v>
      </c>
      <c r="H6" s="26" t="s">
        <v>1016</v>
      </c>
      <c r="I6" s="26" t="s">
        <v>991</v>
      </c>
      <c r="J6" s="26" t="s">
        <v>1226</v>
      </c>
      <c r="K6" s="28">
        <v>1.0</v>
      </c>
      <c r="L6" s="26" t="s">
        <v>1227</v>
      </c>
      <c r="M6" s="26" t="s">
        <v>1087</v>
      </c>
      <c r="N6" s="26" t="s">
        <v>1035</v>
      </c>
      <c r="O6" s="28">
        <v>0.0</v>
      </c>
      <c r="P6" s="28">
        <v>28000.0</v>
      </c>
      <c r="Q6" s="28">
        <v>1.85</v>
      </c>
      <c r="R6" s="28">
        <v>51800.0</v>
      </c>
      <c r="S6" s="26" t="s">
        <v>1181</v>
      </c>
      <c r="T6" s="26" t="s">
        <v>1033</v>
      </c>
      <c r="U6" s="26" t="s">
        <v>1228</v>
      </c>
      <c r="X6" s="26" t="s">
        <v>1220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A5293"/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7.63"/>
    <col customWidth="1" min="3" max="3" width="37.63"/>
  </cols>
  <sheetData>
    <row r="1" ht="30.0" customHeight="1">
      <c r="A1" s="31" t="s">
        <v>1229</v>
      </c>
    </row>
    <row r="3">
      <c r="A3" s="32" t="s">
        <v>1230</v>
      </c>
      <c r="B3" s="32" t="s">
        <v>1231</v>
      </c>
      <c r="C3" s="32" t="s">
        <v>1153</v>
      </c>
    </row>
    <row r="4">
      <c r="A4" s="45" t="s">
        <v>1232</v>
      </c>
      <c r="B4" s="36" t="s">
        <v>109</v>
      </c>
      <c r="C4" s="36" t="s">
        <v>1233</v>
      </c>
    </row>
    <row r="5">
      <c r="A5" s="46" t="s">
        <v>1234</v>
      </c>
      <c r="B5" s="39" t="s">
        <v>1235</v>
      </c>
      <c r="C5" s="39" t="s">
        <v>1236</v>
      </c>
    </row>
    <row r="6">
      <c r="A6" s="45" t="s">
        <v>1237</v>
      </c>
      <c r="B6" s="36" t="s">
        <v>1238</v>
      </c>
      <c r="C6" s="36" t="s">
        <v>1239</v>
      </c>
    </row>
    <row r="7">
      <c r="A7" s="46" t="s">
        <v>1240</v>
      </c>
      <c r="B7" s="39" t="s">
        <v>1241</v>
      </c>
      <c r="C7" s="39" t="s">
        <v>1242</v>
      </c>
    </row>
    <row r="8">
      <c r="A8" s="45" t="s">
        <v>1243</v>
      </c>
      <c r="B8" s="37">
        <v>0.15</v>
      </c>
      <c r="C8" s="36" t="s">
        <v>1244</v>
      </c>
    </row>
    <row r="9">
      <c r="A9" s="46" t="s">
        <v>1245</v>
      </c>
      <c r="B9" s="40">
        <v>0.1</v>
      </c>
      <c r="C9" s="39" t="s">
        <v>1246</v>
      </c>
    </row>
    <row r="10">
      <c r="A10" s="45" t="s">
        <v>1247</v>
      </c>
      <c r="B10" s="37">
        <v>3.75</v>
      </c>
      <c r="C10" s="36" t="s">
        <v>1248</v>
      </c>
    </row>
    <row r="11">
      <c r="A11" s="46" t="s">
        <v>1249</v>
      </c>
      <c r="B11" s="39" t="s">
        <v>1035</v>
      </c>
      <c r="C11" s="39" t="s">
        <v>1250</v>
      </c>
    </row>
    <row r="12">
      <c r="A12" s="45" t="s">
        <v>1251</v>
      </c>
      <c r="B12" s="37">
        <v>0.75</v>
      </c>
      <c r="C12" s="36" t="s">
        <v>1252</v>
      </c>
    </row>
    <row r="13">
      <c r="A13" s="46" t="s">
        <v>1253</v>
      </c>
      <c r="B13" s="41"/>
      <c r="C13" s="39" t="s">
        <v>1254</v>
      </c>
    </row>
    <row r="14">
      <c r="A14" s="45" t="s">
        <v>1255</v>
      </c>
      <c r="B14" s="38"/>
      <c r="C14" s="36" t="s">
        <v>1256</v>
      </c>
    </row>
    <row r="15">
      <c r="A15" s="46" t="s">
        <v>1257</v>
      </c>
      <c r="B15" s="41"/>
      <c r="C15" s="39" t="s">
        <v>1258</v>
      </c>
    </row>
    <row r="16">
      <c r="A16" s="45" t="s">
        <v>1259</v>
      </c>
      <c r="B16" s="36" t="s">
        <v>1260</v>
      </c>
      <c r="C16" s="36" t="s">
        <v>1261</v>
      </c>
    </row>
    <row r="17">
      <c r="A17" s="46" t="s">
        <v>1262</v>
      </c>
      <c r="B17" s="41"/>
      <c r="C17" s="39" t="s">
        <v>1263</v>
      </c>
    </row>
    <row r="18">
      <c r="A18" s="45" t="s">
        <v>1264</v>
      </c>
      <c r="B18" s="36" t="s">
        <v>1265</v>
      </c>
      <c r="C18" s="36" t="s">
        <v>1266</v>
      </c>
    </row>
    <row r="19">
      <c r="A19" s="46" t="s">
        <v>1267</v>
      </c>
      <c r="B19" s="39" t="s">
        <v>1268</v>
      </c>
      <c r="C19" s="39" t="s">
        <v>1269</v>
      </c>
    </row>
    <row r="20">
      <c r="A20" s="45" t="s">
        <v>1270</v>
      </c>
      <c r="B20" s="36" t="s">
        <v>109</v>
      </c>
      <c r="C20" s="36" t="s">
        <v>1271</v>
      </c>
    </row>
    <row r="21">
      <c r="A21" s="46" t="s">
        <v>1272</v>
      </c>
      <c r="B21" s="41"/>
      <c r="C21" s="39" t="s">
        <v>1273</v>
      </c>
    </row>
    <row r="22">
      <c r="A22" s="45" t="s">
        <v>1274</v>
      </c>
      <c r="B22" s="38"/>
      <c r="C22" s="36" t="s">
        <v>1275</v>
      </c>
    </row>
  </sheetData>
  <mergeCells count="1">
    <mergeCell ref="A1:C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outlinePr summaryBelow="0" summaryRight="0"/>
  </sheetPr>
  <sheetViews>
    <sheetView workbookViewId="0"/>
  </sheetViews>
  <sheetFormatPr customHeight="1" defaultColWidth="12.63" defaultRowHeight="15.75"/>
  <sheetData>
    <row r="1">
      <c r="A1" s="47" t="s">
        <v>1276</v>
      </c>
      <c r="B1" s="47" t="s">
        <v>1277</v>
      </c>
      <c r="C1" s="48"/>
      <c r="D1" s="47" t="s">
        <v>1051</v>
      </c>
      <c r="E1" s="48"/>
      <c r="F1" s="47" t="s">
        <v>1052</v>
      </c>
      <c r="G1" s="48"/>
      <c r="H1" s="47" t="s">
        <v>1053</v>
      </c>
    </row>
    <row r="2">
      <c r="A2" s="26" t="s">
        <v>1033</v>
      </c>
      <c r="B2" s="28">
        <v>0.0</v>
      </c>
      <c r="D2" s="26" t="s">
        <v>1082</v>
      </c>
      <c r="F2" s="26" t="s">
        <v>1066</v>
      </c>
      <c r="H2" s="26" t="s">
        <v>1110</v>
      </c>
    </row>
    <row r="3">
      <c r="A3" s="26" t="s">
        <v>1195</v>
      </c>
      <c r="B3" s="28">
        <v>0.03</v>
      </c>
      <c r="D3" s="26" t="s">
        <v>1085</v>
      </c>
      <c r="F3" s="26" t="s">
        <v>1087</v>
      </c>
      <c r="H3" s="26" t="s">
        <v>1067</v>
      </c>
    </row>
    <row r="4">
      <c r="A4" s="26" t="s">
        <v>1197</v>
      </c>
      <c r="B4" s="28">
        <v>0.05</v>
      </c>
      <c r="D4" s="26" t="s">
        <v>1065</v>
      </c>
      <c r="F4" s="26" t="s">
        <v>1090</v>
      </c>
      <c r="H4" s="26" t="s">
        <v>1116</v>
      </c>
    </row>
    <row r="5">
      <c r="A5" s="26" t="s">
        <v>1199</v>
      </c>
      <c r="B5" s="28">
        <v>0.08</v>
      </c>
      <c r="D5" s="26" t="s">
        <v>1092</v>
      </c>
      <c r="F5" s="26" t="s">
        <v>1094</v>
      </c>
      <c r="H5" s="26" t="s">
        <v>1120</v>
      </c>
    </row>
    <row r="6">
      <c r="D6" s="26" t="s">
        <v>1096</v>
      </c>
      <c r="F6" s="26" t="s">
        <v>1098</v>
      </c>
    </row>
    <row r="7">
      <c r="F7" s="26" t="s">
        <v>1100</v>
      </c>
    </row>
    <row r="8">
      <c r="F8" s="26" t="s">
        <v>1102</v>
      </c>
    </row>
    <row r="9">
      <c r="F9" s="26" t="s">
        <v>1104</v>
      </c>
    </row>
    <row r="10">
      <c r="A10" s="26" t="s">
        <v>1054</v>
      </c>
      <c r="D10" s="26" t="s">
        <v>1055</v>
      </c>
      <c r="F10" s="26" t="s">
        <v>1056</v>
      </c>
      <c r="H10" s="26" t="s">
        <v>1057</v>
      </c>
    </row>
    <row r="11">
      <c r="A11" s="26" t="s">
        <v>1068</v>
      </c>
      <c r="D11" s="26" t="s">
        <v>1069</v>
      </c>
      <c r="F11" s="26" t="s">
        <v>1070</v>
      </c>
      <c r="H11" s="26" t="s">
        <v>1033</v>
      </c>
    </row>
    <row r="12">
      <c r="A12" s="26" t="s">
        <v>1114</v>
      </c>
      <c r="D12" s="26" t="s">
        <v>1130</v>
      </c>
      <c r="F12" s="26" t="s">
        <v>1132</v>
      </c>
      <c r="H12" s="26" t="s">
        <v>1157</v>
      </c>
    </row>
    <row r="13">
      <c r="A13" s="26" t="s">
        <v>1118</v>
      </c>
      <c r="D13" s="26" t="s">
        <v>1134</v>
      </c>
      <c r="F13" s="26" t="s">
        <v>1136</v>
      </c>
      <c r="H13" s="26" t="s">
        <v>1161</v>
      </c>
    </row>
    <row r="14">
      <c r="A14" s="26" t="s">
        <v>1122</v>
      </c>
      <c r="D14" s="26" t="s">
        <v>1138</v>
      </c>
      <c r="F14" s="26" t="s">
        <v>1140</v>
      </c>
      <c r="H14" s="26" t="s">
        <v>1165</v>
      </c>
    </row>
    <row r="15">
      <c r="A15" s="26" t="s">
        <v>1124</v>
      </c>
      <c r="H15" s="26" t="s">
        <v>1169</v>
      </c>
    </row>
    <row r="16">
      <c r="H16" s="26" t="s">
        <v>1173</v>
      </c>
    </row>
    <row r="17">
      <c r="H17" s="26" t="s">
        <v>1177</v>
      </c>
    </row>
    <row r="18">
      <c r="H18" s="26" t="s">
        <v>1181</v>
      </c>
    </row>
    <row r="19">
      <c r="H19" s="26" t="s">
        <v>1185</v>
      </c>
    </row>
    <row r="20">
      <c r="H20" s="26" t="s">
        <v>1189</v>
      </c>
    </row>
    <row r="21">
      <c r="A21" s="26" t="s">
        <v>1154</v>
      </c>
      <c r="D21" s="26" t="s">
        <v>1206</v>
      </c>
      <c r="F21" s="26" t="s">
        <v>62</v>
      </c>
    </row>
    <row r="22">
      <c r="A22" s="26" t="s">
        <v>1033</v>
      </c>
      <c r="D22" s="26" t="s">
        <v>1278</v>
      </c>
      <c r="F22" s="26" t="s">
        <v>1220</v>
      </c>
    </row>
    <row r="23">
      <c r="A23" s="26" t="s">
        <v>1159</v>
      </c>
      <c r="D23" s="26" t="s">
        <v>1216</v>
      </c>
      <c r="F23" s="26" t="s">
        <v>1279</v>
      </c>
    </row>
    <row r="24">
      <c r="A24" s="26" t="s">
        <v>1163</v>
      </c>
      <c r="D24" s="26" t="s">
        <v>1280</v>
      </c>
      <c r="F24" s="26" t="s">
        <v>1281</v>
      </c>
    </row>
    <row r="25">
      <c r="A25" s="26" t="s">
        <v>1167</v>
      </c>
      <c r="D25" s="26" t="s">
        <v>1282</v>
      </c>
      <c r="F25" s="26" t="s">
        <v>1283</v>
      </c>
    </row>
    <row r="26">
      <c r="A26" s="26" t="s">
        <v>1171</v>
      </c>
      <c r="D26" s="26" t="s">
        <v>1284</v>
      </c>
    </row>
    <row r="27">
      <c r="A27" s="26" t="s">
        <v>1175</v>
      </c>
      <c r="D27" s="26" t="s">
        <v>1285</v>
      </c>
    </row>
    <row r="28">
      <c r="A28" s="26" t="s">
        <v>1179</v>
      </c>
    </row>
    <row r="29">
      <c r="A29" s="26" t="s">
        <v>1183</v>
      </c>
    </row>
    <row r="30">
      <c r="A30" s="26" t="s">
        <v>1187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8A84B"/>
    <outlinePr summaryBelow="0" summaryRight="0"/>
  </sheetPr>
  <sheetViews>
    <sheetView workbookViewId="0"/>
  </sheetViews>
  <sheetFormatPr customHeight="1" defaultColWidth="12.63" defaultRowHeight="15.75"/>
  <cols>
    <col customWidth="1" min="1" max="1" width="112.63"/>
  </cols>
  <sheetData>
    <row r="1" ht="37.5" customHeight="1">
      <c r="A1" s="49" t="s">
        <v>1286</v>
      </c>
    </row>
    <row r="2">
      <c r="A2" s="26" t="s">
        <v>1287</v>
      </c>
    </row>
    <row r="4">
      <c r="A4" s="32" t="s">
        <v>1288</v>
      </c>
    </row>
    <row r="5">
      <c r="A5" s="26" t="s">
        <v>1289</v>
      </c>
    </row>
    <row r="7">
      <c r="A7" s="32" t="s">
        <v>1290</v>
      </c>
    </row>
    <row r="8">
      <c r="A8" s="26" t="s">
        <v>1291</v>
      </c>
    </row>
    <row r="10">
      <c r="A10" s="32" t="s">
        <v>1292</v>
      </c>
    </row>
    <row r="11">
      <c r="A11" s="26" t="s">
        <v>1293</v>
      </c>
    </row>
    <row r="12">
      <c r="A12" s="26" t="s">
        <v>1294</v>
      </c>
    </row>
    <row r="13">
      <c r="A13" s="33"/>
    </row>
    <row r="14">
      <c r="A14" s="26" t="s">
        <v>1295</v>
      </c>
    </row>
    <row r="15">
      <c r="A15" s="26" t="s">
        <v>1296</v>
      </c>
    </row>
    <row r="16">
      <c r="A16" s="33"/>
    </row>
    <row r="17">
      <c r="A17" s="26" t="s">
        <v>1297</v>
      </c>
    </row>
    <row r="18">
      <c r="A18" s="26" t="s">
        <v>1298</v>
      </c>
    </row>
    <row r="19">
      <c r="A19" s="26" t="s">
        <v>1299</v>
      </c>
    </row>
    <row r="20">
      <c r="A20" s="26" t="s">
        <v>1300</v>
      </c>
    </row>
    <row r="21">
      <c r="A21" s="26" t="s">
        <v>1301</v>
      </c>
    </row>
    <row r="22">
      <c r="A22" s="26" t="s">
        <v>1302</v>
      </c>
    </row>
    <row r="24">
      <c r="A24" s="32" t="s">
        <v>1303</v>
      </c>
    </row>
    <row r="25">
      <c r="A25" s="32" t="s">
        <v>1304</v>
      </c>
    </row>
    <row r="26">
      <c r="A26" s="50" t="s">
        <v>1303</v>
      </c>
    </row>
    <row r="27">
      <c r="A27" s="50" t="s">
        <v>1305</v>
      </c>
    </row>
    <row r="28">
      <c r="A28" s="50" t="s">
        <v>1306</v>
      </c>
    </row>
    <row r="29">
      <c r="A29" s="50" t="s">
        <v>1307</v>
      </c>
    </row>
    <row r="30">
      <c r="A30" s="50" t="s">
        <v>1308</v>
      </c>
    </row>
    <row r="31">
      <c r="A31" s="50" t="s">
        <v>1309</v>
      </c>
    </row>
    <row r="32">
      <c r="A32" s="50" t="s">
        <v>1306</v>
      </c>
    </row>
    <row r="33">
      <c r="A33" s="50" t="s">
        <v>1310</v>
      </c>
    </row>
    <row r="34">
      <c r="A34" s="50" t="s">
        <v>1311</v>
      </c>
    </row>
    <row r="35">
      <c r="A35" s="50" t="s">
        <v>1312</v>
      </c>
    </row>
    <row r="36">
      <c r="A36" s="50" t="s">
        <v>1313</v>
      </c>
    </row>
    <row r="37">
      <c r="A37" s="50" t="s">
        <v>1314</v>
      </c>
    </row>
    <row r="38">
      <c r="A38" s="50" t="s">
        <v>1315</v>
      </c>
    </row>
    <row r="39">
      <c r="A39" s="50" t="s">
        <v>1316</v>
      </c>
    </row>
    <row r="40">
      <c r="A40" s="50" t="s">
        <v>1317</v>
      </c>
    </row>
    <row r="41">
      <c r="A41" s="50" t="s">
        <v>1318</v>
      </c>
    </row>
    <row r="42">
      <c r="A42" s="50" t="s">
        <v>1310</v>
      </c>
    </row>
    <row r="43">
      <c r="A43" s="50" t="s">
        <v>1319</v>
      </c>
    </row>
    <row r="44">
      <c r="A44" s="50" t="s">
        <v>1320</v>
      </c>
    </row>
    <row r="45">
      <c r="A45" s="50" t="s">
        <v>1321</v>
      </c>
    </row>
    <row r="46">
      <c r="A46" s="50" t="s">
        <v>1322</v>
      </c>
    </row>
    <row r="47">
      <c r="A47" s="50" t="s">
        <v>1310</v>
      </c>
    </row>
    <row r="48">
      <c r="A48" s="50" t="s">
        <v>1306</v>
      </c>
    </row>
    <row r="49">
      <c r="A49" s="50" t="s">
        <v>1323</v>
      </c>
    </row>
    <row r="50">
      <c r="A50" s="51"/>
    </row>
    <row r="51">
      <c r="A51" s="50" t="s">
        <v>1324</v>
      </c>
    </row>
    <row r="52">
      <c r="A52" s="50" t="s">
        <v>1325</v>
      </c>
    </row>
    <row r="53">
      <c r="A53" s="50" t="s">
        <v>1326</v>
      </c>
    </row>
    <row r="54">
      <c r="A54" s="50" t="s">
        <v>1327</v>
      </c>
    </row>
    <row r="55">
      <c r="A55" s="50" t="s">
        <v>1328</v>
      </c>
    </row>
    <row r="56">
      <c r="A56" s="50" t="s">
        <v>1329</v>
      </c>
    </row>
    <row r="57">
      <c r="A57" s="50" t="s">
        <v>1330</v>
      </c>
    </row>
    <row r="58">
      <c r="A58" s="51"/>
    </row>
    <row r="59">
      <c r="A59" s="50" t="s">
        <v>1331</v>
      </c>
    </row>
    <row r="60">
      <c r="A60" s="50" t="s">
        <v>1332</v>
      </c>
    </row>
    <row r="61">
      <c r="A61" s="50" t="s">
        <v>1333</v>
      </c>
    </row>
    <row r="62">
      <c r="A62" s="50" t="s">
        <v>1334</v>
      </c>
    </row>
    <row r="63">
      <c r="A63" s="50" t="s">
        <v>1335</v>
      </c>
    </row>
    <row r="64">
      <c r="A64" s="50" t="s">
        <v>1336</v>
      </c>
    </row>
    <row r="65">
      <c r="A65" s="50" t="s">
        <v>1337</v>
      </c>
    </row>
    <row r="66">
      <c r="A66" s="50" t="s">
        <v>1338</v>
      </c>
    </row>
    <row r="67">
      <c r="A67" s="50" t="s">
        <v>1339</v>
      </c>
    </row>
    <row r="68">
      <c r="A68" s="50" t="s">
        <v>1340</v>
      </c>
    </row>
    <row r="69">
      <c r="A69" s="50" t="s">
        <v>1341</v>
      </c>
    </row>
    <row r="70">
      <c r="A70" s="51"/>
    </row>
    <row r="71">
      <c r="A71" s="50" t="s">
        <v>1342</v>
      </c>
    </row>
    <row r="72">
      <c r="A72" s="50" t="s">
        <v>1343</v>
      </c>
    </row>
    <row r="73">
      <c r="A73" s="50" t="s">
        <v>1344</v>
      </c>
    </row>
    <row r="74">
      <c r="A74" s="50" t="s">
        <v>1345</v>
      </c>
    </row>
    <row r="75">
      <c r="A75" s="50" t="s">
        <v>1346</v>
      </c>
    </row>
    <row r="76">
      <c r="A76" s="50" t="s">
        <v>1347</v>
      </c>
    </row>
    <row r="77">
      <c r="A77" s="50" t="s">
        <v>1348</v>
      </c>
    </row>
    <row r="78">
      <c r="A78" s="50" t="s">
        <v>1349</v>
      </c>
    </row>
    <row r="79">
      <c r="A79" s="50" t="s">
        <v>1350</v>
      </c>
    </row>
    <row r="80">
      <c r="A80" s="50" t="s">
        <v>1351</v>
      </c>
    </row>
    <row r="81">
      <c r="A81" s="50" t="s">
        <v>1352</v>
      </c>
    </row>
    <row r="82">
      <c r="A82" s="50" t="s">
        <v>1353</v>
      </c>
    </row>
    <row r="83">
      <c r="A83" s="50" t="s">
        <v>1354</v>
      </c>
    </row>
    <row r="84">
      <c r="A84" s="50" t="s">
        <v>1355</v>
      </c>
    </row>
    <row r="85">
      <c r="A85" s="50" t="s">
        <v>1356</v>
      </c>
    </row>
    <row r="86">
      <c r="A86" s="50" t="s">
        <v>1357</v>
      </c>
    </row>
    <row r="87">
      <c r="A87" s="50" t="s">
        <v>1358</v>
      </c>
    </row>
    <row r="88">
      <c r="A88" s="50" t="s">
        <v>1359</v>
      </c>
    </row>
    <row r="89">
      <c r="A89" s="50" t="s">
        <v>1360</v>
      </c>
    </row>
    <row r="90">
      <c r="A90" s="50" t="s">
        <v>1361</v>
      </c>
    </row>
    <row r="91">
      <c r="A91" s="50" t="s">
        <v>1362</v>
      </c>
    </row>
    <row r="92">
      <c r="A92" s="50" t="s">
        <v>1363</v>
      </c>
    </row>
    <row r="93">
      <c r="A93" s="50" t="s">
        <v>1341</v>
      </c>
    </row>
    <row r="94">
      <c r="A94" s="51"/>
    </row>
    <row r="95">
      <c r="A95" s="50" t="s">
        <v>1364</v>
      </c>
    </row>
    <row r="96">
      <c r="A96" s="50" t="s">
        <v>1365</v>
      </c>
    </row>
    <row r="97">
      <c r="A97" s="50" t="s">
        <v>1366</v>
      </c>
    </row>
    <row r="98">
      <c r="A98" s="50" t="s">
        <v>1367</v>
      </c>
    </row>
    <row r="99">
      <c r="A99" s="50" t="s">
        <v>1368</v>
      </c>
    </row>
    <row r="100">
      <c r="A100" s="50" t="s">
        <v>1369</v>
      </c>
    </row>
    <row r="101">
      <c r="A101" s="50" t="s">
        <v>1370</v>
      </c>
    </row>
    <row r="102">
      <c r="A102" s="50" t="s">
        <v>1341</v>
      </c>
    </row>
    <row r="103">
      <c r="A103" s="51"/>
    </row>
    <row r="104">
      <c r="A104" s="50" t="s">
        <v>1371</v>
      </c>
    </row>
    <row r="105">
      <c r="A105" s="50" t="s">
        <v>1372</v>
      </c>
    </row>
    <row r="106">
      <c r="A106" s="50" t="s">
        <v>1373</v>
      </c>
    </row>
    <row r="107">
      <c r="A107" s="50" t="s">
        <v>1374</v>
      </c>
    </row>
    <row r="108">
      <c r="A108" s="50" t="s">
        <v>1375</v>
      </c>
    </row>
    <row r="109">
      <c r="A109" s="50" t="s">
        <v>1376</v>
      </c>
    </row>
    <row r="110">
      <c r="A110" s="50" t="s">
        <v>1377</v>
      </c>
    </row>
    <row r="111">
      <c r="A111" s="50" t="s">
        <v>1378</v>
      </c>
    </row>
    <row r="112">
      <c r="A112" s="50" t="s">
        <v>1379</v>
      </c>
    </row>
    <row r="113">
      <c r="A113" s="50" t="s">
        <v>1341</v>
      </c>
    </row>
    <row r="114">
      <c r="A114" s="51"/>
    </row>
    <row r="115">
      <c r="A115" s="50" t="s">
        <v>1380</v>
      </c>
    </row>
    <row r="116">
      <c r="A116" s="50" t="s">
        <v>1381</v>
      </c>
    </row>
    <row r="117">
      <c r="A117" s="50" t="s">
        <v>1382</v>
      </c>
    </row>
    <row r="118">
      <c r="A118" s="50" t="s">
        <v>1383</v>
      </c>
    </row>
    <row r="119">
      <c r="A119" s="50" t="s">
        <v>1384</v>
      </c>
    </row>
    <row r="120">
      <c r="A120" s="50" t="s">
        <v>1341</v>
      </c>
    </row>
    <row r="121">
      <c r="A121" s="51"/>
    </row>
    <row r="122">
      <c r="A122" s="50" t="s">
        <v>1385</v>
      </c>
    </row>
    <row r="123">
      <c r="A123" s="50" t="s">
        <v>1386</v>
      </c>
    </row>
    <row r="124">
      <c r="A124" s="50" t="s">
        <v>1387</v>
      </c>
    </row>
    <row r="125">
      <c r="A125" s="50" t="s">
        <v>1388</v>
      </c>
    </row>
    <row r="126">
      <c r="A126" s="50" t="s">
        <v>1389</v>
      </c>
    </row>
    <row r="127">
      <c r="A127" s="50" t="s">
        <v>1390</v>
      </c>
    </row>
    <row r="128">
      <c r="A128" s="50" t="s">
        <v>1341</v>
      </c>
    </row>
    <row r="129">
      <c r="A129" s="51"/>
    </row>
    <row r="130">
      <c r="A130" s="50" t="s">
        <v>1391</v>
      </c>
    </row>
    <row r="131">
      <c r="A131" s="50" t="s">
        <v>1392</v>
      </c>
    </row>
    <row r="132">
      <c r="A132" s="50" t="s">
        <v>1393</v>
      </c>
    </row>
    <row r="133">
      <c r="A133" s="50" t="s">
        <v>1394</v>
      </c>
    </row>
    <row r="134">
      <c r="A134" s="50" t="s">
        <v>1395</v>
      </c>
    </row>
    <row r="135">
      <c r="A135" s="50" t="s">
        <v>1341</v>
      </c>
    </row>
    <row r="136">
      <c r="A136" s="51"/>
    </row>
    <row r="137">
      <c r="A137" s="50" t="s">
        <v>1396</v>
      </c>
    </row>
    <row r="138">
      <c r="A138" s="50" t="s">
        <v>1397</v>
      </c>
    </row>
    <row r="139">
      <c r="A139" s="50" t="s">
        <v>1398</v>
      </c>
    </row>
    <row r="140">
      <c r="A140" s="50" t="s">
        <v>1399</v>
      </c>
    </row>
    <row r="141">
      <c r="A141" s="50" t="s">
        <v>1400</v>
      </c>
    </row>
    <row r="142">
      <c r="A142" s="50" t="s">
        <v>1341</v>
      </c>
    </row>
    <row r="143">
      <c r="A143" s="51"/>
    </row>
    <row r="144">
      <c r="A144" s="50" t="s">
        <v>1401</v>
      </c>
    </row>
    <row r="145">
      <c r="A145" s="50" t="s">
        <v>1402</v>
      </c>
    </row>
    <row r="146">
      <c r="A146" s="50" t="s">
        <v>1403</v>
      </c>
    </row>
    <row r="147">
      <c r="A147" s="50" t="s">
        <v>1404</v>
      </c>
    </row>
    <row r="148">
      <c r="A148" s="50" t="s">
        <v>1405</v>
      </c>
    </row>
    <row r="149">
      <c r="A149" s="50" t="s">
        <v>1406</v>
      </c>
    </row>
    <row r="150">
      <c r="A150" s="50" t="s">
        <v>1407</v>
      </c>
    </row>
    <row r="151">
      <c r="A151" s="50" t="s">
        <v>1408</v>
      </c>
    </row>
    <row r="152">
      <c r="A152" s="50" t="s">
        <v>1409</v>
      </c>
    </row>
    <row r="153">
      <c r="A153" s="50" t="s">
        <v>1410</v>
      </c>
    </row>
    <row r="154">
      <c r="A154" s="50" t="s">
        <v>1411</v>
      </c>
    </row>
    <row r="155">
      <c r="A155" s="50" t="s">
        <v>1341</v>
      </c>
    </row>
    <row r="156">
      <c r="A156" s="51"/>
    </row>
    <row r="157">
      <c r="A157" s="50" t="s">
        <v>1412</v>
      </c>
    </row>
    <row r="158">
      <c r="A158" s="50" t="s">
        <v>1413</v>
      </c>
    </row>
    <row r="159">
      <c r="A159" s="50" t="s">
        <v>1414</v>
      </c>
    </row>
    <row r="160">
      <c r="A160" s="50" t="s">
        <v>1415</v>
      </c>
    </row>
    <row r="161">
      <c r="A161" s="50" t="s">
        <v>1416</v>
      </c>
    </row>
    <row r="162">
      <c r="A162" s="50" t="s">
        <v>1417</v>
      </c>
    </row>
    <row r="163">
      <c r="A163" s="50" t="s">
        <v>1418</v>
      </c>
    </row>
    <row r="164">
      <c r="A164" s="50" t="s">
        <v>1419</v>
      </c>
    </row>
    <row r="165">
      <c r="A165" s="50" t="s">
        <v>1420</v>
      </c>
    </row>
    <row r="166">
      <c r="A166" s="50" t="s">
        <v>1421</v>
      </c>
    </row>
    <row r="167">
      <c r="A167" s="50" t="s">
        <v>1341</v>
      </c>
    </row>
    <row r="168">
      <c r="A168" s="51"/>
    </row>
    <row r="169">
      <c r="A169" s="50" t="s">
        <v>1422</v>
      </c>
    </row>
    <row r="170">
      <c r="A170" s="50" t="s">
        <v>1402</v>
      </c>
    </row>
    <row r="171">
      <c r="A171" s="50" t="s">
        <v>1423</v>
      </c>
    </row>
    <row r="172">
      <c r="A172" s="50" t="s">
        <v>1424</v>
      </c>
    </row>
    <row r="173">
      <c r="A173" s="50" t="s">
        <v>1425</v>
      </c>
    </row>
    <row r="174">
      <c r="A174" s="50" t="s">
        <v>1341</v>
      </c>
    </row>
    <row r="175">
      <c r="A175" s="51"/>
    </row>
    <row r="176">
      <c r="A176" s="50" t="s">
        <v>1426</v>
      </c>
    </row>
    <row r="177">
      <c r="A177" s="50" t="s">
        <v>1427</v>
      </c>
    </row>
    <row r="178">
      <c r="A178" s="50" t="s">
        <v>1428</v>
      </c>
    </row>
    <row r="179">
      <c r="A179" s="50" t="s">
        <v>1429</v>
      </c>
    </row>
    <row r="180">
      <c r="A180" s="50" t="s">
        <v>1430</v>
      </c>
    </row>
    <row r="181">
      <c r="A181" s="50" t="s">
        <v>1431</v>
      </c>
    </row>
    <row r="182">
      <c r="A182" s="50" t="s">
        <v>1432</v>
      </c>
    </row>
    <row r="183">
      <c r="A183" s="50" t="s">
        <v>1433</v>
      </c>
    </row>
    <row r="184">
      <c r="A184" s="50" t="s">
        <v>1434</v>
      </c>
    </row>
    <row r="185">
      <c r="A185" s="50" t="s">
        <v>1435</v>
      </c>
    </row>
    <row r="186">
      <c r="A186" s="50" t="s">
        <v>1436</v>
      </c>
    </row>
    <row r="187">
      <c r="A187" s="50" t="s">
        <v>1437</v>
      </c>
    </row>
    <row r="188">
      <c r="A188" s="50" t="s">
        <v>1438</v>
      </c>
    </row>
    <row r="189">
      <c r="A189" s="50" t="s">
        <v>1439</v>
      </c>
    </row>
    <row r="190">
      <c r="A190" s="50" t="s">
        <v>1440</v>
      </c>
    </row>
    <row r="191">
      <c r="A191" s="50" t="s">
        <v>1441</v>
      </c>
    </row>
    <row r="192">
      <c r="A192" s="50" t="s">
        <v>1442</v>
      </c>
    </row>
    <row r="193">
      <c r="A193" s="50" t="s">
        <v>1443</v>
      </c>
    </row>
    <row r="194">
      <c r="A194" s="50" t="s">
        <v>1444</v>
      </c>
    </row>
    <row r="195">
      <c r="A195" s="50" t="s">
        <v>1445</v>
      </c>
    </row>
    <row r="196">
      <c r="A196" s="50" t="s">
        <v>1446</v>
      </c>
    </row>
    <row r="197">
      <c r="A197" s="50" t="s">
        <v>1447</v>
      </c>
    </row>
    <row r="198">
      <c r="A198" s="50" t="s">
        <v>1341</v>
      </c>
    </row>
    <row r="199">
      <c r="A199" s="51"/>
    </row>
    <row r="200">
      <c r="A200" s="50" t="s">
        <v>1448</v>
      </c>
    </row>
    <row r="201">
      <c r="A201" s="50" t="s">
        <v>1449</v>
      </c>
    </row>
    <row r="202">
      <c r="A202" s="50" t="s">
        <v>1450</v>
      </c>
    </row>
    <row r="203">
      <c r="A203" s="50" t="s">
        <v>1451</v>
      </c>
    </row>
    <row r="204">
      <c r="A204" s="50" t="s">
        <v>1452</v>
      </c>
    </row>
    <row r="205">
      <c r="A205" s="50" t="s">
        <v>1453</v>
      </c>
    </row>
    <row r="206">
      <c r="A206" s="50" t="s">
        <v>1454</v>
      </c>
    </row>
    <row r="207">
      <c r="A207" s="50" t="s">
        <v>1455</v>
      </c>
    </row>
    <row r="208">
      <c r="A208" s="50" t="s">
        <v>1453</v>
      </c>
    </row>
    <row r="209">
      <c r="A209" s="50" t="s">
        <v>1456</v>
      </c>
    </row>
    <row r="210">
      <c r="A210" s="50" t="s">
        <v>1453</v>
      </c>
    </row>
    <row r="211">
      <c r="A211" s="50" t="s">
        <v>1457</v>
      </c>
    </row>
    <row r="212">
      <c r="A212" s="50" t="s">
        <v>1458</v>
      </c>
    </row>
    <row r="213">
      <c r="A213" s="50" t="s">
        <v>1459</v>
      </c>
    </row>
    <row r="214">
      <c r="A214" s="50" t="s">
        <v>1460</v>
      </c>
    </row>
    <row r="215">
      <c r="A215" s="50" t="s">
        <v>1461</v>
      </c>
    </row>
    <row r="216">
      <c r="A216" s="50" t="s">
        <v>1462</v>
      </c>
    </row>
    <row r="217">
      <c r="A217" s="50" t="s">
        <v>1463</v>
      </c>
    </row>
    <row r="218">
      <c r="A218" s="51"/>
    </row>
    <row r="219">
      <c r="A219" s="50" t="s">
        <v>1464</v>
      </c>
    </row>
    <row r="220">
      <c r="A220" s="50" t="s">
        <v>1465</v>
      </c>
    </row>
    <row r="221">
      <c r="A221" s="50" t="s">
        <v>1466</v>
      </c>
    </row>
    <row r="222">
      <c r="A222" s="50" t="s">
        <v>1467</v>
      </c>
    </row>
    <row r="223">
      <c r="A223" s="50" t="s">
        <v>1468</v>
      </c>
    </row>
    <row r="224">
      <c r="A224" s="50" t="s">
        <v>1469</v>
      </c>
    </row>
    <row r="225">
      <c r="A225" s="50" t="s">
        <v>1463</v>
      </c>
    </row>
    <row r="226">
      <c r="A226" s="51"/>
    </row>
    <row r="227">
      <c r="A227" s="50" t="s">
        <v>1470</v>
      </c>
    </row>
    <row r="228">
      <c r="A228" s="50" t="s">
        <v>1471</v>
      </c>
    </row>
    <row r="229">
      <c r="A229" s="50" t="s">
        <v>1472</v>
      </c>
    </row>
    <row r="230">
      <c r="A230" s="50" t="s">
        <v>1473</v>
      </c>
    </row>
    <row r="231">
      <c r="A231" s="50" t="s">
        <v>1474</v>
      </c>
    </row>
    <row r="232">
      <c r="A232" s="50" t="s">
        <v>1475</v>
      </c>
    </row>
    <row r="233">
      <c r="A233" s="50" t="s">
        <v>1476</v>
      </c>
    </row>
    <row r="234">
      <c r="A234" s="50" t="s">
        <v>1477</v>
      </c>
    </row>
    <row r="235">
      <c r="A235" s="50" t="s">
        <v>1478</v>
      </c>
    </row>
    <row r="236">
      <c r="A236" s="50" t="s">
        <v>1479</v>
      </c>
    </row>
    <row r="237">
      <c r="A237" s="50" t="s">
        <v>1480</v>
      </c>
    </row>
    <row r="238">
      <c r="A238" s="50" t="s">
        <v>1481</v>
      </c>
    </row>
    <row r="239">
      <c r="A239" s="50" t="s">
        <v>1482</v>
      </c>
    </row>
    <row r="240">
      <c r="A240" s="50" t="s">
        <v>1483</v>
      </c>
    </row>
    <row r="241">
      <c r="A241" s="50" t="s">
        <v>1484</v>
      </c>
    </row>
    <row r="242">
      <c r="A242" s="50" t="s">
        <v>1485</v>
      </c>
    </row>
    <row r="243">
      <c r="A243" s="50" t="s">
        <v>1486</v>
      </c>
    </row>
    <row r="244">
      <c r="A244" s="50" t="s">
        <v>1487</v>
      </c>
    </row>
    <row r="245">
      <c r="A245" s="50" t="s">
        <v>1463</v>
      </c>
    </row>
    <row r="246">
      <c r="A246" s="51"/>
    </row>
    <row r="247">
      <c r="A247" s="50" t="s">
        <v>1488</v>
      </c>
    </row>
    <row r="248">
      <c r="A248" s="50" t="s">
        <v>1489</v>
      </c>
    </row>
    <row r="249">
      <c r="A249" s="50" t="s">
        <v>1490</v>
      </c>
    </row>
    <row r="250">
      <c r="A250" s="50" t="s">
        <v>1480</v>
      </c>
    </row>
    <row r="251">
      <c r="A251" s="50" t="s">
        <v>1491</v>
      </c>
    </row>
    <row r="252">
      <c r="A252" s="50" t="s">
        <v>1492</v>
      </c>
    </row>
    <row r="253">
      <c r="A253" s="50" t="s">
        <v>1493</v>
      </c>
    </row>
    <row r="254">
      <c r="A254" s="50" t="s">
        <v>1494</v>
      </c>
    </row>
    <row r="255">
      <c r="A255" s="50" t="s">
        <v>1495</v>
      </c>
    </row>
    <row r="256">
      <c r="A256" s="50" t="s">
        <v>1496</v>
      </c>
    </row>
    <row r="257">
      <c r="A257" s="50" t="s">
        <v>1497</v>
      </c>
    </row>
    <row r="258">
      <c r="A258" s="50" t="s">
        <v>1498</v>
      </c>
    </row>
    <row r="259">
      <c r="A259" s="50" t="s">
        <v>1499</v>
      </c>
    </row>
    <row r="260">
      <c r="A260" s="50" t="s">
        <v>1500</v>
      </c>
    </row>
    <row r="261">
      <c r="A261" s="50" t="s">
        <v>1501</v>
      </c>
    </row>
    <row r="262">
      <c r="A262" s="50" t="s">
        <v>1502</v>
      </c>
    </row>
    <row r="263">
      <c r="A263" s="50" t="s">
        <v>1503</v>
      </c>
    </row>
    <row r="264">
      <c r="A264" s="50" t="s">
        <v>1504</v>
      </c>
    </row>
    <row r="265">
      <c r="A265" s="50" t="s">
        <v>1487</v>
      </c>
    </row>
    <row r="266">
      <c r="A266" s="50" t="s">
        <v>1463</v>
      </c>
    </row>
    <row r="267">
      <c r="A267" s="51"/>
    </row>
    <row r="268">
      <c r="A268" s="50" t="s">
        <v>1505</v>
      </c>
    </row>
    <row r="269">
      <c r="A269" s="50" t="s">
        <v>1506</v>
      </c>
    </row>
    <row r="270">
      <c r="A270" s="50" t="s">
        <v>1507</v>
      </c>
    </row>
    <row r="271">
      <c r="A271" s="50" t="s">
        <v>1508</v>
      </c>
    </row>
    <row r="272">
      <c r="A272" s="50" t="s">
        <v>1509</v>
      </c>
    </row>
    <row r="273">
      <c r="A273" s="51"/>
    </row>
    <row r="274">
      <c r="A274" s="50" t="s">
        <v>1510</v>
      </c>
    </row>
    <row r="275">
      <c r="A275" s="50" t="s">
        <v>1511</v>
      </c>
    </row>
    <row r="276">
      <c r="A276" s="50" t="s">
        <v>1512</v>
      </c>
    </row>
    <row r="277">
      <c r="A277" s="50" t="s">
        <v>1513</v>
      </c>
    </row>
    <row r="278">
      <c r="A278" s="50" t="s">
        <v>1514</v>
      </c>
    </row>
    <row r="279">
      <c r="A279" s="50" t="s">
        <v>1515</v>
      </c>
    </row>
    <row r="280">
      <c r="A280" s="50" t="s">
        <v>1516</v>
      </c>
    </row>
    <row r="281">
      <c r="A281" s="50" t="s">
        <v>1517</v>
      </c>
    </row>
    <row r="282">
      <c r="A282" s="50" t="s">
        <v>1518</v>
      </c>
    </row>
    <row r="283">
      <c r="A283" s="50" t="s">
        <v>1519</v>
      </c>
    </row>
    <row r="284">
      <c r="A284" s="50" t="s">
        <v>1520</v>
      </c>
    </row>
    <row r="285">
      <c r="A285" s="50" t="s">
        <v>1521</v>
      </c>
    </row>
    <row r="286">
      <c r="A286" s="50" t="s">
        <v>1522</v>
      </c>
    </row>
    <row r="287">
      <c r="A287" s="50" t="s">
        <v>1523</v>
      </c>
    </row>
    <row r="288">
      <c r="A288" s="50" t="s">
        <v>1524</v>
      </c>
    </row>
    <row r="289">
      <c r="A289" s="50" t="s">
        <v>1525</v>
      </c>
    </row>
    <row r="290">
      <c r="A290" s="50" t="s">
        <v>1526</v>
      </c>
    </row>
    <row r="291">
      <c r="A291" s="50" t="s">
        <v>1527</v>
      </c>
    </row>
    <row r="292">
      <c r="A292" s="50" t="s">
        <v>1528</v>
      </c>
    </row>
    <row r="293">
      <c r="A293" s="50" t="s">
        <v>1529</v>
      </c>
    </row>
    <row r="294">
      <c r="A294" s="50" t="s">
        <v>1523</v>
      </c>
    </row>
    <row r="295">
      <c r="A295" s="50" t="s">
        <v>1524</v>
      </c>
    </row>
    <row r="296">
      <c r="A296" s="50" t="s">
        <v>1530</v>
      </c>
    </row>
    <row r="297">
      <c r="A297" s="50" t="s">
        <v>1478</v>
      </c>
    </row>
    <row r="298">
      <c r="A298" s="50" t="s">
        <v>1479</v>
      </c>
    </row>
    <row r="299">
      <c r="A299" s="50" t="s">
        <v>1531</v>
      </c>
    </row>
    <row r="300">
      <c r="A300" s="50" t="s">
        <v>1463</v>
      </c>
    </row>
    <row r="301">
      <c r="A301" s="51"/>
    </row>
    <row r="302">
      <c r="A302" s="50" t="s">
        <v>1532</v>
      </c>
    </row>
    <row r="303">
      <c r="A303" s="50" t="s">
        <v>1533</v>
      </c>
    </row>
    <row r="304">
      <c r="A304" s="50" t="s">
        <v>1534</v>
      </c>
    </row>
    <row r="305">
      <c r="A305" s="50" t="s">
        <v>1535</v>
      </c>
    </row>
    <row r="306">
      <c r="A306" s="50" t="s">
        <v>1509</v>
      </c>
    </row>
    <row r="307">
      <c r="A307" s="50" t="s">
        <v>1511</v>
      </c>
    </row>
    <row r="308">
      <c r="A308" s="50" t="s">
        <v>1512</v>
      </c>
    </row>
    <row r="309">
      <c r="A309" s="50" t="s">
        <v>1513</v>
      </c>
    </row>
    <row r="310">
      <c r="A310" s="50" t="s">
        <v>1536</v>
      </c>
    </row>
    <row r="311">
      <c r="A311" s="50" t="s">
        <v>1537</v>
      </c>
    </row>
    <row r="312">
      <c r="A312" s="50" t="s">
        <v>1538</v>
      </c>
    </row>
    <row r="313">
      <c r="A313" s="50" t="s">
        <v>1478</v>
      </c>
    </row>
    <row r="314">
      <c r="A314" s="50" t="s">
        <v>1479</v>
      </c>
    </row>
    <row r="315">
      <c r="A315" s="50" t="s">
        <v>1539</v>
      </c>
    </row>
    <row r="316">
      <c r="A316" s="50" t="s">
        <v>1463</v>
      </c>
    </row>
    <row r="317">
      <c r="A317" s="51"/>
    </row>
    <row r="318">
      <c r="A318" s="50" t="s">
        <v>1540</v>
      </c>
    </row>
    <row r="319">
      <c r="A319" s="50" t="s">
        <v>1541</v>
      </c>
    </row>
    <row r="320">
      <c r="A320" s="50" t="s">
        <v>1490</v>
      </c>
    </row>
    <row r="321">
      <c r="A321" s="50" t="s">
        <v>1542</v>
      </c>
    </row>
    <row r="322">
      <c r="A322" s="50" t="s">
        <v>1543</v>
      </c>
    </row>
    <row r="323">
      <c r="A323" s="51"/>
    </row>
    <row r="324">
      <c r="A324" s="50" t="s">
        <v>1544</v>
      </c>
    </row>
    <row r="325">
      <c r="A325" s="51"/>
    </row>
    <row r="326">
      <c r="A326" s="50" t="s">
        <v>1545</v>
      </c>
    </row>
    <row r="327">
      <c r="A327" s="50" t="s">
        <v>1546</v>
      </c>
    </row>
    <row r="328">
      <c r="A328" s="50" t="s">
        <v>1547</v>
      </c>
    </row>
    <row r="329">
      <c r="A329" s="50" t="s">
        <v>1548</v>
      </c>
    </row>
    <row r="330">
      <c r="A330" s="51"/>
    </row>
    <row r="331">
      <c r="A331" s="50" t="s">
        <v>1549</v>
      </c>
    </row>
    <row r="332">
      <c r="A332" s="50" t="s">
        <v>1550</v>
      </c>
    </row>
    <row r="333">
      <c r="A333" s="50" t="s">
        <v>1551</v>
      </c>
    </row>
    <row r="334">
      <c r="A334" s="50" t="s">
        <v>1552</v>
      </c>
    </row>
    <row r="335">
      <c r="A335" s="50" t="s">
        <v>1553</v>
      </c>
    </row>
    <row r="336">
      <c r="A336" s="50" t="s">
        <v>1554</v>
      </c>
    </row>
    <row r="337">
      <c r="A337" s="50" t="s">
        <v>1555</v>
      </c>
    </row>
    <row r="338">
      <c r="A338" s="50" t="s">
        <v>1556</v>
      </c>
    </row>
    <row r="339">
      <c r="A339" s="50" t="s">
        <v>1557</v>
      </c>
    </row>
    <row r="340">
      <c r="A340" s="50" t="s">
        <v>1558</v>
      </c>
    </row>
    <row r="341">
      <c r="A341" s="50" t="s">
        <v>1559</v>
      </c>
    </row>
    <row r="342">
      <c r="A342" s="51"/>
    </row>
    <row r="343">
      <c r="A343" s="50" t="s">
        <v>1560</v>
      </c>
    </row>
    <row r="344">
      <c r="A344" s="50" t="s">
        <v>1561</v>
      </c>
    </row>
    <row r="345">
      <c r="A345" s="50" t="s">
        <v>1562</v>
      </c>
    </row>
    <row r="346">
      <c r="A346" s="50" t="s">
        <v>1563</v>
      </c>
    </row>
    <row r="347">
      <c r="A347" s="50" t="s">
        <v>1478</v>
      </c>
    </row>
    <row r="348">
      <c r="A348" s="50" t="s">
        <v>1564</v>
      </c>
    </row>
    <row r="349">
      <c r="A349" s="51"/>
    </row>
    <row r="350">
      <c r="A350" s="50" t="s">
        <v>1565</v>
      </c>
    </row>
    <row r="351">
      <c r="A351" s="50" t="s">
        <v>1566</v>
      </c>
    </row>
    <row r="352">
      <c r="A352" s="50" t="s">
        <v>1567</v>
      </c>
    </row>
    <row r="353">
      <c r="A353" s="50" t="s">
        <v>1568</v>
      </c>
    </row>
    <row r="354">
      <c r="A354" s="50" t="s">
        <v>1478</v>
      </c>
    </row>
    <row r="355">
      <c r="A355" s="51"/>
    </row>
    <row r="356">
      <c r="A356" s="50" t="s">
        <v>1569</v>
      </c>
    </row>
    <row r="357">
      <c r="A357" s="50" t="s">
        <v>1570</v>
      </c>
    </row>
    <row r="358">
      <c r="A358" s="50" t="s">
        <v>1571</v>
      </c>
    </row>
    <row r="359">
      <c r="A359" s="50" t="s">
        <v>1572</v>
      </c>
    </row>
    <row r="360">
      <c r="A360" s="50" t="s">
        <v>1573</v>
      </c>
    </row>
    <row r="361">
      <c r="A361" s="50" t="s">
        <v>1574</v>
      </c>
    </row>
    <row r="362">
      <c r="A362" s="50" t="s">
        <v>1575</v>
      </c>
    </row>
    <row r="363">
      <c r="A363" s="51"/>
    </row>
    <row r="364">
      <c r="A364" s="50" t="s">
        <v>1576</v>
      </c>
    </row>
    <row r="365">
      <c r="A365" s="51"/>
    </row>
    <row r="366">
      <c r="A366" s="50" t="s">
        <v>1577</v>
      </c>
    </row>
    <row r="367">
      <c r="A367" s="50" t="s">
        <v>1578</v>
      </c>
    </row>
    <row r="368">
      <c r="A368" s="50" t="s">
        <v>1579</v>
      </c>
    </row>
    <row r="369">
      <c r="A369" s="51"/>
    </row>
    <row r="370">
      <c r="A370" s="50" t="s">
        <v>1580</v>
      </c>
    </row>
    <row r="371">
      <c r="A371" s="50" t="s">
        <v>1581</v>
      </c>
    </row>
    <row r="372">
      <c r="A372" s="50" t="s">
        <v>1582</v>
      </c>
    </row>
    <row r="373">
      <c r="A373" s="50" t="s">
        <v>1583</v>
      </c>
    </row>
    <row r="374">
      <c r="A374" s="50" t="s">
        <v>1584</v>
      </c>
    </row>
    <row r="375">
      <c r="A375" s="50" t="s">
        <v>1585</v>
      </c>
    </row>
    <row r="376">
      <c r="A376" s="50" t="s">
        <v>1586</v>
      </c>
    </row>
    <row r="377">
      <c r="A377" s="50" t="s">
        <v>1587</v>
      </c>
    </row>
    <row r="378">
      <c r="A378" s="50" t="s">
        <v>1524</v>
      </c>
    </row>
    <row r="379">
      <c r="A379" s="50" t="s">
        <v>1588</v>
      </c>
    </row>
    <row r="380">
      <c r="A380" s="50" t="s">
        <v>1581</v>
      </c>
    </row>
    <row r="381">
      <c r="A381" s="50" t="s">
        <v>1589</v>
      </c>
    </row>
    <row r="382">
      <c r="A382" s="50" t="s">
        <v>1586</v>
      </c>
    </row>
    <row r="383">
      <c r="A383" s="50" t="s">
        <v>1587</v>
      </c>
    </row>
    <row r="384">
      <c r="A384" s="50" t="s">
        <v>1524</v>
      </c>
    </row>
    <row r="385">
      <c r="A385" s="50" t="s">
        <v>1590</v>
      </c>
    </row>
    <row r="386">
      <c r="A386" s="50" t="s">
        <v>1591</v>
      </c>
    </row>
    <row r="387">
      <c r="A387" s="50" t="s">
        <v>1478</v>
      </c>
    </row>
    <row r="388">
      <c r="A388" s="51"/>
    </row>
    <row r="389">
      <c r="A389" s="50" t="s">
        <v>1592</v>
      </c>
    </row>
    <row r="390">
      <c r="A390" s="50" t="s">
        <v>1593</v>
      </c>
    </row>
    <row r="391">
      <c r="A391" s="50" t="s">
        <v>1594</v>
      </c>
    </row>
    <row r="392">
      <c r="A392" s="50" t="s">
        <v>1595</v>
      </c>
    </row>
    <row r="393">
      <c r="A393" s="51"/>
    </row>
    <row r="394">
      <c r="A394" s="50" t="s">
        <v>1596</v>
      </c>
    </row>
    <row r="395">
      <c r="A395" s="50" t="s">
        <v>1597</v>
      </c>
    </row>
    <row r="396">
      <c r="A396" s="50" t="s">
        <v>1598</v>
      </c>
    </row>
    <row r="397">
      <c r="A397" s="50" t="s">
        <v>1599</v>
      </c>
    </row>
    <row r="398">
      <c r="A398" s="50" t="s">
        <v>1600</v>
      </c>
    </row>
    <row r="399">
      <c r="A399" s="50" t="s">
        <v>1601</v>
      </c>
    </row>
    <row r="400">
      <c r="A400" s="50" t="s">
        <v>1602</v>
      </c>
    </row>
    <row r="401">
      <c r="A401" s="50" t="s">
        <v>1603</v>
      </c>
    </row>
    <row r="402">
      <c r="A402" s="50" t="s">
        <v>1590</v>
      </c>
    </row>
    <row r="403">
      <c r="A403" s="50" t="s">
        <v>1604</v>
      </c>
    </row>
    <row r="404">
      <c r="A404" s="50" t="s">
        <v>1478</v>
      </c>
    </row>
    <row r="405">
      <c r="A405" s="51"/>
    </row>
    <row r="406">
      <c r="A406" s="50" t="s">
        <v>1605</v>
      </c>
    </row>
    <row r="407">
      <c r="A407" s="50" t="s">
        <v>1606</v>
      </c>
    </row>
    <row r="408">
      <c r="A408" s="50" t="s">
        <v>1607</v>
      </c>
    </row>
    <row r="409">
      <c r="A409" s="50" t="s">
        <v>1608</v>
      </c>
    </row>
    <row r="410">
      <c r="A410" s="50" t="s">
        <v>1609</v>
      </c>
    </row>
    <row r="411">
      <c r="A411" s="50" t="s">
        <v>1610</v>
      </c>
    </row>
    <row r="412">
      <c r="A412" s="50" t="s">
        <v>1611</v>
      </c>
    </row>
    <row r="413">
      <c r="A413" s="50" t="s">
        <v>1612</v>
      </c>
    </row>
    <row r="414">
      <c r="A414" s="50" t="s">
        <v>1613</v>
      </c>
    </row>
    <row r="415">
      <c r="A415" s="51"/>
    </row>
    <row r="416">
      <c r="A416" s="50" t="s">
        <v>1614</v>
      </c>
    </row>
    <row r="417">
      <c r="A417" s="50" t="s">
        <v>1479</v>
      </c>
    </row>
    <row r="418">
      <c r="A418" s="51"/>
    </row>
    <row r="419">
      <c r="A419" s="50" t="s">
        <v>1615</v>
      </c>
    </row>
    <row r="420">
      <c r="A420" s="50" t="s">
        <v>1463</v>
      </c>
    </row>
    <row r="421">
      <c r="A421" s="51"/>
    </row>
    <row r="422">
      <c r="A422" s="50" t="s">
        <v>1616</v>
      </c>
    </row>
    <row r="423">
      <c r="A423" s="50" t="s">
        <v>1617</v>
      </c>
    </row>
    <row r="424">
      <c r="A424" s="50" t="s">
        <v>1466</v>
      </c>
    </row>
    <row r="425">
      <c r="A425" s="50" t="s">
        <v>1490</v>
      </c>
    </row>
    <row r="426">
      <c r="A426" s="50" t="s">
        <v>1542</v>
      </c>
    </row>
    <row r="427">
      <c r="A427" s="50" t="s">
        <v>1618</v>
      </c>
    </row>
    <row r="428">
      <c r="A428" s="51"/>
    </row>
    <row r="429">
      <c r="A429" s="50" t="s">
        <v>1619</v>
      </c>
    </row>
    <row r="430">
      <c r="A430" s="50" t="s">
        <v>1620</v>
      </c>
    </row>
    <row r="431">
      <c r="A431" s="50" t="s">
        <v>1621</v>
      </c>
    </row>
    <row r="432">
      <c r="A432" s="50" t="s">
        <v>1622</v>
      </c>
    </row>
    <row r="433">
      <c r="A433" s="50" t="s">
        <v>1479</v>
      </c>
    </row>
    <row r="434">
      <c r="A434" s="51"/>
    </row>
    <row r="435">
      <c r="A435" s="50" t="s">
        <v>1623</v>
      </c>
    </row>
    <row r="436">
      <c r="A436" s="50" t="s">
        <v>1624</v>
      </c>
    </row>
    <row r="437">
      <c r="A437" s="51"/>
    </row>
    <row r="438">
      <c r="A438" s="50" t="s">
        <v>1625</v>
      </c>
    </row>
    <row r="439">
      <c r="A439" s="50" t="s">
        <v>1626</v>
      </c>
    </row>
    <row r="440">
      <c r="A440" s="50" t="s">
        <v>1627</v>
      </c>
    </row>
    <row r="441">
      <c r="A441" s="51"/>
    </row>
    <row r="442">
      <c r="A442" s="50" t="s">
        <v>1628</v>
      </c>
    </row>
    <row r="443">
      <c r="A443" s="50" t="s">
        <v>1629</v>
      </c>
    </row>
    <row r="444">
      <c r="A444" s="50" t="s">
        <v>1622</v>
      </c>
    </row>
    <row r="445">
      <c r="A445" s="50" t="s">
        <v>1479</v>
      </c>
    </row>
    <row r="446">
      <c r="A446" s="51"/>
    </row>
    <row r="447">
      <c r="A447" s="50" t="s">
        <v>1630</v>
      </c>
    </row>
    <row r="448">
      <c r="A448" s="50" t="s">
        <v>1631</v>
      </c>
    </row>
    <row r="449">
      <c r="A449" s="51"/>
    </row>
    <row r="450">
      <c r="A450" s="50" t="s">
        <v>1632</v>
      </c>
    </row>
    <row r="451">
      <c r="A451" s="50" t="s">
        <v>1633</v>
      </c>
    </row>
    <row r="452">
      <c r="A452" s="50" t="s">
        <v>1634</v>
      </c>
    </row>
    <row r="453">
      <c r="A453" s="50" t="s">
        <v>1635</v>
      </c>
    </row>
    <row r="454">
      <c r="A454" s="50" t="s">
        <v>1636</v>
      </c>
    </row>
    <row r="455">
      <c r="A455" s="50" t="s">
        <v>1479</v>
      </c>
    </row>
    <row r="456">
      <c r="A456" s="50" t="s">
        <v>1637</v>
      </c>
    </row>
    <row r="457">
      <c r="A457" s="51"/>
    </row>
    <row r="458">
      <c r="A458" s="50" t="s">
        <v>1638</v>
      </c>
    </row>
    <row r="459">
      <c r="A459" s="50" t="s">
        <v>1639</v>
      </c>
    </row>
    <row r="460">
      <c r="A460" s="51"/>
    </row>
    <row r="461">
      <c r="A461" s="50" t="s">
        <v>1640</v>
      </c>
    </row>
    <row r="462">
      <c r="A462" s="51"/>
    </row>
    <row r="463">
      <c r="A463" s="50" t="s">
        <v>1641</v>
      </c>
    </row>
    <row r="464">
      <c r="A464" s="50" t="s">
        <v>1642</v>
      </c>
    </row>
    <row r="465">
      <c r="A465" s="50" t="s">
        <v>1643</v>
      </c>
    </row>
    <row r="466">
      <c r="A466" s="50" t="s">
        <v>1644</v>
      </c>
    </row>
    <row r="467">
      <c r="A467" s="50" t="s">
        <v>1645</v>
      </c>
    </row>
    <row r="468">
      <c r="A468" s="50" t="s">
        <v>1646</v>
      </c>
    </row>
    <row r="469">
      <c r="A469" s="50" t="s">
        <v>1647</v>
      </c>
    </row>
    <row r="470">
      <c r="A470" s="50" t="s">
        <v>1648</v>
      </c>
    </row>
    <row r="471">
      <c r="A471" s="50" t="s">
        <v>1649</v>
      </c>
    </row>
    <row r="472">
      <c r="A472" s="50" t="s">
        <v>1650</v>
      </c>
    </row>
    <row r="473">
      <c r="A473" s="51"/>
    </row>
    <row r="474">
      <c r="A474" s="50" t="s">
        <v>1651</v>
      </c>
    </row>
    <row r="475">
      <c r="A475" s="51"/>
    </row>
    <row r="476">
      <c r="A476" s="50" t="s">
        <v>1652</v>
      </c>
    </row>
    <row r="477">
      <c r="A477" s="50" t="s">
        <v>1653</v>
      </c>
    </row>
    <row r="478">
      <c r="A478" s="50" t="s">
        <v>1654</v>
      </c>
    </row>
    <row r="479">
      <c r="A479" s="51"/>
    </row>
    <row r="480">
      <c r="A480" s="50" t="s">
        <v>1655</v>
      </c>
    </row>
    <row r="481">
      <c r="A481" s="50" t="s">
        <v>1656</v>
      </c>
    </row>
    <row r="482">
      <c r="A482" s="50" t="s">
        <v>1657</v>
      </c>
    </row>
    <row r="483">
      <c r="A483" s="50" t="s">
        <v>1658</v>
      </c>
    </row>
    <row r="484">
      <c r="A484" s="50" t="s">
        <v>1659</v>
      </c>
    </row>
    <row r="485">
      <c r="A485" s="51"/>
    </row>
    <row r="486">
      <c r="A486" s="50" t="s">
        <v>1660</v>
      </c>
    </row>
    <row r="487">
      <c r="A487" s="50" t="s">
        <v>1661</v>
      </c>
    </row>
    <row r="488">
      <c r="A488" s="50" t="s">
        <v>1662</v>
      </c>
    </row>
    <row r="489">
      <c r="A489" s="51"/>
    </row>
    <row r="490">
      <c r="A490" s="50" t="s">
        <v>1663</v>
      </c>
    </row>
    <row r="491">
      <c r="A491" s="50" t="s">
        <v>1664</v>
      </c>
    </row>
    <row r="492">
      <c r="A492" s="50" t="s">
        <v>1665</v>
      </c>
    </row>
    <row r="493">
      <c r="A493" s="50" t="s">
        <v>1666</v>
      </c>
    </row>
    <row r="494">
      <c r="A494" s="50" t="s">
        <v>1667</v>
      </c>
    </row>
    <row r="495">
      <c r="A495" s="50" t="s">
        <v>1668</v>
      </c>
    </row>
    <row r="496">
      <c r="A496" s="50" t="s">
        <v>1669</v>
      </c>
    </row>
    <row r="497">
      <c r="A497" s="51"/>
    </row>
    <row r="498">
      <c r="A498" s="50" t="s">
        <v>1670</v>
      </c>
    </row>
    <row r="499">
      <c r="A499" s="50" t="s">
        <v>1671</v>
      </c>
    </row>
    <row r="500">
      <c r="A500" s="51"/>
    </row>
    <row r="501">
      <c r="A501" s="50" t="s">
        <v>1672</v>
      </c>
    </row>
    <row r="502">
      <c r="A502" s="50" t="s">
        <v>1673</v>
      </c>
    </row>
    <row r="503">
      <c r="A503" s="50" t="s">
        <v>1674</v>
      </c>
    </row>
    <row r="504">
      <c r="A504" s="50" t="s">
        <v>1675</v>
      </c>
    </row>
    <row r="505">
      <c r="A505" s="51"/>
    </row>
    <row r="506">
      <c r="A506" s="50" t="s">
        <v>1676</v>
      </c>
    </row>
    <row r="507">
      <c r="A507" s="50" t="s">
        <v>1677</v>
      </c>
    </row>
    <row r="508">
      <c r="A508" s="50" t="s">
        <v>1678</v>
      </c>
    </row>
    <row r="509">
      <c r="A509" s="50" t="s">
        <v>1679</v>
      </c>
    </row>
    <row r="510">
      <c r="A510" s="50" t="s">
        <v>1680</v>
      </c>
    </row>
    <row r="511">
      <c r="A511" s="50" t="s">
        <v>1681</v>
      </c>
    </row>
    <row r="512">
      <c r="A512" s="50" t="s">
        <v>1682</v>
      </c>
    </row>
    <row r="513">
      <c r="A513" s="50" t="s">
        <v>1683</v>
      </c>
    </row>
    <row r="514">
      <c r="A514" s="50" t="s">
        <v>1684</v>
      </c>
    </row>
    <row r="515">
      <c r="A515" s="50" t="s">
        <v>1685</v>
      </c>
    </row>
    <row r="516">
      <c r="A516" s="50" t="s">
        <v>1686</v>
      </c>
    </row>
    <row r="517">
      <c r="A517" s="50" t="s">
        <v>1687</v>
      </c>
    </row>
    <row r="518">
      <c r="A518" s="50" t="s">
        <v>1688</v>
      </c>
    </row>
    <row r="519">
      <c r="A519" s="50" t="s">
        <v>1689</v>
      </c>
    </row>
    <row r="520">
      <c r="A520" s="50" t="s">
        <v>1690</v>
      </c>
    </row>
    <row r="521">
      <c r="A521" s="50" t="s">
        <v>1691</v>
      </c>
    </row>
    <row r="522">
      <c r="A522" s="50" t="s">
        <v>1692</v>
      </c>
    </row>
    <row r="523">
      <c r="A523" s="51"/>
    </row>
    <row r="524">
      <c r="A524" s="50" t="s">
        <v>1693</v>
      </c>
    </row>
    <row r="525">
      <c r="A525" s="51"/>
    </row>
    <row r="526">
      <c r="A526" s="50" t="s">
        <v>1694</v>
      </c>
    </row>
    <row r="527">
      <c r="A527" s="50" t="s">
        <v>1695</v>
      </c>
    </row>
    <row r="528">
      <c r="A528" s="50" t="s">
        <v>1696</v>
      </c>
    </row>
    <row r="529">
      <c r="A529" s="50" t="s">
        <v>1697</v>
      </c>
    </row>
    <row r="530">
      <c r="A530" s="50" t="s">
        <v>1698</v>
      </c>
    </row>
    <row r="531">
      <c r="A531" s="50" t="s">
        <v>1699</v>
      </c>
    </row>
    <row r="532">
      <c r="A532" s="50" t="s">
        <v>1700</v>
      </c>
    </row>
    <row r="533">
      <c r="A533" s="50" t="s">
        <v>1701</v>
      </c>
    </row>
    <row r="534">
      <c r="A534" s="50" t="s">
        <v>1702</v>
      </c>
    </row>
    <row r="535">
      <c r="A535" s="50" t="s">
        <v>1703</v>
      </c>
    </row>
    <row r="536">
      <c r="A536" s="50" t="s">
        <v>1704</v>
      </c>
    </row>
    <row r="537">
      <c r="A537" s="50" t="s">
        <v>1705</v>
      </c>
    </row>
    <row r="538">
      <c r="A538" s="51"/>
    </row>
    <row r="539">
      <c r="A539" s="50" t="s">
        <v>1706</v>
      </c>
    </row>
    <row r="540">
      <c r="A540" s="50" t="s">
        <v>1707</v>
      </c>
    </row>
    <row r="541">
      <c r="A541" s="51"/>
    </row>
    <row r="542">
      <c r="A542" s="50" t="s">
        <v>1708</v>
      </c>
    </row>
    <row r="543">
      <c r="A543" s="50" t="s">
        <v>1709</v>
      </c>
    </row>
    <row r="544">
      <c r="A544" s="50" t="s">
        <v>1710</v>
      </c>
    </row>
    <row r="545">
      <c r="A545" s="50" t="s">
        <v>1668</v>
      </c>
    </row>
    <row r="546">
      <c r="A546" s="51"/>
    </row>
    <row r="547">
      <c r="A547" s="50" t="s">
        <v>1711</v>
      </c>
    </row>
    <row r="548">
      <c r="A548" s="50" t="s">
        <v>1712</v>
      </c>
    </row>
    <row r="549">
      <c r="A549" s="50" t="s">
        <v>1479</v>
      </c>
    </row>
    <row r="550">
      <c r="A550" s="51"/>
    </row>
    <row r="551">
      <c r="A551" s="50" t="s">
        <v>1713</v>
      </c>
    </row>
    <row r="552">
      <c r="A552" s="50" t="s">
        <v>1714</v>
      </c>
    </row>
    <row r="553">
      <c r="A553" s="50" t="s">
        <v>1715</v>
      </c>
    </row>
    <row r="554">
      <c r="A554" s="50" t="s">
        <v>1716</v>
      </c>
    </row>
    <row r="555">
      <c r="A555" s="50" t="s">
        <v>1717</v>
      </c>
    </row>
    <row r="556">
      <c r="A556" s="50" t="s">
        <v>1718</v>
      </c>
    </row>
    <row r="557">
      <c r="A557" s="50" t="s">
        <v>1719</v>
      </c>
    </row>
    <row r="558">
      <c r="A558" s="51"/>
    </row>
    <row r="559">
      <c r="A559" s="50" t="s">
        <v>1720</v>
      </c>
    </row>
    <row r="560">
      <c r="A560" s="51"/>
    </row>
    <row r="561">
      <c r="A561" s="50" t="s">
        <v>1721</v>
      </c>
    </row>
    <row r="562">
      <c r="A562" s="50" t="s">
        <v>1722</v>
      </c>
    </row>
    <row r="563">
      <c r="A563" s="50" t="s">
        <v>1723</v>
      </c>
    </row>
    <row r="564">
      <c r="A564" s="50" t="s">
        <v>1724</v>
      </c>
    </row>
    <row r="565">
      <c r="A565" s="51"/>
    </row>
    <row r="566">
      <c r="A566" s="50" t="s">
        <v>1725</v>
      </c>
    </row>
    <row r="567">
      <c r="A567" s="51"/>
    </row>
    <row r="568">
      <c r="A568" s="50" t="s">
        <v>1726</v>
      </c>
    </row>
    <row r="569">
      <c r="A569" s="50" t="s">
        <v>1727</v>
      </c>
    </row>
    <row r="570">
      <c r="A570" s="50" t="s">
        <v>1728</v>
      </c>
    </row>
    <row r="571">
      <c r="A571" s="50" t="s">
        <v>1729</v>
      </c>
    </row>
    <row r="572">
      <c r="A572" s="51"/>
    </row>
    <row r="573">
      <c r="A573" s="50" t="s">
        <v>1730</v>
      </c>
    </row>
    <row r="574">
      <c r="A574" s="50" t="s">
        <v>1731</v>
      </c>
    </row>
    <row r="575">
      <c r="A575" s="50" t="s">
        <v>1732</v>
      </c>
    </row>
    <row r="576">
      <c r="A576" s="50" t="s">
        <v>1733</v>
      </c>
    </row>
    <row r="577">
      <c r="A577" s="50" t="s">
        <v>1734</v>
      </c>
    </row>
    <row r="578">
      <c r="A578" s="50" t="s">
        <v>1735</v>
      </c>
    </row>
    <row r="579">
      <c r="A579" s="50" t="s">
        <v>1736</v>
      </c>
    </row>
    <row r="580">
      <c r="A580" s="50" t="s">
        <v>1737</v>
      </c>
    </row>
    <row r="581">
      <c r="A581" s="50" t="s">
        <v>1668</v>
      </c>
    </row>
    <row r="582">
      <c r="A582" s="51"/>
    </row>
    <row r="583">
      <c r="A583" s="50" t="s">
        <v>1738</v>
      </c>
    </row>
    <row r="584">
      <c r="A584" s="50" t="s">
        <v>1739</v>
      </c>
    </row>
    <row r="585">
      <c r="A585" s="50" t="s">
        <v>1740</v>
      </c>
    </row>
    <row r="586">
      <c r="A586" s="50" t="s">
        <v>1741</v>
      </c>
    </row>
    <row r="587">
      <c r="A587" s="50" t="s">
        <v>1705</v>
      </c>
    </row>
    <row r="588">
      <c r="A588" s="51"/>
    </row>
    <row r="589">
      <c r="A589" s="50" t="s">
        <v>1742</v>
      </c>
    </row>
    <row r="590">
      <c r="A590" s="51"/>
    </row>
    <row r="591">
      <c r="A591" s="50" t="s">
        <v>1743</v>
      </c>
    </row>
    <row r="592">
      <c r="A592" s="50" t="s">
        <v>1744</v>
      </c>
    </row>
    <row r="593">
      <c r="A593" s="50" t="s">
        <v>1729</v>
      </c>
    </row>
    <row r="594">
      <c r="A594" s="51"/>
    </row>
    <row r="595">
      <c r="A595" s="50" t="s">
        <v>1745</v>
      </c>
    </row>
    <row r="596">
      <c r="A596" s="50" t="s">
        <v>1746</v>
      </c>
    </row>
    <row r="597">
      <c r="A597" s="51"/>
    </row>
    <row r="598">
      <c r="A598" s="50" t="s">
        <v>1747</v>
      </c>
    </row>
    <row r="599">
      <c r="A599" s="50" t="s">
        <v>1748</v>
      </c>
    </row>
    <row r="600">
      <c r="A600" s="50" t="s">
        <v>1749</v>
      </c>
    </row>
    <row r="601">
      <c r="A601" s="50" t="s">
        <v>1750</v>
      </c>
    </row>
    <row r="602">
      <c r="A602" s="50" t="s">
        <v>1751</v>
      </c>
    </row>
    <row r="603">
      <c r="A603" s="50" t="s">
        <v>1752</v>
      </c>
    </row>
    <row r="604">
      <c r="A604" s="50" t="s">
        <v>1753</v>
      </c>
    </row>
    <row r="605">
      <c r="A605" s="50" t="s">
        <v>1754</v>
      </c>
    </row>
    <row r="606">
      <c r="A606" s="50" t="s">
        <v>1755</v>
      </c>
    </row>
    <row r="607">
      <c r="A607" s="51"/>
    </row>
    <row r="608">
      <c r="A608" s="50" t="s">
        <v>1756</v>
      </c>
    </row>
    <row r="609">
      <c r="A609" s="50" t="s">
        <v>1757</v>
      </c>
    </row>
    <row r="610">
      <c r="A610" s="51"/>
    </row>
    <row r="611">
      <c r="A611" s="50" t="s">
        <v>1758</v>
      </c>
    </row>
    <row r="612">
      <c r="A612" s="50" t="s">
        <v>1759</v>
      </c>
    </row>
    <row r="613">
      <c r="A613" s="51"/>
    </row>
    <row r="614">
      <c r="A614" s="50" t="s">
        <v>1760</v>
      </c>
    </row>
    <row r="615">
      <c r="A615" s="50" t="s">
        <v>1761</v>
      </c>
    </row>
    <row r="616">
      <c r="A616" s="50" t="s">
        <v>1719</v>
      </c>
    </row>
    <row r="617">
      <c r="A617" s="50" t="s">
        <v>1463</v>
      </c>
    </row>
    <row r="618">
      <c r="A618" s="51"/>
    </row>
    <row r="619">
      <c r="A619" s="50" t="s">
        <v>1762</v>
      </c>
    </row>
    <row r="620">
      <c r="A620" s="50" t="s">
        <v>1763</v>
      </c>
    </row>
    <row r="621">
      <c r="A621" s="50" t="s">
        <v>1764</v>
      </c>
    </row>
    <row r="622">
      <c r="A622" s="50" t="s">
        <v>1765</v>
      </c>
    </row>
    <row r="623">
      <c r="A623" s="51"/>
    </row>
    <row r="624">
      <c r="A624" s="50" t="s">
        <v>1766</v>
      </c>
    </row>
    <row r="625">
      <c r="A625" s="50" t="s">
        <v>1767</v>
      </c>
    </row>
    <row r="626">
      <c r="A626" s="51"/>
    </row>
    <row r="627">
      <c r="A627" s="50" t="s">
        <v>1768</v>
      </c>
    </row>
    <row r="628">
      <c r="A628" s="50" t="s">
        <v>1769</v>
      </c>
    </row>
    <row r="629">
      <c r="A629" s="51"/>
    </row>
    <row r="630">
      <c r="A630" s="50" t="s">
        <v>1770</v>
      </c>
    </row>
    <row r="631">
      <c r="A631" s="50" t="s">
        <v>1771</v>
      </c>
    </row>
    <row r="632">
      <c r="A632" s="50" t="s">
        <v>1772</v>
      </c>
    </row>
    <row r="633">
      <c r="A633" s="50" t="s">
        <v>1773</v>
      </c>
    </row>
    <row r="634">
      <c r="A634" s="50" t="s">
        <v>1774</v>
      </c>
    </row>
    <row r="635">
      <c r="A635" s="50" t="s">
        <v>1775</v>
      </c>
    </row>
    <row r="636">
      <c r="A636" s="50" t="s">
        <v>1776</v>
      </c>
    </row>
    <row r="637">
      <c r="A637" s="50" t="s">
        <v>1777</v>
      </c>
    </row>
    <row r="638">
      <c r="A638" s="50" t="s">
        <v>1778</v>
      </c>
    </row>
    <row r="639">
      <c r="A639" s="50" t="s">
        <v>1479</v>
      </c>
    </row>
    <row r="640">
      <c r="A640" s="51"/>
    </row>
    <row r="641">
      <c r="A641" s="50" t="s">
        <v>1779</v>
      </c>
    </row>
    <row r="642">
      <c r="A642" s="50" t="s">
        <v>1780</v>
      </c>
    </row>
    <row r="643">
      <c r="A643" s="51"/>
    </row>
    <row r="644">
      <c r="A644" s="50" t="s">
        <v>1781</v>
      </c>
    </row>
    <row r="645">
      <c r="A645" s="50" t="s">
        <v>1782</v>
      </c>
    </row>
    <row r="646">
      <c r="A646" s="50" t="s">
        <v>1783</v>
      </c>
    </row>
    <row r="647">
      <c r="A647" s="50" t="s">
        <v>1784</v>
      </c>
    </row>
    <row r="648">
      <c r="A648" s="50" t="s">
        <v>1776</v>
      </c>
    </row>
    <row r="649">
      <c r="A649" s="50" t="s">
        <v>1785</v>
      </c>
    </row>
    <row r="650">
      <c r="A650" s="50" t="s">
        <v>1786</v>
      </c>
    </row>
    <row r="651">
      <c r="A651" s="50" t="s">
        <v>1787</v>
      </c>
    </row>
    <row r="652">
      <c r="A652" s="50" t="s">
        <v>1788</v>
      </c>
    </row>
    <row r="653">
      <c r="A653" s="50" t="s">
        <v>1479</v>
      </c>
    </row>
    <row r="654">
      <c r="A654" s="51"/>
    </row>
    <row r="655">
      <c r="A655" s="50" t="s">
        <v>1789</v>
      </c>
    </row>
    <row r="656">
      <c r="A656" s="50" t="s">
        <v>1790</v>
      </c>
    </row>
    <row r="657">
      <c r="A657" s="50" t="s">
        <v>1791</v>
      </c>
    </row>
    <row r="658">
      <c r="A658" s="51"/>
    </row>
    <row r="659">
      <c r="A659" s="50" t="s">
        <v>1792</v>
      </c>
    </row>
    <row r="660">
      <c r="A660" s="50" t="s">
        <v>1793</v>
      </c>
    </row>
    <row r="661">
      <c r="A661" s="51"/>
    </row>
    <row r="662">
      <c r="A662" s="50" t="s">
        <v>1794</v>
      </c>
    </row>
    <row r="663">
      <c r="A663" s="50" t="s">
        <v>1795</v>
      </c>
    </row>
    <row r="664">
      <c r="A664" s="51"/>
    </row>
    <row r="665">
      <c r="A665" s="50" t="s">
        <v>1796</v>
      </c>
    </row>
    <row r="666">
      <c r="A666" s="50" t="s">
        <v>1797</v>
      </c>
    </row>
    <row r="667">
      <c r="A667" s="51"/>
    </row>
    <row r="668">
      <c r="A668" s="50" t="s">
        <v>1798</v>
      </c>
    </row>
    <row r="669">
      <c r="A669" s="50" t="s">
        <v>1799</v>
      </c>
    </row>
    <row r="670">
      <c r="A670" s="50" t="s">
        <v>1800</v>
      </c>
    </row>
    <row r="671">
      <c r="A671" s="51"/>
    </row>
    <row r="672">
      <c r="A672" s="50" t="s">
        <v>1801</v>
      </c>
    </row>
    <row r="673">
      <c r="A673" s="50" t="s">
        <v>1802</v>
      </c>
    </row>
    <row r="674">
      <c r="A674" s="50" t="s">
        <v>1803</v>
      </c>
    </row>
    <row r="675">
      <c r="A675" s="50" t="s">
        <v>1804</v>
      </c>
    </row>
    <row r="676">
      <c r="A676" s="50" t="s">
        <v>1805</v>
      </c>
    </row>
    <row r="677">
      <c r="A677" s="50" t="s">
        <v>1479</v>
      </c>
    </row>
    <row r="678">
      <c r="A678" s="51"/>
    </row>
    <row r="679">
      <c r="A679" s="50" t="s">
        <v>1806</v>
      </c>
    </row>
    <row r="680">
      <c r="A680" s="50" t="s">
        <v>1807</v>
      </c>
    </row>
    <row r="681">
      <c r="A681" s="51"/>
    </row>
    <row r="682">
      <c r="A682" s="50" t="s">
        <v>1808</v>
      </c>
    </row>
    <row r="683">
      <c r="A683" s="50" t="s">
        <v>1809</v>
      </c>
    </row>
    <row r="684">
      <c r="A684" s="50" t="s">
        <v>1810</v>
      </c>
    </row>
    <row r="685">
      <c r="A685" s="50" t="s">
        <v>1811</v>
      </c>
    </row>
    <row r="686">
      <c r="A686" s="50" t="s">
        <v>1463</v>
      </c>
    </row>
    <row r="687">
      <c r="A687" s="51"/>
    </row>
    <row r="688">
      <c r="A688" s="50" t="s">
        <v>1812</v>
      </c>
    </row>
    <row r="689">
      <c r="A689" s="50" t="s">
        <v>1813</v>
      </c>
    </row>
    <row r="690">
      <c r="A690" s="50" t="s">
        <v>1814</v>
      </c>
    </row>
    <row r="691">
      <c r="A691" s="50" t="s">
        <v>1815</v>
      </c>
    </row>
    <row r="692">
      <c r="A692" s="50" t="s">
        <v>1816</v>
      </c>
    </row>
    <row r="693">
      <c r="A693" s="50" t="s">
        <v>1817</v>
      </c>
    </row>
    <row r="694">
      <c r="A694" s="50" t="s">
        <v>1818</v>
      </c>
    </row>
    <row r="695">
      <c r="A695" s="50" t="s">
        <v>1463</v>
      </c>
    </row>
    <row r="696">
      <c r="A696" s="51"/>
    </row>
    <row r="697">
      <c r="A697" s="50" t="s">
        <v>1819</v>
      </c>
    </row>
    <row r="698">
      <c r="A698" s="50" t="s">
        <v>1820</v>
      </c>
    </row>
    <row r="699">
      <c r="A699" s="50" t="s">
        <v>1821</v>
      </c>
    </row>
    <row r="700">
      <c r="A700" s="50" t="s">
        <v>1822</v>
      </c>
    </row>
    <row r="701">
      <c r="A701" s="50" t="s">
        <v>1463</v>
      </c>
    </row>
    <row r="702">
      <c r="A702" s="51"/>
    </row>
    <row r="703">
      <c r="A703" s="50" t="s">
        <v>1823</v>
      </c>
    </row>
    <row r="704">
      <c r="A704" s="50" t="s">
        <v>1824</v>
      </c>
    </row>
    <row r="705">
      <c r="A705" s="50" t="s">
        <v>1466</v>
      </c>
    </row>
    <row r="706">
      <c r="A706" s="50" t="s">
        <v>1825</v>
      </c>
    </row>
    <row r="707">
      <c r="A707" s="51"/>
    </row>
    <row r="708">
      <c r="A708" s="50" t="s">
        <v>1826</v>
      </c>
    </row>
    <row r="709">
      <c r="A709" s="50" t="s">
        <v>1827</v>
      </c>
    </row>
    <row r="710">
      <c r="A710" s="50" t="s">
        <v>1828</v>
      </c>
    </row>
    <row r="711">
      <c r="A711" s="50" t="s">
        <v>1829</v>
      </c>
    </row>
    <row r="712">
      <c r="A712" s="51"/>
    </row>
    <row r="713">
      <c r="A713" s="50" t="s">
        <v>1830</v>
      </c>
    </row>
    <row r="714">
      <c r="A714" s="50" t="s">
        <v>1463</v>
      </c>
    </row>
    <row r="715">
      <c r="A715" s="51"/>
    </row>
    <row r="716">
      <c r="A716" s="50" t="s">
        <v>1831</v>
      </c>
    </row>
    <row r="717">
      <c r="A717" s="50" t="s">
        <v>1832</v>
      </c>
    </row>
    <row r="718">
      <c r="A718" s="50" t="s">
        <v>1833</v>
      </c>
    </row>
    <row r="719">
      <c r="A719" s="50" t="s">
        <v>1834</v>
      </c>
    </row>
    <row r="720">
      <c r="A720" s="50" t="s">
        <v>1835</v>
      </c>
    </row>
    <row r="721">
      <c r="A721" s="50" t="s">
        <v>1836</v>
      </c>
    </row>
    <row r="722">
      <c r="A722" s="51"/>
    </row>
    <row r="723">
      <c r="A723" s="50" t="s">
        <v>1837</v>
      </c>
    </row>
    <row r="724">
      <c r="A724" s="50" t="s">
        <v>1838</v>
      </c>
    </row>
    <row r="725">
      <c r="A725" s="50" t="s">
        <v>1839</v>
      </c>
    </row>
    <row r="726">
      <c r="A726" s="50" t="s">
        <v>1840</v>
      </c>
    </row>
    <row r="727">
      <c r="A727" s="50" t="s">
        <v>1841</v>
      </c>
    </row>
    <row r="728">
      <c r="A728" s="50" t="s">
        <v>1842</v>
      </c>
    </row>
    <row r="729">
      <c r="A729" s="50" t="s">
        <v>1843</v>
      </c>
    </row>
    <row r="730">
      <c r="A730" s="50" t="s">
        <v>1844</v>
      </c>
    </row>
    <row r="731">
      <c r="A731" s="50" t="s">
        <v>1845</v>
      </c>
    </row>
    <row r="732">
      <c r="A732" s="50" t="s">
        <v>1846</v>
      </c>
    </row>
    <row r="733">
      <c r="A733" s="50" t="s">
        <v>1847</v>
      </c>
    </row>
    <row r="734">
      <c r="A734" s="50" t="s">
        <v>1848</v>
      </c>
    </row>
    <row r="735">
      <c r="A735" s="50" t="s">
        <v>1849</v>
      </c>
    </row>
    <row r="736">
      <c r="A736" s="50" t="s">
        <v>1850</v>
      </c>
    </row>
    <row r="737">
      <c r="A737" s="50" t="s">
        <v>1851</v>
      </c>
    </row>
    <row r="738">
      <c r="A738" s="50" t="s">
        <v>1852</v>
      </c>
    </row>
    <row r="739">
      <c r="A739" s="50" t="s">
        <v>1853</v>
      </c>
    </row>
    <row r="740">
      <c r="A740" s="50" t="s">
        <v>1854</v>
      </c>
    </row>
    <row r="741">
      <c r="A741" s="50" t="s">
        <v>1855</v>
      </c>
    </row>
    <row r="742">
      <c r="A742" s="50" t="s">
        <v>1856</v>
      </c>
    </row>
    <row r="743">
      <c r="A743" s="50" t="s">
        <v>1857</v>
      </c>
    </row>
    <row r="744">
      <c r="A744" s="50" t="s">
        <v>1858</v>
      </c>
    </row>
    <row r="745">
      <c r="A745" s="50" t="s">
        <v>1859</v>
      </c>
    </row>
    <row r="746">
      <c r="A746" s="50" t="s">
        <v>1860</v>
      </c>
    </row>
    <row r="747">
      <c r="A747" s="50" t="s">
        <v>1861</v>
      </c>
    </row>
    <row r="748">
      <c r="A748" s="50" t="s">
        <v>1862</v>
      </c>
    </row>
    <row r="749">
      <c r="A749" s="50" t="s">
        <v>1863</v>
      </c>
    </row>
    <row r="750">
      <c r="A750" s="50" t="s">
        <v>1864</v>
      </c>
    </row>
    <row r="751">
      <c r="A751" s="50" t="s">
        <v>1865</v>
      </c>
    </row>
    <row r="752">
      <c r="A752" s="50" t="s">
        <v>1866</v>
      </c>
    </row>
    <row r="753">
      <c r="A753" s="50" t="s">
        <v>1867</v>
      </c>
    </row>
    <row r="754">
      <c r="A754" s="50" t="s">
        <v>1868</v>
      </c>
    </row>
    <row r="755">
      <c r="A755" s="50" t="s">
        <v>1479</v>
      </c>
    </row>
    <row r="756">
      <c r="A756" s="50" t="s">
        <v>1463</v>
      </c>
    </row>
    <row r="757">
      <c r="A757" s="51"/>
    </row>
    <row r="758">
      <c r="A758" s="50" t="s">
        <v>1869</v>
      </c>
    </row>
    <row r="759">
      <c r="A759" s="50" t="s">
        <v>1870</v>
      </c>
    </row>
    <row r="760">
      <c r="A760" s="50" t="s">
        <v>1624</v>
      </c>
    </row>
    <row r="761">
      <c r="A761" s="50" t="s">
        <v>1490</v>
      </c>
    </row>
    <row r="762">
      <c r="A762" s="50" t="s">
        <v>1542</v>
      </c>
    </row>
    <row r="763">
      <c r="A763" s="50" t="s">
        <v>1626</v>
      </c>
    </row>
    <row r="764">
      <c r="A764" s="50" t="s">
        <v>1627</v>
      </c>
    </row>
    <row r="765">
      <c r="A765" s="51"/>
    </row>
    <row r="766">
      <c r="A766" s="50" t="s">
        <v>1628</v>
      </c>
    </row>
    <row r="767">
      <c r="A767" s="50" t="s">
        <v>1871</v>
      </c>
    </row>
    <row r="768">
      <c r="A768" s="50" t="s">
        <v>1622</v>
      </c>
    </row>
    <row r="769">
      <c r="A769" s="50" t="s">
        <v>1479</v>
      </c>
    </row>
    <row r="770">
      <c r="A770" s="51"/>
    </row>
    <row r="771">
      <c r="A771" s="50" t="s">
        <v>1872</v>
      </c>
    </row>
    <row r="772">
      <c r="A772" s="50" t="s">
        <v>1873</v>
      </c>
    </row>
    <row r="773">
      <c r="A773" s="50" t="s">
        <v>1757</v>
      </c>
    </row>
    <row r="774">
      <c r="A774" s="51"/>
    </row>
    <row r="775">
      <c r="A775" s="50" t="s">
        <v>1874</v>
      </c>
    </row>
    <row r="776">
      <c r="A776" s="50" t="s">
        <v>1463</v>
      </c>
    </row>
    <row r="777">
      <c r="A777" s="51"/>
    </row>
    <row r="778">
      <c r="A778" s="50" t="s">
        <v>1875</v>
      </c>
    </row>
    <row r="779">
      <c r="A779" s="50" t="s">
        <v>1876</v>
      </c>
    </row>
    <row r="780">
      <c r="A780" s="50" t="s">
        <v>1877</v>
      </c>
    </row>
    <row r="781">
      <c r="A781" s="50" t="s">
        <v>1878</v>
      </c>
    </row>
    <row r="782">
      <c r="A782" s="50" t="s">
        <v>1879</v>
      </c>
    </row>
    <row r="783">
      <c r="A783" s="50" t="s">
        <v>1880</v>
      </c>
    </row>
    <row r="784">
      <c r="A784" s="50" t="s">
        <v>1881</v>
      </c>
    </row>
    <row r="785">
      <c r="A785" s="50" t="s">
        <v>1719</v>
      </c>
    </row>
    <row r="786">
      <c r="A786" s="51"/>
    </row>
    <row r="787">
      <c r="A787" s="50" t="s">
        <v>1882</v>
      </c>
    </row>
    <row r="788">
      <c r="A788" s="51"/>
    </row>
    <row r="789">
      <c r="A789" s="50" t="s">
        <v>1490</v>
      </c>
    </row>
    <row r="790">
      <c r="A790" s="51"/>
    </row>
    <row r="791">
      <c r="A791" s="50" t="s">
        <v>1883</v>
      </c>
    </row>
    <row r="792">
      <c r="A792" s="50" t="s">
        <v>1884</v>
      </c>
    </row>
    <row r="793">
      <c r="A793" s="50" t="s">
        <v>1885</v>
      </c>
    </row>
    <row r="794">
      <c r="A794" s="50" t="s">
        <v>1886</v>
      </c>
    </row>
    <row r="795">
      <c r="A795" s="50" t="s">
        <v>1887</v>
      </c>
    </row>
    <row r="796">
      <c r="A796" s="50" t="s">
        <v>1888</v>
      </c>
    </row>
    <row r="797">
      <c r="A797" s="50" t="s">
        <v>1889</v>
      </c>
    </row>
    <row r="798">
      <c r="A798" s="51"/>
    </row>
    <row r="799">
      <c r="A799" s="50" t="s">
        <v>1890</v>
      </c>
    </row>
    <row r="800">
      <c r="A800" s="50" t="s">
        <v>1891</v>
      </c>
    </row>
    <row r="801">
      <c r="A801" s="51"/>
    </row>
    <row r="802">
      <c r="A802" s="50" t="s">
        <v>1892</v>
      </c>
    </row>
    <row r="803">
      <c r="A803" s="50" t="s">
        <v>1893</v>
      </c>
    </row>
    <row r="804">
      <c r="A804" s="51"/>
    </row>
    <row r="805">
      <c r="A805" s="50" t="s">
        <v>1894</v>
      </c>
    </row>
    <row r="806">
      <c r="A806" s="50" t="s">
        <v>1463</v>
      </c>
    </row>
    <row r="807">
      <c r="A807" s="51"/>
    </row>
    <row r="808">
      <c r="A808" s="50" t="s">
        <v>1895</v>
      </c>
    </row>
    <row r="809">
      <c r="A809" s="50" t="s">
        <v>1896</v>
      </c>
    </row>
    <row r="810">
      <c r="A810" s="50" t="s">
        <v>1490</v>
      </c>
    </row>
    <row r="811">
      <c r="A811" s="50" t="s">
        <v>1897</v>
      </c>
    </row>
    <row r="812">
      <c r="A812" s="50" t="s">
        <v>1898</v>
      </c>
    </row>
    <row r="813">
      <c r="A813" s="50" t="s">
        <v>1479</v>
      </c>
    </row>
    <row r="814">
      <c r="A814" s="50" t="s">
        <v>1463</v>
      </c>
    </row>
    <row r="815">
      <c r="A815" s="51"/>
    </row>
    <row r="816">
      <c r="A816" s="50" t="s">
        <v>1899</v>
      </c>
    </row>
    <row r="817">
      <c r="A817" s="50" t="s">
        <v>1900</v>
      </c>
    </row>
    <row r="818">
      <c r="A818" s="50" t="s">
        <v>1877</v>
      </c>
    </row>
    <row r="819">
      <c r="A819" s="50" t="s">
        <v>1901</v>
      </c>
    </row>
    <row r="820">
      <c r="A820" s="50" t="s">
        <v>1902</v>
      </c>
    </row>
    <row r="821">
      <c r="A821" s="50" t="s">
        <v>1903</v>
      </c>
    </row>
    <row r="822">
      <c r="A822" s="50" t="s">
        <v>1904</v>
      </c>
    </row>
    <row r="823">
      <c r="A823" s="50" t="s">
        <v>1905</v>
      </c>
    </row>
    <row r="824">
      <c r="A824" s="50" t="s">
        <v>1906</v>
      </c>
    </row>
    <row r="825">
      <c r="A825" s="50" t="s">
        <v>1907</v>
      </c>
    </row>
    <row r="826">
      <c r="A826" s="50" t="s">
        <v>1908</v>
      </c>
    </row>
    <row r="827">
      <c r="A827" s="50" t="s">
        <v>1909</v>
      </c>
    </row>
    <row r="828">
      <c r="A828" s="50" t="s">
        <v>1910</v>
      </c>
    </row>
    <row r="829">
      <c r="A829" s="50" t="s">
        <v>1719</v>
      </c>
    </row>
    <row r="830">
      <c r="A830" s="50" t="s">
        <v>1463</v>
      </c>
    </row>
    <row r="831">
      <c r="A831" s="51"/>
    </row>
    <row r="832">
      <c r="A832" s="50" t="s">
        <v>1911</v>
      </c>
    </row>
    <row r="833">
      <c r="A833" s="50" t="s">
        <v>1912</v>
      </c>
    </row>
    <row r="834">
      <c r="A834" s="50" t="s">
        <v>1466</v>
      </c>
    </row>
    <row r="835">
      <c r="A835" s="50" t="s">
        <v>1827</v>
      </c>
    </row>
    <row r="836">
      <c r="A836" s="50" t="s">
        <v>1828</v>
      </c>
    </row>
    <row r="837">
      <c r="A837" s="51"/>
    </row>
    <row r="838">
      <c r="A838" s="50" t="s">
        <v>1913</v>
      </c>
    </row>
    <row r="839">
      <c r="A839" s="50" t="s">
        <v>1914</v>
      </c>
    </row>
    <row r="840">
      <c r="A840" s="50" t="s">
        <v>1622</v>
      </c>
    </row>
    <row r="841">
      <c r="A841" s="50" t="s">
        <v>1479</v>
      </c>
    </row>
    <row r="842">
      <c r="A842" s="51"/>
    </row>
    <row r="843">
      <c r="A843" s="50" t="s">
        <v>1915</v>
      </c>
    </row>
    <row r="844">
      <c r="A844" s="50" t="s">
        <v>1916</v>
      </c>
    </row>
    <row r="845">
      <c r="A845" s="50" t="s">
        <v>1917</v>
      </c>
    </row>
    <row r="846">
      <c r="A846" s="50" t="s">
        <v>1918</v>
      </c>
    </row>
    <row r="847">
      <c r="A847" s="51"/>
    </row>
    <row r="848">
      <c r="A848" s="50" t="s">
        <v>1919</v>
      </c>
    </row>
    <row r="849">
      <c r="A849" s="50" t="s">
        <v>1920</v>
      </c>
    </row>
    <row r="850">
      <c r="A850" s="50" t="s">
        <v>1921</v>
      </c>
    </row>
    <row r="851">
      <c r="A851" s="50" t="s">
        <v>1922</v>
      </c>
    </row>
    <row r="852">
      <c r="A852" s="50" t="s">
        <v>1923</v>
      </c>
    </row>
    <row r="853">
      <c r="A853" s="50" t="s">
        <v>1924</v>
      </c>
    </row>
    <row r="854">
      <c r="A854" s="50" t="s">
        <v>1925</v>
      </c>
    </row>
    <row r="855">
      <c r="A855" s="50" t="s">
        <v>1926</v>
      </c>
    </row>
    <row r="856">
      <c r="A856" s="50" t="s">
        <v>1927</v>
      </c>
    </row>
    <row r="857">
      <c r="A857" s="50" t="s">
        <v>1928</v>
      </c>
    </row>
    <row r="858">
      <c r="A858" s="50" t="s">
        <v>1929</v>
      </c>
    </row>
    <row r="859">
      <c r="A859" s="50" t="s">
        <v>1930</v>
      </c>
    </row>
    <row r="860">
      <c r="A860" s="51"/>
    </row>
    <row r="861">
      <c r="A861" s="50" t="s">
        <v>1931</v>
      </c>
    </row>
    <row r="862">
      <c r="A862" s="50" t="s">
        <v>1932</v>
      </c>
    </row>
    <row r="863">
      <c r="A863" s="50" t="s">
        <v>1933</v>
      </c>
    </row>
    <row r="864">
      <c r="A864" s="50" t="s">
        <v>1934</v>
      </c>
    </row>
    <row r="865">
      <c r="A865" s="50" t="s">
        <v>1705</v>
      </c>
    </row>
    <row r="866">
      <c r="A866" s="51"/>
    </row>
    <row r="867">
      <c r="A867" s="50" t="s">
        <v>1935</v>
      </c>
    </row>
    <row r="868">
      <c r="A868" s="50" t="s">
        <v>1936</v>
      </c>
    </row>
    <row r="869">
      <c r="A869" s="50" t="s">
        <v>1937</v>
      </c>
    </row>
    <row r="870">
      <c r="A870" s="51"/>
    </row>
    <row r="871">
      <c r="A871" s="50" t="s">
        <v>1760</v>
      </c>
    </row>
    <row r="872">
      <c r="A872" s="50" t="s">
        <v>1938</v>
      </c>
    </row>
    <row r="873">
      <c r="A873" s="50" t="s">
        <v>1719</v>
      </c>
    </row>
    <row r="874">
      <c r="A874" s="50" t="s">
        <v>1463</v>
      </c>
    </row>
    <row r="875">
      <c r="A875" s="51"/>
    </row>
    <row r="876">
      <c r="A876" s="50" t="s">
        <v>1939</v>
      </c>
    </row>
    <row r="877">
      <c r="A877" s="50" t="s">
        <v>1940</v>
      </c>
    </row>
    <row r="878">
      <c r="A878" s="50" t="s">
        <v>1941</v>
      </c>
    </row>
    <row r="879">
      <c r="A879" s="50" t="s">
        <v>1942</v>
      </c>
    </row>
    <row r="880">
      <c r="A880" s="51"/>
    </row>
    <row r="881">
      <c r="A881" s="50" t="s">
        <v>1943</v>
      </c>
    </row>
    <row r="882">
      <c r="A882" s="50" t="s">
        <v>1944</v>
      </c>
    </row>
    <row r="883">
      <c r="A883" s="51"/>
    </row>
    <row r="884">
      <c r="A884" s="50" t="s">
        <v>1945</v>
      </c>
    </row>
    <row r="885">
      <c r="A885" s="50" t="s">
        <v>1946</v>
      </c>
    </row>
    <row r="886">
      <c r="A886" s="50" t="s">
        <v>1947</v>
      </c>
    </row>
    <row r="887">
      <c r="A887" s="50" t="s">
        <v>1948</v>
      </c>
    </row>
    <row r="888">
      <c r="A888" s="50" t="s">
        <v>1949</v>
      </c>
    </row>
    <row r="889">
      <c r="A889" s="50" t="s">
        <v>1950</v>
      </c>
    </row>
    <row r="890">
      <c r="A890" s="50" t="s">
        <v>1951</v>
      </c>
    </row>
    <row r="891">
      <c r="A891" s="50" t="s">
        <v>1952</v>
      </c>
    </row>
    <row r="892">
      <c r="A892" s="51"/>
    </row>
    <row r="893">
      <c r="A893" s="50" t="s">
        <v>1953</v>
      </c>
    </row>
    <row r="894">
      <c r="A894" s="50" t="s">
        <v>1954</v>
      </c>
    </row>
    <row r="895">
      <c r="A895" s="50" t="s">
        <v>1478</v>
      </c>
    </row>
    <row r="896">
      <c r="A896" s="50" t="s">
        <v>1479</v>
      </c>
    </row>
    <row r="897">
      <c r="A897" s="50" t="s">
        <v>1463</v>
      </c>
    </row>
    <row r="898">
      <c r="A898" s="51"/>
    </row>
    <row r="899">
      <c r="A899" s="50" t="s">
        <v>1955</v>
      </c>
    </row>
    <row r="900">
      <c r="A900" s="50" t="s">
        <v>1956</v>
      </c>
    </row>
    <row r="901">
      <c r="A901" s="50" t="s">
        <v>1542</v>
      </c>
    </row>
    <row r="902">
      <c r="A902" s="50" t="s">
        <v>1957</v>
      </c>
    </row>
    <row r="903">
      <c r="A903" s="51"/>
    </row>
    <row r="904">
      <c r="A904" s="50" t="s">
        <v>1958</v>
      </c>
    </row>
    <row r="905">
      <c r="A905" s="50" t="s">
        <v>1959</v>
      </c>
    </row>
    <row r="906">
      <c r="A906" s="51"/>
    </row>
    <row r="907">
      <c r="A907" s="50" t="s">
        <v>1960</v>
      </c>
    </row>
    <row r="908">
      <c r="A908" s="50" t="s">
        <v>1961</v>
      </c>
    </row>
    <row r="909">
      <c r="A909" s="50" t="s">
        <v>1962</v>
      </c>
    </row>
    <row r="910">
      <c r="A910" s="50" t="s">
        <v>1963</v>
      </c>
    </row>
    <row r="911">
      <c r="A911" s="50" t="s">
        <v>1964</v>
      </c>
    </row>
    <row r="912">
      <c r="A912" s="50" t="s">
        <v>1965</v>
      </c>
    </row>
    <row r="913">
      <c r="A913" s="50" t="s">
        <v>1966</v>
      </c>
    </row>
    <row r="914">
      <c r="A914" s="50" t="s">
        <v>1967</v>
      </c>
    </row>
    <row r="915">
      <c r="A915" s="50" t="s">
        <v>1968</v>
      </c>
    </row>
    <row r="916">
      <c r="A916" s="50" t="s">
        <v>1969</v>
      </c>
    </row>
    <row r="917">
      <c r="A917" s="50" t="s">
        <v>1970</v>
      </c>
    </row>
    <row r="918">
      <c r="A918" s="51"/>
    </row>
    <row r="919">
      <c r="A919" s="50" t="s">
        <v>1971</v>
      </c>
    </row>
    <row r="920">
      <c r="A920" s="50" t="s">
        <v>1972</v>
      </c>
    </row>
    <row r="921">
      <c r="A921" s="50" t="s">
        <v>1973</v>
      </c>
    </row>
    <row r="922">
      <c r="A922" s="50" t="s">
        <v>1974</v>
      </c>
    </row>
    <row r="923">
      <c r="A923" s="50" t="s">
        <v>1479</v>
      </c>
    </row>
    <row r="924">
      <c r="A924" s="50" t="s">
        <v>1975</v>
      </c>
    </row>
    <row r="925">
      <c r="A925" s="51"/>
    </row>
    <row r="926">
      <c r="A926" s="50" t="s">
        <v>1976</v>
      </c>
    </row>
    <row r="927">
      <c r="A927" s="50" t="s">
        <v>1977</v>
      </c>
    </row>
    <row r="928">
      <c r="A928" s="50" t="s">
        <v>1978</v>
      </c>
    </row>
    <row r="929">
      <c r="A929" s="50" t="s">
        <v>1479</v>
      </c>
    </row>
    <row r="930">
      <c r="A930" s="51"/>
    </row>
    <row r="931">
      <c r="A931" s="50" t="s">
        <v>1979</v>
      </c>
    </row>
    <row r="932">
      <c r="A932" s="50" t="s">
        <v>1980</v>
      </c>
    </row>
    <row r="933">
      <c r="A933" s="50" t="s">
        <v>1981</v>
      </c>
    </row>
    <row r="934">
      <c r="A934" s="50" t="s">
        <v>1982</v>
      </c>
    </row>
    <row r="935">
      <c r="A935" s="50" t="s">
        <v>1983</v>
      </c>
    </row>
    <row r="936">
      <c r="A936" s="50" t="s">
        <v>1984</v>
      </c>
    </row>
    <row r="937">
      <c r="A937" s="51"/>
    </row>
    <row r="938">
      <c r="A938" s="50" t="s">
        <v>1985</v>
      </c>
    </row>
    <row r="939">
      <c r="A939" s="50" t="s">
        <v>1986</v>
      </c>
    </row>
    <row r="940">
      <c r="A940" s="51"/>
    </row>
    <row r="941">
      <c r="A941" s="50" t="s">
        <v>1987</v>
      </c>
    </row>
    <row r="942">
      <c r="A942" s="50" t="s">
        <v>1988</v>
      </c>
    </row>
    <row r="943">
      <c r="A943" s="50" t="s">
        <v>1989</v>
      </c>
    </row>
    <row r="944">
      <c r="A944" s="50" t="s">
        <v>1990</v>
      </c>
    </row>
    <row r="945">
      <c r="A945" s="50" t="s">
        <v>1991</v>
      </c>
    </row>
    <row r="946">
      <c r="A946" s="50" t="s">
        <v>1992</v>
      </c>
    </row>
    <row r="947">
      <c r="A947" s="50" t="s">
        <v>1590</v>
      </c>
    </row>
    <row r="948">
      <c r="A948" s="50" t="s">
        <v>1591</v>
      </c>
    </row>
    <row r="949">
      <c r="A949" s="50" t="s">
        <v>1478</v>
      </c>
    </row>
    <row r="950">
      <c r="A950" s="50" t="s">
        <v>1993</v>
      </c>
    </row>
    <row r="951">
      <c r="A951" s="50" t="s">
        <v>1988</v>
      </c>
    </row>
    <row r="952">
      <c r="A952" s="50" t="s">
        <v>1994</v>
      </c>
    </row>
    <row r="953">
      <c r="A953" s="50" t="s">
        <v>1590</v>
      </c>
    </row>
    <row r="954">
      <c r="A954" s="50" t="s">
        <v>1591</v>
      </c>
    </row>
    <row r="955">
      <c r="A955" s="50" t="s">
        <v>1478</v>
      </c>
    </row>
    <row r="956">
      <c r="A956" s="50" t="s">
        <v>1479</v>
      </c>
    </row>
    <row r="957">
      <c r="A957" s="51"/>
    </row>
    <row r="958">
      <c r="A958" s="50" t="s">
        <v>1995</v>
      </c>
    </row>
    <row r="959">
      <c r="A959" s="50" t="s">
        <v>1996</v>
      </c>
    </row>
    <row r="960">
      <c r="A960" s="50" t="s">
        <v>1997</v>
      </c>
    </row>
    <row r="961">
      <c r="A961" s="51"/>
    </row>
    <row r="962">
      <c r="A962" s="50" t="s">
        <v>1998</v>
      </c>
    </row>
    <row r="963">
      <c r="A963" s="50" t="s">
        <v>1999</v>
      </c>
    </row>
    <row r="964">
      <c r="A964" s="50" t="s">
        <v>2000</v>
      </c>
    </row>
    <row r="965">
      <c r="A965" s="50" t="s">
        <v>2001</v>
      </c>
    </row>
    <row r="966">
      <c r="A966" s="50" t="s">
        <v>2002</v>
      </c>
    </row>
    <row r="967">
      <c r="A967" s="51"/>
    </row>
    <row r="968">
      <c r="A968" s="50" t="s">
        <v>2003</v>
      </c>
    </row>
    <row r="969">
      <c r="A969" s="50" t="s">
        <v>2004</v>
      </c>
    </row>
    <row r="970">
      <c r="A970" s="50" t="s">
        <v>2005</v>
      </c>
    </row>
    <row r="971">
      <c r="A971" s="50" t="s">
        <v>2006</v>
      </c>
    </row>
    <row r="972">
      <c r="A972" s="50" t="s">
        <v>2007</v>
      </c>
    </row>
    <row r="973">
      <c r="A973" s="50" t="s">
        <v>2008</v>
      </c>
    </row>
    <row r="974">
      <c r="A974" s="50" t="s">
        <v>1463</v>
      </c>
    </row>
    <row r="975">
      <c r="A975" s="51"/>
    </row>
    <row r="976">
      <c r="A976" s="51"/>
    </row>
    <row r="977">
      <c r="A977" s="51"/>
    </row>
    <row r="978">
      <c r="A978" s="51"/>
    </row>
    <row r="979">
      <c r="A979" s="51"/>
    </row>
    <row r="980">
      <c r="A980" s="51"/>
    </row>
    <row r="981">
      <c r="A981" s="51"/>
    </row>
    <row r="982">
      <c r="A982" s="51"/>
    </row>
    <row r="983">
      <c r="A983" s="51"/>
    </row>
    <row r="984">
      <c r="A984" s="51"/>
    </row>
    <row r="985">
      <c r="A985" s="51"/>
    </row>
    <row r="986">
      <c r="A986" s="51"/>
    </row>
    <row r="987">
      <c r="A987" s="51"/>
    </row>
    <row r="988">
      <c r="A988" s="51"/>
    </row>
    <row r="989">
      <c r="A989" s="51"/>
    </row>
    <row r="990">
      <c r="A990" s="51"/>
    </row>
    <row r="991">
      <c r="A991" s="51"/>
    </row>
    <row r="992">
      <c r="A992" s="51"/>
    </row>
    <row r="993">
      <c r="A993" s="51"/>
    </row>
    <row r="994">
      <c r="A994" s="51"/>
    </row>
    <row r="995">
      <c r="A995" s="51"/>
    </row>
    <row r="996">
      <c r="A996" s="51"/>
    </row>
    <row r="997">
      <c r="A997" s="51"/>
    </row>
    <row r="998">
      <c r="A998" s="51"/>
    </row>
    <row r="999">
      <c r="A999" s="51"/>
    </row>
    <row r="1000">
      <c r="A1000" s="51"/>
    </row>
  </sheetData>
  <drawing r:id="rId1"/>
</worksheet>
</file>