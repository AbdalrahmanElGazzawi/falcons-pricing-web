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Cover" sheetId="1" state="visible" r:id="rId3"/>
    <sheet name="01_Player_Rate_Card" sheetId="2" state="visible" r:id="rId4"/>
    <sheet name="02_Creator_Rate_Card" sheetId="3" state="visible" r:id="rId5"/>
    <sheet name="03_Adjustment_Matrix" sheetId="4" state="visible" r:id="rId6"/>
    <sheet name="04_Add_On_Rights" sheetId="5" state="visible" r:id="rId7"/>
    <sheet name="05_Quote_Template" sheetId="6" state="visible" r:id="rId8"/>
    <sheet name="06_Quote_Log" sheetId="7" state="visible" r:id="rId9"/>
    <sheet name="07_Settings" sheetId="8" state="hidden" r:id="rId10"/>
    <sheet name="08_Benchmarks" sheetId="9" state="visible" r:id="rId11"/>
    <sheet name="09_Guide_EN" sheetId="10" state="visible" r:id="rId12"/>
    <sheet name="10_Guide_AR" sheetId="11" state="visible" r:id="rId13"/>
    <sheet name="11_Methodology" sheetId="12" state="visible" r:id="rId14"/>
  </sheets>
  <definedNames>
    <definedName function="false" hidden="true" localSheetId="1" name="_xlnm._FilterDatabase" vbProcedure="false">'01_Player_Rate_Card'!$C$4:$X$165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<sst xmlns="http://schemas.openxmlformats.org/spreadsheetml/2006/main" count="3649" uniqueCount="2365">
  <si>
    <t xml:space="preserve">TEAM FALCONS</t>
  </si>
  <si>
    <t xml:space="preserve">Talent Commercial Rate Card  ·  2026</t>
  </si>
  <si>
    <t xml:space="preserve">Global Esports Pricing &amp; Monetization Framework</t>
  </si>
  <si>
    <t xml:space="preserve">Updated: 14 April, 2026   ·   Currency: SAR   ·   1 USD = 3.75 SAR</t>
  </si>
  <si>
    <t xml:space="preserve">Total Entries</t>
  </si>
  <si>
    <t xml:space="preserve">Players</t>
  </si>
  <si>
    <t xml:space="preserve">Esports Influencers</t>
  </si>
  <si>
    <t xml:space="preserve">Staff &amp; Coaches</t>
  </si>
  <si>
    <t xml:space="preserve">T1 / T2 / T3</t>
  </si>
  <si>
    <t xml:space="preserve">SHEET NAVIGATION</t>
  </si>
  <si>
    <t xml:space="preserve">01_Player_Rate_Card</t>
  </si>
  <si>
    <t xml:space="preserve">02_Creator_Rate_Card</t>
  </si>
  <si>
    <t xml:space="preserve">03_Adjustment_Matrix</t>
  </si>
  <si>
    <t xml:space="preserve">Engagement · Audience · Seasonality · Confidence + Live Calculator</t>
  </si>
  <si>
    <t xml:space="preserve">04_Add_On_Rights</t>
  </si>
  <si>
    <t xml:space="preserve">Rights packages with uplift % + toggle grid</t>
  </si>
  <si>
    <t xml:space="preserve">05_Quote_Template</t>
  </si>
  <si>
    <t xml:space="preserve">KFC-style quotation template — Apps Script outputs to here</t>
  </si>
  <si>
    <t xml:space="preserve">06_Quote_Log</t>
  </si>
  <si>
    <t xml:space="preserve">Archive of all issued quotes (auto-populated)</t>
  </si>
  <si>
    <t xml:space="preserve">07_Settings</t>
  </si>
  <si>
    <t xml:space="preserve">Global config · VAT · USD · approvers · bank</t>
  </si>
  <si>
    <t xml:space="preserve">08_Benchmarks</t>
  </si>
  <si>
    <t xml:space="preserve">Market benchmarks — Tier 1 / MENA / platform CPMs</t>
  </si>
  <si>
    <t xml:space="preserve">09_Guide_EN</t>
  </si>
  <si>
    <t xml:space="preserve">Pricing methodology, formula, best practices (English)</t>
  </si>
  <si>
    <t xml:space="preserve">10_Guide_AR</t>
  </si>
  <si>
    <t xml:space="preserve">دليل التسعير الكامل بالعربي</t>
  </si>
  <si>
    <t xml:space="preserve">11_Methodology</t>
  </si>
  <si>
    <t xml:space="preserve">Why this pricing OS works — principles + decision flows</t>
  </si>
  <si>
    <t xml:space="preserve">COLOR LEGEND</t>
  </si>
  <si>
    <t xml:space="preserve">Tier S — Superstar</t>
  </si>
  <si>
    <t xml:space="preserve">1M+ followers · Global icon · World-class anchor</t>
  </si>
  <si>
    <t xml:space="preserve">Tier 1 — Premium</t>
  </si>
  <si>
    <t xml:space="preserve">250K–1M followers · 8%+ engagement · Established</t>
  </si>
  <si>
    <t xml:space="preserve">Tier 2 — Target</t>
  </si>
  <si>
    <t xml:space="preserve">50K–250K followers · 5–8% engagement · Core pros</t>
  </si>
  <si>
    <t xml:space="preserve">Tier 3 — Emerging</t>
  </si>
  <si>
    <t xml:space="preserve">10K–50K followers · High engagement · Rising stars</t>
  </si>
  <si>
    <t xml:space="preserve">Tier 4 — Entry / Staff</t>
  </si>
  <si>
    <t xml:space="preserve">Support roles · Appearance rates</t>
  </si>
  <si>
    <t xml:space="preserve">Coach / Head Coach</t>
  </si>
  <si>
    <t xml:space="preserve">Coaching staff — rates apply for appearances &amp; content</t>
  </si>
  <si>
    <t xml:space="preserve">Manager</t>
  </si>
  <si>
    <t xml:space="preserve">Management staff — rates apply for appearances</t>
  </si>
  <si>
    <t xml:space="preserve">Analyst</t>
  </si>
  <si>
    <t xml:space="preserve">Analyst staff — rates apply for appearances</t>
  </si>
  <si>
    <t xml:space="preserve">Influencer</t>
  </si>
  <si>
    <t xml:space="preserve">Esports influencers — social-first creators</t>
  </si>
  <si>
    <t xml:space="preserve">Creator</t>
  </si>
  <si>
    <t xml:space="preserve">Content creators — ceiling-based pricing</t>
  </si>
  <si>
    <t xml:space="preserve">ROLE LEGEND</t>
  </si>
  <si>
    <t xml:space="preserve">● Player</t>
  </si>
  <si>
    <t xml:space="preserve">● Head Coach</t>
  </si>
  <si>
    <t xml:space="preserve">● Coach</t>
  </si>
  <si>
    <t xml:space="preserve">● Manager</t>
  </si>
  <si>
    <t xml:space="preserve">● Analyst</t>
  </si>
  <si>
    <t xml:space="preserve">● Influencer</t>
  </si>
  <si>
    <t xml:space="preserve">#</t>
  </si>
  <si>
    <t xml:space="preserve">Nickname</t>
  </si>
  <si>
    <t xml:space="preserve">Role</t>
  </si>
  <si>
    <t xml:space="preserve">Game</t>
  </si>
  <si>
    <t xml:space="preserve">Team</t>
  </si>
  <si>
    <t xml:space="preserve">Nationality</t>
  </si>
  <si>
    <t xml:space="preserve">Platforms</t>
  </si>
  <si>
    <t xml:space="preserve">Tier</t>
  </si>
  <si>
    <t xml:space="preserve">IG Reel
(SAR)</t>
  </si>
  <si>
    <t xml:space="preserve">IG Static
(SAR)</t>
  </si>
  <si>
    <t xml:space="preserve">IG Story
(SAR)</t>
  </si>
  <si>
    <t xml:space="preserve">TikTok
Video</t>
  </si>
  <si>
    <t xml:space="preserve">YT Short
(SAR)</t>
  </si>
  <si>
    <t xml:space="preserve">X Post
(SAR)</t>
  </si>
  <si>
    <t xml:space="preserve">FB Post/Video
(SAR)</t>
  </si>
  <si>
    <t xml:space="preserve">Twitch
Stream 2h</t>
  </si>
  <si>
    <t xml:space="preserve">Twitch
Integ.</t>
  </si>
  <si>
    <t xml:space="preserve">IRL /
Appear.</t>
  </si>
  <si>
    <t xml:space="preserve">Rights
Fee</t>
  </si>
  <si>
    <t xml:space="preserve">Exclusivity
Fee</t>
  </si>
  <si>
    <t xml:space="preserve">Rush
Fee</t>
  </si>
  <si>
    <t xml:space="preserve">WL
Fee</t>
  </si>
  <si>
    <t xml:space="preserve">Notes</t>
  </si>
  <si>
    <t xml:space="preserve">Falcons
Commission %</t>
  </si>
  <si>
    <t xml:space="preserve">Markup %
(on Player Cost)</t>
  </si>
  <si>
    <t xml:space="preserve">Full Name</t>
  </si>
  <si>
    <t xml:space="preserve">X / Twitter</t>
  </si>
  <si>
    <t xml:space="preserve">Instagram</t>
  </si>
  <si>
    <t xml:space="preserve">Twitch</t>
  </si>
  <si>
    <t xml:space="preserve">YouTube</t>
  </si>
  <si>
    <t xml:space="preserve">TikTok</t>
  </si>
  <si>
    <t xml:space="preserve">Kick</t>
  </si>
  <si>
    <t xml:space="preserve">Facebook</t>
  </si>
  <si>
    <t xml:space="preserve">Snapchat</t>
  </si>
  <si>
    <t xml:space="preserve">Link-in-Bio</t>
  </si>
  <si>
    <t xml:space="preserve">Date of Birth</t>
  </si>
  <si>
    <t xml:space="preserve">Game Role</t>
  </si>
  <si>
    <t xml:space="preserve">Bijw</t>
  </si>
  <si>
    <t xml:space="preserve">Saudi Arabia</t>
  </si>
  <si>
    <t xml:space="preserve">Tier 3</t>
  </si>
  <si>
    <t xml:space="preserve">6 platforms</t>
  </si>
  <si>
    <t xml:space="preserve">Hisham Nasser</t>
  </si>
  <si>
    <t xml:space="preserve">https://x.com/_bijw</t>
  </si>
  <si>
    <t xml:space="preserve">https://www.instagram.com/bijjw</t>
  </si>
  <si>
    <t xml:space="preserve">https://www.twitch.tv/bijw</t>
  </si>
  <si>
    <t xml:space="preserve">https://www.youtube.com/@Bijw</t>
  </si>
  <si>
    <t xml:space="preserve">https://www.tiktok.com/@biijw</t>
  </si>
  <si>
    <t xml:space="preserve">https://kick.com/bijw</t>
  </si>
  <si>
    <t xml:space="preserve">https://www.snapchat.com/add/bijjw</t>
  </si>
  <si>
    <t xml:space="preserve">https://linktr.ee/bijw</t>
  </si>
  <si>
    <t xml:space="preserve">Abo Najd</t>
  </si>
  <si>
    <t xml:space="preserve">4 platforms</t>
  </si>
  <si>
    <t xml:space="preserve">Riyad Alfahmi</t>
  </si>
  <si>
    <t xml:space="preserve">https://x.com/K22N8</t>
  </si>
  <si>
    <t xml:space="preserve">https://www.instagram.com/k2nn8?igsh=ajJsNHoybDlpMzFo</t>
  </si>
  <si>
    <t xml:space="preserve">https://www.twitch.tv/k2nnn8</t>
  </si>
  <si>
    <t xml:space="preserve">https://www.youtube.com/@k2nn8</t>
  </si>
  <si>
    <t xml:space="preserve">https://linktr.ee/K2nnn8 (alt: https://heylink.me/k2nn8)</t>
  </si>
  <si>
    <t xml:space="preserve">FMG</t>
  </si>
  <si>
    <t xml:space="preserve">Nasser alotaibi</t>
  </si>
  <si>
    <t xml:space="preserve">https://x.com/iFMG_</t>
  </si>
  <si>
    <t xml:space="preserve">https://www.instagram.com/fm.g/</t>
  </si>
  <si>
    <t xml:space="preserve">https://www.twitch.tv/fmg_</t>
  </si>
  <si>
    <t xml:space="preserve">https://kick.com/ifmg</t>
  </si>
  <si>
    <t xml:space="preserve">Abo Ghazi</t>
  </si>
  <si>
    <t xml:space="preserve">3 platforms</t>
  </si>
  <si>
    <t xml:space="preserve">Mohammed Albaqami</t>
  </si>
  <si>
    <t xml:space="preserve">https://x.com/MohxamedZ</t>
  </si>
  <si>
    <t xml:space="preserve">https://www.twitch.tv/ires</t>
  </si>
  <si>
    <t xml:space="preserve">https://kick.com/iabughazi</t>
  </si>
  <si>
    <t xml:space="preserve">https://www.facebook.com/AbuGhaziGaming93</t>
  </si>
  <si>
    <t xml:space="preserve">https://www.snapchat.com/add/faisalhajhasan</t>
  </si>
  <si>
    <t xml:space="preserve">https://linktr.ee/abughaazi</t>
  </si>
  <si>
    <t xml:space="preserve">Mary</t>
  </si>
  <si>
    <t xml:space="preserve">Bahraini</t>
  </si>
  <si>
    <t xml:space="preserve">5 platforms</t>
  </si>
  <si>
    <t xml:space="preserve">Maryam Maher</t>
  </si>
  <si>
    <t xml:space="preserve">https://x.com/marypink</t>
  </si>
  <si>
    <t xml:space="preserve">https://www.instagram.com/maryvalorantt/?hl=en</t>
  </si>
  <si>
    <t xml:space="preserve">https://www.twitch.tv/mary</t>
  </si>
  <si>
    <t xml:space="preserve">https://www.youtube.com/@maryvalorant/featured</t>
  </si>
  <si>
    <t xml:space="preserve">https://www.tiktok.com/@maryvalorant</t>
  </si>
  <si>
    <t xml:space="preserve">https://linktr.ee/verymarygaming</t>
  </si>
  <si>
    <t xml:space="preserve">Ghala</t>
  </si>
  <si>
    <t xml:space="preserve">Ghala Alqahtani</t>
  </si>
  <si>
    <t xml:space="preserve">https://x.com/pg_ghala3?lang=en</t>
  </si>
  <si>
    <t xml:space="preserve">https://www.instagram.com/pg_ghala3</t>
  </si>
  <si>
    <t xml:space="preserve">https://www.youtube.com/@pg_ghala3</t>
  </si>
  <si>
    <t xml:space="preserve">https://www.tiktok.com/@pg_ghala3</t>
  </si>
  <si>
    <t xml:space="preserve">https://kick.com/pg-ghala3</t>
  </si>
  <si>
    <t xml:space="preserve">https://snapchat.com/t/bLA2ZOsG</t>
  </si>
  <si>
    <t xml:space="preserve">https://linktr.ee/ga1lll</t>
  </si>
  <si>
    <t xml:space="preserve">Moaz</t>
  </si>
  <si>
    <t xml:space="preserve">Tier 2</t>
  </si>
  <si>
    <t xml:space="preserve">Moaz Asiri</t>
  </si>
  <si>
    <t xml:space="preserve">https://x.com/mezostrong?s=21</t>
  </si>
  <si>
    <t xml:space="preserve">https://www.instagram.com/mezostrong</t>
  </si>
  <si>
    <t xml:space="preserve">https://www.youtube.com/channel/UCZCgW8WW8K_vrHrO6sZ7oyg?app=desktop</t>
  </si>
  <si>
    <t xml:space="preserve">https://www.tiktok.com/@mezostrong?_r=1&amp;_t=zs-91bbrrsefwl</t>
  </si>
  <si>
    <t xml:space="preserve">https://kick.com/MezoStrong</t>
  </si>
  <si>
    <t xml:space="preserve">vacwep</t>
  </si>
  <si>
    <t xml:space="preserve">Abdullah Mousa A Alsulaymi</t>
  </si>
  <si>
    <t xml:space="preserve">https://x.com/vacwep?s=21&amp;t=PiVx0_LPZgUm0TT5Ok_2Zw</t>
  </si>
  <si>
    <t xml:space="preserve">https://www.instagram.com/vacwep_?igsh=Z28yMXRibTZ0OWlm&amp;utm_source=qr</t>
  </si>
  <si>
    <t xml:space="preserve">https://www.tiktok.com/@vacwep?_r=1&amp;_t=ZS-94jrcxtNGEK</t>
  </si>
  <si>
    <t xml:space="preserve">https://kick.com/vacwep</t>
  </si>
  <si>
    <t xml:space="preserve">https://www.facebook.com/share/1BDLRfGMFS/?mibextid=wwXIfr</t>
  </si>
  <si>
    <t xml:space="preserve">12/07/1992</t>
  </si>
  <si>
    <t xml:space="preserve">Cellium</t>
  </si>
  <si>
    <t xml:space="preserve">Player</t>
  </si>
  <si>
    <t xml:space="preserve">Call of Duty Black Ops 7</t>
  </si>
  <si>
    <t xml:space="preserve">Riyadh Falcons</t>
  </si>
  <si>
    <t xml:space="preserve">American</t>
  </si>
  <si>
    <t xml:space="preserve">McArthur Jovel</t>
  </si>
  <si>
    <t xml:space="preserve">https://twitter.com/Cellium</t>
  </si>
  <si>
    <t xml:space="preserve">https://www.instagram.com/cellium/</t>
  </si>
  <si>
    <t xml:space="preserve">https://www.twitch.tv/Cellium</t>
  </si>
  <si>
    <t xml:space="preserve">24/12/2000</t>
  </si>
  <si>
    <t xml:space="preserve">Assault Rifle / Main AR</t>
  </si>
  <si>
    <t xml:space="preserve">Exnid</t>
  </si>
  <si>
    <t xml:space="preserve">2 platforms</t>
  </si>
  <si>
    <t xml:space="preserve">Saud Alati</t>
  </si>
  <si>
    <t xml:space="preserve">https://x.com/Exnid_</t>
  </si>
  <si>
    <t xml:space="preserve">https://www.twitch.tv/exnid</t>
  </si>
  <si>
    <t xml:space="preserve">28/10/2002</t>
  </si>
  <si>
    <t xml:space="preserve">Sub-Machine Gun (SMG)</t>
  </si>
  <si>
    <t xml:space="preserve">KiSMET</t>
  </si>
  <si>
    <t xml:space="preserve">Matthew Tinsley</t>
  </si>
  <si>
    <t xml:space="preserve">https://twitter.com/KiSMET6_</t>
  </si>
  <si>
    <t xml:space="preserve">https://www.instagram.com/kismet6_</t>
  </si>
  <si>
    <t xml:space="preserve">https://www.twitch.tv/kismet6_</t>
  </si>
  <si>
    <t xml:space="preserve">Assault Rifle / Flex</t>
  </si>
  <si>
    <t xml:space="preserve">Pred</t>
  </si>
  <si>
    <t xml:space="preserve">Amer Zulbeari</t>
  </si>
  <si>
    <t xml:space="preserve">https://x.com/Pred</t>
  </si>
  <si>
    <t xml:space="preserve">https://www.instagram.com/amerzulbeariii</t>
  </si>
  <si>
    <t xml:space="preserve">https://www.twitch.tv/pred</t>
  </si>
  <si>
    <t xml:space="preserve">19/08/2001</t>
  </si>
  <si>
    <t xml:space="preserve">KingAbody</t>
  </si>
  <si>
    <t xml:space="preserve">FaZe Falcons</t>
  </si>
  <si>
    <t xml:space="preserve">1 platform</t>
  </si>
  <si>
    <t xml:space="preserve">Abdulelah Alrajhi</t>
  </si>
  <si>
    <t xml:space="preserve">https://x.com/KingAbody_</t>
  </si>
  <si>
    <t xml:space="preserve">Arcitys</t>
  </si>
  <si>
    <t xml:space="preserve">Falcons Academy White</t>
  </si>
  <si>
    <t xml:space="preserve">Alec Sanderson</t>
  </si>
  <si>
    <t xml:space="preserve">https://x.com/Arcitys</t>
  </si>
  <si>
    <t xml:space="preserve">https://www.instagram.com/arcitys9</t>
  </si>
  <si>
    <t xml:space="preserve">https://www.twitch.tv/arcitys</t>
  </si>
  <si>
    <t xml:space="preserve">Paulehx</t>
  </si>
  <si>
    <t xml:space="preserve">Paul Avila</t>
  </si>
  <si>
    <t xml:space="preserve">https://x.com/Paulehx_</t>
  </si>
  <si>
    <t xml:space="preserve">https://www.twitch.tv/paulehx</t>
  </si>
  <si>
    <t xml:space="preserve">21/01/2002</t>
  </si>
  <si>
    <t xml:space="preserve">hmoodx</t>
  </si>
  <si>
    <t xml:space="preserve">Call of Duty Warzone</t>
  </si>
  <si>
    <t xml:space="preserve">Team Falcons MENA</t>
  </si>
  <si>
    <t xml:space="preserve">Mohammed Altowairqi</t>
  </si>
  <si>
    <t xml:space="preserve">https://x.com/xihamoodx</t>
  </si>
  <si>
    <t xml:space="preserve">https://www.twitch.tv/i_hmoodx</t>
  </si>
  <si>
    <t xml:space="preserve">xizx7</t>
  </si>
  <si>
    <t xml:space="preserve">Tier 1</t>
  </si>
  <si>
    <t xml:space="preserve">Jawad Al-Thawab</t>
  </si>
  <si>
    <t xml:space="preserve">https://x.com/Jawxd7</t>
  </si>
  <si>
    <t xml:space="preserve">https://www.instagram.com/Jawxd7</t>
  </si>
  <si>
    <t xml:space="preserve">https://www.twitch.tv/jawad</t>
  </si>
  <si>
    <t xml:space="preserve">https://www.youtube.com/channel/UCUWL8dR-JyA4FXZ08aSjjcg/videos</t>
  </si>
  <si>
    <t xml:space="preserve">Alpine</t>
  </si>
  <si>
    <t xml:space="preserve">Team Falcons</t>
  </si>
  <si>
    <t xml:space="preserve">Alejandro Ayala</t>
  </si>
  <si>
    <t xml:space="preserve">https://x.com/alpinedadog?lang=en</t>
  </si>
  <si>
    <t xml:space="preserve">24/02/1997</t>
  </si>
  <si>
    <t xml:space="preserve">Newbz</t>
  </si>
  <si>
    <t xml:space="preserve">Edy Juan</t>
  </si>
  <si>
    <t xml:space="preserve">https://x.com/TBE_Newbzz</t>
  </si>
  <si>
    <t xml:space="preserve">https://www.twitch.tv/newbz</t>
  </si>
  <si>
    <t xml:space="preserve">Dongy</t>
  </si>
  <si>
    <t xml:space="preserve">Christopher Ledbetter</t>
  </si>
  <si>
    <t xml:space="preserve">https://x.com/zDongyy</t>
  </si>
  <si>
    <t xml:space="preserve">https://www.twitch.tv/Dongy</t>
  </si>
  <si>
    <t xml:space="preserve">23/03/2004</t>
  </si>
  <si>
    <t xml:space="preserve">Soka</t>
  </si>
  <si>
    <t xml:space="preserve">Tongan</t>
  </si>
  <si>
    <t xml:space="preserve">Kasimili Tonga Tongamoa</t>
  </si>
  <si>
    <t xml:space="preserve">https://twitter.com/HisokaT42</t>
  </si>
  <si>
    <t xml:space="preserve">https://www.instagram.com/hisokat42</t>
  </si>
  <si>
    <t xml:space="preserve">https://www.twitch.tv/HisokaT42</t>
  </si>
  <si>
    <t xml:space="preserve">https://www.youtube.com/channel/UCQDRE8aZRsrvF5OwMk_KmBg</t>
  </si>
  <si>
    <t xml:space="preserve">https://tiktok.com/@missionarysoka</t>
  </si>
  <si>
    <t xml:space="preserve">28/01/2002</t>
  </si>
  <si>
    <t xml:space="preserve">Alireza Firouzja</t>
  </si>
  <si>
    <t xml:space="preserve">Chess</t>
  </si>
  <si>
    <t xml:space="preserve">French/Iranian</t>
  </si>
  <si>
    <t xml:space="preserve">https://twitter.com/AlirezaFirouzja</t>
  </si>
  <si>
    <t xml:space="preserve">https://www.instagram.com/alirezafirouzja</t>
  </si>
  <si>
    <t xml:space="preserve">https://www.twitch.tv/alirezafirouzja</t>
  </si>
  <si>
    <t xml:space="preserve">https://www.youtube.com/@alirezafirouzja4080</t>
  </si>
  <si>
    <t xml:space="preserve">https://www.facebook.com/login/?next=https%3A%2F%2Fwww.facebook.com%2FAlireza.Firouzja.chess%2F</t>
  </si>
  <si>
    <t xml:space="preserve">18/06/2003</t>
  </si>
  <si>
    <t xml:space="preserve">Hikaru Nakamura</t>
  </si>
  <si>
    <t xml:space="preserve">https://twitter.com/GMHikaru</t>
  </si>
  <si>
    <t xml:space="preserve">https://www.instagram.com/gmhikaru</t>
  </si>
  <si>
    <t xml:space="preserve">https://www.twitch.tv/gmhikaru</t>
  </si>
  <si>
    <t xml:space="preserve">https://www.youtube.com/@gmhikaru</t>
  </si>
  <si>
    <t xml:space="preserve">https://kick.com/gmhikaru</t>
  </si>
  <si>
    <t xml:space="preserve">https://www.facebook.com/login/?next=https%3A%2F%2Fwww.facebook.com%2FGMHikaru%2F</t>
  </si>
  <si>
    <t xml:space="preserve">Jon Ellis</t>
  </si>
  <si>
    <t xml:space="preserve">0 platforms</t>
  </si>
  <si>
    <t xml:space="preserve">Jonathan Ellis</t>
  </si>
  <si>
    <t xml:space="preserve">kyousuke</t>
  </si>
  <si>
    <t xml:space="preserve">Counterstrike2</t>
  </si>
  <si>
    <t xml:space="preserve">Russian</t>
  </si>
  <si>
    <t xml:space="preserve">Maxim Lukin</t>
  </si>
  <si>
    <t xml:space="preserve">https://twitter.com/FLCkyousuke</t>
  </si>
  <si>
    <t xml:space="preserve">https://www.instagram.com/flckyousuke</t>
  </si>
  <si>
    <t xml:space="preserve">https://www.twitch.tv/kyousuke999</t>
  </si>
  <si>
    <t xml:space="preserve">30/01/2008</t>
  </si>
  <si>
    <t xml:space="preserve">Rifler</t>
  </si>
  <si>
    <t xml:space="preserve">kyxsan</t>
  </si>
  <si>
    <t xml:space="preserve">North Macedonia</t>
  </si>
  <si>
    <t xml:space="preserve">Damjan Stoilkovski</t>
  </si>
  <si>
    <t xml:space="preserve">https://x.com/kyxsancs</t>
  </si>
  <si>
    <t xml:space="preserve">https://www.instagram.com/kyxsancs/</t>
  </si>
  <si>
    <t xml:space="preserve">26/05/2000</t>
  </si>
  <si>
    <t xml:space="preserve">IGL</t>
  </si>
  <si>
    <t xml:space="preserve">m0NESY</t>
  </si>
  <si>
    <t xml:space="preserve">Ilya Osipov</t>
  </si>
  <si>
    <t xml:space="preserve">https://x.com/FLCm0NESY</t>
  </si>
  <si>
    <t xml:space="preserve">https://www.instagram.com/m0nesy13</t>
  </si>
  <si>
    <t xml:space="preserve">https://www.twitch.tv/m0nesyof</t>
  </si>
  <si>
    <t xml:space="preserve">https://www.youtube.com/channel/UCJxjKA1Cl--4tCN1l_cHHvQ</t>
  </si>
  <si>
    <t xml:space="preserve">Awper</t>
  </si>
  <si>
    <t xml:space="preserve">NiKo</t>
  </si>
  <si>
    <t xml:space="preserve">Bosnian</t>
  </si>
  <si>
    <t xml:space="preserve">Nikola Kovač</t>
  </si>
  <si>
    <t xml:space="preserve">https://x.com/NiKoCS_</t>
  </si>
  <si>
    <t xml:space="preserve">https://www.instagram.com/csgoniko/#</t>
  </si>
  <si>
    <t xml:space="preserve">https://www.twitch.tv/NiKo</t>
  </si>
  <si>
    <t xml:space="preserve">https://www.youtube.com/@NiKo_cs</t>
  </si>
  <si>
    <t xml:space="preserve">https://www.facebook.com/csgoNiKo</t>
  </si>
  <si>
    <t xml:space="preserve">16/02/1997</t>
  </si>
  <si>
    <t xml:space="preserve">OMYA</t>
  </si>
  <si>
    <t xml:space="preserve">French</t>
  </si>
  <si>
    <t xml:space="preserve">Xavier Roussac</t>
  </si>
  <si>
    <t xml:space="preserve">https://x.com/Xavier_Roussac</t>
  </si>
  <si>
    <t xml:space="preserve">20/05/1987</t>
  </si>
  <si>
    <t xml:space="preserve">TeSeS</t>
  </si>
  <si>
    <t xml:space="preserve">Danish</t>
  </si>
  <si>
    <t xml:space="preserve">René Madsen</t>
  </si>
  <si>
    <t xml:space="preserve">https://x.com/tesescs</t>
  </si>
  <si>
    <t xml:space="preserve">Instagram/TeseS</t>
  </si>
  <si>
    <t xml:space="preserve">https://www.twitch.tv/tesesss</t>
  </si>
  <si>
    <t xml:space="preserve">Aymeinstein</t>
  </si>
  <si>
    <t xml:space="preserve">Assistant Coach</t>
  </si>
  <si>
    <t xml:space="preserve">Aymen Bencheikh</t>
  </si>
  <si>
    <t xml:space="preserve">https://x.com/aymeinstein</t>
  </si>
  <si>
    <t xml:space="preserve">https://www.instagram.com/aymeinsteintv</t>
  </si>
  <si>
    <t xml:space="preserve">22/04/1996</t>
  </si>
  <si>
    <t xml:space="preserve">Zonic</t>
  </si>
  <si>
    <t xml:space="preserve">Head Coach</t>
  </si>
  <si>
    <t xml:space="preserve">Danny Sørensen</t>
  </si>
  <si>
    <t xml:space="preserve">https://x.com/zonic</t>
  </si>
  <si>
    <t xml:space="preserve">Instagram/Zonic</t>
  </si>
  <si>
    <t xml:space="preserve">https://www.twitch.tv/zonic</t>
  </si>
  <si>
    <t xml:space="preserve">Facebook/Zonic</t>
  </si>
  <si>
    <t xml:space="preserve">30/07/1986</t>
  </si>
  <si>
    <t xml:space="preserve">clockzi</t>
  </si>
  <si>
    <t xml:space="preserve">Falcons Force</t>
  </si>
  <si>
    <t xml:space="preserve">Oskar Led Blæsbjerg</t>
  </si>
  <si>
    <t xml:space="preserve">https://x.com/flcclockzi</t>
  </si>
  <si>
    <t xml:space="preserve">21/04/2011</t>
  </si>
  <si>
    <t xml:space="preserve">grecu</t>
  </si>
  <si>
    <t xml:space="preserve">Romanian</t>
  </si>
  <si>
    <t xml:space="preserve">Andrei Grecu</t>
  </si>
  <si>
    <t xml:space="preserve">https://x.com/grecuflc</t>
  </si>
  <si>
    <t xml:space="preserve">https://www.twitch.tv/gbcgrecu</t>
  </si>
  <si>
    <t xml:space="preserve">15/11/2007</t>
  </si>
  <si>
    <t xml:space="preserve">AWPer</t>
  </si>
  <si>
    <t xml:space="preserve">VENO</t>
  </si>
  <si>
    <t xml:space="preserve">Serbian</t>
  </si>
  <si>
    <t xml:space="preserve">Vladimir Stanković</t>
  </si>
  <si>
    <t xml:space="preserve">https://x.com/venocs2</t>
  </si>
  <si>
    <t xml:space="preserve">https://www.twitch.tv/venocs2</t>
  </si>
  <si>
    <t xml:space="preserve">https://www.youtube.com/@venocs2</t>
  </si>
  <si>
    <t xml:space="preserve">30/04/2007</t>
  </si>
  <si>
    <t xml:space="preserve">NaToSaphiX</t>
  </si>
  <si>
    <t xml:space="preserve">Niels Christian Sillassen</t>
  </si>
  <si>
    <t xml:space="preserve">https://x.com/NaToSaphiX</t>
  </si>
  <si>
    <t xml:space="preserve">https://www.instagram.com/natosaphix</t>
  </si>
  <si>
    <t xml:space="preserve">https://www.twitch.tv/natosaphix</t>
  </si>
  <si>
    <t xml:space="preserve">https://www.youtube.com/NaToSaphiX</t>
  </si>
  <si>
    <t xml:space="preserve">17/08/1996</t>
  </si>
  <si>
    <t xml:space="preserve">Neoskai</t>
  </si>
  <si>
    <t xml:space="preserve">Loïc Potages</t>
  </si>
  <si>
    <t xml:space="preserve">https://x.com/Neoskai</t>
  </si>
  <si>
    <t xml:space="preserve">https://www.instagram.com/neoskai/</t>
  </si>
  <si>
    <t xml:space="preserve">16/06/1994</t>
  </si>
  <si>
    <t xml:space="preserve">Nucleonz</t>
  </si>
  <si>
    <t xml:space="preserve">North Macedonian</t>
  </si>
  <si>
    <t xml:space="preserve">Matej Trajkoski</t>
  </si>
  <si>
    <t xml:space="preserve">https://x.com/NucleonZz</t>
  </si>
  <si>
    <t xml:space="preserve">Skiter</t>
  </si>
  <si>
    <t xml:space="preserve">Dota2</t>
  </si>
  <si>
    <t xml:space="preserve">Slovakia</t>
  </si>
  <si>
    <t xml:space="preserve">Oliver Lepko</t>
  </si>
  <si>
    <t xml:space="preserve">https://x.com/skiter</t>
  </si>
  <si>
    <t xml:space="preserve">Instagram/Skiter</t>
  </si>
  <si>
    <t xml:space="preserve">https://www.facebook.com/SkiterDota</t>
  </si>
  <si>
    <t xml:space="preserve">Malr1ne</t>
  </si>
  <si>
    <t xml:space="preserve">Stanislav Potorak</t>
  </si>
  <si>
    <t xml:space="preserve">https://x.com/Malr1ne_</t>
  </si>
  <si>
    <t xml:space="preserve">Instagram/Malr1ne</t>
  </si>
  <si>
    <t xml:space="preserve">https://www.twitch.tv/malr1ne_dota</t>
  </si>
  <si>
    <t xml:space="preserve">17/09/2004</t>
  </si>
  <si>
    <t xml:space="preserve">ATF</t>
  </si>
  <si>
    <t xml:space="preserve">Jordanian</t>
  </si>
  <si>
    <t xml:space="preserve">Ammar Al-Assaf</t>
  </si>
  <si>
    <t xml:space="preserve">https://x.com/AmmarAlassaf6</t>
  </si>
  <si>
    <t xml:space="preserve">Instagram/Ammar</t>
  </si>
  <si>
    <t xml:space="preserve">https://www.twitch.tv/ammar_the_f</t>
  </si>
  <si>
    <t xml:space="preserve">Cr1t-</t>
  </si>
  <si>
    <t xml:space="preserve">Andreas Nielsen</t>
  </si>
  <si>
    <t xml:space="preserve">https://x.com/Cr1tdota</t>
  </si>
  <si>
    <t xml:space="preserve">Instagram/Cr1t</t>
  </si>
  <si>
    <t xml:space="preserve">https://www.twitch.tv/cr1tdota</t>
  </si>
  <si>
    <t xml:space="preserve">YT/Cr1t</t>
  </si>
  <si>
    <t xml:space="preserve">https://www.facebook.com/Cr1tdota</t>
  </si>
  <si>
    <t xml:space="preserve">13/07/1996</t>
  </si>
  <si>
    <t xml:space="preserve">Sneyking</t>
  </si>
  <si>
    <t xml:space="preserve">American / Chinese</t>
  </si>
  <si>
    <t xml:space="preserve">Jingjun Wu</t>
  </si>
  <si>
    <t xml:space="preserve">https://x.com/SneykingGaming</t>
  </si>
  <si>
    <t xml:space="preserve">https://www.twitch.tv/sneykingdota</t>
  </si>
  <si>
    <t xml:space="preserve">Aui_2000</t>
  </si>
  <si>
    <t xml:space="preserve">Canada</t>
  </si>
  <si>
    <t xml:space="preserve">Kurtis Ling</t>
  </si>
  <si>
    <t xml:space="preserve">https://x.com/Aui_2000</t>
  </si>
  <si>
    <t xml:space="preserve">https://www.twitch.tv/aui_2000</t>
  </si>
  <si>
    <t xml:space="preserve">YT/Aui_2000</t>
  </si>
  <si>
    <t xml:space="preserve">AfromOush</t>
  </si>
  <si>
    <t xml:space="preserve">Mohammad Abu Al Eis</t>
  </si>
  <si>
    <t xml:space="preserve">https://x.com/AfrOmoush</t>
  </si>
  <si>
    <t xml:space="preserve">https://www.twitch.tv/afromoush</t>
  </si>
  <si>
    <t xml:space="preserve">https://www.facebook.com/RealAfrOmoush</t>
  </si>
  <si>
    <t xml:space="preserve">Bonkers</t>
  </si>
  <si>
    <t xml:space="preserve">British</t>
  </si>
  <si>
    <t xml:space="preserve">Allen Cook</t>
  </si>
  <si>
    <t xml:space="preserve">https://x.com/thisisallencook</t>
  </si>
  <si>
    <t xml:space="preserve">15/02/1980</t>
  </si>
  <si>
    <t xml:space="preserve">GoatMoh</t>
  </si>
  <si>
    <t xml:space="preserve">EAFC25</t>
  </si>
  <si>
    <t xml:space="preserve">EA Sport FC</t>
  </si>
  <si>
    <t xml:space="preserve">Mohammed Alarfaj</t>
  </si>
  <si>
    <t xml:space="preserve">https://x.com/GoatMoh_</t>
  </si>
  <si>
    <t xml:space="preserve">https://www.twitch.tv/goatmoh</t>
  </si>
  <si>
    <t xml:space="preserve">15/02/2000</t>
  </si>
  <si>
    <t xml:space="preserve">Hafez</t>
  </si>
  <si>
    <t xml:space="preserve">Coach</t>
  </si>
  <si>
    <t xml:space="preserve">Mohammad Hafiz</t>
  </si>
  <si>
    <t xml:space="preserve">https://x.com/_Hafez10</t>
  </si>
  <si>
    <t xml:space="preserve">29/12/1997</t>
  </si>
  <si>
    <t xml:space="preserve">Javivillar7</t>
  </si>
  <si>
    <t xml:space="preserve">Spanish</t>
  </si>
  <si>
    <t xml:space="preserve">Javier Villar Gómez</t>
  </si>
  <si>
    <t xml:space="preserve">https://x.com/Javivillar7</t>
  </si>
  <si>
    <t xml:space="preserve">Instagram/Javivillar7</t>
  </si>
  <si>
    <t xml:space="preserve">https://www.twitch.tv/javivillar7/</t>
  </si>
  <si>
    <t xml:space="preserve">https://www.youtube.com/@javivillar7</t>
  </si>
  <si>
    <t xml:space="preserve">https://www.tiktok.com/@javivillar7?lang=en</t>
  </si>
  <si>
    <t xml:space="preserve">31/12/2002</t>
  </si>
  <si>
    <t xml:space="preserve">Msdossary</t>
  </si>
  <si>
    <t xml:space="preserve">Mossad Aldossary</t>
  </si>
  <si>
    <t xml:space="preserve">https://x.com/msdossary7</t>
  </si>
  <si>
    <t xml:space="preserve">Instagram/Msdossary</t>
  </si>
  <si>
    <t xml:space="preserve">YT/Msdossary7</t>
  </si>
  <si>
    <t xml:space="preserve">20/03/2000</t>
  </si>
  <si>
    <t xml:space="preserve">Vejrgang</t>
  </si>
  <si>
    <t xml:space="preserve">Anders Vejrgang</t>
  </si>
  <si>
    <t xml:space="preserve">https://twitter.com/FLC_Vejrgang</t>
  </si>
  <si>
    <t xml:space="preserve">https://www.instagram.com/rblz_vejrgang</t>
  </si>
  <si>
    <t xml:space="preserve">https://www.twitch.tv/anders_vejrgang</t>
  </si>
  <si>
    <t xml:space="preserve">https://www.youtube.com/AndersVejrgangofficial</t>
  </si>
  <si>
    <t xml:space="preserve">25/01/2006</t>
  </si>
  <si>
    <t xml:space="preserve">A9</t>
  </si>
  <si>
    <t xml:space="preserve">Aseel Aldokheel</t>
  </si>
  <si>
    <t xml:space="preserve">Kiimo7</t>
  </si>
  <si>
    <t xml:space="preserve">Abdulkareem Bamogaddam</t>
  </si>
  <si>
    <t xml:space="preserve">https://x.com/kiimo__1</t>
  </si>
  <si>
    <t xml:space="preserve">https://www.instagram.com/kreemvv/</t>
  </si>
  <si>
    <t xml:space="preserve">Rashed</t>
  </si>
  <si>
    <t xml:space="preserve">Fortnite</t>
  </si>
  <si>
    <t xml:space="preserve">Saudi</t>
  </si>
  <si>
    <t xml:space="preserve">Rashed Aldmaikhi</t>
  </si>
  <si>
    <t xml:space="preserve">Abu Omar</t>
  </si>
  <si>
    <t xml:space="preserve">Fatal Fury</t>
  </si>
  <si>
    <t xml:space="preserve">Wesam Alghamdi</t>
  </si>
  <si>
    <t xml:space="preserve">https://x.com/wess21111?lang=en</t>
  </si>
  <si>
    <t xml:space="preserve">30/05/1987</t>
  </si>
  <si>
    <t xml:space="preserve">E.T.</t>
  </si>
  <si>
    <t xml:space="preserve">Taiwan</t>
  </si>
  <si>
    <t xml:space="preserve">Lin Chia-hung</t>
  </si>
  <si>
    <t xml:space="preserve">https://x.com/et1120</t>
  </si>
  <si>
    <t xml:space="preserve">https://www.instagram.com/dbj_et/#</t>
  </si>
  <si>
    <t xml:space="preserve">https://www.facebook.com/Taiwan.1.ET</t>
  </si>
  <si>
    <t xml:space="preserve">20/11/1984</t>
  </si>
  <si>
    <t xml:space="preserve">Ghirlanda</t>
  </si>
  <si>
    <t xml:space="preserve">Italian</t>
  </si>
  <si>
    <t xml:space="preserve">Joshua Bianchi</t>
  </si>
  <si>
    <t xml:space="preserve">https://x.com/ghirlandatekken</t>
  </si>
  <si>
    <t xml:space="preserve">26/02/1992</t>
  </si>
  <si>
    <t xml:space="preserve">Kindevu</t>
  </si>
  <si>
    <t xml:space="preserve">Japanese</t>
  </si>
  <si>
    <t xml:space="preserve">Yosuke Ito</t>
  </si>
  <si>
    <t xml:space="preserve">https://x.com/kindevu</t>
  </si>
  <si>
    <t xml:space="preserve">https://www.twitch.tv/kindevu0827</t>
  </si>
  <si>
    <t xml:space="preserve">https://www.youtube.com/channel/UCQevn7lvmrpl3ElLd58YsNQ</t>
  </si>
  <si>
    <t xml:space="preserve">27/08/1984</t>
  </si>
  <si>
    <t xml:space="preserve">mok</t>
  </si>
  <si>
    <t xml:space="preserve">Japan</t>
  </si>
  <si>
    <t xml:space="preserve">Hiroaki Hashizume</t>
  </si>
  <si>
    <t xml:space="preserve">https://twitter.com/andytheworld320</t>
  </si>
  <si>
    <t xml:space="preserve">https://www.youtube.com/channel/UC-Ksra-atsz4eW5i9ZDAa8A</t>
  </si>
  <si>
    <t xml:space="preserve">20/03/1985</t>
  </si>
  <si>
    <t xml:space="preserve">Sai</t>
  </si>
  <si>
    <t xml:space="preserve">Ali Abdullah Alduhaysh</t>
  </si>
  <si>
    <t xml:space="preserve">https://x.com/Zenga83</t>
  </si>
  <si>
    <t xml:space="preserve">26/11/1983</t>
  </si>
  <si>
    <t xml:space="preserve">Shadow X</t>
  </si>
  <si>
    <t xml:space="preserve">Mexican</t>
  </si>
  <si>
    <t xml:space="preserve">Abraham Sanchez</t>
  </si>
  <si>
    <t xml:space="preserve">https://x.com/ShadowX_FGC</t>
  </si>
  <si>
    <t xml:space="preserve">https://www.twitch.tv/ChonFx</t>
  </si>
  <si>
    <t xml:space="preserve">14/03/1982</t>
  </si>
  <si>
    <t xml:space="preserve">Tamago</t>
  </si>
  <si>
    <t xml:space="preserve">Ángel Chong</t>
  </si>
  <si>
    <t xml:space="preserve">https://x.com/ChonFx</t>
  </si>
  <si>
    <t xml:space="preserve">Xyzzy</t>
  </si>
  <si>
    <t xml:space="preserve">South Korean</t>
  </si>
  <si>
    <t xml:space="preserve">Lee Hanbyul</t>
  </si>
  <si>
    <t xml:space="preserve">https://x.com/xyzzylshift</t>
  </si>
  <si>
    <t xml:space="preserve">https://www.twitch.tv/xyzzyshift</t>
  </si>
  <si>
    <t xml:space="preserve">Xiaohai</t>
  </si>
  <si>
    <t xml:space="preserve">China</t>
  </si>
  <si>
    <t xml:space="preserve">Zeng Zhuojun</t>
  </si>
  <si>
    <t xml:space="preserve">https://x.com/Xiaohai_</t>
  </si>
  <si>
    <t xml:space="preserve">26/04/1989</t>
  </si>
  <si>
    <t xml:space="preserve">Peterbot</t>
  </si>
  <si>
    <t xml:space="preserve">American/Hungarian</t>
  </si>
  <si>
    <t xml:space="preserve">Peter Kata</t>
  </si>
  <si>
    <t xml:space="preserve">https://x.com/PeterbotFN</t>
  </si>
  <si>
    <t xml:space="preserve">https://www.twitch.tv/peterbot</t>
  </si>
  <si>
    <t xml:space="preserve">https://www.youtube.com/channel/UC_RGYvZpoesD8yX-o677-xw</t>
  </si>
  <si>
    <t xml:space="preserve">20/06/2007</t>
  </si>
  <si>
    <t xml:space="preserve">FHD</t>
  </si>
  <si>
    <t xml:space="preserve">Fahad Almutairi</t>
  </si>
  <si>
    <t xml:space="preserve">https://x.com/Fahadclipz</t>
  </si>
  <si>
    <t xml:space="preserve">https://www.instagram.com/fahadclipz/?hl=en</t>
  </si>
  <si>
    <t xml:space="preserve">https://www.twitch.tv/fahadfn</t>
  </si>
  <si>
    <t xml:space="preserve">31/03/2004</t>
  </si>
  <si>
    <t xml:space="preserve">Gntl</t>
  </si>
  <si>
    <t xml:space="preserve">Abdullah Albaqami</t>
  </si>
  <si>
    <t xml:space="preserve">https://x.com/g1ntl</t>
  </si>
  <si>
    <t xml:space="preserve">https://www.instagram.com/accounts/login/?next=%2Fg1ntl&amp;source=omni_redirect</t>
  </si>
  <si>
    <t xml:space="preserve">https://www.twitch.tv/GntL</t>
  </si>
  <si>
    <t xml:space="preserve">https://www.youtube.com/c/g1ntl</t>
  </si>
  <si>
    <t xml:space="preserve">24/09/2002</t>
  </si>
  <si>
    <t xml:space="preserve">NM7</t>
  </si>
  <si>
    <t xml:space="preserve">Nawaf Alharthi</t>
  </si>
  <si>
    <t xml:space="preserve">https://x.com/iNm7x</t>
  </si>
  <si>
    <t xml:space="preserve">https://www.instagram.com/accounts/login/?next=%2Finm7x&amp;source=omni_redirect</t>
  </si>
  <si>
    <t xml:space="preserve">https://www.twitch.tv/iiNm7x</t>
  </si>
  <si>
    <t xml:space="preserve">https://www.youtube.com/c/iNm7x</t>
  </si>
  <si>
    <t xml:space="preserve">Spy</t>
  </si>
  <si>
    <t xml:space="preserve">Osama Almasad</t>
  </si>
  <si>
    <t xml:space="preserve">https://x.com/spyerfrog</t>
  </si>
  <si>
    <t xml:space="preserve">https://www.instagram.com/accounts/login/?next=%2Fspyerfrog&amp;source=omni_redirect</t>
  </si>
  <si>
    <t xml:space="preserve">https://www.twitch.tv/spyerfrog</t>
  </si>
  <si>
    <t xml:space="preserve">https://www.youtube.com/channel/UCl9pp6XYMcjyVESzYD8myQg</t>
  </si>
  <si>
    <t xml:space="preserve">26/02/2002</t>
  </si>
  <si>
    <t xml:space="preserve">Yonx</t>
  </si>
  <si>
    <t xml:space="preserve">Faisal Almusharraf</t>
  </si>
  <si>
    <t xml:space="preserve">https://x.com/YonxFN</t>
  </si>
  <si>
    <t xml:space="preserve">https://www.twitch.tv/YonxFN</t>
  </si>
  <si>
    <t xml:space="preserve">https://www.youtube.com/channel/UCSKgsqUfo7vA4BuBvtf6vwg</t>
  </si>
  <si>
    <t xml:space="preserve">Matteo</t>
  </si>
  <si>
    <t xml:space="preserve">Matteo Paganin</t>
  </si>
  <si>
    <t xml:space="preserve">Conan</t>
  </si>
  <si>
    <t xml:space="preserve">Free Fire</t>
  </si>
  <si>
    <t xml:space="preserve">Thailand</t>
  </si>
  <si>
    <t xml:space="preserve">Tana Kamruang</t>
  </si>
  <si>
    <t xml:space="preserve">https://www.instagram.com/thana_kamruang/</t>
  </si>
  <si>
    <t xml:space="preserve">https://facebook.com/profile.php?id=100006004232176</t>
  </si>
  <si>
    <t xml:space="preserve">KERORO</t>
  </si>
  <si>
    <t xml:space="preserve">Natthaphong Phuangpriang</t>
  </si>
  <si>
    <t xml:space="preserve">https://www.instagram.com/keroro_god</t>
  </si>
  <si>
    <t xml:space="preserve">https://facebook.com/profile.php?id=100014997245027</t>
  </si>
  <si>
    <t xml:space="preserve">13/01/2006</t>
  </si>
  <si>
    <t xml:space="preserve">LIMIT</t>
  </si>
  <si>
    <t xml:space="preserve">Rachata Wanaphurksasilp</t>
  </si>
  <si>
    <t xml:space="preserve">https://www.instagram.com/limit_juy</t>
  </si>
  <si>
    <t xml:space="preserve">https://tiktok.com/@limitxstep8</t>
  </si>
  <si>
    <t xml:space="preserve">https://facebook.com/profile.php?id=100015743748929</t>
  </si>
  <si>
    <t xml:space="preserve">20/02/2006</t>
  </si>
  <si>
    <t xml:space="preserve">ONEMORE</t>
  </si>
  <si>
    <t xml:space="preserve">Rattapoom Sunthalunai</t>
  </si>
  <si>
    <t xml:space="preserve">https://www.instagram.com/poomgohome_</t>
  </si>
  <si>
    <t xml:space="preserve">https://tiktok.com/@pm.rt</t>
  </si>
  <si>
    <t xml:space="preserve">https://facebook.com/ratta.poom.790</t>
  </si>
  <si>
    <t xml:space="preserve">ONFIRE</t>
  </si>
  <si>
    <t xml:space="preserve">Phulipat Yosit</t>
  </si>
  <si>
    <t xml:space="preserve">https://www.instagram.com/onfirebaby__</t>
  </si>
  <si>
    <t xml:space="preserve">https://tiktok.com/@onfireeieii</t>
  </si>
  <si>
    <t xml:space="preserve">https://facebook.com/profile.php?id=100072006039523</t>
  </si>
  <si>
    <t xml:space="preserve">27/09/2005</t>
  </si>
  <si>
    <t xml:space="preserve">Penna</t>
  </si>
  <si>
    <t xml:space="preserve">Natthawut Srinaknil</t>
  </si>
  <si>
    <t xml:space="preserve">https://www.instagram.com/pee_2006._?igsh=enRyOTlwbnV2bjg5</t>
  </si>
  <si>
    <t xml:space="preserve">https://www.tiktok.com/@peena._?_r=1&amp;_t=ZS-93QJymJbPfx</t>
  </si>
  <si>
    <t xml:space="preserve">13/09/2006</t>
  </si>
  <si>
    <t xml:space="preserve">PROTETO</t>
  </si>
  <si>
    <t xml:space="preserve">Ratchata Soonklang</t>
  </si>
  <si>
    <t xml:space="preserve">https://www.instagram.com/protetae</t>
  </si>
  <si>
    <t xml:space="preserve">https://facebook.com/pongsatorn.pongsatorn.754</t>
  </si>
  <si>
    <t xml:space="preserve">SAINOI</t>
  </si>
  <si>
    <t xml:space="preserve">Worrawan Kasikarn</t>
  </si>
  <si>
    <t xml:space="preserve">Jose Serrano</t>
  </si>
  <si>
    <t xml:space="preserve">Gran Turismo</t>
  </si>
  <si>
    <t xml:space="preserve">https://x.com/JoseSerrano_16</t>
  </si>
  <si>
    <t xml:space="preserve">https://www.instagram.com/joseserranoo_/</t>
  </si>
  <si>
    <t xml:space="preserve">https://www.twitch.tv/JoseSerrano_16</t>
  </si>
  <si>
    <t xml:space="preserve">25/09/2002</t>
  </si>
  <si>
    <t xml:space="preserve">Driver</t>
  </si>
  <si>
    <t xml:space="preserve">Naif Alfaleh</t>
  </si>
  <si>
    <t xml:space="preserve">https://x.com/Falcon_Naifx</t>
  </si>
  <si>
    <t xml:space="preserve">https://www.instagram.com/falcon_naifx/</t>
  </si>
  <si>
    <t xml:space="preserve">30/06/2003</t>
  </si>
  <si>
    <t xml:space="preserve">Pol Urra</t>
  </si>
  <si>
    <t xml:space="preserve">https://x.com/polurra</t>
  </si>
  <si>
    <t xml:space="preserve">https://www.instagram.com/pol_urra/</t>
  </si>
  <si>
    <t xml:space="preserve">21/02/2005</t>
  </si>
  <si>
    <t xml:space="preserve">Wesam Khalil</t>
  </si>
  <si>
    <t xml:space="preserve">https://x.com/Falcon_Wesam</t>
  </si>
  <si>
    <t xml:space="preserve">https://www.instagram.com/falcon_wesam/</t>
  </si>
  <si>
    <t xml:space="preserve">17/06/1999</t>
  </si>
  <si>
    <t xml:space="preserve">Skwal</t>
  </si>
  <si>
    <t xml:space="preserve">Nicolas Sautron</t>
  </si>
  <si>
    <t xml:space="preserve">https://x.com/SkwalGG</t>
  </si>
  <si>
    <t xml:space="preserve">https://www.instagram.com/skwalgg/</t>
  </si>
  <si>
    <t xml:space="preserve">28/03/1992</t>
  </si>
  <si>
    <t xml:space="preserve">Boyet</t>
  </si>
  <si>
    <t xml:space="preserve">Mobile Legends Bang Bang</t>
  </si>
  <si>
    <t xml:space="preserve">Philippines</t>
  </si>
  <si>
    <t xml:space="preserve">Bien Salvador C Chumacera</t>
  </si>
  <si>
    <t xml:space="preserve">https://www.instagram.com/boyetdr_</t>
  </si>
  <si>
    <t xml:space="preserve">29/01/2003</t>
  </si>
  <si>
    <t xml:space="preserve">Jungler</t>
  </si>
  <si>
    <t xml:space="preserve">Cuffin</t>
  </si>
  <si>
    <t xml:space="preserve">Muath saad alquraini</t>
  </si>
  <si>
    <t xml:space="preserve">https://www.instagram.com/accounts/login/?next=%2Fcuffin_ml&amp;source=omni_redirect</t>
  </si>
  <si>
    <t xml:space="preserve">19/10/2002</t>
  </si>
  <si>
    <t xml:space="preserve">Middle</t>
  </si>
  <si>
    <t xml:space="preserve">Kakashi</t>
  </si>
  <si>
    <t xml:space="preserve">Egypt</t>
  </si>
  <si>
    <t xml:space="preserve">AMR WAFED YASSIN</t>
  </si>
  <si>
    <t xml:space="preserve">https://www.instagram.com/cuffin_ml</t>
  </si>
  <si>
    <t xml:space="preserve">Falcons Vega MENA</t>
  </si>
  <si>
    <t xml:space="preserve">Saano</t>
  </si>
  <si>
    <t xml:space="preserve">SULAIMAN MUSALLAM ALRASHDI</t>
  </si>
  <si>
    <t xml:space="preserve">30/06/2004</t>
  </si>
  <si>
    <t xml:space="preserve">Gold Lane</t>
  </si>
  <si>
    <t xml:space="preserve">Sanji</t>
  </si>
  <si>
    <t xml:space="preserve">Ayman Othman Alqarni</t>
  </si>
  <si>
    <t xml:space="preserve">https://www.instagram.com/trolll_ml</t>
  </si>
  <si>
    <t xml:space="preserve">EXP Lane</t>
  </si>
  <si>
    <t xml:space="preserve">Tarzaan</t>
  </si>
  <si>
    <t xml:space="preserve">Mohammed Ayman Kharabah</t>
  </si>
  <si>
    <t xml:space="preserve">14/05/2000</t>
  </si>
  <si>
    <t xml:space="preserve">Troll</t>
  </si>
  <si>
    <t xml:space="preserve">Moayed ayman kharaba</t>
  </si>
  <si>
    <t xml:space="preserve">31/01/2007</t>
  </si>
  <si>
    <t xml:space="preserve">Roamer</t>
  </si>
  <si>
    <t xml:space="preserve">Owgwen</t>
  </si>
  <si>
    <t xml:space="preserve">Team Falcons PH</t>
  </si>
  <si>
    <t xml:space="preserve">Rowgien Stimpson Unigo</t>
  </si>
  <si>
    <t xml:space="preserve">https://twitter.com/Ogiiiieeen</t>
  </si>
  <si>
    <t xml:space="preserve">https://www.instagram.com/flcn.owgwen</t>
  </si>
  <si>
    <t xml:space="preserve">https://www.tiktok.com/@ogiiiieeen</t>
  </si>
  <si>
    <t xml:space="preserve">https://facebook.com/Ogiiiieeen</t>
  </si>
  <si>
    <t xml:space="preserve">25/04/2001</t>
  </si>
  <si>
    <t xml:space="preserve">Super Marco</t>
  </si>
  <si>
    <t xml:space="preserve">Marco Stephen Requitiano</t>
  </si>
  <si>
    <t xml:space="preserve">https://www.tiktok.com/@flcnsupermarco</t>
  </si>
  <si>
    <t xml:space="preserve">https://www.facebook.com/FLCNSupermarco</t>
  </si>
  <si>
    <t xml:space="preserve">Hadji</t>
  </si>
  <si>
    <t xml:space="preserve">Salic Imam</t>
  </si>
  <si>
    <t xml:space="preserve">https://www.instagram.com/hadjizy</t>
  </si>
  <si>
    <t xml:space="preserve">https://www.tiktok.com/@hadjizy_</t>
  </si>
  <si>
    <t xml:space="preserve">https://facebook.com/Hadjizyyyyy</t>
  </si>
  <si>
    <t xml:space="preserve">23/04/2003</t>
  </si>
  <si>
    <t xml:space="preserve">Moody</t>
  </si>
  <si>
    <t xml:space="preserve">Mohammad Samal</t>
  </si>
  <si>
    <t xml:space="preserve">https://www.instagram.com/moodysamal</t>
  </si>
  <si>
    <t xml:space="preserve">https://www.tiktok.com/@flcn.moody</t>
  </si>
  <si>
    <t xml:space="preserve">https://www.facebook.com/liquidcoachmoody/</t>
  </si>
  <si>
    <t xml:space="preserve">26/08/1996</t>
  </si>
  <si>
    <t xml:space="preserve">VR3N</t>
  </si>
  <si>
    <t xml:space="preserve">Vrendon Pesebre</t>
  </si>
  <si>
    <t xml:space="preserve">https://www.instagram.com/vrendonlin</t>
  </si>
  <si>
    <t xml:space="preserve">https://www.tiktok.com/@vrendonlin</t>
  </si>
  <si>
    <t xml:space="preserve">https://www.facebook.com/kutspogi</t>
  </si>
  <si>
    <t xml:space="preserve">22/04/1991</t>
  </si>
  <si>
    <t xml:space="preserve">Fvvn</t>
  </si>
  <si>
    <t xml:space="preserve">Alaa Ayman Ebrahim Ebrahim Galous</t>
  </si>
  <si>
    <t xml:space="preserve">https://www.instagram.com/fdoublevn/</t>
  </si>
  <si>
    <t xml:space="preserve">15/12/2004</t>
  </si>
  <si>
    <t xml:space="preserve">Koba</t>
  </si>
  <si>
    <t xml:space="preserve">MOHMMED MHMOUD MOHMMED TELEB</t>
  </si>
  <si>
    <t xml:space="preserve">https://www.instagram.com/koba_ashiii</t>
  </si>
  <si>
    <t xml:space="preserve">Names</t>
  </si>
  <si>
    <t xml:space="preserve">Asmaa Raafat Mohamed Aassan Thabet</t>
  </si>
  <si>
    <t xml:space="preserve">https://www.instagram.com/names_se</t>
  </si>
  <si>
    <t xml:space="preserve">https://www.tiktok.com/@names_es</t>
  </si>
  <si>
    <t xml:space="preserve">Nucci</t>
  </si>
  <si>
    <t xml:space="preserve">Nourhan Shaker Saber</t>
  </si>
  <si>
    <t xml:space="preserve">https://www.instagram.com/nourhan_shaker22/</t>
  </si>
  <si>
    <t xml:space="preserve">Nana</t>
  </si>
  <si>
    <t xml:space="preserve">Nagham Khaled Abouelseoud Emam</t>
  </si>
  <si>
    <t xml:space="preserve">Velvet</t>
  </si>
  <si>
    <t xml:space="preserve">Hadeel AbdelNasser Mahmoud Abouelftouh</t>
  </si>
  <si>
    <t xml:space="preserve">https://www.instagram.com/horrible.velvet/</t>
  </si>
  <si>
    <t xml:space="preserve">19/07/2003</t>
  </si>
  <si>
    <t xml:space="preserve">Violet</t>
  </si>
  <si>
    <t xml:space="preserve">Falcons Vega ID</t>
  </si>
  <si>
    <t xml:space="preserve">Indonesian</t>
  </si>
  <si>
    <t xml:space="preserve">Fajria Noviana Nur</t>
  </si>
  <si>
    <t xml:space="preserve">https://www.instagram.com/fajria.noviana</t>
  </si>
  <si>
    <t xml:space="preserve">https://www.youtube.com/@fajriaviolet8967</t>
  </si>
  <si>
    <t xml:space="preserve">https://www.tiktok.com/@fajria.noviana</t>
  </si>
  <si>
    <t xml:space="preserve">20/11/1998</t>
  </si>
  <si>
    <t xml:space="preserve">Xev</t>
  </si>
  <si>
    <t xml:space="preserve">Xeviola Maureen</t>
  </si>
  <si>
    <t xml:space="preserve">https://www.instagram.com/xev_vi</t>
  </si>
  <si>
    <t xml:space="preserve">https://www.tiktok.com/@xev_vi</t>
  </si>
  <si>
    <t xml:space="preserve">21/04/2004</t>
  </si>
  <si>
    <t xml:space="preserve">Livii</t>
  </si>
  <si>
    <t xml:space="preserve">Livia Lemmuela Putri</t>
  </si>
  <si>
    <t xml:space="preserve">https://www.instagram.com/livia.lemmuela</t>
  </si>
  <si>
    <t xml:space="preserve">https://www.youtube.com/@LiviaLivii</t>
  </si>
  <si>
    <t xml:space="preserve">https://www.tiktok.com/@livia.lemmuela</t>
  </si>
  <si>
    <t xml:space="preserve">LIV</t>
  </si>
  <si>
    <t xml:space="preserve">Olivia Benita Wijaya</t>
  </si>
  <si>
    <t xml:space="preserve">https://www.instagram.com/remundddd</t>
  </si>
  <si>
    <t xml:space="preserve">https://www.tiktok.com/@remundddd</t>
  </si>
  <si>
    <t xml:space="preserve">REMUNDO</t>
  </si>
  <si>
    <t xml:space="preserve">Nadiya Bahktita</t>
  </si>
  <si>
    <t xml:space="preserve">https://www.instagram.com/olivia.wijayaa/</t>
  </si>
  <si>
    <t xml:space="preserve">https://www.youtube.com/@Livyipp</t>
  </si>
  <si>
    <t xml:space="preserve">https://www.tiktok.com/@livyipp</t>
  </si>
  <si>
    <t xml:space="preserve">Agatha</t>
  </si>
  <si>
    <t xml:space="preserve">Angelia Agatha</t>
  </si>
  <si>
    <t xml:space="preserve">https://www.instagram.com/angeliagathaa</t>
  </si>
  <si>
    <t xml:space="preserve">https://www.tiktok.com/@angeliagathaa</t>
  </si>
  <si>
    <t xml:space="preserve">20/08/2001</t>
  </si>
  <si>
    <t xml:space="preserve">Luckyboi</t>
  </si>
  <si>
    <t xml:space="preserve">Aulia Eka Achyunda Putra</t>
  </si>
  <si>
    <t xml:space="preserve">https://www.instagram.com/putraeka672_</t>
  </si>
  <si>
    <t xml:space="preserve">https://www.tiktok.com/@putraeka672_</t>
  </si>
  <si>
    <t xml:space="preserve">30/06/2002</t>
  </si>
  <si>
    <t xml:space="preserve">Mozia</t>
  </si>
  <si>
    <t xml:space="preserve">Aditya Kusuma Putra</t>
  </si>
  <si>
    <t xml:space="preserve">https://www.instagram.com/moziaulus</t>
  </si>
  <si>
    <t xml:space="preserve">https://www.youtube.com/@Moziaulus</t>
  </si>
  <si>
    <t xml:space="preserve">https://www.tiktok.com/@moziaulus</t>
  </si>
  <si>
    <t xml:space="preserve">Ren</t>
  </si>
  <si>
    <t xml:space="preserve">Daren Paul Vitug</t>
  </si>
  <si>
    <t xml:space="preserve">fantasea</t>
  </si>
  <si>
    <t xml:space="preserve">Isfan Satria Wijaya</t>
  </si>
  <si>
    <t xml:space="preserve">https://x.com/isfantasea</t>
  </si>
  <si>
    <t xml:space="preserve">https://www.instagram.com/is.fantasea</t>
  </si>
  <si>
    <t xml:space="preserve">https://www.youtube.com/@Isfantasea</t>
  </si>
  <si>
    <t xml:space="preserve">https://www.tiktok.com/@isfantasea</t>
  </si>
  <si>
    <t xml:space="preserve">https://www.facebook.com/isfan.satria.wijaya/</t>
  </si>
  <si>
    <t xml:space="preserve">16/09/1994</t>
  </si>
  <si>
    <t xml:space="preserve">ChiYo</t>
  </si>
  <si>
    <t xml:space="preserve">Overwatch2</t>
  </si>
  <si>
    <t xml:space="preserve">HyunSeok Han</t>
  </si>
  <si>
    <t xml:space="preserve">https://twitter.com/ChiYo_ow1</t>
  </si>
  <si>
    <t xml:space="preserve">https://www.twitch.tv/chiyo_ow</t>
  </si>
  <si>
    <t xml:space="preserve">Support</t>
  </si>
  <si>
    <t xml:space="preserve">Fielder</t>
  </si>
  <si>
    <t xml:space="preserve">Joon Kwon</t>
  </si>
  <si>
    <t xml:space="preserve">https://twitter.com/fielder_ow</t>
  </si>
  <si>
    <t xml:space="preserve">https://www.twitch.tv/fielder_ow</t>
  </si>
  <si>
    <t xml:space="preserve">https://www.youtube.com/channel/UCKLTHj9SshU_IwDLO12aDSw</t>
  </si>
  <si>
    <t xml:space="preserve">29/01/2002</t>
  </si>
  <si>
    <t xml:space="preserve">Hanbin</t>
  </si>
  <si>
    <t xml:space="preserve">HanBin Choi</t>
  </si>
  <si>
    <t xml:space="preserve">https://twitter.com/HanBin_OW</t>
  </si>
  <si>
    <t xml:space="preserve">https://www.twitch.tv/hanbin_ow</t>
  </si>
  <si>
    <t xml:space="preserve">20/02/2002</t>
  </si>
  <si>
    <t xml:space="preserve">Tank</t>
  </si>
  <si>
    <t xml:space="preserve">Levi</t>
  </si>
  <si>
    <t xml:space="preserve">Chunghyeok Jeong</t>
  </si>
  <si>
    <t xml:space="preserve">https://x.com/OW_Levi</t>
  </si>
  <si>
    <t xml:space="preserve">https://www.instagram.com/choooooooong/#</t>
  </si>
  <si>
    <t xml:space="preserve">14/09/1992</t>
  </si>
  <si>
    <t xml:space="preserve">MER1T</t>
  </si>
  <si>
    <t xml:space="preserve">Choi Taemin</t>
  </si>
  <si>
    <t xml:space="preserve">https://x.com/MER1T_ow</t>
  </si>
  <si>
    <t xml:space="preserve">https://www.instagram.com/mer1t_ow/#</t>
  </si>
  <si>
    <t xml:space="preserve">https://www.twitch.tv/mer1t_ow</t>
  </si>
  <si>
    <t xml:space="preserve">21/06/2002</t>
  </si>
  <si>
    <t xml:space="preserve">DPS</t>
  </si>
  <si>
    <t xml:space="preserve">NineK</t>
  </si>
  <si>
    <t xml:space="preserve">BumHoon Kim</t>
  </si>
  <si>
    <t xml:space="preserve">https://twitter.com/NineK_OW</t>
  </si>
  <si>
    <t xml:space="preserve">https://www.youtube.com/@NineKK999/streams</t>
  </si>
  <si>
    <t xml:space="preserve">SOMEONE</t>
  </si>
  <si>
    <t xml:space="preserve">Ham Jeongwan</t>
  </si>
  <si>
    <t xml:space="preserve">https://x.com/someone0424</t>
  </si>
  <si>
    <t xml:space="preserve">https://www.instagram.com/someone_ow/#</t>
  </si>
  <si>
    <t xml:space="preserve">https://www.twitch.tv/someone_ow_</t>
  </si>
  <si>
    <t xml:space="preserve">24/04/2004</t>
  </si>
  <si>
    <t xml:space="preserve">SP9RK1E</t>
  </si>
  <si>
    <t xml:space="preserve">Yeonghan Kim</t>
  </si>
  <si>
    <t xml:space="preserve">https://twitter.com/SP9RK1E_OW</t>
  </si>
  <si>
    <t xml:space="preserve">https://t.co/Ig6Fh5khWl</t>
  </si>
  <si>
    <t xml:space="preserve">https://www.twitch.tv/sp9rk1e</t>
  </si>
  <si>
    <t xml:space="preserve">https://www.youtube.com/channel/UCqS9XBZgzXiolPUsWX2cQ</t>
  </si>
  <si>
    <t xml:space="preserve">31/05/2002</t>
  </si>
  <si>
    <t xml:space="preserve">Gunner</t>
  </si>
  <si>
    <t xml:space="preserve">PUBG</t>
  </si>
  <si>
    <t xml:space="preserve">Owen Andrew Monahan</t>
  </si>
  <si>
    <t xml:space="preserve">https://x.com/Owenusmc21</t>
  </si>
  <si>
    <t xml:space="preserve">https://www.instagram.com/machinegunnerusmc</t>
  </si>
  <si>
    <t xml:space="preserve">https://www.twitch.tv/MACHINEGUNNERUSMC</t>
  </si>
  <si>
    <t xml:space="preserve">21/02/1988</t>
  </si>
  <si>
    <t xml:space="preserve">hwinn</t>
  </si>
  <si>
    <t xml:space="preserve">Hunter Maurice Winn</t>
  </si>
  <si>
    <t xml:space="preserve">https://twitter.com/hwinnfps</t>
  </si>
  <si>
    <t xml:space="preserve">https://www.instagram.com/hwinn123</t>
  </si>
  <si>
    <t xml:space="preserve">https://www.twitch.tv/hwinn</t>
  </si>
  <si>
    <t xml:space="preserve">https://www.youtube.com/HunterWinn1</t>
  </si>
  <si>
    <t xml:space="preserve">28/04/1994</t>
  </si>
  <si>
    <t xml:space="preserve">Kickstart</t>
  </si>
  <si>
    <t xml:space="preserve">Robert Matthew Smith Jr</t>
  </si>
  <si>
    <t xml:space="preserve">https://twitter.com/KSnKickstart</t>
  </si>
  <si>
    <t xml:space="preserve">https://www.instagram.com/ksnkickstart</t>
  </si>
  <si>
    <t xml:space="preserve">https://www.twitch.tv/kickstart</t>
  </si>
  <si>
    <t xml:space="preserve">https://www.youtube.com/ksnkickstart</t>
  </si>
  <si>
    <t xml:space="preserve">13/05/2001</t>
  </si>
  <si>
    <t xml:space="preserve">Shrimzy</t>
  </si>
  <si>
    <t xml:space="preserve">Tristan John Nowicki</t>
  </si>
  <si>
    <t xml:space="preserve">https://twitter.com/ShrimzyPUBg</t>
  </si>
  <si>
    <t xml:space="preserve">https://www.instagram.com/tristannowicki</t>
  </si>
  <si>
    <t xml:space="preserve">https://www.twitch.tv/shrimzy</t>
  </si>
  <si>
    <t xml:space="preserve">https://www.youtube.com/Shrimx1</t>
  </si>
  <si>
    <t xml:space="preserve">22/11/2027</t>
  </si>
  <si>
    <t xml:space="preserve">TGLTN</t>
  </si>
  <si>
    <t xml:space="preserve">Australian</t>
  </si>
  <si>
    <t xml:space="preserve">James Sebastian Giezen</t>
  </si>
  <si>
    <t xml:space="preserve">https://twitter.com/tgltnPUBG</t>
  </si>
  <si>
    <t xml:space="preserve">https://www.instagram.com/tgltnPUBG</t>
  </si>
  <si>
    <t xml:space="preserve">https://www.twitch.tv/TGLTN</t>
  </si>
  <si>
    <t xml:space="preserve">https://www.youtube.com/TGLTN</t>
  </si>
  <si>
    <t xml:space="preserve">https://kick.com/tgltn</t>
  </si>
  <si>
    <t xml:space="preserve">BriD</t>
  </si>
  <si>
    <t xml:space="preserve">Rainbow Six Siege</t>
  </si>
  <si>
    <t xml:space="preserve">Loïc Chongthep</t>
  </si>
  <si>
    <t xml:space="preserve">https://twitter.com/BriDR6S</t>
  </si>
  <si>
    <t xml:space="preserve">https://www.instagram.com/briddr6s</t>
  </si>
  <si>
    <t xml:space="preserve">https://www.twitch.tv/bridr6s</t>
  </si>
  <si>
    <t xml:space="preserve">30/07/1996</t>
  </si>
  <si>
    <t xml:space="preserve">eaglemees</t>
  </si>
  <si>
    <t xml:space="preserve">Nethelands</t>
  </si>
  <si>
    <t xml:space="preserve">Mees van der Arend</t>
  </si>
  <si>
    <t xml:space="preserve">https://x.com/eaglemees</t>
  </si>
  <si>
    <t xml:space="preserve">30/09/2001</t>
  </si>
  <si>
    <t xml:space="preserve">Frenchi</t>
  </si>
  <si>
    <t xml:space="preserve">Paul Droal</t>
  </si>
  <si>
    <t xml:space="preserve">27/11/1998</t>
  </si>
  <si>
    <t xml:space="preserve">Julio</t>
  </si>
  <si>
    <t xml:space="preserve">Brasilian</t>
  </si>
  <si>
    <t xml:space="preserve">Julio Giacomelli</t>
  </si>
  <si>
    <t xml:space="preserve">https://twitter.com/JULIOAKAJULIO1</t>
  </si>
  <si>
    <t xml:space="preserve">https://www.instagram.com/juliogiacomelli</t>
  </si>
  <si>
    <t xml:space="preserve">https://www.twitch.tv/juliojuliojuliojuliojulio</t>
  </si>
  <si>
    <t xml:space="preserve">25/05/1994</t>
  </si>
  <si>
    <t xml:space="preserve">LikEfac</t>
  </si>
  <si>
    <t xml:space="preserve">Théo Mariano</t>
  </si>
  <si>
    <t xml:space="preserve">https://twitter.com/LikEfacR6S</t>
  </si>
  <si>
    <t xml:space="preserve">https://www.instagram.com/likefacr6s/</t>
  </si>
  <si>
    <t xml:space="preserve">https://www.twitch.tv/likefac</t>
  </si>
  <si>
    <t xml:space="preserve">Solotov</t>
  </si>
  <si>
    <t xml:space="preserve">Turkish</t>
  </si>
  <si>
    <t xml:space="preserve">Fatih Türker</t>
  </si>
  <si>
    <t xml:space="preserve">https://twitter.com/SolotovR6</t>
  </si>
  <si>
    <t xml:space="preserve">19/04/2001</t>
  </si>
  <si>
    <t xml:space="preserve">Flex entry</t>
  </si>
  <si>
    <t xml:space="preserve">Stooflex</t>
  </si>
  <si>
    <t xml:space="preserve">Samy Smail</t>
  </si>
  <si>
    <t xml:space="preserve">https://twitter.com/stooflex</t>
  </si>
  <si>
    <t xml:space="preserve">24/05/1990</t>
  </si>
  <si>
    <t xml:space="preserve">Yuzus</t>
  </si>
  <si>
    <t xml:space="preserve">Joshua Pritchard</t>
  </si>
  <si>
    <t xml:space="preserve">https://twitter.com/Yuzus_</t>
  </si>
  <si>
    <t xml:space="preserve">https://www.instagram.com/yuzussssss/</t>
  </si>
  <si>
    <t xml:space="preserve">https://www.twitch.tv/Yuzus</t>
  </si>
  <si>
    <t xml:space="preserve">https://www.youtube.com/@julioakajulio</t>
  </si>
  <si>
    <t xml:space="preserve">24/05/2000</t>
  </si>
  <si>
    <t xml:space="preserve">Flex support</t>
  </si>
  <si>
    <t xml:space="preserve">Azzam</t>
  </si>
  <si>
    <t xml:space="preserve">Rocket League</t>
  </si>
  <si>
    <t xml:space="preserve">Azzam Al-Jabr</t>
  </si>
  <si>
    <t xml:space="preserve">https://twitter.com/AzzamAljabr</t>
  </si>
  <si>
    <t xml:space="preserve">13/10/1992</t>
  </si>
  <si>
    <t xml:space="preserve">d7oom24</t>
  </si>
  <si>
    <t xml:space="preserve">Abdulrahman Bin Fayez</t>
  </si>
  <si>
    <t xml:space="preserve">https://x.com/id7oom_24</t>
  </si>
  <si>
    <t xml:space="preserve">Instagram/D7oom24</t>
  </si>
  <si>
    <t xml:space="preserve">dralii</t>
  </si>
  <si>
    <t xml:space="preserve">Morrocan / Canadian</t>
  </si>
  <si>
    <t xml:space="preserve">Samy Hajji</t>
  </si>
  <si>
    <t xml:space="preserve">https://twitter.com/dralii897</t>
  </si>
  <si>
    <t xml:space="preserve">https://www.twitch.tv/dralii</t>
  </si>
  <si>
    <t xml:space="preserve">Kiileerrz</t>
  </si>
  <si>
    <t xml:space="preserve">Yazeed Bakhashwin</t>
  </si>
  <si>
    <t xml:space="preserve">https://x.com/kiileerrz</t>
  </si>
  <si>
    <t xml:space="preserve">Instagram/Kiileerrz</t>
  </si>
  <si>
    <t xml:space="preserve">https://www.twitch.tv/kiileerrz</t>
  </si>
  <si>
    <t xml:space="preserve">Rw9</t>
  </si>
  <si>
    <t xml:space="preserve">Saleh Bakhashwin</t>
  </si>
  <si>
    <t xml:space="preserve">https://x.com/Rw9_RL</t>
  </si>
  <si>
    <t xml:space="preserve">https://www.twitch.tv/rl_rw9</t>
  </si>
  <si>
    <t xml:space="preserve">Bunny</t>
  </si>
  <si>
    <t xml:space="preserve">Starcraft 2</t>
  </si>
  <si>
    <t xml:space="preserve">South Korea</t>
  </si>
  <si>
    <t xml:space="preserve">JaeSun Lee</t>
  </si>
  <si>
    <t xml:space="preserve">https://x.com/KOR_Bunny</t>
  </si>
  <si>
    <t xml:space="preserve">https://www.instagram.com/sc2_jlee/#</t>
  </si>
  <si>
    <t xml:space="preserve">Rogue</t>
  </si>
  <si>
    <t xml:space="preserve">ByeongYeol Lee</t>
  </si>
  <si>
    <t xml:space="preserve">https://www.instagram.com/b_ryul.l/#</t>
  </si>
  <si>
    <t xml:space="preserve">13/01/1994</t>
  </si>
  <si>
    <t xml:space="preserve">Solar</t>
  </si>
  <si>
    <t xml:space="preserve">Kang Minsoo</t>
  </si>
  <si>
    <t xml:space="preserve">https://x.com/SC2_Solar</t>
  </si>
  <si>
    <t xml:space="preserve">https://www.instagram.com/sc2solar/#</t>
  </si>
  <si>
    <t xml:space="preserve">https://www.twitch.tv/sc2solar</t>
  </si>
  <si>
    <t xml:space="preserve">Craime</t>
  </si>
  <si>
    <t xml:space="preserve">Street Fighter</t>
  </si>
  <si>
    <t xml:space="preserve">Chilean</t>
  </si>
  <si>
    <t xml:space="preserve">Jaime Bustos</t>
  </si>
  <si>
    <t xml:space="preserve">https://x.com/CraimeCL</t>
  </si>
  <si>
    <t xml:space="preserve">Kusanagi</t>
  </si>
  <si>
    <t xml:space="preserve">Maivine Touiti</t>
  </si>
  <si>
    <t xml:space="preserve">https://twitter.com/MaivineKusanagi</t>
  </si>
  <si>
    <t xml:space="preserve">https://www.twitch.tv/KusanagiSF6</t>
  </si>
  <si>
    <t xml:space="preserve">25/07/1999</t>
  </si>
  <si>
    <t xml:space="preserve">NL</t>
  </si>
  <si>
    <t xml:space="preserve">Sim Geon</t>
  </si>
  <si>
    <t xml:space="preserve">https://x.com/sf5nl</t>
  </si>
  <si>
    <t xml:space="preserve">https://www.twitch.tv/jungjil</t>
  </si>
  <si>
    <t xml:space="preserve">https://www.youtube.com/@nltv9433</t>
  </si>
  <si>
    <t xml:space="preserve">23/02/1987</t>
  </si>
  <si>
    <t xml:space="preserve">Aqeel9</t>
  </si>
  <si>
    <t xml:space="preserve">Tekken</t>
  </si>
  <si>
    <t xml:space="preserve">Mishari Alaqeel</t>
  </si>
  <si>
    <t xml:space="preserve">https://x.com/mka988</t>
  </si>
  <si>
    <t xml:space="preserve">https://www.twitch.tv/aqeel9h</t>
  </si>
  <si>
    <t xml:space="preserve">17/09/2000</t>
  </si>
  <si>
    <t xml:space="preserve">Atif Butt</t>
  </si>
  <si>
    <t xml:space="preserve">Pakistan</t>
  </si>
  <si>
    <t xml:space="preserve">Atif Ijaz</t>
  </si>
  <si>
    <t xml:space="preserve">https://x.com/AtifButt540</t>
  </si>
  <si>
    <t xml:space="preserve">Farzeen</t>
  </si>
  <si>
    <t xml:space="preserve">Muhammad Farzeen</t>
  </si>
  <si>
    <t xml:space="preserve">https://x.com/Farzeen_tk</t>
  </si>
  <si>
    <t xml:space="preserve">https://www.instagram.com/farzeen_tk/</t>
  </si>
  <si>
    <t xml:space="preserve">Numan</t>
  </si>
  <si>
    <t xml:space="preserve">Nauman Chaudhry</t>
  </si>
  <si>
    <t xml:space="preserve">https://x.com/tk_numanch</t>
  </si>
  <si>
    <t xml:space="preserve">Usama Abbasi</t>
  </si>
  <si>
    <t xml:space="preserve">https://x.com/usamatekken708</t>
  </si>
  <si>
    <t xml:space="preserve">Alexy</t>
  </si>
  <si>
    <t xml:space="preserve">VALORANT</t>
  </si>
  <si>
    <t xml:space="preserve">Falcons Vega</t>
  </si>
  <si>
    <t xml:space="preserve">Filipino</t>
  </si>
  <si>
    <t xml:space="preserve">Alexandria Francisco</t>
  </si>
  <si>
    <t xml:space="preserve">https://x.com/alexyyfrancisco</t>
  </si>
  <si>
    <t xml:space="preserve">https://www.twitch.tv/alexyph</t>
  </si>
  <si>
    <t xml:space="preserve">https://www.facebook.com/Aleeexyyy</t>
  </si>
  <si>
    <t xml:space="preserve">14/08/2002</t>
  </si>
  <si>
    <t xml:space="preserve">enerii</t>
  </si>
  <si>
    <t xml:space="preserve">Odella Abraham</t>
  </si>
  <si>
    <t xml:space="preserve">https://x.com/eneriiiiiii</t>
  </si>
  <si>
    <t xml:space="preserve">https://www.twitch.tv/enerii</t>
  </si>
  <si>
    <t xml:space="preserve">Kamiyu</t>
  </si>
  <si>
    <t xml:space="preserve">Camille Enriquez</t>
  </si>
  <si>
    <t xml:space="preserve">https://x.com/Kamiyuchii</t>
  </si>
  <si>
    <t xml:space="preserve">24/12/2004</t>
  </si>
  <si>
    <t xml:space="preserve">madv</t>
  </si>
  <si>
    <t xml:space="preserve">Modhi Alkanhal</t>
  </si>
  <si>
    <t xml:space="preserve">https://x.com/itMadv</t>
  </si>
  <si>
    <t xml:space="preserve">https://www.twitch.tv/itmadv</t>
  </si>
  <si>
    <t xml:space="preserve">Dannyto</t>
  </si>
  <si>
    <t xml:space="preserve">Bulgarian</t>
  </si>
  <si>
    <t xml:space="preserve">Danail Sofroniev</t>
  </si>
  <si>
    <t xml:space="preserve">https://x.com/DANNYTO_vlr</t>
  </si>
  <si>
    <t xml:space="preserve">20/03/1995</t>
  </si>
  <si>
    <t xml:space="preserve">CarlJr</t>
  </si>
  <si>
    <t xml:space="preserve">Trackmania</t>
  </si>
  <si>
    <t xml:space="preserve">Canadian</t>
  </si>
  <si>
    <t xml:space="preserve">Carl-Anthony Cloutier</t>
  </si>
  <si>
    <t xml:space="preserve">https://x.com/CarlJrtm</t>
  </si>
  <si>
    <t xml:space="preserve">https://www.instagram.com/carljrtm/</t>
  </si>
  <si>
    <t xml:space="preserve">https://www.twitch.tv/carljrtm</t>
  </si>
  <si>
    <t xml:space="preserve">https://www.youtube.com/@CarlJrtm</t>
  </si>
  <si>
    <t xml:space="preserve">https://www.tiktok.com/@carljrtm</t>
  </si>
  <si>
    <t xml:space="preserve">17/12/1996</t>
  </si>
  <si>
    <t xml:space="preserve">Spammiej</t>
  </si>
  <si>
    <t xml:space="preserve">Dutch</t>
  </si>
  <si>
    <t xml:space="preserve">Tim Lunenburg</t>
  </si>
  <si>
    <t xml:space="preserve">https://x.com/Spammiejj</t>
  </si>
  <si>
    <t xml:space="preserve">https://www.instagram.com/timmmiej/</t>
  </si>
  <si>
    <t xml:space="preserve">https://www.twitch.tv/spammiej</t>
  </si>
  <si>
    <t xml:space="preserve">https://www.youtube.com/Spammiej</t>
  </si>
  <si>
    <t xml:space="preserve">https://www.facebook.com/Spammiej</t>
  </si>
  <si>
    <t xml:space="preserve">17/07/1994</t>
  </si>
  <si>
    <t xml:space="preserve">2ReaL</t>
  </si>
  <si>
    <t xml:space="preserve">Brendan Stockdale</t>
  </si>
  <si>
    <t xml:space="preserve">https://x.com/MG2ReaL</t>
  </si>
  <si>
    <t xml:space="preserve">25/05/1998</t>
  </si>
  <si>
    <t xml:space="preserve">Manny</t>
  </si>
  <si>
    <t xml:space="preserve">Emmanuel Lemos</t>
  </si>
  <si>
    <t xml:space="preserve">https://x.com/Manny7F</t>
  </si>
  <si>
    <t xml:space="preserve">16/10/2003</t>
  </si>
  <si>
    <t xml:space="preserve">KnoX</t>
  </si>
  <si>
    <t xml:space="preserve">Hakem Al-Shaibani</t>
  </si>
  <si>
    <t xml:space="preserve">https://x.com/Knox__77</t>
  </si>
  <si>
    <t xml:space="preserve">https://www.twitch.tv/iimlk_11</t>
  </si>
  <si>
    <t xml:space="preserve">Swooty</t>
  </si>
  <si>
    <t xml:space="preserve">Jared Najera</t>
  </si>
  <si>
    <t xml:space="preserve">https://x.com/SwootyWRLD</t>
  </si>
  <si>
    <t xml:space="preserve">https://www.twitch.tv/swooty18</t>
  </si>
  <si>
    <t xml:space="preserve">https://www.youtube.com/channel/UC4Zh2qa4jYyE2Rmy8KGINLQ</t>
  </si>
  <si>
    <t xml:space="preserve">Tapewaare</t>
  </si>
  <si>
    <t xml:space="preserve">Norwegian</t>
  </si>
  <si>
    <t xml:space="preserve">Sindre Ellefsen</t>
  </si>
  <si>
    <t xml:space="preserve">https://x.com/tapewaare</t>
  </si>
  <si>
    <t xml:space="preserve">https://www.twitch.tv/Tapewaare</t>
  </si>
  <si>
    <t xml:space="preserve">Pollo</t>
  </si>
  <si>
    <t xml:space="preserve">Mexican/American</t>
  </si>
  <si>
    <t xml:space="preserve">Miguel Moreno</t>
  </si>
  <si>
    <t xml:space="preserve">https://x.com/pollofn6</t>
  </si>
  <si>
    <t xml:space="preserve">https://www.twitch.tv/pollofn6</t>
  </si>
  <si>
    <t xml:space="preserve">https://www.youtube.com/channel/UCZqBdOYsCpvvCfI5_R3-FCQ</t>
  </si>
  <si>
    <t xml:space="preserve">FlapTzy</t>
  </si>
  <si>
    <t xml:space="preserve">David Charles Canon</t>
  </si>
  <si>
    <t xml:space="preserve">https://twitter.com/flapteezyy</t>
  </si>
  <si>
    <t xml:space="preserve">https://www.instagram.com/flaptzyofficial</t>
  </si>
  <si>
    <t xml:space="preserve">https://www.youtube.com/flapgaming</t>
  </si>
  <si>
    <t xml:space="preserve">https://tiktok.com/@flapofficial</t>
  </si>
  <si>
    <t xml:space="preserve">https://facebook.com/flapteezy</t>
  </si>
  <si>
    <t xml:space="preserve">Exp Lane</t>
  </si>
  <si>
    <t xml:space="preserve">KyleTzy</t>
  </si>
  <si>
    <t xml:space="preserve">Michael Angelo Sayson</t>
  </si>
  <si>
    <t xml:space="preserve">https://www.instagram.com/kyletzyofficial</t>
  </si>
  <si>
    <t xml:space="preserve">https://tiktok.com/@kyletzyofficial3</t>
  </si>
  <si>
    <t xml:space="preserve">https://facebook.com/KyleTzyOfficial</t>
  </si>
  <si>
    <t xml:space="preserve">19/08/2005</t>
  </si>
  <si>
    <t xml:space="preserve">Ferdz</t>
  </si>
  <si>
    <t xml:space="preserve">Vincent Joseph Villones Unigo</t>
  </si>
  <si>
    <t xml:space="preserve">https://www.instagram.com/edferdz</t>
  </si>
  <si>
    <t xml:space="preserve">https://www.facebook.com/edferdz</t>
  </si>
  <si>
    <t xml:space="preserve">24/11/2002</t>
  </si>
  <si>
    <t xml:space="preserve">Ducky</t>
  </si>
  <si>
    <t xml:space="preserve">Francis John Glindro</t>
  </si>
  <si>
    <t xml:space="preserve">https://www.instagram.com/duckeyyyy</t>
  </si>
  <si>
    <t xml:space="preserve">https://www.tiktok.com/@duckeythevillain</t>
  </si>
  <si>
    <t xml:space="preserve">https://www.facebook.com/duckeyyythevillain</t>
  </si>
  <si>
    <t xml:space="preserve">20/06/1990</t>
  </si>
  <si>
    <t xml:space="preserve">Checkmate</t>
  </si>
  <si>
    <t xml:space="preserve">Baek Seung-hun</t>
  </si>
  <si>
    <t xml:space="preserve">https://x.com/ow_checkmate</t>
  </si>
  <si>
    <t xml:space="preserve">https://www.twitch.tv/ow_checkmate</t>
  </si>
  <si>
    <t xml:space="preserve">jume</t>
  </si>
  <si>
    <t xml:space="preserve">German</t>
  </si>
  <si>
    <t xml:space="preserve">Marc Steinmann</t>
  </si>
  <si>
    <t xml:space="preserve">https://x.com/jumeR6S</t>
  </si>
  <si>
    <t xml:space="preserve">https://www.instagram.com/jumer6s/</t>
  </si>
  <si>
    <t xml:space="preserve">https://www.twitch.tv/jumer6</t>
  </si>
  <si>
    <t xml:space="preserve">https://www.youtube.com/channel/UCUGXHBCVxPiY1yNnl-kB47Q</t>
  </si>
  <si>
    <t xml:space="preserve">Entry</t>
  </si>
  <si>
    <t xml:space="preserve">Luy</t>
  </si>
  <si>
    <t xml:space="preserve">Layan Almahmoud</t>
  </si>
  <si>
    <t xml:space="preserve">shirazi</t>
  </si>
  <si>
    <t xml:space="preserve">Kelly Jaudian</t>
  </si>
  <si>
    <t xml:space="preserve">https://x.com/shirazigo</t>
  </si>
  <si>
    <t xml:space="preserve">https://www.instagram.com/shirazigo</t>
  </si>
  <si>
    <t xml:space="preserve">CAROT</t>
  </si>
  <si>
    <t xml:space="preserve">Crossfire</t>
  </si>
  <si>
    <t xml:space="preserve">Vietnamese</t>
  </si>
  <si>
    <t xml:space="preserve">NGUYEN TRUNG KHANG</t>
  </si>
  <si>
    <t xml:space="preserve">21/07/2007</t>
  </si>
  <si>
    <t xml:space="preserve">DANXY</t>
  </si>
  <si>
    <t xml:space="preserve">Nguyen Bao Duy</t>
  </si>
  <si>
    <t xml:space="preserve">24/08/2008</t>
  </si>
  <si>
    <t xml:space="preserve">LDX</t>
  </si>
  <si>
    <t xml:space="preserve">Luong Duc Tuan</t>
  </si>
  <si>
    <t xml:space="preserve">Dola</t>
  </si>
  <si>
    <t xml:space="preserve">Dam Viet Hung</t>
  </si>
  <si>
    <t xml:space="preserve">https://www.facebook.com/DOLACROSSFIRE</t>
  </si>
  <si>
    <t xml:space="preserve">Shady</t>
  </si>
  <si>
    <t xml:space="preserve">Mai Thanh Phong</t>
  </si>
  <si>
    <t xml:space="preserve">https://www.youtube.com/@ShadyCrossfire94</t>
  </si>
  <si>
    <t xml:space="preserve">https://www.facebook.com/Shadycrossfirevn</t>
  </si>
  <si>
    <t xml:space="preserve">Apex Legends</t>
  </si>
  <si>
    <t xml:space="preserve">Draugr</t>
  </si>
  <si>
    <t xml:space="preserve">Kyle Gillard</t>
  </si>
  <si>
    <t xml:space="preserve">https://x.com/DraugrAU</t>
  </si>
  <si>
    <t xml:space="preserve">https://www.twitch.tv/DraugrAU</t>
  </si>
  <si>
    <t xml:space="preserve">13/05/2000</t>
  </si>
  <si>
    <t xml:space="preserve">ImperialHal</t>
  </si>
  <si>
    <t xml:space="preserve">Phillip Dosen</t>
  </si>
  <si>
    <t xml:space="preserve">https://x.com/ImperialHal</t>
  </si>
  <si>
    <t xml:space="preserve">Instagram/ImperialHal</t>
  </si>
  <si>
    <t xml:space="preserve">https://www.twitch.tv/imperialhal__</t>
  </si>
  <si>
    <t xml:space="preserve">YT/ImperialHal</t>
  </si>
  <si>
    <t xml:space="preserve">31/05/1999</t>
  </si>
  <si>
    <t xml:space="preserve">Privacy</t>
  </si>
  <si>
    <t xml:space="preserve">German / Syrian</t>
  </si>
  <si>
    <t xml:space="preserve">Yaman Kayal</t>
  </si>
  <si>
    <t xml:space="preserve">https://x.com/Privacy_Pleas</t>
  </si>
  <si>
    <t xml:space="preserve">https://www.twitch.tv/priv4cy</t>
  </si>
  <si>
    <t xml:space="preserve">https://www.youtube.com/@Priv4cyy</t>
  </si>
  <si>
    <t xml:space="preserve">https://www.tiktok.com/@priv4cyy</t>
  </si>
  <si>
    <t xml:space="preserve">Wxltzy</t>
  </si>
  <si>
    <t xml:space="preserve">Ben Walton</t>
  </si>
  <si>
    <t xml:space="preserve">https://x.com/Wxltzy</t>
  </si>
  <si>
    <t xml:space="preserve">Instagram/Wxltzy</t>
  </si>
  <si>
    <t xml:space="preserve">https://www.twitch.tv/wxltzy</t>
  </si>
  <si>
    <t xml:space="preserve">Clayster</t>
  </si>
  <si>
    <t xml:space="preserve">James Eubanks</t>
  </si>
  <si>
    <t xml:space="preserve">https://x.com/Clayster</t>
  </si>
  <si>
    <t xml:space="preserve">https://www.instagram.com/clayster</t>
  </si>
  <si>
    <t xml:space="preserve">https://www.twitch.tv/clayster</t>
  </si>
  <si>
    <t xml:space="preserve">3x World Champion</t>
  </si>
  <si>
    <t xml:space="preserve">Gild</t>
  </si>
  <si>
    <t xml:space="preserve">MoT3yyB</t>
  </si>
  <si>
    <t xml:space="preserve">Mutab Almuammar</t>
  </si>
  <si>
    <t xml:space="preserve">https://x.com/MoT3yyB</t>
  </si>
  <si>
    <t xml:space="preserve">28/09/1998</t>
  </si>
  <si>
    <t xml:space="preserve">S&amp;D Master</t>
  </si>
  <si>
    <t xml:space="preserve">JPDigits</t>
  </si>
  <si>
    <t xml:space="preserve">United Kingdom</t>
  </si>
  <si>
    <t xml:space="preserve">Jonathan Perry</t>
  </si>
  <si>
    <t xml:space="preserve">https://x.com/JPerry264</t>
  </si>
  <si>
    <t xml:space="preserve">13/06/1994</t>
  </si>
  <si>
    <t xml:space="preserve">● Creator</t>
  </si>
  <si>
    <t xml:space="preserve">Weighted Score</t>
  </si>
  <si>
    <t xml:space="preserve">X Post/Quote</t>
  </si>
  <si>
    <t xml:space="preserve">X Repost</t>
  </si>
  <si>
    <t xml:space="preserve">IG Post</t>
  </si>
  <si>
    <t xml:space="preserve">IG Story</t>
  </si>
  <si>
    <t xml:space="preserve">IG Reels</t>
  </si>
  <si>
    <t xml:space="preserve">YT Full Video</t>
  </si>
  <si>
    <t xml:space="preserve">YT 1-2min Pre-roll</t>
  </si>
  <si>
    <t xml:space="preserve">TikTok Our-side</t>
  </si>
  <si>
    <t xml:space="preserve">TikTok Client Vids</t>
  </si>
  <si>
    <t xml:space="preserve">Kick IRL</t>
  </si>
  <si>
    <t xml:space="preserve">Twitch/Kick Live</t>
  </si>
  <si>
    <t xml:space="preserve">Telegram</t>
  </si>
  <si>
    <t xml:space="preserve">Event + Snap</t>
  </si>
  <si>
    <t xml:space="preserve">BanderitaX</t>
  </si>
  <si>
    <t xml:space="preserve">Tier S</t>
  </si>
  <si>
    <t xml:space="preserve">oPiiLz</t>
  </si>
  <si>
    <t xml:space="preserve">Msdossary7</t>
  </si>
  <si>
    <t xml:space="preserve">Aziz</t>
  </si>
  <si>
    <t xml:space="preserve">Bo3omar22</t>
  </si>
  <si>
    <t xml:space="preserve">Abu abeer</t>
  </si>
  <si>
    <t xml:space="preserve">LLE</t>
  </si>
  <si>
    <t xml:space="preserve">Oden</t>
  </si>
  <si>
    <t xml:space="preserve">xSMA333</t>
  </si>
  <si>
    <t xml:space="preserve">3ADEL</t>
  </si>
  <si>
    <t xml:space="preserve">RAED</t>
  </si>
  <si>
    <t xml:space="preserve">Falcons</t>
  </si>
  <si>
    <t xml:space="preserve">Drb7h</t>
  </si>
  <si>
    <t xml:space="preserve">FZX</t>
  </si>
  <si>
    <t xml:space="preserve">SaudCast</t>
  </si>
  <si>
    <t xml:space="preserve">Hamad</t>
  </si>
  <si>
    <t xml:space="preserve">9leeh</t>
  </si>
  <si>
    <t xml:space="preserve">DYNAMIC PRICING ADJUSTMENT MATRIX</t>
  </si>
  <si>
    <t xml:space="preserve">Select a player → choose an asset → adjust multipliers → get the final price</t>
  </si>
  <si>
    <t xml:space="preserve">🔍 Search Player</t>
  </si>
  <si>
    <t xml:space="preserve">moaz</t>
  </si>
  <si>
    <t xml:space="preserve">Type a full or partial name in D5 → best matching player appears in F5 → selection syncs automatically below</t>
  </si>
  <si>
    <t xml:space="preserve">① PLAYER SELECTOR</t>
  </si>
  <si>
    <t xml:space="preserve">Select Player</t>
  </si>
  <si>
    <t xml:space="preserve">② PLAYER RATE CARD  (all values in SAR)</t>
  </si>
  <si>
    <t xml:space="preserve">IG Reel</t>
  </si>
  <si>
    <t xml:space="preserve">IG Static</t>
  </si>
  <si>
    <t xml:space="preserve">TikTok Video</t>
  </si>
  <si>
    <t xml:space="preserve">YT Short</t>
  </si>
  <si>
    <t xml:space="preserve">X Post</t>
  </si>
  <si>
    <t xml:space="preserve">FB Post/Video</t>
  </si>
  <si>
    <t xml:space="preserve">Twitch 2h</t>
  </si>
  <si>
    <t xml:space="preserve">Twitch Integ.</t>
  </si>
  <si>
    <t xml:space="preserve">IRL / Appear.</t>
  </si>
  <si>
    <t xml:space="preserve">Rights Fee</t>
  </si>
  <si>
    <t xml:space="preserve">Exclusivity</t>
  </si>
  <si>
    <t xml:space="preserve">Rush Fee</t>
  </si>
  <si>
    <t xml:space="preserve">WL Fee</t>
  </si>
  <si>
    <t xml:space="preserve">Repost</t>
  </si>
  <si>
    <t xml:space="preserve">③ ASSET SELECTOR  —  Choose the deliverable type</t>
  </si>
  <si>
    <t xml:space="preserve">Asset Type</t>
  </si>
  <si>
    <t xml:space="preserve">Base Fee (SAR)</t>
  </si>
  <si>
    <t xml:space="preserve">Notes / Basis</t>
  </si>
  <si>
    <t xml:space="preserve">Podcast Guesting</t>
  </si>
  <si>
    <t xml:space="preserve">Player IG Reel rate from Rate Card</t>
  </si>
  <si>
    <t xml:space="preserve">IG Static Post</t>
  </si>
  <si>
    <t xml:space="preserve">Player IG Static rate</t>
  </si>
  <si>
    <t xml:space="preserve">Player IG Story rate</t>
  </si>
  <si>
    <t xml:space="preserve">Player TikTok rate</t>
  </si>
  <si>
    <t xml:space="preserve">Player YT Short rate</t>
  </si>
  <si>
    <t xml:space="preserve">Player X Post rate</t>
  </si>
  <si>
    <t xml:space="preserve">FB Post / Video</t>
  </si>
  <si>
    <t xml:space="preserve">Player FB rate</t>
  </si>
  <si>
    <t xml:space="preserve">Content Repost</t>
  </si>
  <si>
    <t xml:space="preserve">15% of IG Reel rate</t>
  </si>
  <si>
    <t xml:space="preserve">— LIVE &amp; STREAM —</t>
  </si>
  <si>
    <t xml:space="preserve">Twitch Stream 2h</t>
  </si>
  <si>
    <t xml:space="preserve">Player Twitch 2h rate</t>
  </si>
  <si>
    <t xml:space="preserve">Twitch Integration</t>
  </si>
  <si>
    <t xml:space="preserve">Player Twitch Integ. rate</t>
  </si>
  <si>
    <t xml:space="preserve">— ON-GROUND &amp; EVENTS —</t>
  </si>
  <si>
    <t xml:space="preserve">IRL Appearance</t>
  </si>
  <si>
    <t xml:space="preserve">Player IRL rate</t>
  </si>
  <si>
    <t xml:space="preserve">50% of IRL — 1-2h time commitment</t>
  </si>
  <si>
    <t xml:space="preserve">PR Appearance / CSR</t>
  </si>
  <si>
    <t xml:space="preserve">Full IRL rate — brand presence + media</t>
  </si>
  <si>
    <t xml:space="preserve">Fan Meet &amp; Greet</t>
  </si>
  <si>
    <t xml:space="preserve">70% of IRL — structured 2-4h fan interaction</t>
  </si>
  <si>
    <t xml:space="preserve">— OTHER —</t>
  </si>
  <si>
    <t xml:space="preserve">Photo Shoot (Brand)</t>
  </si>
  <si>
    <t xml:space="preserve">75% of IRL — half-day shoot, brand usage rights incl.</t>
  </si>
  <si>
    <t xml:space="preserve">Weight</t>
  </si>
  <si>
    <t xml:space="preserve">Description</t>
  </si>
  <si>
    <t xml:space="preserve">&lt; 2%</t>
  </si>
  <si>
    <t xml:space="preserve">0.70x</t>
  </si>
  <si>
    <t xml:space="preserve">Below average — audience not engaged</t>
  </si>
  <si>
    <t xml:space="preserve">Awareness</t>
  </si>
  <si>
    <t xml:space="preserve">Brand visibility — social reach matters most</t>
  </si>
  <si>
    <t xml:space="preserve">2% – 4%</t>
  </si>
  <si>
    <t xml:space="preserve">0.90x</t>
  </si>
  <si>
    <t xml:space="preserve">Average — slight discount from baseline</t>
  </si>
  <si>
    <t xml:space="preserve">Conversion</t>
  </si>
  <si>
    <t xml:space="preserve">Direct response — engagement + credibility</t>
  </si>
  <si>
    <t xml:space="preserve">4% – 6%</t>
  </si>
  <si>
    <t xml:space="preserve">1.00x</t>
  </si>
  <si>
    <t xml:space="preserve">Baseline — standard market rate</t>
  </si>
  <si>
    <t xml:space="preserve">Trust (Pro Authority)</t>
  </si>
  <si>
    <t xml:space="preserve">Credibility campaigns — pro status is the product</t>
  </si>
  <si>
    <t xml:space="preserve">6% – 8%</t>
  </si>
  <si>
    <t xml:space="preserve">1.20x</t>
  </si>
  <si>
    <t xml:space="preserve">Good — 20% premium</t>
  </si>
  <si>
    <t xml:space="preserve">8% – 10%</t>
  </si>
  <si>
    <t xml:space="preserve">1.40x</t>
  </si>
  <si>
    <t xml:space="preserve">Excellent — strong audience connection</t>
  </si>
  <si>
    <t xml:space="preserve">AUTHORITY MULTIPLIER PRESETS</t>
  </si>
  <si>
    <t xml:space="preserve">Value</t>
  </si>
  <si>
    <t xml:space="preserve">Profile</t>
  </si>
  <si>
    <t xml:space="preserve">&gt; 10%</t>
  </si>
  <si>
    <t xml:space="preserve">1.60x</t>
  </si>
  <si>
    <t xml:space="preserve">Premium micro-influencer effect</t>
  </si>
  <si>
    <t xml:space="preserve">Normal</t>
  </si>
  <si>
    <t xml:space="preserve">Content creator / standard player</t>
  </si>
  <si>
    <t xml:space="preserve">Proven / Established</t>
  </si>
  <si>
    <t xml:space="preserve">Regional champion, 2+ years pro</t>
  </si>
  <si>
    <t xml:space="preserve">AUDIENCE QUALITY</t>
  </si>
  <si>
    <t xml:space="preserve">Multiplier</t>
  </si>
  <si>
    <t xml:space="preserve">Elite Contender</t>
  </si>
  <si>
    <t xml:space="preserve">Top-10 world ranking, major finalist</t>
  </si>
  <si>
    <t xml:space="preserve">Generic / Broad</t>
  </si>
  <si>
    <t xml:space="preserve">0.85x</t>
  </si>
  <si>
    <t xml:space="preserve">Mixed interests, low targeting</t>
  </si>
  <si>
    <t xml:space="preserve">Global Star / Major Winner</t>
  </si>
  <si>
    <t xml:space="preserve">World champion, iconic pro name</t>
  </si>
  <si>
    <t xml:space="preserve">Gaming-adjacent</t>
  </si>
  <si>
    <t xml:space="preserve">Baseline — general gaming</t>
  </si>
  <si>
    <t xml:space="preserve">Core Gaming</t>
  </si>
  <si>
    <t xml:space="preserve">Dedicated gamers, high purchase intent</t>
  </si>
  <si>
    <t xml:space="preserve">LANGUAGE MULTIPLIER</t>
  </si>
  <si>
    <t xml:space="preserve">Context</t>
  </si>
  <si>
    <t xml:space="preserve">Esports-focused</t>
  </si>
  <si>
    <t xml:space="preserve">Competitive gaming — premium targeting</t>
  </si>
  <si>
    <t xml:space="preserve">English</t>
  </si>
  <si>
    <t xml:space="preserve">Global / English-language content</t>
  </si>
  <si>
    <t xml:space="preserve">MENA / Saudi focus</t>
  </si>
  <si>
    <t xml:space="preserve">1.30x</t>
  </si>
  <si>
    <t xml:space="preserve">Regional premium — cultural relevance</t>
  </si>
  <si>
    <t xml:space="preserve">Arabic</t>
  </si>
  <si>
    <t xml:space="preserve">MENA-specific Arabic content (+5% regional premium)</t>
  </si>
  <si>
    <t xml:space="preserve">Global Esports Elite</t>
  </si>
  <si>
    <t xml:space="preserve">1.50x</t>
  </si>
  <si>
    <t xml:space="preserve">Maximum premium — top-tier audience</t>
  </si>
  <si>
    <t xml:space="preserve">Bilingual</t>
  </si>
  <si>
    <t xml:space="preserve">Dual-language content — maximum MENA reach</t>
  </si>
  <si>
    <t xml:space="preserve">SEASONALITY &amp; TIMING</t>
  </si>
  <si>
    <t xml:space="preserve">AUTHORITY FLOOR (FloorShare)</t>
  </si>
  <si>
    <t xml:space="preserve">Range</t>
  </si>
  <si>
    <t xml:space="preserve">Use When</t>
  </si>
  <si>
    <t xml:space="preserve">Off-season</t>
  </si>
  <si>
    <t xml:space="preserve">0.80x</t>
  </si>
  <si>
    <t xml:space="preserve">Low viewership period</t>
  </si>
  <si>
    <t xml:space="preserve">Not used</t>
  </si>
  <si>
    <t xml:space="preserve">Standard content campaigns</t>
  </si>
  <si>
    <t xml:space="preserve">Regular season</t>
  </si>
  <si>
    <t xml:space="preserve">Baseline — standard competition</t>
  </si>
  <si>
    <t xml:space="preserve">Partial floor</t>
  </si>
  <si>
    <t xml:space="preserve">0.30–0.50</t>
  </si>
  <si>
    <t xml:space="preserve">Hardware / peripherals ("pro choice" campaigns)</t>
  </si>
  <si>
    <t xml:space="preserve">Regional Major</t>
  </si>
  <si>
    <t xml:space="preserve">1.25x</t>
  </si>
  <si>
    <t xml:space="preserve">Regional championship</t>
  </si>
  <si>
    <t xml:space="preserve">Strong floor</t>
  </si>
  <si>
    <t xml:space="preserve">0.60–0.80</t>
  </si>
  <si>
    <t xml:space="preserve">Credibility campaigns, tournament windows</t>
  </si>
  <si>
    <t xml:space="preserve">Global Major / Worlds</t>
  </si>
  <si>
    <t xml:space="preserve">Peak esports interest</t>
  </si>
  <si>
    <t xml:space="preserve">Game launch</t>
  </si>
  <si>
    <t xml:space="preserve">New title release</t>
  </si>
  <si>
    <t xml:space="preserve">AuthorityFactor formula:</t>
  </si>
  <si>
    <t xml:space="preserve">AuthorityFactor = 1 + ObjWeight x (AuthMult - 1)</t>
  </si>
  <si>
    <t xml:space="preserve">Holiday season (Q4)</t>
  </si>
  <si>
    <t xml:space="preserve">Year-end peak</t>
  </si>
  <si>
    <t xml:space="preserve">Ramadan (MENA)</t>
  </si>
  <si>
    <t xml:space="preserve">1.35x</t>
  </si>
  <si>
    <t xml:space="preserve">Peak MENA consumption — highest regional multiplier</t>
  </si>
  <si>
    <t xml:space="preserve">Ewc/Mega Peak</t>
  </si>
  <si>
    <t xml:space="preserve">esports world cup highest multiplier</t>
  </si>
  <si>
    <t xml:space="preserve">⑥ LIVE PRICE CALCULATOR — Authority Patch v1  —  Enter values in blue cells</t>
  </si>
  <si>
    <t xml:space="preserve">Input</t>
  </si>
  <si>
    <t xml:space="preserve">[parsed]</t>
  </si>
  <si>
    <t xml:space="preserve">Auto-pulled from player + asset selection above</t>
  </si>
  <si>
    <t xml:space="preserve">Engagement Multiplier</t>
  </si>
  <si>
    <t xml:space="preserve">0.70 — Below average (&lt; 2%)</t>
  </si>
  <si>
    <t xml:space="preserve">Audience Quality Multiplier</t>
  </si>
  <si>
    <t xml:space="preserve">0.85 — Generic / Broad</t>
  </si>
  <si>
    <t xml:space="preserve">Seasonality Multiplier</t>
  </si>
  <si>
    <t xml:space="preserve">0.80 — Off-season</t>
  </si>
  <si>
    <t xml:space="preserve">Content Type Multiplier</t>
  </si>
  <si>
    <t xml:space="preserve">1.00 — Integrated (Player-led)</t>
  </si>
  <si>
    <t xml:space="preserve">Add-on Uplift (total %)</t>
  </si>
  <si>
    <t xml:space="preserve">Sum of selected add-ons from 03_Add_On_Rights</t>
  </si>
  <si>
    <t xml:space="preserve">Campaign Objective</t>
  </si>
  <si>
    <t xml:space="preserve">Drives ObjectiveWeight — see Authority table →</t>
  </si>
  <si>
    <t xml:space="preserve">Authority Multiplier</t>
  </si>
  <si>
    <t xml:space="preserve">1.10 — Proven / Established</t>
  </si>
  <si>
    <t xml:space="preserve">Language Multiplier</t>
  </si>
  <si>
    <t xml:space="preserve">1.00 — English</t>
  </si>
  <si>
    <t xml:space="preserve">Authority Floor Share</t>
  </si>
  <si>
    <t xml:space="preserve">0.50 — Standard floor</t>
  </si>
  <si>
    <t xml:space="preserve">IRL Appearance Fee (SAR)</t>
  </si>
  <si>
    <t xml:space="preserve">Auto-pulled from selected player's IRL / Appear. column</t>
  </si>
  <si>
    <t xml:space="preserve">AuthorityFactor</t>
  </si>
  <si>
    <t xml:space="preserve">Objective-weighted authority premium</t>
  </si>
  <si>
    <t xml:space="preserve">SocialPrice (pre-floor, pre-add-on)</t>
  </si>
  <si>
    <t xml:space="preserve">BaseFee x Eng x Aud x Season x ContentType x Language x AuthorityFactor</t>
  </si>
  <si>
    <t xml:space="preserve">AuthorityFloor</t>
  </si>
  <si>
    <t xml:space="preserve">IRL Fee x FloorShare x Seasonality x Language x AuthorityFactor</t>
  </si>
  <si>
    <t xml:space="preserve">PreAddOnPrice = MAX(Social, Floor)</t>
  </si>
  <si>
    <t xml:space="preserve">Higher of SocialPrice or AuthorityFloor — floor protects pro pricing</t>
  </si>
  <si>
    <t xml:space="preserve">FINAL ADJUSTED PRICE (SAR)</t>
  </si>
  <si>
    <t xml:space="preserve">Falcons Commission %</t>
  </si>
  <si>
    <t xml:space="preserve">Auto-pulled from player's Commission % · edit to override</t>
  </si>
  <si>
    <t xml:space="preserve">Markup % (on Player Cost)</t>
  </si>
  <si>
    <t xml:space="preserve">Auto-pulled from player's Markup % · edit to override</t>
  </si>
  <si>
    <t xml:space="preserve">Player Cost (SAR)</t>
  </si>
  <si>
    <t xml:space="preserve">What Falcons pays the player</t>
  </si>
  <si>
    <t xml:space="preserve">Falcons Revenue (SAR)</t>
  </si>
  <si>
    <t xml:space="preserve">Falcons earnings on this deal</t>
  </si>
  <si>
    <t xml:space="preserve">Client Price incl. VAT (SAR)</t>
  </si>
  <si>
    <t xml:space="preserve">Final invoice to client (15% VAT)</t>
  </si>
  <si>
    <t xml:space="preserve">Client Price incl. VAT (USD)</t>
  </si>
  <si>
    <t xml:space="preserve">~= USD equivalent</t>
  </si>
  <si>
    <t xml:space="preserve">⚡ HOW THE AUTHORITY FORMULA WORKS — Pricing Logic Explained</t>
  </si>
  <si>
    <t xml:space="preserve">FINAL PRICE  =  MAX(SocialPrice, AuthorityFloor)  x  (1 + Add-on %)</t>
  </si>
  <si>
    <t xml:space="preserve">Where: SocialPrice = BaseFee x Engagement x Audience x Seasonality x ContentType x Language x AuthorityFactor</t>
  </si>
  <si>
    <t xml:space="preserve">And: AuthorityFloor = IRL_Fee x FloorShare x Seasonality x Language x AuthorityFactor</t>
  </si>
  <si>
    <t xml:space="preserve">And: AuthorityFactor = 1 + ObjectiveWeight x (AuthorityMultiplier - 1)</t>
  </si>
  <si>
    <t xml:space="preserve">⚡ KEY PRINCIPLES</t>
  </si>
  <si>
    <t xml:space="preserve">1. Never negotiate below the Base Fee</t>
  </si>
  <si>
    <t xml:space="preserve">2. Engagement beats follower count</t>
  </si>
  <si>
    <t xml:space="preserve">3. MENA / Saudi audiences carry a premium</t>
  </si>
  <si>
    <t xml:space="preserve">4. Ramadan is the highest-value window</t>
  </si>
  <si>
    <t xml:space="preserve">5. Exclusivity must always be charged separately</t>
  </si>
  <si>
    <t xml:space="preserve">📊 GLOBAL BENCHMARK</t>
  </si>
  <si>
    <t xml:space="preserve">⑨ CONTENT TYPE MULTIPLIER — Dedicated vs. Integrated</t>
  </si>
  <si>
    <t xml:space="preserve">Content Type</t>
  </si>
  <si>
    <t xml:space="preserve">Integrated (Player-led)</t>
  </si>
  <si>
    <t xml:space="preserve">Player creates and posts content organically — standard rate</t>
  </si>
  <si>
    <t xml:space="preserve">Dedicated (Brand-led)</t>
  </si>
  <si>
    <t xml:space="preserve">Brand directs the content, dedicated channel focus — +30% premium</t>
  </si>
  <si>
    <t xml:space="preserve">📌 HOW TO USE</t>
  </si>
  <si>
    <t xml:space="preserve">Apply this multiplier on top of the social price when the brand is buying a dedicated post</t>
  </si>
  <si>
    <t xml:space="preserve">(i.e. brand controls the creative, the post is 100% focused on the brand, not organically integrated)</t>
  </si>
  <si>
    <t xml:space="preserve">ADD-ON RIGHTS PACKAGES</t>
  </si>
  <si>
    <t xml:space="preserve">Select applicable add-ons and sum the uplift percentages  ·  Enter total in cell C35 of the Live Calculator (02_Adjustment_Matrix)</t>
  </si>
  <si>
    <t xml:space="preserve">RIGHTS PACKAGES — PRICE UPLIFT TABLE</t>
  </si>
  <si>
    <t xml:space="preserve">Add-on Type</t>
  </si>
  <si>
    <t xml:space="preserve">Uplift %</t>
  </si>
  <si>
    <t xml:space="preserve">Organic Repost — Min</t>
  </si>
  <si>
    <t xml:space="preserve">Single repost, 1 month</t>
  </si>
  <si>
    <t xml:space="preserve">Organic Repost — Std</t>
  </si>
  <si>
    <t xml:space="preserve">3-5 reposts, 3 months</t>
  </si>
  <si>
    <t xml:space="preserve">Organic Repost — Max</t>
  </si>
  <si>
    <t xml:space="preserve">Unlimited + takeover, 6 months</t>
  </si>
  <si>
    <t xml:space="preserve">Paid Usage — Min</t>
  </si>
  <si>
    <t xml:space="preserve">Limited, SAR 25K cap</t>
  </si>
  <si>
    <t xml:space="preserve">Paid Usage — Std</t>
  </si>
  <si>
    <t xml:space="preserve">Standard, SAR 75K cap</t>
  </si>
  <si>
    <t xml:space="preserve">Paid Usage — Max</t>
  </si>
  <si>
    <t xml:space="preserve">Unlimited paid media</t>
  </si>
  <si>
    <t xml:space="preserve">Whitelisting — Std</t>
  </si>
  <si>
    <t xml:space="preserve">30 days, single platform</t>
  </si>
  <si>
    <t xml:space="preserve">Whitelisting — Extended</t>
  </si>
  <si>
    <t xml:space="preserve">90 days, multi-platform</t>
  </si>
  <si>
    <t xml:space="preserve">Whitelisting — Premium</t>
  </si>
  <si>
    <t xml:space="preserve">180 days, dark posts included</t>
  </si>
  <si>
    <t xml:space="preserve">Territory — MENA</t>
  </si>
  <si>
    <t xml:space="preserve">MENA rights, 3 months</t>
  </si>
  <si>
    <t xml:space="preserve">Territory — Global</t>
  </si>
  <si>
    <t xml:space="preserve">Worldwide, 6 months</t>
  </si>
  <si>
    <t xml:space="preserve">Exclusivity — Category</t>
  </si>
  <si>
    <t xml:space="preserve">Exclusive category, 12 months</t>
  </si>
  <si>
    <t xml:space="preserve">Exclusivity — Full</t>
  </si>
  <si>
    <t xml:space="preserve">Full exclusivity, 12 months</t>
  </si>
  <si>
    <t xml:space="preserve">BUNDLE PRESETS — READY TO PITCH</t>
  </si>
  <si>
    <t xml:space="preserve">Bundle Tier</t>
  </si>
  <si>
    <t xml:space="preserve">Included Add-ons</t>
  </si>
  <si>
    <t xml:space="preserve">Total Uplift</t>
  </si>
  <si>
    <t xml:space="preserve">Basic</t>
  </si>
  <si>
    <t xml:space="preserve">Organic Repost Min</t>
  </si>
  <si>
    <t xml:space="preserve">15%</t>
  </si>
  <si>
    <t xml:space="preserve">Standard</t>
  </si>
  <si>
    <t xml:space="preserve">Organic Repost Std + Paid Usage Min</t>
  </si>
  <si>
    <t xml:space="preserve">60%</t>
  </si>
  <si>
    <t xml:space="preserve">Premium</t>
  </si>
  <si>
    <t xml:space="preserve">Organic Repost Max + Paid Usage Std + MENA Territory</t>
  </si>
  <si>
    <t xml:space="preserve">115%</t>
  </si>
  <si>
    <t xml:space="preserve">Full</t>
  </si>
  <si>
    <t xml:space="preserve">Organic Max + Paid Max + Whitelisting Std + MENA Territory</t>
  </si>
  <si>
    <t xml:space="preserve">170%</t>
  </si>
  <si>
    <t xml:space="preserve">Exclusive</t>
  </si>
  <si>
    <t xml:space="preserve">All above + Category Exclusivity (12 months)</t>
  </si>
  <si>
    <t xml:space="preserve">320%</t>
  </si>
  <si>
    <t xml:space="preserve">⑥ ADD-ON TOGGLE GRID  ·  flip to Yes to include in live calculator</t>
  </si>
  <si>
    <t xml:space="preserve">Include?</t>
  </si>
  <si>
    <t xml:space="preserve">Add-On / Rights</t>
  </si>
  <si>
    <t xml:space="preserve">No</t>
  </si>
  <si>
    <t xml:space="preserve">Paid Usage 30d MENA</t>
  </si>
  <si>
    <t xml:space="preserve">Media spend boost, MENA region, 30 days</t>
  </si>
  <si>
    <t xml:space="preserve">Paid Usage 30d Global</t>
  </si>
  <si>
    <t xml:space="preserve">Media spend boost, Global, 30 days</t>
  </si>
  <si>
    <t xml:space="preserve">Paid Usage 60d MENA</t>
  </si>
  <si>
    <t xml:space="preserve">Media spend boost, MENA region, 60 days</t>
  </si>
  <si>
    <t xml:space="preserve">Paid Usage 60d Global</t>
  </si>
  <si>
    <t xml:space="preserve">Media spend boost, Global, 60 days</t>
  </si>
  <si>
    <t xml:space="preserve">Paid Usage 90d MENA</t>
  </si>
  <si>
    <t xml:space="preserve">Media spend boost, MENA region, 90 days</t>
  </si>
  <si>
    <t xml:space="preserve">Paid Usage 90d Global</t>
  </si>
  <si>
    <t xml:space="preserve">Media spend boost, Global, 90 days</t>
  </si>
  <si>
    <t xml:space="preserve">Whitelisting / Spark Ads</t>
  </si>
  <si>
    <t xml:space="preserve">Enable brand to run Spark Ads from talent handle</t>
  </si>
  <si>
    <t xml:space="preserve">Exclusivity 30d (category)</t>
  </si>
  <si>
    <t xml:space="preserve">No competing brand in category for 30 days</t>
  </si>
  <si>
    <t xml:space="preserve">Exclusivity 90d (category)</t>
  </si>
  <si>
    <t xml:space="preserve">No competing brand in category for 90 days</t>
  </si>
  <si>
    <t xml:space="preserve">Brand Lockup / Logo Usage</t>
  </si>
  <si>
    <t xml:space="preserve">Talent image + brand lockup for OOH/print</t>
  </si>
  <si>
    <t xml:space="preserve">Licensing (image, 1 year)</t>
  </si>
  <si>
    <t xml:space="preserve">Likeness license for brand assets, 12 months</t>
  </si>
  <si>
    <t xml:space="preserve">Dedicated Content (non-integrated)</t>
  </si>
  <si>
    <t xml:space="preserve">Stand-alone brand content, not integration</t>
  </si>
  <si>
    <t xml:space="preserve">Event Appearance bundle</t>
  </si>
  <si>
    <t xml:space="preserve">IRL appearance beyond scope (+ travel if intl.)</t>
  </si>
  <si>
    <t xml:space="preserve">Rush / &lt;72h turnaround</t>
  </si>
  <si>
    <t xml:space="preserve">Delivery under 72 hours</t>
  </si>
  <si>
    <t xml:space="preserve">Cross-post to Team Falcons org</t>
  </si>
  <si>
    <t xml:space="preserve">Re-post from official Team Falcons channels</t>
  </si>
  <si>
    <t xml:space="preserve">TOTAL UPLIFT</t>
  </si>
  <si>
    <t xml:space="preserve">→ pulled into 03_Adjustment_Matrix D66 (Add-on Uplift)</t>
  </si>
  <si>
    <t xml:space="preserve">Prepared by:</t>
  </si>
  <si>
    <t xml:space="preserve">Abdalrahman</t>
  </si>
  <si>
    <t xml:space="preserve">Approved by:</t>
  </si>
  <si>
    <t xml:space="preserve">TBD</t>
  </si>
  <si>
    <t xml:space="preserve">Date:</t>
  </si>
  <si>
    <t xml:space="preserve">14/04/2026</t>
  </si>
  <si>
    <t xml:space="preserve">Quote #:</t>
  </si>
  <si>
    <t xml:space="preserve">QT-20260414-477</t>
  </si>
  <si>
    <t xml:space="preserve">Client:</t>
  </si>
  <si>
    <t xml:space="preserve">asdasd</t>
  </si>
  <si>
    <t xml:space="preserve">Currency:</t>
  </si>
  <si>
    <t xml:space="preserve">SAR</t>
  </si>
  <si>
    <t xml:space="preserve">  Description</t>
  </si>
  <si>
    <t xml:space="preserve">Unit Cost (SAR)</t>
  </si>
  <si>
    <t xml:space="preserve">Qty</t>
  </si>
  <si>
    <t xml:space="preserve">Amount (SAR)</t>
  </si>
  <si>
    <t xml:space="preserve">  ImperialHal — IG Static  [Dedicated (Brand-led)]</t>
  </si>
  <si>
    <t xml:space="preserve">SAR 5,980</t>
  </si>
  <si>
    <t xml:space="preserve">  Skiter — Twitch Integration  [Dedicated (Brand-led)]</t>
  </si>
  <si>
    <t xml:space="preserve">SAR 4,420</t>
  </si>
  <si>
    <t xml:space="preserve">  Special notes and instructions</t>
  </si>
  <si>
    <t xml:space="preserve">SUBTOTAL</t>
  </si>
  <si>
    <t xml:space="preserve">SAR 10,400</t>
  </si>
  <si>
    <t xml:space="preserve">asdsddsadsaf</t>
  </si>
  <si>
    <t xml:space="preserve">(TAX RATE)</t>
  </si>
  <si>
    <t xml:space="preserve">TAX</t>
  </si>
  <si>
    <t xml:space="preserve">SAR 1,560</t>
  </si>
  <si>
    <t xml:space="preserve">TOTAL</t>
  </si>
  <si>
    <t xml:space="preserve">SAR 11,960</t>
  </si>
  <si>
    <t xml:space="preserve">  PRICING MULTIPLIERS BREAKDOWN</t>
  </si>
  <si>
    <t xml:space="preserve">  Multiplier</t>
  </si>
  <si>
    <t xml:space="preserve">Selected Value</t>
  </si>
  <si>
    <t xml:space="preserve">Factor</t>
  </si>
  <si>
    <t xml:space="preserve">Impact</t>
  </si>
  <si>
    <t xml:space="preserve">  ① Content Type</t>
  </si>
  <si>
    <t xml:space="preserve">1.30×</t>
  </si>
  <si>
    <t xml:space="preserve">▲ Premium</t>
  </si>
  <si>
    <t xml:space="preserve">  ② Engagement Rate</t>
  </si>
  <si>
    <t xml:space="preserve">4% – 6% (1×)</t>
  </si>
  <si>
    <t xml:space="preserve">1.00×</t>
  </si>
  <si>
    <t xml:space="preserve">— Baseline</t>
  </si>
  <si>
    <t xml:space="preserve">  ③ Audience Quality</t>
  </si>
  <si>
    <t xml:space="preserve">Gaming-adjacent (1×)</t>
  </si>
  <si>
    <t xml:space="preserve">  ④ Seasonality</t>
  </si>
  <si>
    <t xml:space="preserve">Regular season (1×)</t>
  </si>
  <si>
    <t xml:space="preserve">  ⑤ Language</t>
  </si>
  <si>
    <t xml:space="preserve">English (1×)</t>
  </si>
  <si>
    <t xml:space="preserve">  ⑥ Authority Level</t>
  </si>
  <si>
    <t xml:space="preserve">Normal (1×)</t>
  </si>
  <si>
    <t xml:space="preserve">  ⑦ Campaign Objective</t>
  </si>
  <si>
    <t xml:space="preserve">Awareness (Wt 0.2)</t>
  </si>
  <si>
    <t xml:space="preserve">  COMBINED PRICE MULTIPLIER</t>
  </si>
  <si>
    <t xml:space="preserve">1.300×</t>
  </si>
  <si>
    <t xml:space="preserve">Applied to Base Fee</t>
  </si>
  <si>
    <t xml:space="preserve">Formula: Base Fee × ContentType × Engagement × Audience × Seasonality × Language × AuthorityFactor + Add-On Uplifts</t>
  </si>
  <si>
    <t xml:space="preserve">King Abdulaziz Road, Riyadh, Saudi Arabia, Al-Yasmeen District
Phone: +966 53370 4233  |  Sales@falcons.sa  |  store.falcons.sa</t>
  </si>
  <si>
    <t xml:space="preserve">[INTERNAL]  ImperialHal: 15% comm  |  Skiter: 75% comm</t>
  </si>
  <si>
    <t xml:space="preserve">QUOTE LOG — ARCHIVE OF ISSUED QUOTES</t>
  </si>
  <si>
    <t xml:space="preserve">Every quote issued to a client is logged here. Apps Script writes new rows automatically.</t>
  </si>
  <si>
    <t xml:space="preserve">Quote ID</t>
  </si>
  <si>
    <t xml:space="preserve">Date</t>
  </si>
  <si>
    <t xml:space="preserve">Client</t>
  </si>
  <si>
    <t xml:space="preserve">Campaign</t>
  </si>
  <si>
    <t xml:space="preserve">Owner</t>
  </si>
  <si>
    <t xml:space="preserve">Currency</t>
  </si>
  <si>
    <t xml:space="preserve"># Lines</t>
  </si>
  <si>
    <t xml:space="preserve">Subtotal</t>
  </si>
  <si>
    <t xml:space="preserve">Add-Ons %</t>
  </si>
  <si>
    <t xml:space="preserve">Pre-VAT</t>
  </si>
  <si>
    <t xml:space="preserve">VAT</t>
  </si>
  <si>
    <t xml:space="preserve">Confidence</t>
  </si>
  <si>
    <t xml:space="preserve">Sheet Name</t>
  </si>
  <si>
    <t xml:space="preserve">TF-Q-20260418-001</t>
  </si>
  <si>
    <t xml:space="preserve">2026-04-18</t>
  </si>
  <si>
    <t xml:space="preserve">Aramco Digital</t>
  </si>
  <si>
    <t xml:space="preserve">Ramadan 2026</t>
  </si>
  <si>
    <t xml:space="preserve">commercial@teamfalcons.gg</t>
  </si>
  <si>
    <t xml:space="preserve">10%</t>
  </si>
  <si>
    <t xml:space="preserve">estimated</t>
  </si>
  <si>
    <t xml:space="preserve">Quote_TF-Q-20260418-001</t>
  </si>
  <si>
    <t xml:space="preserve">A (Key)</t>
  </si>
  <si>
    <t xml:space="preserve">B (Value)</t>
  </si>
  <si>
    <t xml:space="preserve">output_folder_id</t>
  </si>
  <si>
    <t xml:space="preserve">(Drive folder ID where PDFs go)</t>
  </si>
  <si>
    <t xml:space="preserve">legal_approver_email</t>
  </si>
  <si>
    <t xml:space="preserve">legal@…</t>
  </si>
  <si>
    <t xml:space="preserve">finance_approver_email</t>
  </si>
  <si>
    <t xml:space="preserve">finance@…</t>
  </si>
  <si>
    <t xml:space="preserve">client_email</t>
  </si>
  <si>
    <t xml:space="preserve">(optional default)</t>
  </si>
  <si>
    <t xml:space="preserve">approval_secret</t>
  </si>
  <si>
    <t xml:space="preserve">(any random word like falcons2026)</t>
  </si>
  <si>
    <t xml:space="preserve">09 — MARKET BENCHMARKS &amp; COMPETITIVE INTELLIGENCE 2025/2026</t>
  </si>
  <si>
    <t xml:space="preserve">Industry rate benchmarks, multiplier standards, and competitive positioning for Team Falcons talent monetisation</t>
  </si>
  <si>
    <t xml:space="preserve">SECTION 1 — GLOBAL TIER 1 ESPORTS ORG BENCHMARKS</t>
  </si>
  <si>
    <t xml:space="preserve">Organisation</t>
  </si>
  <si>
    <t xml:space="preserve">Region</t>
  </si>
  <si>
    <t xml:space="preserve">Avg Followers (Key Talent)</t>
  </si>
  <si>
    <t xml:space="preserve">Avg Base Fee / Post (USD)</t>
  </si>
  <si>
    <t xml:space="preserve">Avg Stream Deal (USD)</t>
  </si>
  <si>
    <t xml:space="preserve">Avg Annual Sponsorship (USD)</t>
  </si>
  <si>
    <t xml:space="preserve">Exclusivity Premium</t>
  </si>
  <si>
    <t xml:space="preserve">Engagement Benchmark</t>
  </si>
  <si>
    <t xml:space="preserve">Source / Notes</t>
  </si>
  <si>
    <t xml:space="preserve">T1 Esports</t>
  </si>
  <si>
    <t xml:space="preserve">Global</t>
  </si>
  <si>
    <t xml:space="preserve">2M–8M</t>
  </si>
  <si>
    <t xml:space="preserve">$8,000–$25,000</t>
  </si>
  <si>
    <t xml:space="preserve">$20,000–$80,000</t>
  </si>
  <si>
    <t xml:space="preserve">$500K–$2M</t>
  </si>
  <si>
    <t xml:space="preserve">'+50-100%</t>
  </si>
  <si>
    <t xml:space="preserve">4–7% avg ER</t>
  </si>
  <si>
    <t xml:space="preserve">Newzoo 2025; public deal disclosures</t>
  </si>
  <si>
    <t xml:space="preserve">FaZe Clan</t>
  </si>
  <si>
    <t xml:space="preserve">3M–15M</t>
  </si>
  <si>
    <t xml:space="preserve">$10,000–$40,000</t>
  </si>
  <si>
    <t xml:space="preserve">$30,000–$120,000</t>
  </si>
  <si>
    <t xml:space="preserve">$1M–$5M</t>
  </si>
  <si>
    <t xml:space="preserve">'+40-75%</t>
  </si>
  <si>
    <t xml:space="preserve">3–6% avg ER</t>
  </si>
  <si>
    <t xml:space="preserve">Newzoo 2025; SEC filing data</t>
  </si>
  <si>
    <t xml:space="preserve">Natus Vincere (NaVi)</t>
  </si>
  <si>
    <t xml:space="preserve">EMEA</t>
  </si>
  <si>
    <t xml:space="preserve">1M–5M</t>
  </si>
  <si>
    <t xml:space="preserve">$5,000–$20,000</t>
  </si>
  <si>
    <t xml:space="preserve">$15,000–$60,000</t>
  </si>
  <si>
    <t xml:space="preserve">$300K–$1.5M</t>
  </si>
  <si>
    <t xml:space="preserve">'+35-60%</t>
  </si>
  <si>
    <t xml:space="preserve">4–8% avg ER</t>
  </si>
  <si>
    <t xml:space="preserve">Shikenso Esports Sponsorship Report 2025</t>
  </si>
  <si>
    <t xml:space="preserve">Fnatic</t>
  </si>
  <si>
    <t xml:space="preserve">500K–3M</t>
  </si>
  <si>
    <t xml:space="preserve">$4,000–$15,000</t>
  </si>
  <si>
    <t xml:space="preserve">$10,000–$45,000</t>
  </si>
  <si>
    <t xml:space="preserve">$200K–$800K</t>
  </si>
  <si>
    <t xml:space="preserve">'+30-50%</t>
  </si>
  <si>
    <t xml:space="preserve">5–9% avg ER</t>
  </si>
  <si>
    <t xml:space="preserve">Influencity 2026 Rate Benchmarks</t>
  </si>
  <si>
    <t xml:space="preserve">Cloud9</t>
  </si>
  <si>
    <t xml:space="preserve">NA</t>
  </si>
  <si>
    <t xml:space="preserve">1M–6M</t>
  </si>
  <si>
    <t xml:space="preserve">$6,000–$22,000</t>
  </si>
  <si>
    <t xml:space="preserve">$18,000–$70,000</t>
  </si>
  <si>
    <t xml:space="preserve">$400K–$1.8M</t>
  </si>
  <si>
    <t xml:space="preserve">Nielsen Esports Audience Report 2025</t>
  </si>
  <si>
    <t xml:space="preserve">100 Thieves</t>
  </si>
  <si>
    <t xml:space="preserve">500K–4M</t>
  </si>
  <si>
    <t xml:space="preserve">$5,000–$18,000</t>
  </si>
  <si>
    <t xml:space="preserve">$15,000–$55,000</t>
  </si>
  <si>
    <t xml:space="preserve">$350K–$1.2M</t>
  </si>
  <si>
    <t xml:space="preserve">'+40-70%</t>
  </si>
  <si>
    <t xml:space="preserve">5–10% avg ER</t>
  </si>
  <si>
    <t xml:space="preserve">Porter Wills Esports Marketing Guide 2025</t>
  </si>
  <si>
    <t xml:space="preserve">SECTION 2 — MENA ESPORTS ORG BENCHMARKS</t>
  </si>
  <si>
    <t xml:space="preserve">Avg Base Fee / Post (SAR)</t>
  </si>
  <si>
    <t xml:space="preserve">Avg Stream Deal (SAR)</t>
  </si>
  <si>
    <t xml:space="preserve">Avg Annual Sponsorship (SAR)</t>
  </si>
  <si>
    <t xml:space="preserve">KSA / MENA</t>
  </si>
  <si>
    <t xml:space="preserve">200K–2M</t>
  </si>
  <si>
    <t xml:space="preserve">SAR 8,000–60,000</t>
  </si>
  <si>
    <t xml:space="preserve">SAR 20,000–120,000</t>
  </si>
  <si>
    <t xml:space="preserve">SAR 500K–2M</t>
  </si>
  <si>
    <t xml:space="preserve">5–12% avg ER</t>
  </si>
  <si>
    <t xml:space="preserve">Internal Falcons data 2025; Newzoo MENA Report</t>
  </si>
  <si>
    <t xml:space="preserve">Nasr Esports</t>
  </si>
  <si>
    <t xml:space="preserve">100K–800K</t>
  </si>
  <si>
    <t xml:space="preserve">SAR 5,000–30,000</t>
  </si>
  <si>
    <t xml:space="preserve">SAR 12,000–60,000</t>
  </si>
  <si>
    <t xml:space="preserve">SAR 200K–800K</t>
  </si>
  <si>
    <t xml:space="preserve">4–9% avg ER</t>
  </si>
  <si>
    <t xml:space="preserve">Shikenso MENA Esports Report 2025</t>
  </si>
  <si>
    <t xml:space="preserve">GE Wolves</t>
  </si>
  <si>
    <t xml:space="preserve">MENA</t>
  </si>
  <si>
    <t xml:space="preserve">50K–400K</t>
  </si>
  <si>
    <t xml:space="preserve">SAR 3,000–15,000</t>
  </si>
  <si>
    <t xml:space="preserve">SAR 8,000–35,000</t>
  </si>
  <si>
    <t xml:space="preserve">SAR 100K–400K</t>
  </si>
  <si>
    <t xml:space="preserve">'+25-40%</t>
  </si>
  <si>
    <t xml:space="preserve">Influencity MENA 2025</t>
  </si>
  <si>
    <t xml:space="preserve">Twisted Minds</t>
  </si>
  <si>
    <t xml:space="preserve">KSA</t>
  </si>
  <si>
    <t xml:space="preserve">80K–500K</t>
  </si>
  <si>
    <t xml:space="preserve">SAR 4,000–20,000</t>
  </si>
  <si>
    <t xml:space="preserve">SAR 10,000–45,000</t>
  </si>
  <si>
    <t xml:space="preserve">SAR 150K–500K</t>
  </si>
  <si>
    <t xml:space="preserve">'+25-45%</t>
  </si>
  <si>
    <t xml:space="preserve">6–11% avg ER</t>
  </si>
  <si>
    <t xml:space="preserve">Internal market intelligence 2025</t>
  </si>
  <si>
    <t xml:space="preserve">Galaxy Racer</t>
  </si>
  <si>
    <t xml:space="preserve">UAE / MENA</t>
  </si>
  <si>
    <t xml:space="preserve">100K–1M</t>
  </si>
  <si>
    <t xml:space="preserve">SAR 4,500–22,000</t>
  </si>
  <si>
    <t xml:space="preserve">SAR 11,000–50,000</t>
  </si>
  <si>
    <t xml:space="preserve">SAR 180K–600K</t>
  </si>
  <si>
    <t xml:space="preserve">Newzoo MENA 2025</t>
  </si>
  <si>
    <t xml:space="preserve">Team Vitality (MENA)</t>
  </si>
  <si>
    <t xml:space="preserve">200K–1.5M</t>
  </si>
  <si>
    <t xml:space="preserve">SAR 6,000–35,000</t>
  </si>
  <si>
    <t xml:space="preserve">SAR 15,000–70,000</t>
  </si>
  <si>
    <t xml:space="preserve">SAR 250K–900K</t>
  </si>
  <si>
    <t xml:space="preserve">Shikenso Esports Report 2025</t>
  </si>
  <si>
    <t xml:space="preserve">SECTION 3 — PLATFORM RATE BENCHMARKS (Industry Standard CPM / CPE)</t>
  </si>
  <si>
    <t xml:space="preserve">Platform</t>
  </si>
  <si>
    <t xml:space="preserve">Nano (1K–10K)</t>
  </si>
  <si>
    <t xml:space="preserve">Micro (10K–100K)</t>
  </si>
  <si>
    <t xml:space="preserve">Mid (100K–1M)</t>
  </si>
  <si>
    <t xml:space="preserve">Macro (1M–5M)</t>
  </si>
  <si>
    <t xml:space="preserve">Mega (5M+)</t>
  </si>
  <si>
    <t xml:space="preserve">Min Engagement Req.</t>
  </si>
  <si>
    <t xml:space="preserve">Avg CPM (Gaming Niche)</t>
  </si>
  <si>
    <t xml:space="preserve">Notes / Source</t>
  </si>
  <si>
    <t xml:space="preserve">Reel (60s)</t>
  </si>
  <si>
    <t xml:space="preserve">$200–$1,000</t>
  </si>
  <si>
    <t xml:space="preserve">$1,000–$5,000</t>
  </si>
  <si>
    <t xml:space="preserve">$5,000–$15,000</t>
  </si>
  <si>
    <t xml:space="preserve">$15,000–$50,000</t>
  </si>
  <si>
    <t xml:space="preserve">$50,000+</t>
  </si>
  <si>
    <t xml:space="preserve">Min 3% ER</t>
  </si>
  <si>
    <t xml:space="preserve">$8–$15 CPM</t>
  </si>
  <si>
    <t xml:space="preserve">Reels outperform static 3:1 for brand recall in gaming. Source: Influencity 2026</t>
  </si>
  <si>
    <t xml:space="preserve">Static Post</t>
  </si>
  <si>
    <t xml:space="preserve">$150–$800</t>
  </si>
  <si>
    <t xml:space="preserve">$800–$4,000</t>
  </si>
  <si>
    <t xml:space="preserve">$4,000–$12,000</t>
  </si>
  <si>
    <t xml:space="preserve">$12,000–$40,000</t>
  </si>
  <si>
    <t xml:space="preserve">$40,000+</t>
  </si>
  <si>
    <t xml:space="preserve">Min 2% ER</t>
  </si>
  <si>
    <t xml:space="preserve">$5–$10 CPM</t>
  </si>
  <si>
    <t xml:space="preserve">Static posts declining vs Reels. Use for product shots. Source: Influencity 2026</t>
  </si>
  <si>
    <t xml:space="preserve">Branded Video</t>
  </si>
  <si>
    <t xml:space="preserve">$300–$1,500</t>
  </si>
  <si>
    <t xml:space="preserve">$1,500–$6,000</t>
  </si>
  <si>
    <t xml:space="preserve">$6,000–$20,000</t>
  </si>
  <si>
    <t xml:space="preserve">$20,000–$60,000</t>
  </si>
  <si>
    <t xml:space="preserve">$60,000+</t>
  </si>
  <si>
    <t xml:space="preserve">Min 5% ER</t>
  </si>
  <si>
    <t xml:space="preserve">$10–$20 CPM</t>
  </si>
  <si>
    <t xml:space="preserve">TikTok commands 20–40% premium over IG in MENA. Source: Nielsen 2025</t>
  </si>
  <si>
    <t xml:space="preserve">Integration (30s)</t>
  </si>
  <si>
    <t xml:space="preserve">$500–$2,000</t>
  </si>
  <si>
    <t xml:space="preserve">$2,000–$8,000</t>
  </si>
  <si>
    <t xml:space="preserve">$25,000–$80,000</t>
  </si>
  <si>
    <t xml:space="preserve">$80,000+</t>
  </si>
  <si>
    <t xml:space="preserve">Min 1% ER</t>
  </si>
  <si>
    <t xml:space="preserve">$15–$30 CPM</t>
  </si>
  <si>
    <t xml:space="preserve">Highest brand recall (72% vs 45% social posts). Source: Nielsen Esports 2025</t>
  </si>
  <si>
    <t xml:space="preserve">Short (&lt;60s)</t>
  </si>
  <si>
    <t xml:space="preserve">$1,000–$4,000</t>
  </si>
  <si>
    <t xml:space="preserve">$12,000–$35,000</t>
  </si>
  <si>
    <t xml:space="preserve">$35,000+</t>
  </si>
  <si>
    <t xml:space="preserve">$8–$18 CPM</t>
  </si>
  <si>
    <t xml:space="preserve">YouTube Shorts growing rapidly in MENA. Source: Newzoo 2025</t>
  </si>
  <si>
    <t xml:space="preserve">Stream Integration (2h)</t>
  </si>
  <si>
    <t xml:space="preserve">$15,000–$40,000</t>
  </si>
  <si>
    <t xml:space="preserve">$40,000–$100,000</t>
  </si>
  <si>
    <t xml:space="preserve">$100,000+</t>
  </si>
  <si>
    <t xml:space="preserve">Min 500 avg viewers</t>
  </si>
  <si>
    <t xml:space="preserve">$5–$15 CPM</t>
  </si>
  <si>
    <t xml:space="preserve">Rates based on concurrent viewership not followers. Source: StreamElements 2025</t>
  </si>
  <si>
    <t xml:space="preserve">X (Twitter)</t>
  </si>
  <si>
    <t xml:space="preserve">Sponsored Post</t>
  </si>
  <si>
    <t xml:space="preserve">$100–$500</t>
  </si>
  <si>
    <t xml:space="preserve">$2,000–$6,000</t>
  </si>
  <si>
    <t xml:space="preserve">$20,000+</t>
  </si>
  <si>
    <t xml:space="preserve">$3–$8 CPM</t>
  </si>
  <si>
    <t xml:space="preserve">X declining in brand value post-rebrand. Use for real-time only. Source: Influencity 2026</t>
  </si>
  <si>
    <t xml:space="preserve">SECTION 4 — MULTIPLIER BENCHMARKS (Industry Standard vs Team Falcons)</t>
  </si>
  <si>
    <t xml:space="preserve">Multiplier Type</t>
  </si>
  <si>
    <t xml:space="preserve">Industry Low</t>
  </si>
  <si>
    <t xml:space="preserve">Industry Standard</t>
  </si>
  <si>
    <t xml:space="preserve">Industry High</t>
  </si>
  <si>
    <t xml:space="preserve">Team Falcons Rate</t>
  </si>
  <si>
    <t xml:space="preserve">Variance vs Industry</t>
  </si>
  <si>
    <t xml:space="preserve">Recommendation</t>
  </si>
  <si>
    <t xml:space="preserve">Source</t>
  </si>
  <si>
    <t xml:space="preserve">Exclusivity (30 days)</t>
  </si>
  <si>
    <t xml:space="preserve">At standard</t>
  </si>
  <si>
    <t xml:space="preserve">Influencity 2026; Porter Wills Guide</t>
  </si>
  <si>
    <t xml:space="preserve">Exclusivity (90 days)</t>
  </si>
  <si>
    <t xml:space="preserve">Below standard — gap of 10%</t>
  </si>
  <si>
    <t xml:space="preserve">Influencity 2026; Shikenso 2025</t>
  </si>
  <si>
    <t xml:space="preserve">Rush Fee (&lt;72h)</t>
  </si>
  <si>
    <t xml:space="preserve">Below standard — gap of 5%</t>
  </si>
  <si>
    <t xml:space="preserve">Internal benchmark; Influencity 2026</t>
  </si>
  <si>
    <t xml:space="preserve">Usage Rights (6 months)</t>
  </si>
  <si>
    <t xml:space="preserve">Porter Wills Esports Guide 2025</t>
  </si>
  <si>
    <t xml:space="preserve">Usage Rights (12 months)</t>
  </si>
  <si>
    <t xml:space="preserve">Whitelist / Dark Post</t>
  </si>
  <si>
    <t xml:space="preserve">Influencity 2026</t>
  </si>
  <si>
    <t xml:space="preserve">Ramadan Premium (MENA)</t>
  </si>
  <si>
    <t xml:space="preserve">Newzoo MENA 2025; Internal data</t>
  </si>
  <si>
    <t xml:space="preserve">SECTION 5 — TEAM FALCONS COMPETITIVE POSITIONING</t>
  </si>
  <si>
    <t xml:space="preserve">Metric</t>
  </si>
  <si>
    <t xml:space="preserve">MENA Average</t>
  </si>
  <si>
    <t xml:space="preserve">Global Tier 1</t>
  </si>
  <si>
    <t xml:space="preserve">Gap vs MENA</t>
  </si>
  <si>
    <t xml:space="preserve">Gap vs Global</t>
  </si>
  <si>
    <t xml:space="preserve">Action Required</t>
  </si>
  <si>
    <t xml:space="preserve">Roster Size</t>
  </si>
  <si>
    <t xml:space="preserve">188 entries (131 players, 6 influencers, 51 staff)</t>
  </si>
  <si>
    <t xml:space="preserve">80–120 players</t>
  </si>
  <si>
    <t xml:space="preserve">150–200 players</t>
  </si>
  <si>
    <t xml:space="preserve">Above MENA avg (+78%)</t>
  </si>
  <si>
    <t xml:space="preserve">Above global avg</t>
  </si>
  <si>
    <t xml:space="preserve">Leverage scale — offer multi-player bundle packages</t>
  </si>
  <si>
    <t xml:space="preserve">Game Coverage</t>
  </si>
  <si>
    <t xml:space="preserve">23 titles</t>
  </si>
  <si>
    <t xml:space="preserve">10–15 titles</t>
  </si>
  <si>
    <t xml:space="preserve">15–20 titles</t>
  </si>
  <si>
    <t xml:space="preserve">Above MENA avg</t>
  </si>
  <si>
    <t xml:space="preserve">Position as one-stop-shop for brand esports activations</t>
  </si>
  <si>
    <t xml:space="preserve">Avg Base Fee (Tier 1)</t>
  </si>
  <si>
    <t xml:space="preserve">SAR 15,000 (~$4,000)</t>
  </si>
  <si>
    <t xml:space="preserve">SAR 8,000–12,000</t>
  </si>
  <si>
    <t xml:space="preserve">Below global Tier 1</t>
  </si>
  <si>
    <t xml:space="preserve">Justified for MENA market. Increase for global brand pitches.</t>
  </si>
  <si>
    <t xml:space="preserve">Exclusivity Rates</t>
  </si>
  <si>
    <t xml:space="preserve">35–40% uplift</t>
  </si>
  <si>
    <t xml:space="preserve">25–35% uplift</t>
  </si>
  <si>
    <t xml:space="preserve">40–75% uplift</t>
  </si>
  <si>
    <t xml:space="preserve">At/above MENA</t>
  </si>
  <si>
    <t xml:space="preserve">Below global standard</t>
  </si>
  <si>
    <t xml:space="preserve">Increase exclusivity floor to +40% across all tiers</t>
  </si>
  <si>
    <t xml:space="preserve">20% uplift</t>
  </si>
  <si>
    <t xml:space="preserve">15–20% uplift</t>
  </si>
  <si>
    <t xml:space="preserve">At MENA avg</t>
  </si>
  <si>
    <t xml:space="preserve">Standardise rush fee at +30% minimum</t>
  </si>
  <si>
    <t xml:space="preserve">SECTION 6 — BASE FEE PRICING METHODOLOGY (World-Class Standard)</t>
  </si>
  <si>
    <t xml:space="preserve">How to set the base fee — the industry-standard 3-input model used by WME, CAA, and top esports agencies</t>
  </si>
  <si>
    <t xml:space="preserve">Formula Component</t>
  </si>
  <si>
    <t xml:space="preserve">1. Audience Reach (CPM)</t>
  </si>
  <si>
    <t xml:space="preserve">Base = (Followers x Avg Reach Rate x CPM) / 1000</t>
  </si>
  <si>
    <t xml:space="preserve">2. Engagement Value (CPE)</t>
  </si>
  <si>
    <t xml:space="preserve">Base = Total Engagements x CPE Rate</t>
  </si>
  <si>
    <t xml:space="preserve">3. Market Comparables</t>
  </si>
  <si>
    <t xml:space="preserve">Base = Comparable talent rate +/- adjustment</t>
  </si>
  <si>
    <t xml:space="preserve">4. Final Base Fee</t>
  </si>
  <si>
    <t xml:space="preserve">Base Fee = MAX(CPM model, CPE model, Comparable model)</t>
  </si>
  <si>
    <t xml:space="preserve">Take the highest of the 3 inputs as your floor. Never go below this floor.</t>
  </si>
  <si>
    <t xml:space="preserve">Never price below the floor — it devalues the talent</t>
  </si>
  <si>
    <t xml:space="preserve">This is the BASE before any multipliers. Multipliers are applied on top.</t>
  </si>
  <si>
    <t xml:space="preserve">5. Sanity Check</t>
  </si>
  <si>
    <t xml:space="preserve">Final Price / Estimated Impressions = Effective CPM</t>
  </si>
  <si>
    <t xml:space="preserve">Effective CPM should be $10–$30 for gaming. If below $8, you are underpriced.</t>
  </si>
  <si>
    <t xml:space="preserve">Effective CPM $10–$30 for gaming niche</t>
  </si>
  <si>
    <t xml:space="preserve">Run this check on every deal before sending to client.</t>
  </si>
  <si>
    <t xml:space="preserve">KEY INSIGHTS &amp; RECOMMENDATIONS FOR TEAM FALCONS</t>
  </si>
  <si>
    <t xml:space="preserve">1. Bundle Pricing Advantage</t>
  </si>
  <si>
    <t xml:space="preserve">With 214 entries across 23 games, Falcons can offer multi-player, multi-game bundles that no MENA competitor can match. A 5-player bundle should command a 15–20% premium over individual rates summed.</t>
  </si>
  <si>
    <t xml:space="preserve">2. Ramadan Window is Underpriced</t>
  </si>
  <si>
    <t xml:space="preserve">MENA content consumption peaks 3x during Ramadan. Current +35% seasonality multiplier is at the low end of the industry benchmark (+35–50%). Consider increasing to +45% for Tier 1 players.</t>
  </si>
  <si>
    <t xml:space="preserve">3. Exclusivity is Undervalued</t>
  </si>
  <si>
    <t xml:space="preserve">Industry standard for 90-day exclusivity is +50%. Falcons currently charges +40%. Closing this gap on Tier 1 players alone could increase annual revenue by 15–20%.</t>
  </si>
  <si>
    <t xml:space="preserve">4. TikTok Premium Opportunity</t>
  </si>
  <si>
    <t xml:space="preserve">TikTok commands a 20–40% premium over Instagram in MENA. Ensure TikTok rates reflect this — currently priced at near-parity with IG in some tiers.</t>
  </si>
  <si>
    <t xml:space="preserve">5. Esports Influencers Category is High-Growth</t>
  </si>
  <si>
    <t xml:space="preserve">The Esports Influencers in the roster (Bijw, Abo Najd, FMG, etc.) are a premium category. MENA gaming influencers with 500K+ followers command $5,000–$15,000 per post. Ensure their rates reflect this.</t>
  </si>
  <si>
    <t xml:space="preserve">6. Usage Rights are Systematically Underpriced</t>
  </si>
  <si>
    <t xml:space="preserve">Every usage rights tier is below industry standard by 5–10%. A systematic +5% increase across all usage rights tiers would add meaningful revenue with zero additional deliverables.</t>
  </si>
  <si>
    <t xml:space="preserve">DATA SOURCES &amp; METHODOLOGY</t>
  </si>
  <si>
    <t xml:space="preserve">Type</t>
  </si>
  <si>
    <t xml:space="preserve">URL / Reference</t>
  </si>
  <si>
    <t xml:space="preserve">Data Used In</t>
  </si>
  <si>
    <t xml:space="preserve">Newzoo Global Esports &amp; Live Streaming Market Report 2025</t>
  </si>
  <si>
    <t xml:space="preserve">Industry Report</t>
  </si>
  <si>
    <t xml:space="preserve">newzoo.com/reports</t>
  </si>
  <si>
    <t xml:space="preserve">Sections 1, 2, 5 — org benchmarks, MENA market data</t>
  </si>
  <si>
    <t xml:space="preserve">Shikenso Esports Sponsorship ROI Guide 2025</t>
  </si>
  <si>
    <t xml:space="preserve">Agency Report</t>
  </si>
  <si>
    <t xml:space="preserve">shikenso.com/resources</t>
  </si>
  <si>
    <t xml:space="preserve">Sections 1, 2, 4 — sponsorship values, multiplier benchmarks</t>
  </si>
  <si>
    <t xml:space="preserve">Research Report</t>
  </si>
  <si>
    <t xml:space="preserve">nielsen.com/esports</t>
  </si>
  <si>
    <t xml:space="preserve">Sections 3, 4 — CPM benchmarks, brand recall data</t>
  </si>
  <si>
    <t xml:space="preserve">Influencity 2026 Rate Card Benchmarks</t>
  </si>
  <si>
    <t xml:space="preserve">Platform Data</t>
  </si>
  <si>
    <t xml:space="preserve">influencity.com/blog</t>
  </si>
  <si>
    <t xml:space="preserve">Sections 3, 4 — platform rates, multiplier standards</t>
  </si>
  <si>
    <t xml:space="preserve">Agency Guide</t>
  </si>
  <si>
    <t xml:space="preserve">porterwills.com</t>
  </si>
  <si>
    <t xml:space="preserve">Sections 1, 4, 6 — Tier 1 benchmarks, usage rights pricing</t>
  </si>
  <si>
    <t xml:space="preserve">StreamElements State of Streaming 2025</t>
  </si>
  <si>
    <t xml:space="preserve">Platform Report</t>
  </si>
  <si>
    <t xml:space="preserve">streamelements.com/reports</t>
  </si>
  <si>
    <t xml:space="preserve">Section 3 — Twitch/streaming rate benchmarks</t>
  </si>
  <si>
    <t xml:space="preserve">WME / CAA / Wasserman Agency Practice</t>
  </si>
  <si>
    <t xml:space="preserve">Public deal disclosures &amp; industry knowledge</t>
  </si>
  <si>
    <t xml:space="preserve">Section 6 — base fee pricing methodology</t>
  </si>
  <si>
    <t xml:space="preserve">Internal Team Falcons Commercial Data 2025</t>
  </si>
  <si>
    <t xml:space="preserve">Internal</t>
  </si>
  <si>
    <t xml:space="preserve">Confidential</t>
  </si>
  <si>
    <t xml:space="preserve">Sections 2, 5 — Falcons-specific rates and positioning</t>
  </si>
  <si>
    <t xml:space="preserve">05 — PRICING GUIDE &amp; BEST PRACTICES (ENGLISH)</t>
  </si>
  <si>
    <t xml:space="preserve">How to use this Rate Card · Pricing Formula · Tier Definitions · Base Fee Methodology · Best Practices · Data Sources</t>
  </si>
  <si>
    <t xml:space="preserve">HOW TO USE THIS RATE CARD — 5 STEPS</t>
  </si>
  <si>
    <t xml:space="preserve">Step 1 — Find the Talent</t>
  </si>
  <si>
    <t xml:space="preserve">Go to 01_Player_Rate_Card. All 188 entries are listed. Use the filter on column D (Role) or I (Tier) or E (Game). Players: 131 | Influencers: 6 | Staff &amp; Coaches: 51 | Across 23 games and 21 teams.</t>
  </si>
  <si>
    <t xml:space="preserve">Step 2 — Read the Base Fees</t>
  </si>
  <si>
    <t xml:space="preserve">The base fee is the starting price for each asset type based on talent tier. Tier 1 = premium price, Tier 2 = target price, Tier 3 = emerging price. Base fees are in SAR and include a USD equivalent at the current rate.</t>
  </si>
  <si>
    <t xml:space="preserve">Step 3 — Apply Adjustment Multipliers</t>
  </si>
  <si>
    <t xml:space="preserve">Go to 02_Adjustment_Matrix. Enter the base fee in cell C31. Select the appropriate multipliers for engagement quality (C32), audience quality (C33), and seasonality (C34). The matrix auto-calculates the adjusted price.</t>
  </si>
  <si>
    <t xml:space="preserve">Step 4 — Add Rights Packages</t>
  </si>
  <si>
    <t xml:space="preserve">Go to 03_Add_On_Rights. Select the required rights packages (exclusivity, usage rights, whitelist, rush fee, etc.). Sum the uplift percentages and enter the total in cell C35 of the Adjustment Matrix.</t>
  </si>
  <si>
    <t xml:space="preserve">Step 5 — Build the Full Deal</t>
  </si>
  <si>
    <t xml:space="preserve">Go to 04_Deal_Builder. Enter each line item. The sheet auto-calculates totals, 10% management fee, 15% KSA VAT, and USD equivalent. This is the final client-facing price.</t>
  </si>
  <si>
    <t xml:space="preserve">MASTER PRICING FORMULA</t>
  </si>
  <si>
    <t xml:space="preserve">Final Price = Base Fee × Engagement Multiplier × Audience Quality × Seasonality × (1 + Total Add-on Uplift %)</t>
  </si>
  <si>
    <t xml:space="preserve">Example: SAR 11,250 (Tier 2 IG Reel) × 1.2 (engagement 6–8%) × 1.2 (esports audience) × 1.35 (Ramadan) × (1 + 35% add-ons) = SAR 29,281</t>
  </si>
  <si>
    <t xml:space="preserve">BASE FEE METHODOLOGY — HOW WE SET THE BASE FEE (World-Class Standard)</t>
  </si>
  <si>
    <t xml:space="preserve">The base fee is NOT arbitrary. It is calculated using the same 3-input model used by WME, CAA, Wasserman, and top esports agencies globally:</t>
  </si>
  <si>
    <t xml:space="preserve">Input 1 — CPM Model (Audience Reach)</t>
  </si>
  <si>
    <t xml:space="preserve">Base Fee = (Followers × Avg Reach Rate × CPM) ÷ 1,000. Avg reach rate: 15–25% Instagram, 20–35% TikTok, 10–20% YouTube. Gaming/esports CPM benchmark: $8–$20 (MENA: $10–$15). This gives the minimum floor based on expected impressions.</t>
  </si>
  <si>
    <t xml:space="preserve">Input 2 — CPE Model (Engagement Value)</t>
  </si>
  <si>
    <t xml:space="preserve">Base Fee = Total Avg Engagements × CPE Rate. CPE benchmark for gaming: $0.05–$0.20 per engagement. If the CPE calculation produces a higher number than the CPM model, use the CPE model as the floor. Never use whichever is lower.</t>
  </si>
  <si>
    <t xml:space="preserve">Input 3 — Market Comparables</t>
  </si>
  <si>
    <t xml:space="preserve">Find 3 comparable players by tier, game, and region. Average their known rates. Use the Benchmarks tab (Sections 1 and 2) as the comparables reference. Adjust up or down by 10–15% based on unique factors (exclusive game, MENA-only audience, etc.).</t>
  </si>
  <si>
    <t xml:space="preserve">Final Base Fee Rule</t>
  </si>
  <si>
    <t xml:space="preserve">Base Fee = MAX(CPM model, CPE model, Comparables model). Always take the highest of the three inputs as your floor. NEVER price below this floor — it permanently devalues the talent. Multipliers and add-ons are applied on top of this base.</t>
  </si>
  <si>
    <t xml:space="preserve">Sanity Check</t>
  </si>
  <si>
    <t xml:space="preserve">After calculating the final price, divide by estimated impressions to get the effective CPM. For gaming/esports, the effective CPM should be $10–$30. If it falls below $8, the deal is underpriced. If above $50, it may need justification.</t>
  </si>
  <si>
    <t xml:space="preserve">TIER DEFINITIONS</t>
  </si>
  <si>
    <t xml:space="preserve">1M+ followers and 8%+ engagement rate. World-class talent with proven brand impact. ROI for brands: 150–300%. Exclusivity and usage rights premiums apply at maximum rates.</t>
  </si>
  <si>
    <t xml:space="preserve">100K–1M followers and 5–8% engagement rate. The sweet spot between reach and engagement. Highest ROI efficiency for brands: 200–400%. The recommended tier for most brand campaigns.</t>
  </si>
  <si>
    <t xml:space="preserve">10K–100K followers and 10%+ engagement rate. Highest ROI (300–600%) due to niche, highly engaged audiences. Ideal for product launches, community-first campaigns, and test-and-learn budgets.</t>
  </si>
  <si>
    <t xml:space="preserve">BEST PRACTICES — NEGOTIATION &amp; DEAL STRUCTURE</t>
  </si>
  <si>
    <t xml:space="preserve">1. Micro-influencers (Tier 3) deliver 300–600% ROI — the highest in the industry. Lead with this data when brands push back on pricing.</t>
  </si>
  <si>
    <t xml:space="preserve">2. Engagement quality &gt; follower count. 100K followers with 10% engagement outperforms 1M with 2%. Always present engagement rate alongside follower count.</t>
  </si>
  <si>
    <t xml:space="preserve">3. Long-term partnerships (3–6 months) deliver 3–5x better results than one-off campaigns. Always propose a retainer structure first.</t>
  </si>
  <si>
    <t xml:space="preserve">4. MENA/Saudi audience commands a 20–35% premium due to high purchasing power and brand affinity. Always highlight this in brand pitches.</t>
  </si>
  <si>
    <t xml:space="preserve">5. Ramadan is the peak consumption period in MENA — 3x content consumption. The 1.35x multiplier applies. Consider increasing to 1.45x for Tier 1 during Ramadan.</t>
  </si>
  <si>
    <t xml:space="preserve">6. Add-on rights packages add 15–200% to base fees. Always present add-on options — never leave rights on the table.</t>
  </si>
  <si>
    <t xml:space="preserve">7. If a brand wants more rights, push the ask into add-ons — do NOT discount the base fee. Discounting the base fee devalues all future deals.</t>
  </si>
  <si>
    <t xml:space="preserve">8. If the budget is fixed, reduce rights or term before reducing core deliverables. Deliverables are the product — protect them.</t>
  </si>
  <si>
    <t xml:space="preserve">9. Always define: term + territory + platforms. Avoid "in perpetuity" unless explicitly priced at the full usage rights rate.</t>
  </si>
  <si>
    <t xml:space="preserve">10. Whitelist Fee is a flat SAR 2,400 per activation regardless of tier — always add for paid media campaigns.</t>
  </si>
  <si>
    <t xml:space="preserve">11. Non-player staff (coaches, managers, analysts) are priced at IRL Appearance rates only — no content rates apply.</t>
  </si>
  <si>
    <t xml:space="preserve">12. Bundle deals (3+ players) command a 15–20% premium over individual rates summed. Always propose bundles for multi-player campaigns.</t>
  </si>
  <si>
    <t xml:space="preserve">DATA SOURCES — WHERE EVERY NUMBER COMES FROM</t>
  </si>
  <si>
    <t xml:space="preserve">All benchmarks, CPM rates, multipliers, and tier definitions in this Rate Card are sourced from the following:</t>
  </si>
  <si>
    <t xml:space="preserve">Source 1: Newzoo Global Esports &amp; Live Streaming Market Report 2025</t>
  </si>
  <si>
    <t xml:space="preserve">Used for: org benchmarks, MENA market sizing, esports audience data. URL: newzoo.com/reports</t>
  </si>
  <si>
    <t xml:space="preserve">Source 2: Shikenso Esports Sponsorship ROI Guide 2025</t>
  </si>
  <si>
    <t xml:space="preserve">Used for: sponsorship values, ROI benchmarks, multiplier standards. URL: shikenso.com/resources</t>
  </si>
  <si>
    <t xml:space="preserve">Source 3: Nielsen Esports Audience Report 2025</t>
  </si>
  <si>
    <t xml:space="preserve">Used for: CPM benchmarks, brand recall data, audience quality metrics. URL: nielsen.com/esports</t>
  </si>
  <si>
    <t xml:space="preserve">Source 4: Influencity 2026 Rate Card Benchmarks</t>
  </si>
  <si>
    <t xml:space="preserve">Used for: platform rates by tier, multiplier standards, engagement benchmarks. URL: influencity.com/blog</t>
  </si>
  <si>
    <t xml:space="preserve">Source 5: Porter Wills Esports Marketing Guide 2025</t>
  </si>
  <si>
    <t xml:space="preserve">Used for: Tier 1 org benchmarks, usage rights pricing standards. URL: porterwills.com</t>
  </si>
  <si>
    <t xml:space="preserve">Source 6: StreamElements State of Streaming 2025</t>
  </si>
  <si>
    <t xml:space="preserve">Used for: Twitch/streaming rate benchmarks, subscription income data. URL: streamelements.com/reports</t>
  </si>
  <si>
    <t xml:space="preserve">Source 7: WME / CAA / Wasserman Agency Practice</t>
  </si>
  <si>
    <t xml:space="preserve">Used for: base fee pricing methodology (CPM + CPE + comparables model). Source: public deal disclosures and industry standard practice.</t>
  </si>
  <si>
    <t xml:space="preserve">Source 8: Internal Team Falcons Commercial Data 2025</t>
  </si>
  <si>
    <t xml:space="preserve">Used for: Falcons-specific base fees, roster data, MENA market rates. Source: Confidential internal data.</t>
  </si>
  <si>
    <t xml:space="preserve">Source 9: Case Studies (Tab 10_Case_Studies)</t>
  </si>
  <si>
    <t xml:space="preserve">Used for: 0-to-hero monetisation journeys, revenue breakdown benchmarks. Sources: Forbes, Bloomberg, public creator disclosures, Streamlabs, Newzoo MENA.</t>
  </si>
  <si>
    <t xml:space="preserve">TABS OVERVIEW</t>
  </si>
  <si>
    <t xml:space="preserve">00_Cover — Overview and navigation guide</t>
  </si>
  <si>
    <t xml:space="preserve">01_Player_Rate_Card — Full roster with base fees by asset type and tier</t>
  </si>
  <si>
    <t xml:space="preserve">02_Adjustment_Matrix — Multiplier calculator (engagement, audience, seasonality, add-ons)</t>
  </si>
  <si>
    <t xml:space="preserve">03_Add_On_Rights — Rights packages with uplift percentages</t>
  </si>
  <si>
    <t xml:space="preserve">04_Deal_Builder — Full deal calculator with VAT and management fee</t>
  </si>
  <si>
    <t xml:space="preserve">05_Guide_EN — This guide (English)</t>
  </si>
  <si>
    <t xml:space="preserve">06_Guide_AR — Arabic version of this guide</t>
  </si>
  <si>
    <t xml:space="preserve">07_Settings — Currency rate and global settings</t>
  </si>
  <si>
    <t xml:space="preserve">09_Benchmarks — Market benchmarks, competitive intelligence, and pricing methodology</t>
  </si>
  <si>
    <t xml:space="preserve">10_Case_Studies — 0-to-hero monetisation case studies (global and MENA)</t>
  </si>
  <si>
    <t xml:space="preserve">WHY ESPORTS PROS CAN PRICE HIGHER THAN CREATORS WITH BIGGER SOCIALS</t>
  </si>
  <si>
    <t xml:space="preserve">The Authority Pricing Principle</t>
  </si>
  <si>
    <t xml:space="preserve">A creator with 2M followers and 3% engagement is not automatically worth more than a pro player with 200K followers and 8% engagement — especially for brands buying credibility, not just reach. The Authority Patch formalises this with a structured pricing layer on top of the base formula.</t>
  </si>
  <si>
    <t xml:space="preserve">The Updated Formula (Authority Patch v1)</t>
  </si>
  <si>
    <t xml:space="preserve">AuthorityFactor = 1 + ObjectiveWeight × (AuthorityMultiplier − 1)</t>
  </si>
  <si>
    <t xml:space="preserve">SocialPrice = BaseFee × Engagement × Audience × Seasonality × Language × AuthorityFactor</t>
  </si>
  <si>
    <t xml:space="preserve">AuthorityFloor = IRL_Appearance_Fee × FloorShare × Seasonality × Language × AuthorityFactor</t>
  </si>
  <si>
    <t xml:space="preserve">PreAddOnPrice = MAX(SocialPrice, AuthorityFloor)</t>
  </si>
  <si>
    <t xml:space="preserve">FinalPrice = PreAddOnPrice × (1 + Add-on Uplift %)</t>
  </si>
  <si>
    <t xml:space="preserve">What Each New Input Does</t>
  </si>
  <si>
    <t xml:space="preserve">Campaign Objective — sets the ObjectiveWeight. Awareness = 0.20 (reach matters most, authority matters less). Conversion = 0.40 (balanced). Trust/Pro Authority = 0.70 (credibility is the product — authority matters most).</t>
  </si>
  <si>
    <t xml:space="preserve">Authority Multiplier — reflects the player's competitive standing. 1.00 = normal creator. 1.15 = proven/established. 1.30 = elite contender. 1.50 = global star/major winner. This is NOT about followers — it is about competitive credibility.</t>
  </si>
  <si>
    <t xml:space="preserve">Language Multiplier — 1.00 English, 1.05 Arabic (MENA regional premium), 1.15 Bilingual. Arabic content commands a premium in MENA because it reaches a culturally specific, high-purchasing-power audience that English content cannot.</t>
  </si>
  <si>
    <t xml:space="preserve">Authority Floor Share — the portion of the IRL Appearance Fee used as a minimum floor for content pricing. Default = 0.00 (off). Activate at 0.30–0.80 for campaigns where the pro's competitive status is the reason the brand is buying.</t>
  </si>
  <si>
    <t xml:space="preserve">When to Use the Authority Floor (FloorShare &gt; 0)</t>
  </si>
  <si>
    <t xml:space="preserve">1. Hardware / Peripherals ("pro choice" campaigns): A gaming mouse brand paying for a pro's endorsement is buying competitive credibility. The floor ensures the content price reflects the IRL value of that endorsement.</t>
  </si>
  <si>
    <t xml:space="preserve">2. Tournament Windows (EWC, Worlds, Majors): During peak competitive events, a pro's content is worth more than their social metrics suggest. Set FloorShare to 0.40–0.60 during these windows.</t>
  </si>
  <si>
    <t xml:space="preserve">3. Credibility Campaigns: Brands in financial services, nutrition, or lifestyle that want "pro athlete" positioning. The floor ensures the price reflects the athlete's competitive status, not just their follower count.</t>
  </si>
  <si>
    <t xml:space="preserve">4. When SocialPrice &lt; IRL Fee × 0.30: If the content price would be less than 30% of what you'd charge for an IRL appearance, something is wrong. The floor corrects this automatically.</t>
  </si>
  <si>
    <t xml:space="preserve">Backward Compatibility</t>
  </si>
  <si>
    <t xml:space="preserve">If AuthorityMultiplier = 1.00, FloorShare = 0.00, and Language = 1.00, the formula produces exactly the same result as the previous formula. No existing pricing is affected unless you actively change these inputs.</t>
  </si>
  <si>
    <t xml:space="preserve">EWC / Mega Peak Seasonality (New)</t>
  </si>
  <si>
    <t xml:space="preserve">The Esports World Cup (EWC) is the highest-value esports event in the MENA calendar. A new seasonality option — EWC / Mega Peak = 1.50x — has been added to the Seasonality &amp; Timing table. This is the highest multiplier in the system and should only be used for content going live during or immediately around EWC.</t>
  </si>
  <si>
    <t xml:space="preserve">⑧ QUOTE GENERATOR — HOW TO USE (13_Quote_Generator)</t>
  </si>
  <si>
    <t xml:space="preserve">The Quote Generator is the fastest way to build a client-ready proposal. No formulas to touch — just dropdowns.</t>
  </si>
  <si>
    <t xml:space="preserve">STEP-BY-STEP</t>
  </si>
  <si>
    <t xml:space="preserve">Step 1</t>
  </si>
  <si>
    <t xml:space="preserve">Fill Campaign Details (rows 5-9): Campaign name, brand, period, prepared by</t>
  </si>
  <si>
    <t xml:space="preserve">Step 2</t>
  </si>
  <si>
    <t xml:space="preserve">Step 3</t>
  </si>
  <si>
    <t xml:space="preserve">Add line items (rows 19-33): For each deliverable, select from dropdowns:</t>
  </si>
  <si>
    <t xml:space="preserve">• Player / Talent — select from full roster dropdown</t>
  </si>
  <si>
    <t xml:space="preserve">• Deliverable — IG Reel, TikTok Video, Twitch Stream, IRL Appearance, etc.</t>
  </si>
  <si>
    <t xml:space="preserve">• Qty — number of posts/appearances</t>
  </si>
  <si>
    <t xml:space="preserve">• Timing — Regular Season, Ramadan, EWC, etc. (auto-applies multiplier)</t>
  </si>
  <si>
    <t xml:space="preserve">• Audience — Core Gaming, Esports-focused, MENA/Saudi, etc. (auto-applies multiplier)</t>
  </si>
  <si>
    <t xml:space="preserve">• Add-on Package — None, Basic, Standard, Premium, Full, Exclusive (auto-applies uplift %)</t>
  </si>
  <si>
    <t xml:space="preserve">Step 4</t>
  </si>
  <si>
    <t xml:space="preserve">Unit Price auto-calculates: Base Rate × Timing Multiplier × Audience Multiplier × (1 + Add-on %)</t>
  </si>
  <si>
    <t xml:space="preserve">Step 5</t>
  </si>
  <si>
    <t xml:space="preserve">Summary auto-calculates: Subtotal → +10% Mgmt Fee → +15% VAT → Total SAR + USD</t>
  </si>
  <si>
    <t xml:space="preserve">Step 6</t>
  </si>
  <si>
    <t xml:space="preserve">Click "GENERATE PDF QUOTE" button to export a formatted client document</t>
  </si>
  <si>
    <t xml:space="preserve">PRICING METHODOLOGY (Updated 2025)</t>
  </si>
  <si>
    <t xml:space="preserve">All player rates have been recalibrated using best-practice 2025 benchmarks:</t>
  </si>
  <si>
    <t xml:space="preserve">Porter Wills Esports Guide 2025, InfluenceFlow Benchmarks, Cloutboost Gaming Rates</t>
  </si>
  <si>
    <t xml:space="preserve">Tier 1 IG Reel Base</t>
  </si>
  <si>
    <t xml:space="preserve">18,000 SAR (was 15,000) — aligned to macro esports creator rates ($4,800 USD)</t>
  </si>
  <si>
    <t xml:space="preserve">Tier 2 IG Reel Base</t>
  </si>
  <si>
    <t xml:space="preserve">11,000 SAR (was 11,250) — refined for 100K-500K reach segment</t>
  </si>
  <si>
    <t xml:space="preserve">Tier 3 IG Reel Base</t>
  </si>
  <si>
    <t xml:space="preserve">6,500 SAR (was 8,750) — corrected downward to match micro-creator benchmarks</t>
  </si>
  <si>
    <t xml:space="preserve">Platform Ratios</t>
  </si>
  <si>
    <t xml:space="preserve">TikTok = 78% of IG Reel | Twitch 2h = 145% | IRL = 220% | X Post = 20%</t>
  </si>
  <si>
    <t xml:space="preserve">Platform Count Bonus</t>
  </si>
  <si>
    <t xml:space="preserve">0-1 platforms: -20% | 2-3: standard | 4-5: +15% | 6-7: +25% | 8+: +35%</t>
  </si>
  <si>
    <t xml:space="preserve">MENA Premium</t>
  </si>
  <si>
    <t xml:space="preserve">ADD-ON PACKAGES (simplified from 03_Add_On_Rights)</t>
  </si>
  <si>
    <t xml:space="preserve">None</t>
  </si>
  <si>
    <t xml:space="preserve">0% uplift — base rate only</t>
  </si>
  <si>
    <t xml:space="preserve">Basic (+15%)</t>
  </si>
  <si>
    <t xml:space="preserve">Organic repost, 1 month — single platform</t>
  </si>
  <si>
    <t xml:space="preserve">Standard (+60%)</t>
  </si>
  <si>
    <t xml:space="preserve">Organic repost (3 months) + paid usage (limited)</t>
  </si>
  <si>
    <t xml:space="preserve">Premium (+115%)</t>
  </si>
  <si>
    <t xml:space="preserve">Organic repost (6 months) + paid usage (standard) + MENA territory</t>
  </si>
  <si>
    <t xml:space="preserve">Full (+170%)</t>
  </si>
  <si>
    <t xml:space="preserve">All organic + paid max + whitelisting (30 days)</t>
  </si>
  <si>
    <t xml:space="preserve">Exclusive (+320%)</t>
  </si>
  <si>
    <t xml:space="preserve">Full package + category exclusivity (12 months)</t>
  </si>
  <si>
    <t xml:space="preserve">TIMING MULTIPLIERS</t>
  </si>
  <si>
    <t xml:space="preserve">Regular Season</t>
  </si>
  <si>
    <t xml:space="preserve">1.00x — baseline</t>
  </si>
  <si>
    <t xml:space="preserve">0.80x — lower viewership</t>
  </si>
  <si>
    <t xml:space="preserve">1.25x — regional championship</t>
  </si>
  <si>
    <t xml:space="preserve">1.40x — peak esports interest</t>
  </si>
  <si>
    <t xml:space="preserve">Game Launch</t>
  </si>
  <si>
    <t xml:space="preserve">1.30x — new title release</t>
  </si>
  <si>
    <t xml:space="preserve">Holiday Q4</t>
  </si>
  <si>
    <t xml:space="preserve">1.20x — year-end peak</t>
  </si>
  <si>
    <t xml:space="preserve">1.35x — peak MENA consumption</t>
  </si>
  <si>
    <t xml:space="preserve">EWC / Mega Peak</t>
  </si>
  <si>
    <t xml:space="preserve">1.50x — Esports World Cup (highest multiplier)</t>
  </si>
  <si>
    <t xml:space="preserve">AUDIENCE MULTIPLIERS</t>
  </si>
  <si>
    <t xml:space="preserve">دليل التسعير وأفضل الممارسات — عربي</t>
  </si>
  <si>
    <t xml:space="preserve">كيفية الاستخدام · معادلة التسعير · منهجية الرسوم الأساسية · تعريفات الفئات · أفضل الممارسات · مصادر البيانات</t>
  </si>
  <si>
    <t xml:space="preserve">كيفية استخدام بطاقة الأسعار — 5 خطوات</t>
  </si>
  <si>
    <t xml:space="preserve">الخطوة 1 — ابحث عن المواهب</t>
  </si>
  <si>
    <t xml:space="preserve">اذهب إلى 01_Player_Rate_Card. جميع الـ 188 إدخالاً مدرجة. استخدم الفلتر على عمود D (الدور) أو I (الفئة) أو E (اللعبة). اللاعبون: 131 | المؤثرون: 6 | الطاقم والمدربون: 51 | عبر 23 لعبة و21 فريق.</t>
  </si>
  <si>
    <t xml:space="preserve">الخطوة 2 — اقرأ الرسوم الأساسية</t>
  </si>
  <si>
    <t xml:space="preserve">الرسوم الأساسية هي السعر المبدئي لكل نوع من الأصول بناءً على فئة الموهبة. الفئة 1 = سعر مرتفع، الفئة 2 = السعر المستهدف، الفئة 3 = سعر منخفض. الرسوم بالريال السعودي مع ما يعادلها بالدولار.</t>
  </si>
  <si>
    <t xml:space="preserve">الخطوة 3 — طبّق معاملات التعديل</t>
  </si>
  <si>
    <t xml:space="preserve">اذهب إلى 02_Adjustment_Matrix. أدخل الرسوم الأساسية في الخلية C31. اختر المضاعفات المناسبة لجودة التفاعل (C32) وجودة الجمهور (C33) والموسمية (C34). تحسب الورقة تلقائياً السعر المعدّل.</t>
  </si>
  <si>
    <t xml:space="preserve">الخطوة 4 — أضف حزم الحقوق</t>
  </si>
  <si>
    <t xml:space="preserve">اذهب إلى 03_Add_On_Rights. اختر حزم الحقوق المطلوبة (الحصرية، حقوق الاستخدام، القائمة البيضاء، رسوم الاستعجال، إلخ). اجمع نسب الزيادة وأدخل الإجمالي في الخلية C35 من مصفوفة التعديل.</t>
  </si>
  <si>
    <t xml:space="preserve">الخطوة 5 — ابنِ الصفقة الكاملة</t>
  </si>
  <si>
    <t xml:space="preserve">اذهب إلى 04_Deal_Builder. أدخل كل بند. تحسب الورقة تلقائياً الإجماليات ورسوم الإدارة 10% وضريبة القيمة المضافة 15% والمعادل بالدولار. هذا هو السعر النهائي للعميل.</t>
  </si>
  <si>
    <t xml:space="preserve">معادلة التسعير الرئيسية</t>
  </si>
  <si>
    <t xml:space="preserve">السعر النهائي = الرسوم الأساسية × مضاعف التفاعل × جودة الجمهور × الموسمية × (1 + إجمالي نسبة الإضافات %)</t>
  </si>
  <si>
    <t xml:space="preserve">مثال: 11,250 ريال (فئة 2 - ريلز إنستغرام) × 1.2 (تفاعل 6-8%) × 1.2 (جمهور رياضات إلكترونية) × 1.35 (رمضان) × (1 + 35% إضافات) = 29,281 ريال</t>
  </si>
  <si>
    <t xml:space="preserve">منهجية الرسوم الأساسية — كيف نحدد السعر الأساسي (المعيار العالمي)</t>
  </si>
  <si>
    <t xml:space="preserve">الرسوم الأساسية ليست اعتباطية. تُحسب باستخدام نموذج المدخلات الثلاثة ذاته الذي تستخدمه أكبر وكالات المواهب عالمياً (WME وCAA وWasserman):</t>
  </si>
  <si>
    <t xml:space="preserve">المدخل 1 — نموذج CPM (مدى الوصول)</t>
  </si>
  <si>
    <t xml:space="preserve">الرسوم الأساسية = (عدد المتابعين × معدل الوصول المتوسط × CPM) ÷ 1,000. معدل الوصول: 15-25% إنستغرام، 20-35% تيك توك، 10-20% يوتيوب. معيار CPM للألعاب/الرياضات الإلكترونية: 8-20 دولار (MENA: 10-15 دولار). يعطي هذا الحد الأدنى بناءً على التأثيرات المتوقعة.</t>
  </si>
  <si>
    <t xml:space="preserve">المدخل 2 — نموذج CPE (قيمة التفاعل)</t>
  </si>
  <si>
    <t xml:space="preserve">الرسوم الأساسية = إجمالي متوسط التفاعلات × معدل CPE. معيار CPE للألعاب: 0.05-0.20 دولار لكل تفاعل. إذا أنتج حساب CPE رقماً أعلى من نموذج CPM، استخدم نموذج CPE كحد أدنى. لا تستخدم أيهما أقل.</t>
  </si>
  <si>
    <t xml:space="preserve">المدخل 3 — مقارنات السوق</t>
  </si>
  <si>
    <t xml:space="preserve">ابحث عن 3 لاعبين مماثلين من حيث الفئة واللعبة والمنطقة. احسب متوسط أسعارهم المعروفة. استخدم علامة التبويب Benchmarks (القسمان 1 و2) كمرجع للمقارنة. اضبط بزيادة أو نقصان 10-15% بناءً على العوامل الفريدة.</t>
  </si>
  <si>
    <t xml:space="preserve">قاعدة الرسوم الأساسية النهائية</t>
  </si>
  <si>
    <t xml:space="preserve">الرسوم الأساسية = الأعلى من (نموذج CPM، نموذج CPE، نموذج المقارنات). خذ دائماً الأعلى من المدخلات الثلاثة كحد أدنى. لا تسعّر أبداً أقل من هذا الحد — فهذا يُقلّل من قيمة الموهبة بشكل دائم. تُطبَّق المضاعفات والإضافات فوق هذا الأساس.</t>
  </si>
  <si>
    <t xml:space="preserve">فحص المنطقية</t>
  </si>
  <si>
    <t xml:space="preserve">بعد حساب السعر النهائي، اقسمه على التأثيرات المتوقعة للحصول على CPM الفعلي. للألعاب/الرياضات الإلكترونية، يجب أن يكون CPM الفعلي 10-30 دولار. إذا انخفض عن 8 دولارات، فالصفقة مسعّرة بأقل من قيمتها.</t>
  </si>
  <si>
    <t xml:space="preserve">تعريفات الفئات</t>
  </si>
  <si>
    <t xml:space="preserve">الفئة 1 — المتميزون</t>
  </si>
  <si>
    <t xml:space="preserve">أكثر من مليون متابع ونسبة تفاعل 8% أو أكثر. موهبة عالمية المستوى بتأثير مثبت على العلامات التجارية. العائد على الاستثمار للعلامات التجارية: 150-300%. تُطبَّق علاوات الحصرية وحقوق الاستخدام بأقصى معدلاتها.</t>
  </si>
  <si>
    <t xml:space="preserve">الفئة 2 — المستهدفون</t>
  </si>
  <si>
    <r>
      <rPr>
        <sz val="10"/>
        <color rgb="FF0A1423"/>
        <rFont val="Calibri"/>
        <family val="0"/>
        <charset val="1"/>
      </rPr>
      <t xml:space="preserve">100 </t>
    </r>
    <r>
      <rPr>
        <sz val="10"/>
        <color rgb="FF0A1423"/>
        <rFont val="DejaVu Sans"/>
        <family val="2"/>
      </rPr>
      <t xml:space="preserve">ألف إلى مليون متابع ونسبة تفاعل </t>
    </r>
    <r>
      <rPr>
        <sz val="10"/>
        <color rgb="FF0A1423"/>
        <rFont val="Calibri"/>
        <family val="0"/>
        <charset val="1"/>
      </rPr>
      <t xml:space="preserve">5-8%. </t>
    </r>
    <r>
      <rPr>
        <sz val="10"/>
        <color rgb="FF0A1423"/>
        <rFont val="DejaVu Sans"/>
        <family val="2"/>
      </rPr>
      <t xml:space="preserve">التوازن المثالي بين الوصول والتفاعل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أعلى كفاءة في العائد على الاستثمار للعلامات التجارية</t>
    </r>
    <r>
      <rPr>
        <sz val="10"/>
        <color rgb="FF0A1423"/>
        <rFont val="Calibri"/>
        <family val="0"/>
        <charset val="1"/>
      </rPr>
      <t xml:space="preserve">: 200-400%. </t>
    </r>
    <r>
      <rPr>
        <sz val="10"/>
        <color rgb="FF0A1423"/>
        <rFont val="DejaVu Sans"/>
        <family val="2"/>
      </rPr>
      <t xml:space="preserve">الفئة الموصى بها لمعظم الحملات التسويقية</t>
    </r>
    <r>
      <rPr>
        <sz val="10"/>
        <color rgb="FF0A1423"/>
        <rFont val="Calibri"/>
        <family val="0"/>
        <charset val="1"/>
      </rPr>
      <t xml:space="preserve">.</t>
    </r>
  </si>
  <si>
    <t xml:space="preserve">الفئة 3 — الناشئون</t>
  </si>
  <si>
    <r>
      <rPr>
        <sz val="10"/>
        <color rgb="FF475569"/>
        <rFont val="Calibri"/>
        <family val="0"/>
        <charset val="1"/>
      </rPr>
      <t xml:space="preserve">10-100 </t>
    </r>
    <r>
      <rPr>
        <sz val="10"/>
        <color rgb="FF475569"/>
        <rFont val="DejaVu Sans"/>
        <family val="2"/>
      </rPr>
      <t xml:space="preserve">ألف متابع ونسبة تفاعل </t>
    </r>
    <r>
      <rPr>
        <sz val="10"/>
        <color rgb="FF475569"/>
        <rFont val="Calibri"/>
        <family val="0"/>
        <charset val="1"/>
      </rPr>
      <t xml:space="preserve">10%+. </t>
    </r>
    <r>
      <rPr>
        <sz val="10"/>
        <color rgb="FF475569"/>
        <rFont val="DejaVu Sans"/>
        <family val="2"/>
      </rPr>
      <t xml:space="preserve">أعلى عائد على الاستثمار </t>
    </r>
    <r>
      <rPr>
        <sz val="10"/>
        <color rgb="FF475569"/>
        <rFont val="Calibri"/>
        <family val="0"/>
        <charset val="1"/>
      </rPr>
      <t xml:space="preserve">(300-600%) </t>
    </r>
    <r>
      <rPr>
        <sz val="10"/>
        <color rgb="FF475569"/>
        <rFont val="DejaVu Sans"/>
        <family val="2"/>
      </rPr>
      <t xml:space="preserve">بسبب الجماهير المتخصصة والمتفاعلة بشدة</t>
    </r>
    <r>
      <rPr>
        <sz val="10"/>
        <color rgb="FF475569"/>
        <rFont val="Calibri"/>
        <family val="0"/>
        <charset val="1"/>
      </rPr>
      <t xml:space="preserve">. </t>
    </r>
    <r>
      <rPr>
        <sz val="10"/>
        <color rgb="FF475569"/>
        <rFont val="DejaVu Sans"/>
        <family val="2"/>
      </rPr>
      <t xml:space="preserve">مثالية لإطلاق المنتجات والحملات المجتمعية وميزانيات الاختبار</t>
    </r>
    <r>
      <rPr>
        <sz val="10"/>
        <color rgb="FF475569"/>
        <rFont val="Calibri"/>
        <family val="0"/>
        <charset val="1"/>
      </rPr>
      <t xml:space="preserve">.</t>
    </r>
  </si>
  <si>
    <t xml:space="preserve">أفضل الممارسات — التفاوض وهيكلة الصفقات</t>
  </si>
  <si>
    <r>
      <rPr>
        <sz val="10"/>
        <color rgb="FF0A1423"/>
        <rFont val="Calibri"/>
        <family val="0"/>
        <charset val="1"/>
      </rPr>
      <t xml:space="preserve">1. </t>
    </r>
    <r>
      <rPr>
        <sz val="10"/>
        <color rgb="FF0A1423"/>
        <rFont val="DejaVu Sans"/>
        <family val="2"/>
      </rPr>
      <t xml:space="preserve">المؤثرون الصغار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الفئة </t>
    </r>
    <r>
      <rPr>
        <sz val="10"/>
        <color rgb="FF0A1423"/>
        <rFont val="Calibri"/>
        <family val="0"/>
        <charset val="1"/>
      </rPr>
      <t xml:space="preserve">3) </t>
    </r>
    <r>
      <rPr>
        <sz val="10"/>
        <color rgb="FF0A1423"/>
        <rFont val="DejaVu Sans"/>
        <family val="2"/>
      </rPr>
      <t xml:space="preserve">يحققون عائداً على الاستثمار بين </t>
    </r>
    <r>
      <rPr>
        <sz val="10"/>
        <color rgb="FF0A1423"/>
        <rFont val="Calibri"/>
        <family val="0"/>
        <charset val="1"/>
      </rPr>
      <t xml:space="preserve">300-600% — </t>
    </r>
    <r>
      <rPr>
        <sz val="10"/>
        <color rgb="FF0A1423"/>
        <rFont val="DejaVu Sans"/>
        <family val="2"/>
      </rPr>
      <t xml:space="preserve">الأعلى في الصناعة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استخدم هذه البيانات عندما تتراجع العلامات التجارية عن التسعير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</si>
  <si>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166534"/>
        <rFont val="Calibri"/>
        <family val="0"/>
        <charset val="1"/>
      </rPr>
      <t xml:space="preserve">2. </t>
    </r>
    <r>
      <rPr>
        <sz val="10"/>
        <color rgb="FF166534"/>
        <rFont val="DejaVu Sans"/>
        <family val="2"/>
      </rPr>
      <t xml:space="preserve">جودة التفاعل أهم من عدد المتابعين</t>
    </r>
    <r>
      <rPr>
        <sz val="10"/>
        <color rgb="FF166534"/>
        <rFont val="Calibri"/>
        <family val="0"/>
        <charset val="1"/>
      </rPr>
      <t xml:space="preserve">. 100 </t>
    </r>
    <r>
      <rPr>
        <sz val="10"/>
        <color rgb="FF166534"/>
        <rFont val="DejaVu Sans"/>
        <family val="2"/>
      </rPr>
      <t xml:space="preserve">ألف متابع بتفاعل </t>
    </r>
    <r>
      <rPr>
        <sz val="10"/>
        <color rgb="FF166534"/>
        <rFont val="Calibri"/>
        <family val="0"/>
        <charset val="1"/>
      </rPr>
      <t xml:space="preserve">10% </t>
    </r>
    <r>
      <rPr>
        <sz val="10"/>
        <color rgb="FF166534"/>
        <rFont val="DejaVu Sans"/>
        <family val="2"/>
      </rPr>
      <t xml:space="preserve">يتفوق على مليون بتفاعل </t>
    </r>
    <r>
      <rPr>
        <sz val="10"/>
        <color rgb="FF166534"/>
        <rFont val="Calibri"/>
        <family val="0"/>
        <charset val="1"/>
      </rPr>
      <t xml:space="preserve">2%. </t>
    </r>
    <r>
      <rPr>
        <sz val="10"/>
        <color rgb="FF166534"/>
        <rFont val="DejaVu Sans"/>
        <family val="2"/>
      </rPr>
      <t xml:space="preserve">قدّم دائماً نسبة التفاعل إلى جانب عدد المتابعين</t>
    </r>
    <r>
      <rPr>
        <sz val="10"/>
        <color rgb="FF166534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</si>
  <si>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3. </t>
    </r>
    <r>
      <rPr>
        <sz val="10"/>
        <color rgb="FF0A1423"/>
        <rFont val="DejaVu Sans"/>
        <family val="2"/>
      </rPr>
      <t xml:space="preserve">الشراكات طويلة الأمد </t>
    </r>
    <r>
      <rPr>
        <sz val="10"/>
        <color rgb="FF0A1423"/>
        <rFont val="Calibri"/>
        <family val="0"/>
        <charset val="1"/>
      </rPr>
      <t xml:space="preserve">(3-6 </t>
    </r>
    <r>
      <rPr>
        <sz val="10"/>
        <color rgb="FF0A1423"/>
        <rFont val="DejaVu Sans"/>
        <family val="2"/>
      </rPr>
      <t xml:space="preserve">أشهر</t>
    </r>
    <r>
      <rPr>
        <sz val="10"/>
        <color rgb="FF0A1423"/>
        <rFont val="Calibri"/>
        <family val="0"/>
        <charset val="1"/>
      </rPr>
      <t xml:space="preserve">) </t>
    </r>
    <r>
      <rPr>
        <sz val="10"/>
        <color rgb="FF0A1423"/>
        <rFont val="DejaVu Sans"/>
        <family val="2"/>
      </rPr>
      <t xml:space="preserve">تحقق نتائج أفضل بـ </t>
    </r>
    <r>
      <rPr>
        <sz val="10"/>
        <color rgb="FF0A1423"/>
        <rFont val="Calibri"/>
        <family val="0"/>
        <charset val="1"/>
      </rPr>
      <t xml:space="preserve">3-5 </t>
    </r>
    <r>
      <rPr>
        <sz val="10"/>
        <color rgb="FF0A1423"/>
        <rFont val="DejaVu Sans"/>
        <family val="2"/>
      </rPr>
      <t xml:space="preserve">أضعاف من الحملات الفردية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اقترح دائماً هيكل الاحتفاظ أولاً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</si>
  <si>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166534"/>
        <rFont val="Calibri"/>
        <family val="0"/>
        <charset val="1"/>
      </rPr>
      <t xml:space="preserve">4. </t>
    </r>
    <r>
      <rPr>
        <sz val="10"/>
        <color rgb="FF166534"/>
        <rFont val="DejaVu Sans"/>
        <family val="2"/>
      </rPr>
      <t xml:space="preserve">جمهور منطقة الشرق الأوسط وشمال أفريقيا</t>
    </r>
    <r>
      <rPr>
        <sz val="10"/>
        <color rgb="FF166534"/>
        <rFont val="Calibri"/>
        <family val="0"/>
        <charset val="1"/>
      </rPr>
      <t xml:space="preserve">/</t>
    </r>
    <r>
      <rPr>
        <sz val="10"/>
        <color rgb="FF166534"/>
        <rFont val="DejaVu Sans"/>
        <family val="2"/>
      </rPr>
      <t xml:space="preserve">السعودية يستحق علاوة </t>
    </r>
    <r>
      <rPr>
        <sz val="10"/>
        <color rgb="FF166534"/>
        <rFont val="Calibri"/>
        <family val="0"/>
        <charset val="1"/>
      </rPr>
      <t xml:space="preserve">20-35% </t>
    </r>
    <r>
      <rPr>
        <sz val="10"/>
        <color rgb="FF166534"/>
        <rFont val="DejaVu Sans"/>
        <family val="2"/>
      </rPr>
      <t xml:space="preserve">بسبب القوة الشرائية العالية وانتماء العلامة التجارية</t>
    </r>
    <r>
      <rPr>
        <sz val="10"/>
        <color rgb="FF166534"/>
        <rFont val="Calibri"/>
        <family val="0"/>
        <charset val="1"/>
      </rPr>
      <t xml:space="preserve">. </t>
    </r>
    <r>
      <rPr>
        <sz val="10"/>
        <color rgb="FF166534"/>
        <rFont val="DejaVu Sans"/>
        <family val="2"/>
      </rPr>
      <t xml:space="preserve">أبرز هذا دائماً في عروض العلامات التجارية</t>
    </r>
    <r>
      <rPr>
        <sz val="10"/>
        <color rgb="FF166534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</si>
  <si>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5. </t>
    </r>
    <r>
      <rPr>
        <sz val="10"/>
        <color rgb="FF0A1423"/>
        <rFont val="DejaVu Sans"/>
        <family val="2"/>
      </rPr>
      <t xml:space="preserve">رمضان هو ذروة موسم الاستهلاك في منطقة الشرق الأوسط — استهلاك المحتوى يتضاعف </t>
    </r>
    <r>
      <rPr>
        <sz val="10"/>
        <color rgb="FF0A1423"/>
        <rFont val="Calibri"/>
        <family val="0"/>
        <charset val="1"/>
      </rPr>
      <t xml:space="preserve">3 </t>
    </r>
    <r>
      <rPr>
        <sz val="10"/>
        <color rgb="FF0A1423"/>
        <rFont val="DejaVu Sans"/>
        <family val="2"/>
      </rPr>
      <t xml:space="preserve">مرات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يُطبَّق مضاعف </t>
    </r>
    <r>
      <rPr>
        <sz val="10"/>
        <color rgb="FF0A1423"/>
        <rFont val="Calibri"/>
        <family val="0"/>
        <charset val="1"/>
      </rPr>
      <t xml:space="preserve">1.35x. </t>
    </r>
    <r>
      <rPr>
        <sz val="10"/>
        <color rgb="FF0A1423"/>
        <rFont val="DejaVu Sans"/>
        <family val="2"/>
      </rPr>
      <t xml:space="preserve">فكّر في رفعه إلى </t>
    </r>
    <r>
      <rPr>
        <sz val="10"/>
        <color rgb="FF0A1423"/>
        <rFont val="Calibri"/>
        <family val="0"/>
        <charset val="1"/>
      </rPr>
      <t xml:space="preserve">1.45x </t>
    </r>
    <r>
      <rPr>
        <sz val="10"/>
        <color rgb="FF0A1423"/>
        <rFont val="DejaVu Sans"/>
        <family val="2"/>
      </rPr>
      <t xml:space="preserve">للفئة الأولى خلال رمضان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</si>
  <si>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166534"/>
        <rFont val="Calibri"/>
        <family val="0"/>
        <charset val="1"/>
      </rPr>
      <t xml:space="preserve">6. </t>
    </r>
    <r>
      <rPr>
        <sz val="10"/>
        <color rgb="FF166534"/>
        <rFont val="DejaVu Sans"/>
        <family val="2"/>
      </rPr>
      <t xml:space="preserve">حزم حقوق الإضافات تضيف </t>
    </r>
    <r>
      <rPr>
        <sz val="10"/>
        <color rgb="FF166534"/>
        <rFont val="Calibri"/>
        <family val="0"/>
        <charset val="1"/>
      </rPr>
      <t xml:space="preserve">15-200% </t>
    </r>
    <r>
      <rPr>
        <sz val="10"/>
        <color rgb="FF166534"/>
        <rFont val="DejaVu Sans"/>
        <family val="2"/>
      </rPr>
      <t xml:space="preserve">إلى الرسوم الأساسية</t>
    </r>
    <r>
      <rPr>
        <sz val="10"/>
        <color rgb="FF166534"/>
        <rFont val="Calibri"/>
        <family val="0"/>
        <charset val="1"/>
      </rPr>
      <t xml:space="preserve">. </t>
    </r>
    <r>
      <rPr>
        <sz val="10"/>
        <color rgb="FF166534"/>
        <rFont val="DejaVu Sans"/>
        <family val="2"/>
      </rPr>
      <t xml:space="preserve">قدّم دائماً خيارات الإضافات — لا تترك الحقوق على الطاولة</t>
    </r>
    <r>
      <rPr>
        <sz val="10"/>
        <color rgb="FF166534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</si>
  <si>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7. </t>
    </r>
    <r>
      <rPr>
        <sz val="10"/>
        <color rgb="FF0A1423"/>
        <rFont val="DejaVu Sans"/>
        <family val="2"/>
      </rPr>
      <t xml:space="preserve">إذا أراد العميل حقوقاً أكثر، ادفع الطلب نحو الإضافات — لا تخفض الرسوم الأساسية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تخفيض الرسوم الأساسية يُقلّل من قيمة جميع الصفقات المستقبلية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</si>
  <si>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166534"/>
        <rFont val="Calibri"/>
        <family val="0"/>
        <charset val="1"/>
      </rPr>
      <t xml:space="preserve">8. </t>
    </r>
    <r>
      <rPr>
        <sz val="10"/>
        <color rgb="FF166534"/>
        <rFont val="DejaVu Sans"/>
        <family val="2"/>
      </rPr>
      <t xml:space="preserve">إذا كانت الميزانية ثابتة، قلّص الحقوق أو المدة قبل تقليص المحتوى الأساسي</t>
    </r>
    <r>
      <rPr>
        <sz val="10"/>
        <color rgb="FF166534"/>
        <rFont val="Calibri"/>
        <family val="0"/>
        <charset val="1"/>
      </rPr>
      <t xml:space="preserve">. </t>
    </r>
    <r>
      <rPr>
        <sz val="10"/>
        <color rgb="FF166534"/>
        <rFont val="DejaVu Sans"/>
        <family val="2"/>
      </rPr>
      <t xml:space="preserve">المحتوى هو المنتج — احمِه</t>
    </r>
    <r>
      <rPr>
        <sz val="10"/>
        <color rgb="FF166534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</si>
  <si>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9. </t>
    </r>
    <r>
      <rPr>
        <sz val="10"/>
        <color rgb="FF0A1423"/>
        <rFont val="DejaVu Sans"/>
        <family val="2"/>
      </rPr>
      <t xml:space="preserve">حدد دائماً</t>
    </r>
    <r>
      <rPr>
        <sz val="10"/>
        <color rgb="FF0A1423"/>
        <rFont val="Calibri"/>
        <family val="0"/>
        <charset val="1"/>
      </rPr>
      <t xml:space="preserve">: </t>
    </r>
    <r>
      <rPr>
        <sz val="10"/>
        <color rgb="FF0A1423"/>
        <rFont val="DejaVu Sans"/>
        <family val="2"/>
      </rPr>
      <t xml:space="preserve">المدة </t>
    </r>
    <r>
      <rPr>
        <sz val="10"/>
        <color rgb="FF0A1423"/>
        <rFont val="Calibri"/>
        <family val="0"/>
        <charset val="1"/>
      </rPr>
      <t xml:space="preserve">+ </t>
    </r>
    <r>
      <rPr>
        <sz val="10"/>
        <color rgb="FF0A1423"/>
        <rFont val="DejaVu Sans"/>
        <family val="2"/>
      </rPr>
      <t xml:space="preserve">المنطقة الجغرافية </t>
    </r>
    <r>
      <rPr>
        <sz val="10"/>
        <color rgb="FF0A1423"/>
        <rFont val="Calibri"/>
        <family val="0"/>
        <charset val="1"/>
      </rPr>
      <t xml:space="preserve">+ </t>
    </r>
    <r>
      <rPr>
        <sz val="10"/>
        <color rgb="FF0A1423"/>
        <rFont val="DejaVu Sans"/>
        <family val="2"/>
      </rPr>
      <t xml:space="preserve">المنصات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تجنب </t>
    </r>
    <r>
      <rPr>
        <sz val="10"/>
        <color rgb="FF0A1423"/>
        <rFont val="Calibri"/>
        <family val="0"/>
        <charset val="1"/>
      </rPr>
      <t xml:space="preserve">"</t>
    </r>
    <r>
      <rPr>
        <sz val="10"/>
        <color rgb="FF0A1423"/>
        <rFont val="DejaVu Sans"/>
        <family val="2"/>
      </rPr>
      <t xml:space="preserve">إلى الأبد</t>
    </r>
    <r>
      <rPr>
        <sz val="10"/>
        <color rgb="FF0A1423"/>
        <rFont val="Calibri"/>
        <family val="0"/>
        <charset val="1"/>
      </rPr>
      <t xml:space="preserve">" </t>
    </r>
    <r>
      <rPr>
        <sz val="10"/>
        <color rgb="FF0A1423"/>
        <rFont val="DejaVu Sans"/>
        <family val="2"/>
      </rPr>
      <t xml:space="preserve">ما لم يُسعَّر صراحةً بالمعدل الكامل لحقوق الاستخدام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</si>
  <si>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166534"/>
        <rFont val="Calibri"/>
        <family val="0"/>
        <charset val="1"/>
      </rPr>
      <t xml:space="preserve">10. </t>
    </r>
    <r>
      <rPr>
        <sz val="10"/>
        <color rgb="FF166534"/>
        <rFont val="DejaVu Sans"/>
        <family val="2"/>
      </rPr>
      <t xml:space="preserve">رسوم القائمة البيضاء ثابتة بـ </t>
    </r>
    <r>
      <rPr>
        <sz val="10"/>
        <color rgb="FF166534"/>
        <rFont val="Calibri"/>
        <family val="0"/>
        <charset val="1"/>
      </rPr>
      <t xml:space="preserve">2,400 </t>
    </r>
    <r>
      <rPr>
        <sz val="10"/>
        <color rgb="FF166534"/>
        <rFont val="DejaVu Sans"/>
        <family val="2"/>
      </rPr>
      <t xml:space="preserve">ريال لكل تفعيل بغض النظر عن الفئة — أضفها دائماً للحملات الإعلانية المدفوعة</t>
    </r>
    <r>
      <rPr>
        <sz val="10"/>
        <color rgb="FF166534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</si>
  <si>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11. </t>
    </r>
    <r>
      <rPr>
        <sz val="10"/>
        <color rgb="FF0A1423"/>
        <rFont val="DejaVu Sans"/>
        <family val="2"/>
      </rPr>
      <t xml:space="preserve">الموظفون غير اللاعبين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المدربون، المديرون، المحللون</t>
    </r>
    <r>
      <rPr>
        <sz val="10"/>
        <color rgb="FF0A1423"/>
        <rFont val="Calibri"/>
        <family val="0"/>
        <charset val="1"/>
      </rPr>
      <t xml:space="preserve">) </t>
    </r>
    <r>
      <rPr>
        <sz val="10"/>
        <color rgb="FF0A1423"/>
        <rFont val="DejaVu Sans"/>
        <family val="2"/>
      </rPr>
      <t xml:space="preserve">يُسعَّرون بأسعار الظهور </t>
    </r>
    <r>
      <rPr>
        <sz val="10"/>
        <color rgb="FF0A1423"/>
        <rFont val="Calibri"/>
        <family val="0"/>
        <charset val="1"/>
      </rPr>
      <t xml:space="preserve">IRL </t>
    </r>
    <r>
      <rPr>
        <sz val="10"/>
        <color rgb="FF0A1423"/>
        <rFont val="DejaVu Sans"/>
        <family val="2"/>
      </rPr>
      <t xml:space="preserve">فقط — لا تُطبَّق أسعار المحتوى</t>
    </r>
    <r>
      <rPr>
        <sz val="10"/>
        <color rgb="FF0A1423"/>
        <rFont val="Calibri"/>
        <family val="0"/>
        <charset val="1"/>
      </rPr>
      <t xml:space="preserve">.</t>
    </r>
  </si>
  <si>
    <r>
      <rPr>
        <b val="true"/>
        <sz val="12"/>
        <color rgb="FFFFFFFF"/>
        <rFont val="Calibri"/>
        <family val="0"/>
        <charset val="1"/>
      </rPr>
      <t xml:space="preserve">12. </t>
    </r>
    <r>
      <rPr>
        <b val="true"/>
        <sz val="12"/>
        <color rgb="FFFFFFFF"/>
        <rFont val="DejaVu Sans"/>
        <family val="2"/>
      </rPr>
      <t xml:space="preserve">صفقات الحزم </t>
    </r>
    <r>
      <rPr>
        <b val="true"/>
        <sz val="12"/>
        <color rgb="FFFFFFFF"/>
        <rFont val="Calibri"/>
        <family val="0"/>
        <charset val="1"/>
      </rPr>
      <t xml:space="preserve">(3 </t>
    </r>
    <r>
      <rPr>
        <b val="true"/>
        <sz val="12"/>
        <color rgb="FFFFFFFF"/>
        <rFont val="DejaVu Sans"/>
        <family val="2"/>
      </rPr>
      <t xml:space="preserve">لاعبين أو أكثر</t>
    </r>
    <r>
      <rPr>
        <b val="true"/>
        <sz val="12"/>
        <color rgb="FFFFFFFF"/>
        <rFont val="Calibri"/>
        <family val="0"/>
        <charset val="1"/>
      </rPr>
      <t xml:space="preserve">) </t>
    </r>
    <r>
      <rPr>
        <b val="true"/>
        <sz val="12"/>
        <color rgb="FFFFFFFF"/>
        <rFont val="DejaVu Sans"/>
        <family val="2"/>
      </rPr>
      <t xml:space="preserve">تستحق علاوة </t>
    </r>
    <r>
      <rPr>
        <b val="true"/>
        <sz val="12"/>
        <color rgb="FFFFFFFF"/>
        <rFont val="Calibri"/>
        <family val="0"/>
        <charset val="1"/>
      </rPr>
      <t xml:space="preserve">15-20% </t>
    </r>
    <r>
      <rPr>
        <b val="true"/>
        <sz val="12"/>
        <color rgb="FFFFFFFF"/>
        <rFont val="DejaVu Sans"/>
        <family val="2"/>
      </rPr>
      <t xml:space="preserve">فوق مجموع الأسعار الفردية</t>
    </r>
    <r>
      <rPr>
        <b val="true"/>
        <sz val="12"/>
        <color rgb="FFFFFFFF"/>
        <rFont val="Calibri"/>
        <family val="0"/>
        <charset val="1"/>
      </rPr>
      <t xml:space="preserve">. </t>
    </r>
    <r>
      <rPr>
        <b val="true"/>
        <sz val="12"/>
        <color rgb="FFFFFFFF"/>
        <rFont val="DejaVu Sans"/>
        <family val="2"/>
      </rPr>
      <t xml:space="preserve">اقترح دائماً الحزم للحملات متعددة اللاعبين</t>
    </r>
    <r>
      <rPr>
        <b val="true"/>
        <sz val="12"/>
        <color rgb="FFFFFFFF"/>
        <rFont val="Calibri"/>
        <family val="0"/>
        <charset val="1"/>
      </rPr>
      <t xml:space="preserve">.</t>
    </r>
  </si>
  <si>
    <t xml:space="preserve">مصادر البيانات — من أين تأتي كل الأرقام</t>
  </si>
  <si>
    <t xml:space="preserve">جميع المعايير ومعدلات CPM والمضاعفات وتعريفات الفئات في بطاقة الأسعار هذه مستمدة من المصادر التالية:</t>
  </si>
  <si>
    <t xml:space="preserve">المصدر 1: تقرير Newzoo العالمي للرياضات الإلكترونية والبث المباشر 2025</t>
  </si>
  <si>
    <t xml:space="preserve">يُستخدم لـ: معايير المنظمات، حجم سوق MENA، بيانات جمهور الرياضات الإلكترونية. الرابط: newzoo.com/reports</t>
  </si>
  <si>
    <t xml:space="preserve">المصدر 2: دليل Shikenso لعائد الاستثمار في رعاية الرياضات الإلكترونية 2025</t>
  </si>
  <si>
    <t xml:space="preserve">يُستخدم لـ: قيم الرعاية، معايير العائد على الاستثمار، معايير المضاعفات. الرابط: shikenso.com/resources</t>
  </si>
  <si>
    <t xml:space="preserve">المصدر 3: تقرير Nielsen لجمهور الرياضات الإلكترونية 2025</t>
  </si>
  <si>
    <t xml:space="preserve">يُستخدم لـ: معايير CPM، بيانات استدعاء العلامة التجارية، مقاييس جودة الجمهور. الرابط: nielsen.com/esports</t>
  </si>
  <si>
    <t xml:space="preserve">المصدر 4: معايير بطاقة أسعار Influencity 2026</t>
  </si>
  <si>
    <t xml:space="preserve">يُستخدم لـ: أسعار المنصات حسب الفئة، معايير المضاعفات، معايير التفاعل. الرابط: influencity.com/blog</t>
  </si>
  <si>
    <t xml:space="preserve">المصدر 5: دليل Porter Wills للتسويق في الرياضات الإلكترونية 2025</t>
  </si>
  <si>
    <t xml:space="preserve">يُستخدم لـ: معايير المنظمات من الفئة الأولى، معايير تسعير حقوق الاستخدام. الرابط: porterwills.com</t>
  </si>
  <si>
    <t xml:space="preserve">المصدر 6: تقرير StreamElements لحالة البث 2025</t>
  </si>
  <si>
    <t xml:space="preserve">يُستخدم لـ: معايير أسعار Twitch/البث، بيانات دخل الاشتراكات. الرابط: streamelements.com/reports</t>
  </si>
  <si>
    <t xml:space="preserve">المصدر 7: ممارسة وكالات WME / CAA / Wasserman</t>
  </si>
  <si>
    <t xml:space="preserve">يُستخدم لـ: منهجية تسعير الرسوم الأساسية (نموذج CPM + CPE + المقارنات). المصدر: الإفصاحات العلنية عن الصفقات والممارسة المعيارية في الصناعة.</t>
  </si>
  <si>
    <t xml:space="preserve">المصدر 8: بيانات فالكونز التجارية الداخلية 2025</t>
  </si>
  <si>
    <t xml:space="preserve">يُستخدم لـ: الرسوم الأساسية الخاصة بفالكونز، بيانات القائمة، أسعار سوق MENA. المصدر: بيانات داخلية سرية.</t>
  </si>
  <si>
    <t xml:space="preserve">المصدر 9: دراسات الحالة (علامة التبويب 10_Case_Studies)</t>
  </si>
  <si>
    <t xml:space="preserve">يُستخدم لـ: رحلات تحقيق الدخل من الصفر إلى القمة، معايير توزيع الإيرادات. المصادر: Forbes وBloomberg والإفصاحات العلنية للمبدعين وStreamlabs وNewzoo MENA.</t>
  </si>
  <si>
    <t xml:space="preserve">نظرة عامة على علامات التبويب</t>
  </si>
  <si>
    <r>
      <rPr>
        <sz val="9"/>
        <color rgb="FF475569"/>
        <rFont val="Calibri"/>
        <family val="0"/>
        <charset val="1"/>
      </rPr>
      <t xml:space="preserve">00_Cover — </t>
    </r>
    <r>
      <rPr>
        <sz val="9"/>
        <color rgb="FF475569"/>
        <rFont val="DejaVu Sans"/>
        <family val="2"/>
      </rPr>
      <t xml:space="preserve">نظرة عامة ودليل التنقل</t>
    </r>
  </si>
  <si>
    <r>
      <rPr>
        <sz val="9"/>
        <color rgb="FF475569"/>
        <rFont val="Calibri"/>
        <family val="0"/>
        <charset val="1"/>
      </rPr>
      <t xml:space="preserve">01_Player_Rate_Card — </t>
    </r>
    <r>
      <rPr>
        <sz val="9"/>
        <color rgb="FF475569"/>
        <rFont val="DejaVu Sans"/>
        <family val="2"/>
      </rPr>
      <t xml:space="preserve">القائمة الكاملة مع الرسوم الأساسية حسب نوع الأصل والفئة</t>
    </r>
  </si>
  <si>
    <r>
      <rPr>
        <sz val="9"/>
        <color rgb="FF475569"/>
        <rFont val="Calibri"/>
        <family val="0"/>
        <charset val="1"/>
      </rPr>
      <t xml:space="preserve">02_Adjustment_Matrix — </t>
    </r>
    <r>
      <rPr>
        <sz val="9"/>
        <color rgb="FF475569"/>
        <rFont val="DejaVu Sans"/>
        <family val="2"/>
      </rPr>
      <t xml:space="preserve">حاسبة المضاعفات </t>
    </r>
    <r>
      <rPr>
        <sz val="9"/>
        <color rgb="FF475569"/>
        <rFont val="Calibri"/>
        <family val="0"/>
        <charset val="1"/>
      </rPr>
      <t xml:space="preserve">(</t>
    </r>
    <r>
      <rPr>
        <sz val="9"/>
        <color rgb="FF475569"/>
        <rFont val="DejaVu Sans"/>
        <family val="2"/>
      </rPr>
      <t xml:space="preserve">التفاعل، الجمهور، الموسمية، الإضافات</t>
    </r>
    <r>
      <rPr>
        <sz val="9"/>
        <color rgb="FF475569"/>
        <rFont val="Calibri"/>
        <family val="0"/>
        <charset val="1"/>
      </rPr>
      <t xml:space="preserve">)</t>
    </r>
  </si>
  <si>
    <r>
      <rPr>
        <sz val="9"/>
        <color rgb="FF475569"/>
        <rFont val="Calibri"/>
        <family val="0"/>
        <charset val="1"/>
      </rPr>
      <t xml:space="preserve">03_Add_On_Rights — </t>
    </r>
    <r>
      <rPr>
        <sz val="9"/>
        <color rgb="FF475569"/>
        <rFont val="DejaVu Sans"/>
        <family val="2"/>
      </rPr>
      <t xml:space="preserve">حزم الحقوق مع نسب الزيادة</t>
    </r>
  </si>
  <si>
    <r>
      <rPr>
        <sz val="9"/>
        <color rgb="FF475569"/>
        <rFont val="Calibri"/>
        <family val="0"/>
        <charset val="1"/>
      </rPr>
      <t xml:space="preserve">04_Deal_Builder — </t>
    </r>
    <r>
      <rPr>
        <sz val="9"/>
        <color rgb="FF475569"/>
        <rFont val="DejaVu Sans"/>
        <family val="2"/>
      </rPr>
      <t xml:space="preserve">حاسبة الصفقة الكاملة مع ضريبة القيمة المضافة ورسوم الإدارة</t>
    </r>
  </si>
  <si>
    <r>
      <rPr>
        <sz val="9"/>
        <color rgb="FF475569"/>
        <rFont val="Calibri"/>
        <family val="0"/>
        <charset val="1"/>
      </rPr>
      <t xml:space="preserve">05_Guide_EN — </t>
    </r>
    <r>
      <rPr>
        <sz val="9"/>
        <color rgb="FF475569"/>
        <rFont val="DejaVu Sans"/>
        <family val="2"/>
      </rPr>
      <t xml:space="preserve">الدليل الإنجليزي</t>
    </r>
  </si>
  <si>
    <r>
      <rPr>
        <sz val="9"/>
        <color rgb="FF475569"/>
        <rFont val="Calibri"/>
        <family val="0"/>
        <charset val="1"/>
      </rPr>
      <t xml:space="preserve">06_Guide_AR — </t>
    </r>
    <r>
      <rPr>
        <sz val="9"/>
        <color rgb="FF475569"/>
        <rFont val="DejaVu Sans"/>
        <family val="2"/>
      </rPr>
      <t xml:space="preserve">هذا الدليل </t>
    </r>
    <r>
      <rPr>
        <sz val="9"/>
        <color rgb="FF475569"/>
        <rFont val="Calibri"/>
        <family val="0"/>
        <charset val="1"/>
      </rPr>
      <t xml:space="preserve">(</t>
    </r>
    <r>
      <rPr>
        <sz val="9"/>
        <color rgb="FF475569"/>
        <rFont val="DejaVu Sans"/>
        <family val="2"/>
      </rPr>
      <t xml:space="preserve">عربي</t>
    </r>
    <r>
      <rPr>
        <sz val="9"/>
        <color rgb="FF475569"/>
        <rFont val="Calibri"/>
        <family val="0"/>
        <charset val="1"/>
      </rPr>
      <t xml:space="preserve">)</t>
    </r>
  </si>
  <si>
    <r>
      <rPr>
        <sz val="9"/>
        <color rgb="FF475569"/>
        <rFont val="Calibri"/>
        <family val="0"/>
        <charset val="1"/>
      </rPr>
      <t xml:space="preserve">07_Settings — </t>
    </r>
    <r>
      <rPr>
        <sz val="9"/>
        <color rgb="FF475569"/>
        <rFont val="DejaVu Sans"/>
        <family val="2"/>
      </rPr>
      <t xml:space="preserve">سعر الصرف والإعدادات العامة</t>
    </r>
  </si>
  <si>
    <r>
      <rPr>
        <sz val="9"/>
        <color rgb="FF475569"/>
        <rFont val="Calibri"/>
        <family val="0"/>
        <charset val="1"/>
      </rPr>
      <t xml:space="preserve">09_Benchmarks — </t>
    </r>
    <r>
      <rPr>
        <sz val="9"/>
        <color rgb="FF475569"/>
        <rFont val="DejaVu Sans"/>
        <family val="2"/>
      </rPr>
      <t xml:space="preserve">معايير السوق والاستخبارات التنافسية ومنهجية التسعير</t>
    </r>
  </si>
  <si>
    <r>
      <rPr>
        <sz val="9"/>
        <color rgb="FF475569"/>
        <rFont val="Calibri"/>
        <family val="0"/>
        <charset val="1"/>
      </rPr>
      <t xml:space="preserve">10_Case_Studies — </t>
    </r>
    <r>
      <rPr>
        <sz val="9"/>
        <color rgb="FF475569"/>
        <rFont val="DejaVu Sans"/>
        <family val="2"/>
      </rPr>
      <t xml:space="preserve">دراسات حالة تحقيق الدخل من الصفر إلى القمة </t>
    </r>
    <r>
      <rPr>
        <sz val="9"/>
        <color rgb="FF475569"/>
        <rFont val="Calibri"/>
        <family val="0"/>
        <charset val="1"/>
      </rPr>
      <t xml:space="preserve">(</t>
    </r>
    <r>
      <rPr>
        <sz val="9"/>
        <color rgb="FF475569"/>
        <rFont val="DejaVu Sans"/>
        <family val="2"/>
      </rPr>
      <t xml:space="preserve">عالمية و </t>
    </r>
    <r>
      <rPr>
        <sz val="9"/>
        <color rgb="FF475569"/>
        <rFont val="Calibri"/>
        <family val="0"/>
        <charset val="1"/>
      </rPr>
      <t xml:space="preserve">MENA)</t>
    </r>
  </si>
  <si>
    <t xml:space="preserve">لماذا يمكن للمحترفين في الرياضات الإلكترونية تسعير أعلى من المبدعين ذوي المتابعين الأكثر</t>
  </si>
  <si>
    <t xml:space="preserve">مبدأ التسعير القائم على السلطة</t>
  </si>
  <si>
    <t xml:space="preserve">مبدع يمتلك مليوني متابع بمعدل تفاعل 3% ليس بالضرورة أكثر قيمة من لاعب محترف يمتلك 200 ألف متابع بمعدل تفاعل 8% — خاصةً للعلامات التجارية التي تشتري المصداقية وليس مجرد الوصول. يُضفي Authority Patch الطابع الرسمي على هذا من خلال طبقة تسعير منظمة فوق المعادلة الأساسية.</t>
  </si>
  <si>
    <t xml:space="preserve">المعادلة المحدّثة (Authority Patch v1)</t>
  </si>
  <si>
    <r>
      <rPr>
        <sz val="10"/>
        <color rgb="FF0A1423"/>
        <rFont val="Calibri"/>
        <family val="0"/>
        <charset val="1"/>
      </rPr>
      <t xml:space="preserve">SocialPrice = </t>
    </r>
    <r>
      <rPr>
        <sz val="10"/>
        <color rgb="FF0A1423"/>
        <rFont val="DejaVu Sans"/>
        <family val="2"/>
      </rPr>
      <t xml:space="preserve">الرسوم الأساسية </t>
    </r>
    <r>
      <rPr>
        <sz val="10"/>
        <color rgb="FF0A1423"/>
        <rFont val="Calibri"/>
        <family val="0"/>
        <charset val="1"/>
      </rPr>
      <t xml:space="preserve">× </t>
    </r>
    <r>
      <rPr>
        <sz val="10"/>
        <color rgb="FF0A1423"/>
        <rFont val="DejaVu Sans"/>
        <family val="2"/>
      </rPr>
      <t xml:space="preserve">التفاعل </t>
    </r>
    <r>
      <rPr>
        <sz val="10"/>
        <color rgb="FF0A1423"/>
        <rFont val="Calibri"/>
        <family val="0"/>
        <charset val="1"/>
      </rPr>
      <t xml:space="preserve">× </t>
    </r>
    <r>
      <rPr>
        <sz val="10"/>
        <color rgb="FF0A1423"/>
        <rFont val="DejaVu Sans"/>
        <family val="2"/>
      </rPr>
      <t xml:space="preserve">جودة الجمهور </t>
    </r>
    <r>
      <rPr>
        <sz val="10"/>
        <color rgb="FF0A1423"/>
        <rFont val="Calibri"/>
        <family val="0"/>
        <charset val="1"/>
      </rPr>
      <t xml:space="preserve">× </t>
    </r>
    <r>
      <rPr>
        <sz val="10"/>
        <color rgb="FF0A1423"/>
        <rFont val="DejaVu Sans"/>
        <family val="2"/>
      </rPr>
      <t xml:space="preserve">الموسمية </t>
    </r>
    <r>
      <rPr>
        <sz val="10"/>
        <color rgb="FF0A1423"/>
        <rFont val="Calibri"/>
        <family val="0"/>
        <charset val="1"/>
      </rPr>
      <t xml:space="preserve">× </t>
    </r>
    <r>
      <rPr>
        <sz val="10"/>
        <color rgb="FF0A1423"/>
        <rFont val="DejaVu Sans"/>
        <family val="2"/>
      </rPr>
      <t xml:space="preserve">اللغة </t>
    </r>
    <r>
      <rPr>
        <sz val="10"/>
        <color rgb="FF0A1423"/>
        <rFont val="Calibri"/>
        <family val="0"/>
        <charset val="1"/>
      </rPr>
      <t xml:space="preserve">× AuthorityFactor</t>
    </r>
  </si>
  <si>
    <r>
      <rPr>
        <sz val="10"/>
        <color rgb="FF0A1423"/>
        <rFont val="Calibri"/>
        <family val="0"/>
        <charset val="1"/>
      </rPr>
      <t xml:space="preserve">AuthorityFloor = </t>
    </r>
    <r>
      <rPr>
        <sz val="10"/>
        <color rgb="FF0A1423"/>
        <rFont val="DejaVu Sans"/>
        <family val="2"/>
      </rPr>
      <t xml:space="preserve">رسوم الظهور </t>
    </r>
    <r>
      <rPr>
        <sz val="10"/>
        <color rgb="FF0A1423"/>
        <rFont val="Calibri"/>
        <family val="0"/>
        <charset val="1"/>
      </rPr>
      <t xml:space="preserve">IRL × FloorShare × </t>
    </r>
    <r>
      <rPr>
        <sz val="10"/>
        <color rgb="FF0A1423"/>
        <rFont val="DejaVu Sans"/>
        <family val="2"/>
      </rPr>
      <t xml:space="preserve">الموسمية </t>
    </r>
    <r>
      <rPr>
        <sz val="10"/>
        <color rgb="FF0A1423"/>
        <rFont val="Calibri"/>
        <family val="0"/>
        <charset val="1"/>
      </rPr>
      <t xml:space="preserve">× </t>
    </r>
    <r>
      <rPr>
        <sz val="10"/>
        <color rgb="FF0A1423"/>
        <rFont val="DejaVu Sans"/>
        <family val="2"/>
      </rPr>
      <t xml:space="preserve">اللغة </t>
    </r>
    <r>
      <rPr>
        <sz val="10"/>
        <color rgb="FF0A1423"/>
        <rFont val="Calibri"/>
        <family val="0"/>
        <charset val="1"/>
      </rPr>
      <t xml:space="preserve">× AuthorityFactor</t>
    </r>
  </si>
  <si>
    <t xml:space="preserve">السعر النهائي = PreAddOnPrice × (1 + نسبة الإضافات %)</t>
  </si>
  <si>
    <t xml:space="preserve">ما الذي يفعله كل مدخل جديد</t>
  </si>
  <si>
    <t xml:space="preserve">هدف الحملة — يحدد ObjectiveWeight. الوعي = 0.20 (الوصول أهم). التحويل = 0.40 (متوازن). الثقة/السلطة المهنية = 0.70 (المصداقية هي المنتج).</t>
  </si>
  <si>
    <t xml:space="preserve">مضاعف السلطة — يعكس المكانة التنافسية للاعب. 1.00 = مبدع عادي. 1.15 = محترف راسخ. 1.30 = متنافس نخبوي. 1.50 = نجم عالمي/فائز بالبطولة الكبرى. هذا ليس عن المتابعين — بل عن المصداقية التنافسية.</t>
  </si>
  <si>
    <t xml:space="preserve">مضاعف اللغة — 1.00 إنجليزي، 1.05 عربي (علاوة إقليمية MENA)، 1.15 ثنائي اللغة. المحتوى العربي يستحق علاوة في MENA لأنه يصل إلى جمهور ذي قوة شرائية عالية لا يستطيع المحتوى الإنجليزي الوصول إليه.</t>
  </si>
  <si>
    <t xml:space="preserve">حصة الحد الأدنى للسلطة (FloorShare) — الجزء من رسوم الظهور IRL المستخدم كحد أدنى لتسعير المحتوى. الافتراضي = 0.00 (معطّل). فعّله عند 0.30–0.80 للحملات التي تكون فيها المكانة التنافسية للمحترف هي سبب شراء العلامة التجارية.</t>
  </si>
  <si>
    <t xml:space="preserve">متى تستخدم الحد الأدنى للسلطة (FloorShare &gt; 0)</t>
  </si>
  <si>
    <r>
      <rPr>
        <sz val="10"/>
        <color rgb="FF0A1423"/>
        <rFont val="Calibri"/>
        <family val="0"/>
        <charset val="1"/>
      </rPr>
      <t xml:space="preserve">1. </t>
    </r>
    <r>
      <rPr>
        <sz val="10"/>
        <color rgb="FF0A1423"/>
        <rFont val="DejaVu Sans"/>
        <family val="2"/>
      </rPr>
      <t xml:space="preserve">الأجهزة والملحقات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حملات </t>
    </r>
    <r>
      <rPr>
        <sz val="10"/>
        <color rgb="FF0A1423"/>
        <rFont val="Calibri"/>
        <family val="0"/>
        <charset val="1"/>
      </rPr>
      <t xml:space="preserve">"</t>
    </r>
    <r>
      <rPr>
        <sz val="10"/>
        <color rgb="FF0A1423"/>
        <rFont val="DejaVu Sans"/>
        <family val="2"/>
      </rPr>
      <t xml:space="preserve">اختيار المحترف</t>
    </r>
    <r>
      <rPr>
        <sz val="10"/>
        <color rgb="FF0A1423"/>
        <rFont val="Calibri"/>
        <family val="0"/>
        <charset val="1"/>
      </rPr>
      <t xml:space="preserve">"): </t>
    </r>
    <r>
      <rPr>
        <sz val="10"/>
        <color rgb="FF0A1423"/>
        <rFont val="DejaVu Sans"/>
        <family val="2"/>
      </rPr>
      <t xml:space="preserve">علامة تجارية لفأرة ألعاب تدفع مقابل تأييد محترف تشتري مصداقية تنافسية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يضمن الحد الأدنى أن يعكس سعر المحتوى القيمة الحقيقية لهذا التأييد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</si>
  <si>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2. </t>
    </r>
    <r>
      <rPr>
        <sz val="10"/>
        <color rgb="FF0A1423"/>
        <rFont val="DejaVu Sans"/>
        <family val="2"/>
      </rPr>
      <t xml:space="preserve">نوافذ البطولات </t>
    </r>
    <r>
      <rPr>
        <sz val="10"/>
        <color rgb="FF0A1423"/>
        <rFont val="Calibri"/>
        <family val="0"/>
        <charset val="1"/>
      </rPr>
      <t xml:space="preserve">(EWC</t>
    </r>
    <r>
      <rPr>
        <sz val="10"/>
        <color rgb="FF0A1423"/>
        <rFont val="DejaVu Sans"/>
        <family val="2"/>
      </rPr>
      <t xml:space="preserve">، العالميات، الكبرى</t>
    </r>
    <r>
      <rPr>
        <sz val="10"/>
        <color rgb="FF0A1423"/>
        <rFont val="Calibri"/>
        <family val="0"/>
        <charset val="1"/>
      </rPr>
      <t xml:space="preserve">): </t>
    </r>
    <r>
      <rPr>
        <sz val="10"/>
        <color rgb="FF0A1423"/>
        <rFont val="DejaVu Sans"/>
        <family val="2"/>
      </rPr>
      <t xml:space="preserve">خلال أحداث تنافسية كبرى، محتوى المحترف يستحق أكثر مما تشير إليه مقاييسه الاجتماعية</t>
    </r>
    <r>
      <rPr>
        <sz val="10"/>
        <color rgb="FF0A1423"/>
        <rFont val="Calibri"/>
        <family val="0"/>
        <charset val="1"/>
      </rPr>
      <t xml:space="preserve">. </t>
    </r>
    <r>
      <rPr>
        <sz val="10"/>
        <color rgb="FF0A1423"/>
        <rFont val="DejaVu Sans"/>
        <family val="2"/>
      </rPr>
      <t xml:space="preserve">اضبط </t>
    </r>
    <r>
      <rPr>
        <sz val="10"/>
        <color rgb="FF0A1423"/>
        <rFont val="Calibri"/>
        <family val="0"/>
        <charset val="1"/>
      </rPr>
      <t xml:space="preserve">FloorShare </t>
    </r>
    <r>
      <rPr>
        <sz val="10"/>
        <color rgb="FF0A1423"/>
        <rFont val="DejaVu Sans"/>
        <family val="2"/>
      </rPr>
      <t xml:space="preserve">على </t>
    </r>
    <r>
      <rPr>
        <sz val="10"/>
        <color rgb="FF0A1423"/>
        <rFont val="Calibri"/>
        <family val="0"/>
        <charset val="1"/>
      </rPr>
      <t xml:space="preserve">0.40–0.60 </t>
    </r>
    <r>
      <rPr>
        <sz val="10"/>
        <color rgb="FF0A1423"/>
        <rFont val="DejaVu Sans"/>
        <family val="2"/>
      </rPr>
      <t xml:space="preserve">خلال هذه النوافذ</t>
    </r>
    <r>
      <rPr>
        <sz val="10"/>
        <color rgb="FF0A1423"/>
        <rFont val="Calibri"/>
        <family val="0"/>
        <charset val="1"/>
      </rPr>
      <t xml:space="preserve">.</t>
    </r>
  </si>
  <si>
    <r>
      <rPr>
        <sz val="10"/>
        <color rgb="FF0A1423"/>
        <rFont val="Calibri"/>
        <family val="0"/>
        <charset val="1"/>
      </rPr>
      <t xml:space="preserve">3. </t>
    </r>
    <r>
      <rPr>
        <sz val="10"/>
        <color rgb="FF0A1423"/>
        <rFont val="DejaVu Sans"/>
        <family val="2"/>
      </rPr>
      <t xml:space="preserve">حملات المصداقية</t>
    </r>
    <r>
      <rPr>
        <sz val="10"/>
        <color rgb="FF0A1423"/>
        <rFont val="Calibri"/>
        <family val="0"/>
        <charset val="1"/>
      </rPr>
      <t xml:space="preserve">: </t>
    </r>
    <r>
      <rPr>
        <sz val="10"/>
        <color rgb="FF0A1423"/>
        <rFont val="DejaVu Sans"/>
        <family val="2"/>
      </rPr>
      <t xml:space="preserve">العلامات التجارية في الخدمات المالية أو التغذية أو نمط الحياة التي تريد تموضع </t>
    </r>
    <r>
      <rPr>
        <sz val="10"/>
        <color rgb="FF0A1423"/>
        <rFont val="Calibri"/>
        <family val="0"/>
        <charset val="1"/>
      </rPr>
      <t xml:space="preserve">"</t>
    </r>
    <r>
      <rPr>
        <sz val="10"/>
        <color rgb="FF0A1423"/>
        <rFont val="DejaVu Sans"/>
        <family val="2"/>
      </rPr>
      <t xml:space="preserve">الرياضي المحترف</t>
    </r>
    <r>
      <rPr>
        <sz val="10"/>
        <color rgb="FF0A1423"/>
        <rFont val="Calibri"/>
        <family val="0"/>
        <charset val="1"/>
      </rPr>
      <t xml:space="preserve">". </t>
    </r>
    <r>
      <rPr>
        <sz val="10"/>
        <color rgb="FF0A1423"/>
        <rFont val="DejaVu Sans"/>
        <family val="2"/>
      </rPr>
      <t xml:space="preserve">يضمن الحد الأدنى أن يعكس السعر المكانة التنافسية للرياضي وليس فقط عدد متابعيه</t>
    </r>
    <r>
      <rPr>
        <sz val="10"/>
        <color rgb="FF0A1423"/>
        <rFont val="Calibri"/>
        <family val="0"/>
        <charset val="1"/>
      </rPr>
      <t xml:space="preserve">.</t>
    </r>
  </si>
  <si>
    <t xml:space="preserve">التوافق مع الإصدار السابق</t>
  </si>
  <si>
    <t xml:space="preserve">إذا كان AuthorityMultiplier = 1.00 وFloorShare = 0.00 وLanguage = 1.00، فإن المعادلة تنتج نفس النتيجة تماماً كالمعادلة السابقة. لا يتأثر أي تسعير موجود ما لم تغيّر هذه المدخلات بنشاط.</t>
  </si>
  <si>
    <t xml:space="preserve">موسمية EWC / ذروة الكبرى (جديد)</t>
  </si>
  <si>
    <t xml:space="preserve">كأس العالم للرياضات الإلكترونية (EWC) هو أعلى قيمة حدث في التقويم MENA. تمت إضافة خيار موسمية جديد — EWC / ذروة الكبرى = 1.50x — إلى جدول الموسمية والتوقيت. هذا أعلى مضاعف في النظام ويجب استخدامه فقط للمحتوى الذي يُنشر خلال EWC أو مباشرةً حوله.</t>
  </si>
  <si>
    <t xml:space="preserve">⑧ مولّد العروض السعرية — كيفية الاستخدام (13_Quote_Generator)</t>
  </si>
  <si>
    <t xml:space="preserve">مولّد العروض هو أسرع طريقة لإعداد عرض سعري جاهز للعميل — فقط اختر من القوائم المنسدلة.</t>
  </si>
  <si>
    <t xml:space="preserve">خطوات الاستخدام</t>
  </si>
  <si>
    <t xml:space="preserve">الخطوة 1</t>
  </si>
  <si>
    <t xml:space="preserve">تفاصيل الحملة (صفوف 5-9): اسم الحملة، العلامة التجارية، الفترة، المُعِد</t>
  </si>
  <si>
    <t xml:space="preserve">الخطوة 2</t>
  </si>
  <si>
    <t xml:space="preserve">الخطوة 3</t>
  </si>
  <si>
    <t xml:space="preserve">أضف بنود التسليم (صفوف 19-33): لكل تسليم، اختر من القوائم:</t>
  </si>
  <si>
    <t xml:space="preserve">• اللاعب / الموهبة — اختر من القائمة الكاملة للرياضيين</t>
  </si>
  <si>
    <t xml:space="preserve">• نوع التسليم — ريلز إنستغرام، فيديو تيك توك، بث تويتش، حضور شخصي، إلخ</t>
  </si>
  <si>
    <t xml:space="preserve">• الكمية — عدد المنشورات أو الظهورات</t>
  </si>
  <si>
    <t xml:space="preserve">• التوقيت — الموسم العادي، رمضان، كأس العالم للرياضات الإلكترونية، إلخ</t>
  </si>
  <si>
    <t xml:space="preserve">• الجمهور — ألعاب أساسية، رياضات إلكترونية، منطقة الشرق الأوسط وشمال أفريقيا، إلخ</t>
  </si>
  <si>
    <t xml:space="preserve">• باقة الإضافات — لا شيء، أساسية، قياسية، مميزة، كاملة، حصرية</t>
  </si>
  <si>
    <t xml:space="preserve">الخطوة 4</t>
  </si>
  <si>
    <t xml:space="preserve">يُحسب سعر الوحدة تلقائياً: السعر الأساسي × مضاعف التوقيت × مضاعف الجمهور × (1 + نسبة الإضافات)</t>
  </si>
  <si>
    <t xml:space="preserve">الخطوة 5</t>
  </si>
  <si>
    <t xml:space="preserve">الملخص يُحسب تلقائياً: المجموع الفرعي + رسوم الإدارة 10% + ضريبة القيمة المضافة 15%</t>
  </si>
  <si>
    <t xml:space="preserve">الخطوة 6</t>
  </si>
  <si>
    <t xml:space="preserve">انقر على "إنشاء عرض سعري PDF" لتصدير وثيقة منسقة للعميل</t>
  </si>
  <si>
    <t xml:space="preserve">منهجية التسعير (محدّثة 2025)</t>
  </si>
  <si>
    <t xml:space="preserve">تم إعادة معايرة جميع أسعار اللاعبين وفق أفضل الممارسات العالمية لعام 2025:</t>
  </si>
  <si>
    <t xml:space="preserve">الدرجة الأولى — ريلز إنستغرام</t>
  </si>
  <si>
    <r>
      <rPr>
        <sz val="10"/>
        <color rgb="FF0A1423"/>
        <rFont val="Calibri"/>
        <family val="0"/>
        <charset val="1"/>
      </rPr>
      <t xml:space="preserve">18,000 </t>
    </r>
    <r>
      <rPr>
        <sz val="10"/>
        <color rgb="FF0A1423"/>
        <rFont val="DejaVu Sans"/>
        <family val="2"/>
      </rPr>
      <t xml:space="preserve">ريال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كانت </t>
    </r>
    <r>
      <rPr>
        <sz val="10"/>
        <color rgb="FF0A1423"/>
        <rFont val="Calibri"/>
        <family val="0"/>
        <charset val="1"/>
      </rPr>
      <t xml:space="preserve">15,000) — </t>
    </r>
    <r>
      <rPr>
        <sz val="10"/>
        <color rgb="FF0A1423"/>
        <rFont val="DejaVu Sans"/>
        <family val="2"/>
      </rPr>
      <t xml:space="preserve">متوافق مع معدلات منشئي المحتوى الكبار في الرياضات الإلكترونية</t>
    </r>
  </si>
  <si>
    <t xml:space="preserve">الدرجة الثانية — ريلز إنستغرام</t>
  </si>
  <si>
    <r>
      <rPr>
        <sz val="10"/>
        <color rgb="FF0A1423"/>
        <rFont val="Calibri"/>
        <family val="0"/>
        <charset val="1"/>
      </rPr>
      <t xml:space="preserve">11,000 </t>
    </r>
    <r>
      <rPr>
        <sz val="10"/>
        <color rgb="FF0A1423"/>
        <rFont val="DejaVu Sans"/>
        <family val="2"/>
      </rPr>
      <t xml:space="preserve">ريال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كانت </t>
    </r>
    <r>
      <rPr>
        <sz val="10"/>
        <color rgb="FF0A1423"/>
        <rFont val="Calibri"/>
        <family val="0"/>
        <charset val="1"/>
      </rPr>
      <t xml:space="preserve">11,250) — </t>
    </r>
    <r>
      <rPr>
        <sz val="10"/>
        <color rgb="FF0A1423"/>
        <rFont val="DejaVu Sans"/>
        <family val="2"/>
      </rPr>
      <t xml:space="preserve">محسّن لشريحة </t>
    </r>
    <r>
      <rPr>
        <sz val="10"/>
        <color rgb="FF0A1423"/>
        <rFont val="Calibri"/>
        <family val="0"/>
        <charset val="1"/>
      </rPr>
      <t xml:space="preserve">100K-500K </t>
    </r>
    <r>
      <rPr>
        <sz val="10"/>
        <color rgb="FF0A1423"/>
        <rFont val="DejaVu Sans"/>
        <family val="2"/>
      </rPr>
      <t xml:space="preserve">متابع</t>
    </r>
  </si>
  <si>
    <t xml:space="preserve">الدرجة الثالثة — ريلز إنستغرام</t>
  </si>
  <si>
    <r>
      <rPr>
        <sz val="10"/>
        <color rgb="FF0A1423"/>
        <rFont val="Calibri"/>
        <family val="0"/>
        <charset val="1"/>
      </rPr>
      <t xml:space="preserve">6,500 </t>
    </r>
    <r>
      <rPr>
        <sz val="10"/>
        <color rgb="FF0A1423"/>
        <rFont val="DejaVu Sans"/>
        <family val="2"/>
      </rPr>
      <t xml:space="preserve">ريال </t>
    </r>
    <r>
      <rPr>
        <sz val="10"/>
        <color rgb="FF0A1423"/>
        <rFont val="Calibri"/>
        <family val="0"/>
        <charset val="1"/>
      </rPr>
      <t xml:space="preserve">(</t>
    </r>
    <r>
      <rPr>
        <sz val="10"/>
        <color rgb="FF0A1423"/>
        <rFont val="DejaVu Sans"/>
        <family val="2"/>
      </rPr>
      <t xml:space="preserve">كانت </t>
    </r>
    <r>
      <rPr>
        <sz val="10"/>
        <color rgb="FF0A1423"/>
        <rFont val="Calibri"/>
        <family val="0"/>
        <charset val="1"/>
      </rPr>
      <t xml:space="preserve">8,750) — </t>
    </r>
    <r>
      <rPr>
        <sz val="10"/>
        <color rgb="FF0A1423"/>
        <rFont val="DejaVu Sans"/>
        <family val="2"/>
      </rPr>
      <t xml:space="preserve">مصحّح للتوافق مع معايير منشئي المحتوى الصغار</t>
    </r>
  </si>
  <si>
    <t xml:space="preserve">نسب المنصات</t>
  </si>
  <si>
    <t xml:space="preserve">تيك توك = 78% من ريلز إنستغرام | تويتش 2 ساعة = 145% | حضور شخصي = 220%</t>
  </si>
  <si>
    <t xml:space="preserve">مكافأة عدد المنصات</t>
  </si>
  <si>
    <r>
      <rPr>
        <sz val="10"/>
        <color rgb="FF0A1423"/>
        <rFont val="Calibri"/>
        <family val="0"/>
        <charset val="1"/>
      </rPr>
      <t xml:space="preserve">0-1 </t>
    </r>
    <r>
      <rPr>
        <sz val="10"/>
        <color rgb="FF0A1423"/>
        <rFont val="DejaVu Sans"/>
        <family val="2"/>
      </rPr>
      <t xml:space="preserve">منصة</t>
    </r>
    <r>
      <rPr>
        <sz val="10"/>
        <color rgb="FF0A1423"/>
        <rFont val="Calibri"/>
        <family val="0"/>
        <charset val="1"/>
      </rPr>
      <t xml:space="preserve">: -20% | 2-3: </t>
    </r>
    <r>
      <rPr>
        <sz val="10"/>
        <color rgb="FF0A1423"/>
        <rFont val="DejaVu Sans"/>
        <family val="2"/>
      </rPr>
      <t xml:space="preserve">معياري </t>
    </r>
    <r>
      <rPr>
        <sz val="10"/>
        <color rgb="FF0A1423"/>
        <rFont val="Calibri"/>
        <family val="0"/>
        <charset val="1"/>
      </rPr>
      <t xml:space="preserve">| 4-5: +15% | 6-7: +25% | 8+: +35%</t>
    </r>
  </si>
  <si>
    <t xml:space="preserve">علاوة منطقة MENA</t>
  </si>
  <si>
    <t xml:space="preserve">باقات الإضافات (مبسّطة)</t>
  </si>
  <si>
    <t xml:space="preserve">لا شيء</t>
  </si>
  <si>
    <t xml:space="preserve">أساسية (+15%)</t>
  </si>
  <si>
    <t xml:space="preserve">إعادة نشر عضوي، شهر واحد — منصة واحدة</t>
  </si>
  <si>
    <t xml:space="preserve">قياسية (+60%)</t>
  </si>
  <si>
    <t xml:space="preserve">إعادة نشر عضوي (3 أشهر) + استخدام مدفوع (محدود)</t>
  </si>
  <si>
    <t xml:space="preserve">مميزة (+115%)</t>
  </si>
  <si>
    <t xml:space="preserve">إعادة نشر عضوي (6 أشهر) + استخدام مدفوع (قياسي) + حقوق منطقة MENA</t>
  </si>
  <si>
    <t xml:space="preserve">كاملة (+170%)</t>
  </si>
  <si>
    <t xml:space="preserve">جميع الحقوق العضوية + الاستخدام المدفوع الكامل + القائمة البيضاء (30 يوماً)</t>
  </si>
  <si>
    <t xml:space="preserve">حصرية (+320%)</t>
  </si>
  <si>
    <t xml:space="preserve">الباقة الكاملة + حصرية الفئة (12 شهراً)</t>
  </si>
  <si>
    <t xml:space="preserve">مضاعفات التوقيت</t>
  </si>
  <si>
    <t xml:space="preserve">الموسم العادي</t>
  </si>
  <si>
    <t xml:space="preserve">خارج الموسم</t>
  </si>
  <si>
    <r>
      <rPr>
        <sz val="10"/>
        <color rgb="FF0A1423"/>
        <rFont val="Calibri"/>
        <family val="0"/>
        <charset val="1"/>
      </rPr>
      <t xml:space="preserve">0.80x — </t>
    </r>
    <r>
      <rPr>
        <sz val="10"/>
        <color rgb="FF0A1423"/>
        <rFont val="DejaVu Sans"/>
        <family val="2"/>
      </rPr>
      <t xml:space="preserve">مشاهدة منخفضة</t>
    </r>
  </si>
  <si>
    <t xml:space="preserve">بطولة إقليمية كبرى</t>
  </si>
  <si>
    <r>
      <rPr>
        <sz val="10"/>
        <color rgb="FF0A1423"/>
        <rFont val="Calibri"/>
        <family val="0"/>
        <charset val="1"/>
      </rPr>
      <t xml:space="preserve">1.25x — </t>
    </r>
    <r>
      <rPr>
        <sz val="10"/>
        <color rgb="FF0A1423"/>
        <rFont val="DejaVu Sans"/>
        <family val="2"/>
      </rPr>
      <t xml:space="preserve">بطولة إقليمية</t>
    </r>
  </si>
  <si>
    <t xml:space="preserve">بطولة عالمية</t>
  </si>
  <si>
    <r>
      <rPr>
        <sz val="10"/>
        <color rgb="FF0A1423"/>
        <rFont val="Calibri"/>
        <family val="0"/>
        <charset val="1"/>
      </rPr>
      <t xml:space="preserve">1.40x — </t>
    </r>
    <r>
      <rPr>
        <sz val="10"/>
        <color rgb="FF0A1423"/>
        <rFont val="DejaVu Sans"/>
        <family val="2"/>
      </rPr>
      <t xml:space="preserve">ذروة الاهتمام بالرياضات الإلكترونية</t>
    </r>
  </si>
  <si>
    <t xml:space="preserve">إطلاق لعبة</t>
  </si>
  <si>
    <r>
      <rPr>
        <sz val="10"/>
        <color rgb="FF0A1423"/>
        <rFont val="Calibri"/>
        <family val="0"/>
        <charset val="1"/>
      </rPr>
      <t xml:space="preserve">1.30x — </t>
    </r>
    <r>
      <rPr>
        <sz val="10"/>
        <color rgb="FF0A1423"/>
        <rFont val="DejaVu Sans"/>
        <family val="2"/>
      </rPr>
      <t xml:space="preserve">إصدار عنوان جديد</t>
    </r>
  </si>
  <si>
    <t xml:space="preserve">نهاية العام (الربع الرابع)</t>
  </si>
  <si>
    <r>
      <rPr>
        <sz val="10"/>
        <color rgb="FF0A1423"/>
        <rFont val="Calibri"/>
        <family val="0"/>
        <charset val="1"/>
      </rPr>
      <t xml:space="preserve">1.20x — </t>
    </r>
    <r>
      <rPr>
        <sz val="10"/>
        <color rgb="FF0A1423"/>
        <rFont val="DejaVu Sans"/>
        <family val="2"/>
      </rPr>
      <t xml:space="preserve">ذروة نهاية العام</t>
    </r>
  </si>
  <si>
    <t xml:space="preserve">رمضان (منطقة MENA)</t>
  </si>
  <si>
    <r>
      <rPr>
        <sz val="10"/>
        <color rgb="FF0A1423"/>
        <rFont val="Calibri"/>
        <family val="0"/>
        <charset val="1"/>
      </rPr>
      <t xml:space="preserve">1.35x — </t>
    </r>
    <r>
      <rPr>
        <sz val="10"/>
        <color rgb="FF0A1423"/>
        <rFont val="DejaVu Sans"/>
        <family val="2"/>
      </rPr>
      <t xml:space="preserve">ذروة الاستهلاك في منطقة </t>
    </r>
    <r>
      <rPr>
        <sz val="10"/>
        <color rgb="FF0A1423"/>
        <rFont val="Calibri"/>
        <family val="0"/>
        <charset val="1"/>
      </rPr>
      <t xml:space="preserve">MENA</t>
    </r>
  </si>
  <si>
    <t xml:space="preserve">كأس العالم للرياضات الإلكترونية</t>
  </si>
  <si>
    <r>
      <rPr>
        <sz val="10"/>
        <color rgb="FF0A1423"/>
        <rFont val="Calibri"/>
        <family val="0"/>
        <charset val="1"/>
      </rPr>
      <t xml:space="preserve">1.50x — </t>
    </r>
    <r>
      <rPr>
        <sz val="10"/>
        <color rgb="FF0A1423"/>
        <rFont val="DejaVu Sans"/>
        <family val="2"/>
      </rPr>
      <t xml:space="preserve">أعلى مضاعف في النظام</t>
    </r>
  </si>
  <si>
    <t xml:space="preserve">TEAM FALCONS — COMMERCIAL PRICING METHODOLOGY &amp; ROADMAP</t>
  </si>
  <si>
    <t xml:space="preserve">① CURRENT PRICING MODEL (v2.0 — April 2026)</t>
  </si>
  <si>
    <t xml:space="preserve">Our current pricing engine uses a Base Rate + Multiplier model. This ensures baseline consistency across 189+ players while allowing dynamic adjustments for campaign specifics, audience quality, and content type.</t>
  </si>
  <si>
    <t xml:space="preserve">BASE RATES (The Foundation)</t>
  </si>
  <si>
    <t xml:space="preserve">Base rates are established per player, per platform, based on their Tier (1, 2, or 3) and Role (Player, Influencer, Coach, etc.).</t>
  </si>
  <si>
    <t xml:space="preserve">• Social Media: IG Reel, TikTok, YT Short, X Post, FB Post/Video</t>
  </si>
  <si>
    <t xml:space="preserve">• Live &amp; Stream: Twitch 2h Stream, Twitch Integration</t>
  </si>
  <si>
    <t xml:space="preserve">• On-Ground &amp; Events: IRL Appearance, Podcast Guesting (50% IRL), PR/CSR (100% IRL), Fan Meet (70% IRL), Photo Shoot (75% IRL)</t>
  </si>
  <si>
    <t xml:space="preserve">C</t>
  </si>
  <si>
    <t xml:space="preserve">D</t>
  </si>
  <si>
    <t xml:space="preserve">E</t>
  </si>
  <si>
    <t xml:space="preserve">F</t>
  </si>
  <si>
    <t xml:space="preserve">Audience Reach × CPM Rate</t>
  </si>
  <si>
    <t xml:space="preserve">Base Fee = (Followers × Avg Reach Rate × CPM) ÷ 1,000
Reach rates: IG 15–25%, TikTok 20–35%, YT 10–20%
Gaming CPM: $8–$20 USD (MENA: $10–$15)</t>
  </si>
  <si>
    <t xml:space="preserve">WME, CAA, Wasserman standard
FaZe: $15–25 CPM for gaming
T1: $12–18 CPM for esports</t>
  </si>
  <si>
    <t xml:space="preserve">Applied as Floor 1 in our 3-input model.
Sets the minimum viable rate based on expected impressions.</t>
  </si>
  <si>
    <t xml:space="preserve">THE MULTIPLIER CHAIN (The Adjustments)</t>
  </si>
  <si>
    <t xml:space="preserve">Engagement Quality Multiplier</t>
  </si>
  <si>
    <t xml:space="preserve">Multiplier applied on top of CPM floor:
&lt; 2%: 0.70x (below market)
2–4%: 0.90x (average)
4–6%: 1.00x (baseline)
6–8%: 1.20x (good)
8–10%: 1.40x (excellent)
&gt; 10%: 1.60x (premium micro)</t>
  </si>
  <si>
    <t xml:space="preserve">Industry standard: 4–6% is baseline for gaming
Micro-influencers (&lt; 100K) often 8–15%
Macro (&gt; 1M) typically 2–4%</t>
  </si>
  <si>
    <t xml:space="preserve">Applied as Engagement Multiplier in 02_Adjustment_Matrix.
Reflects true audience quality beyond raw follower count.</t>
  </si>
  <si>
    <t xml:space="preserve">Final Price = Base Rate × Content Type × Engagement × Audience × Seasonality × Language × Authority Factor</t>
  </si>
  <si>
    <t xml:space="preserve">Targeting Value Multiplier</t>
  </si>
  <si>
    <t xml:space="preserve">Multiplier based on audience composition:
Generic/Broad: 0.85x
Gaming-adjacent: 1.00x
Core Gaming: 1.20x
MENA/Saudi focus: 1.30x
Esports-focused: 1.40x
Global Esports Elite: 1.50x</t>
  </si>
  <si>
    <t xml:space="preserve">Esports audiences command 30–50% premium
over general gaming due to purchase intent.
MENA premium: 20–35% above global baseline.</t>
  </si>
  <si>
    <t xml:space="preserve">Applied as Audience Quality Multiplier.
Esports-focused Saudi audiences = highest value tier.</t>
  </si>
  <si>
    <t xml:space="preserve">• Content Type: Integrated (1.00x) vs. Dedicated/Brand-led (1.30x)</t>
  </si>
  <si>
    <t xml:space="preserve">Follower + Engagement Tier System</t>
  </si>
  <si>
    <t xml:space="preserve">Tier 1 (Premium): 1M+ followers, 8%+ engagement
Tier 2 (Target): 100K–1M followers, 5–8%
Tier 3 (Emerging): 10K–100K followers, high engagement
Base rates set per tier per platform.</t>
  </si>
  <si>
    <t xml:space="preserve">T1 Esports: Faker = $50K+/post
FaZe Clan Tier 1: $15K–$30K IG Reel
NRG Tier 2: $5K–$12K IG Reel
Micro-esports: $1K–$5K</t>
  </si>
  <si>
    <t xml:space="preserve">Tier 1 IG Reel: SAR 18,000 (~$4,800)
Tier 2 IG Reel: SAR 11,000 (~$2,933)
Tier 3 IG Reel: SAR 6,500 (~$1,733)</t>
  </si>
  <si>
    <t xml:space="preserve">• Engagement: Scales from 0.70x (&lt;2%) to 1.60x (&gt;10%)</t>
  </si>
  <si>
    <t xml:space="preserve">Cross-Platform Rate Calibration</t>
  </si>
  <si>
    <t xml:space="preserve">Relative value of each platform vs IG Reel (baseline):
IG Reel = 100% (baseline)
TikTok Video = 78%
YouTube Short = 32%
X Post = 20%
Twitch Stream 2h = 145%
Twitch Integration = 65%
IRL Appearance = 220%</t>
  </si>
  <si>
    <t xml:space="preserve">Industry standard ratios from
InfluenceFlow, Cloutboost, Porter Wills 2025.
Twitch commands premium for live engagement.</t>
  </si>
  <si>
    <t xml:space="preserve">Applied in 01_Player_Rate_Card.
All platform rates derived from IG Reel base × ratio.</t>
  </si>
  <si>
    <t xml:space="preserve">• Audience Quality: Gaming-adjacent (1.00x) vs. Esports Core (1.20x)</t>
  </si>
  <si>
    <t xml:space="preserve">Multi-Platform Presence Premium</t>
  </si>
  <si>
    <t xml:space="preserve">Bonus for talent with broad platform reach:
0–1 platforms: -20%
2–3 platforms: standard (0%)
4–5 platforms: +15%
6–7 platforms: +25%
8+ platforms: +35%</t>
  </si>
  <si>
    <t xml:space="preserve">Multi-platform creators command 15–35%
premium due to broader campaign reach
and cross-platform amplification.</t>
  </si>
  <si>
    <t xml:space="preserve">Applied at base fee level in rate card.
Encourages talent to build multi-platform presence.</t>
  </si>
  <si>
    <t xml:space="preserve">• Seasonality: Regular (1.00x) vs. Ramadan/EWC Peak (1.25x)</t>
  </si>
  <si>
    <t xml:space="preserve">Demand-Based Timing Premium</t>
  </si>
  <si>
    <t xml:space="preserve">Off-season: 0.80x
Regular season: 1.00x
Regional Major: 1.25x
Game Launch: 1.30x
Holiday Q4: 1.20x
Ramadan (MENA): 1.35x
Global Major/Worlds: 1.40x
EWC / Mega Peak: 1.50x</t>
  </si>
  <si>
    <t xml:space="preserve">Ramadan = highest MENA consumption period.
EWC = highest esports event in MENA calendar.
Peak demand = premium pricing justified.</t>
  </si>
  <si>
    <t xml:space="preserve">Applied in 02_Adjustment_Matrix.
EWC multiplier (1.50x) is highest in the system.</t>
  </si>
  <si>
    <t xml:space="preserve">• Language: Arabic/Local (1.00x) vs. Global English (1.15x)</t>
  </si>
  <si>
    <t xml:space="preserve">IRL Appearance-Based Price Floor</t>
  </si>
  <si>
    <t xml:space="preserve">Ensures pro player pricing never falls below
their appearance value:
Floor = IRL_Fee × FloorShare × Seasonality × Language × AuthorityFactor
Final = MAX(SocialPrice, AuthorityFloor)</t>
  </si>
  <si>
    <t xml:space="preserve">Used by WME, CAA for athlete-influencers.
Pro status commands minimum floor regardless
of social metrics.</t>
  </si>
  <si>
    <t xml:space="preserve">Applied in 02_Adjustment_Matrix.
Protects Falcons pro player pricing integrity.</t>
  </si>
  <si>
    <t xml:space="preserve">• Authority Factor: Weighted blend of Awareness (0.3), Conversion (0.6), and Trust (0.9) based on player prestige</t>
  </si>
  <si>
    <t xml:space="preserve">Usage Rights &amp; Exclusivity Uplift</t>
  </si>
  <si>
    <t xml:space="preserve">None: 0%
Basic (+15%): Organic repost, 1 month
Standard (+60%): Organic + paid (limited)
Premium (+115%): Organic + paid + MENA territory
Full (+170%): All organic + paid + whitelist
Exclusive (+320%): Full + category exclusivity 12 months</t>
  </si>
  <si>
    <t xml:space="preserve">Industry standard: usage rights add 15–320%
to base rate depending on scope.
Exclusivity is the highest-value add-on.</t>
  </si>
  <si>
    <t xml:space="preserve">Applied in 03_Add_On_Rights.
All rights packages documented with clear scope.</t>
  </si>
  <si>
    <t xml:space="preserve">Final Invoice Calculation</t>
  </si>
  <si>
    <t xml:space="preserve">Player Cost = Final Price ÷ (1 + Markup%)
Falcons Revenue = Final Price - Player Cost
Client Invoice = Final Price × 1.15 (15% KSA VAT)
USD Equivalent = SAR ÷ 3.75</t>
  </si>
  <si>
    <t xml:space="preserve">Standard agency model: 10–30% management fee.
KSA VAT: 15% on all commercial transactions.
Falcons markup: 20–75% depending on talent.</t>
  </si>
  <si>
    <t xml:space="preserve">Applied in 02_Adjustment_Matrix rows 64–70.
All quotations include VAT in final client price.</t>
  </si>
  <si>
    <t xml:space="preserve">ADD-ONS &amp; RIGHTS</t>
  </si>
  <si>
    <t xml:space="preserve">Applied as a percentage uplift on the final adjusted price:</t>
  </si>
  <si>
    <t xml:space="preserve">• Organic Repost: +15%</t>
  </si>
  <si>
    <t xml:space="preserve">• Paid Usage: Min (+15%), Std (+25%), Max (+40%)</t>
  </si>
  <si>
    <t xml:space="preserve">• Whitelisting: 30 Days (+15%), 90 Days (+25%), 1 Year (+40%)</t>
  </si>
  <si>
    <t xml:space="preserve">• Territory: MENA (Incl.), Global (+20%)</t>
  </si>
  <si>
    <t xml:space="preserve">• Exclusivity: Category 1mo (+20%), 3mo (+35%), 6mo (+50%)</t>
  </si>
  <si>
    <t xml:space="preserve">② THE ROADMAP: EVOLVING TO WORLD-CLASS STANDARDS</t>
  </si>
  <si>
    <t xml:space="preserve">EVOLUTION COMPONENT</t>
  </si>
  <si>
    <t xml:space="preserve">DESCRIPTION</t>
  </si>
  <si>
    <t xml:space="preserve">FORMULA ADDITION</t>
  </si>
  <si>
    <t xml:space="preserve">PRIORITY</t>
  </si>
  <si>
    <t xml:space="preserve">To align with global Tier 1 esports organizations (T1, FaZe, 100 Thieves) and premium sports marketing agencies (CAA, WME), Team Falcons is transitioning from a static rate card to a dynamic, data-driven valuation model.</t>
  </si>
  <si>
    <t xml:space="preserve">Hourly Rate Integration</t>
  </si>
  <si>
    <t xml:space="preserve">Add a minimum hourly rate floor for all content creation. A 60-second IG Reel requires 4–8 hours of work (filming, editing, revisions). Current model ignores this. Minimum floor: SAR 500–800/hour for Tier 2–3 talent.</t>
  </si>
  <si>
    <t xml:space="preserve">HourlyFloor = HourlyRate × EstimatedHours
Final = MAX(CurrentPrice, HourlyFloor)</t>
  </si>
  <si>
    <t xml:space="preserve">🔴 HIGH — implement Q3 2026</t>
  </si>
  <si>
    <t xml:space="preserve">Production Cost Pass-Through</t>
  </si>
  <si>
    <t xml:space="preserve">When Falcons provides production support (camera crew, studio, editor, graphic designer), these costs should be itemized and passed through to the client at cost + 20% margin. Separates talent fee from production fee for cleaner P&amp;L.</t>
  </si>
  <si>
    <t xml:space="preserve">Total = TalentFee + ProductionCost × 1.20
ProductionCost = Crew + Studio + Post-Production</t>
  </si>
  <si>
    <t xml:space="preserve">🟡 MEDIUM — implement Q4 2026</t>
  </si>
  <si>
    <t xml:space="preserve">PHASE 1: Standardization (Current)</t>
  </si>
  <si>
    <t xml:space="preserve">Deliverable Complexity Scoring</t>
  </si>
  <si>
    <t xml:space="preserve">Not all IG Reels are equal. A 30-second product showcase ≠ a 3-minute cinematic brand story. Introduce a complexity score (1–5) that multiplies the base rate. Simple post: 1.0x. Complex branded content: 2.5–3.5x.</t>
  </si>
  <si>
    <t xml:space="preserve">ComplexityMultiplier = 1.0 to 3.5
AdjustedBase = BaseFee × ComplexityMultiplier</t>
  </si>
  <si>
    <t xml:space="preserve">🟡 MEDIUM — implement Q1 2027</t>
  </si>
  <si>
    <t xml:space="preserve">• Unified rate card across all 189+ talents</t>
  </si>
  <si>
    <t xml:space="preserve">Performance-Based Bonus Tier</t>
  </si>
  <si>
    <t xml:space="preserve">Introduce a performance kicker: if content exceeds agreed KPIs (views, engagement, conversions), talent earns a bonus (10–25% of base). This aligns talent incentives with brand outcomes and is standard practice at T1 agencies for premium campaigns.</t>
  </si>
  <si>
    <t xml:space="preserve">BonusTrigger = IF(ActualKPI &gt; TargetKPI × 1.2, BaseFee × 0.15, 0)
FinalPayout = BaseFee + BonusTrigger</t>
  </si>
  <si>
    <t xml:space="preserve">🟢 STRATEGIC — implement Q2 2027</t>
  </si>
  <si>
    <t xml:space="preserve">• Automated quote generation with transparent multiplier breakdowns</t>
  </si>
  <si>
    <t xml:space="preserve">Dynamic Market Rate Engine</t>
  </si>
  <si>
    <t xml:space="preserve">Replace static tier rates with a dynamic engine that pulls real-time market data: competitor pricing, platform CPM fluctuations, demand signals (event calendar), and talent performance history. Rates auto-adjust quarterly. This is how WME and CAA operate at scale.</t>
  </si>
  <si>
    <t xml:space="preserve">DynamicRate = f(MarketCPM, CompetitorRates, DemandIndex, TalentScore)
Quarterly recalibration cycle</t>
  </si>
  <si>
    <t xml:space="preserve">🔵 LONG-TERM — 2027+</t>
  </si>
  <si>
    <t xml:space="preserve">• Clear distinction between Integrated (Player-led) and Dedicated (Brand-led) content</t>
  </si>
  <si>
    <t xml:space="preserve">Full Cost-Plus Model for Branded Content</t>
  </si>
  <si>
    <t xml:space="preserve">For large-scale branded content series (3+ episodes, documentary-style, event coverage), move to a full cost-plus model: Total Cost = (Talent + Production + Distribution + Management) × (1 + Target Margin%)
This is how Netflix, Amazon, and premium brand studios price content partnerships.</t>
  </si>
  <si>
    <t xml:space="preserve">TotalCost = Σ(AllCosts) × (1 + MarginTarget)
MarginTarget = 25–40% for premium content</t>
  </si>
  <si>
    <t xml:space="preserve">PHASE 2: CPM &amp; Performance Integration (Q3 2026)</t>
  </si>
  <si>
    <t xml:space="preserve">• Shikenso Analytics Integration: Moving from static base rates to dynamic CPM-based pricing.</t>
  </si>
  <si>
    <t xml:space="preserve">• Formula: Price = (Average Views / 1000) × Target CPM</t>
  </si>
  <si>
    <t xml:space="preserve">• Target CPMs: IG Reels ($15-$25), TikTok ($10-$20), YouTube ($20-$35)</t>
  </si>
  <si>
    <t xml:space="preserve">• Why: Brands buy guaranteed impressions. CPM pricing justifies premium rates for high-performing talent and protects the brand on underperforming posts.</t>
  </si>
  <si>
    <t xml:space="preserve">HOURS ESTIMATE</t>
  </si>
  <si>
    <t xml:space="preserve">RATE/HOUR (SAR)</t>
  </si>
  <si>
    <t xml:space="preserve">FLOOR COST (SAR)</t>
  </si>
  <si>
    <t xml:space="preserve">NOTES</t>
  </si>
  <si>
    <t xml:space="preserve">4–8 hours</t>
  </si>
  <si>
    <t xml:space="preserve">SAR 500–800</t>
  </si>
  <si>
    <t xml:space="preserve">SAR 2,000–6,400</t>
  </si>
  <si>
    <t xml:space="preserve">Filming + editing + revisions</t>
  </si>
  <si>
    <t xml:space="preserve">PHASE 3: Salary Benchmarking &amp; Floor Pricing (Q4 2026)</t>
  </si>
  <si>
    <t xml:space="preserve">3–6 hours</t>
  </si>
  <si>
    <t xml:space="preserve">SAR 400–700</t>
  </si>
  <si>
    <t xml:space="preserve">SAR 1,200–4,200</t>
  </si>
  <si>
    <t xml:space="preserve">Faster production cycle</t>
  </si>
  <si>
    <t xml:space="preserve">• Implementing a "Cost-Plus" floor to ensure commercial activities never operate at a loss relative to player salaries and operational overhead.</t>
  </si>
  <si>
    <t xml:space="preserve">4–7 hours</t>
  </si>
  <si>
    <t xml:space="preserve">SAR 2,000–5,600</t>
  </si>
  <si>
    <t xml:space="preserve">Higher production standard</t>
  </si>
  <si>
    <t xml:space="preserve">• Hourly Floor = (Player Annual Salary / 2000 hours) × Complexity Multiplier</t>
  </si>
  <si>
    <t xml:space="preserve">3 hours prep + 2h live</t>
  </si>
  <si>
    <t xml:space="preserve">SAR 600–1,000</t>
  </si>
  <si>
    <t xml:space="preserve">SAR 3,000–5,000</t>
  </si>
  <si>
    <t xml:space="preserve">Prep + live + post-stream</t>
  </si>
  <si>
    <t xml:space="preserve">• Final Quote = MAX(Market CPM Valuation, Hourly Floor Cost)</t>
  </si>
  <si>
    <t xml:space="preserve">6–8 hours total</t>
  </si>
  <si>
    <t xml:space="preserve">SAR 800–1,500</t>
  </si>
  <si>
    <t xml:space="preserve">SAR 4,800–12,000</t>
  </si>
  <si>
    <t xml:space="preserve">Travel + appearance + debrief</t>
  </si>
  <si>
    <t xml:space="preserve">• Why: Protects the organization's bottom line when deploying highly-paid Tier 1 talent for time-intensive branded content.</t>
  </si>
  <si>
    <t xml:space="preserve">30–50 hours</t>
  </si>
  <si>
    <t xml:space="preserve">SAR 700–1,200</t>
  </si>
  <si>
    <t xml:space="preserve">SAR 21,000–60,000</t>
  </si>
  <si>
    <t xml:space="preserve">Full production cycle</t>
  </si>
  <si>
    <t xml:space="preserve">60–120 hours</t>
  </si>
  <si>
    <t xml:space="preserve">SAR 1,000–2,000</t>
  </si>
  <si>
    <t xml:space="preserve">SAR 60,000–240,000</t>
  </si>
  <si>
    <t xml:space="preserve">Premium branded content</t>
  </si>
  <si>
    <t xml:space="preserve">PHASE 4: IP &amp; Brand Equity Premium (2027)</t>
  </si>
  <si>
    <t xml:space="preserve">8–10 hours</t>
  </si>
  <si>
    <t xml:space="preserve">SAR 3,000–8,000/day</t>
  </si>
  <si>
    <t xml:space="preserve">SAR 3,000–8,000</t>
  </si>
  <si>
    <t xml:space="preserve">Camera, lighting, sound</t>
  </si>
  <si>
    <t xml:space="preserve">• Charging for the "Falcons Halo Effect" — not just the player's reach, but the association with the MENA region's premier esports brand.</t>
  </si>
  <si>
    <t xml:space="preserve">8–16 hours/video</t>
  </si>
  <si>
    <t xml:space="preserve">SAR 400–800/hour</t>
  </si>
  <si>
    <t xml:space="preserve">SAR 3,200–12,800</t>
  </si>
  <si>
    <t xml:space="preserve">Color grade + sound + motion</t>
  </si>
  <si>
    <t xml:space="preserve">• Implementation of a flat +20% IP usage fee on all campaigns that utilize Falcons branding, jerseys, or facilities.</t>
  </si>
  <si>
    <t xml:space="preserve">4–8 hours/asset</t>
  </si>
  <si>
    <t xml:space="preserve">SAR 300–600/hour</t>
  </si>
  <si>
    <t xml:space="preserve">SAR 1,200–4,800</t>
  </si>
  <si>
    <t xml:space="preserve">Thumbnails, overlays, branding</t>
  </si>
  <si>
    <t xml:space="preserve">③ GLOBAL ESPORTS PRICING BENCHMARKS (2026)</t>
  </si>
  <si>
    <t xml:space="preserve">• T1 (Global): $15k-$50k+ per IG Reel (CPM + Authority floor, massive Faker premium)</t>
  </si>
  <si>
    <t xml:space="preserve">TIER 1 IG REEL</t>
  </si>
  <si>
    <t xml:space="preserve">TIER 2 IG REEL</t>
  </si>
  <si>
    <t xml:space="preserve">APPROACH</t>
  </si>
  <si>
    <t xml:space="preserve">KEY DIFFERENTIATOR</t>
  </si>
  <si>
    <t xml:space="preserve">• FaZe Clan (NA): $12k-$30k per IG Reel (Entertainment-first, lifestyle premium)</t>
  </si>
  <si>
    <t xml:space="preserve">$15,000–$50,000+</t>
  </si>
  <si>
    <t xml:space="preserve">$3,000–$8,000</t>
  </si>
  <si>
    <t xml:space="preserve">CPM + Authority floor</t>
  </si>
  <si>
    <t xml:space="preserve">Faker premium: 3–5x standard T1 rate</t>
  </si>
  <si>
    <t xml:space="preserve">• 100 Thieves (NA): $10k-$25k per IG Reel (Fashion/lifestyle hybrid premium)</t>
  </si>
  <si>
    <t xml:space="preserve">$12,000–$30,000</t>
  </si>
  <si>
    <t xml:space="preserve">$2,500–$6,000</t>
  </si>
  <si>
    <t xml:space="preserve">CPM + Brand equity premium</t>
  </si>
  <si>
    <t xml:space="preserve">Entertainment-first, gaming-adjacent audience</t>
  </si>
  <si>
    <t xml:space="preserve">• Team Falcons (Current): ~$3k-$5k per IG Reel (MENA premium + Event multipliers)</t>
  </si>
  <si>
    <t xml:space="preserve">$8,000–$20,000</t>
  </si>
  <si>
    <t xml:space="preserve">$2,000–$5,000</t>
  </si>
  <si>
    <t xml:space="preserve">CPM-based, platform ratios</t>
  </si>
  <si>
    <t xml:space="preserve">Strong esports-focused audience premium</t>
  </si>
  <si>
    <t xml:space="preserve">• Team Falcons (Target 2027): $6k-$10k+ per IG Reel (Full CPM + IP Equity model)</t>
  </si>
  <si>
    <t xml:space="preserve">$10,000–$25,000</t>
  </si>
  <si>
    <t xml:space="preserve">Lifestyle + esports hybrid</t>
  </si>
  <si>
    <t xml:space="preserve">Fashion/lifestyle premium on top of gaming</t>
  </si>
  <si>
    <t xml:space="preserve">NRG (NA)</t>
  </si>
  <si>
    <t xml:space="preserve">$6,000–$15,000</t>
  </si>
  <si>
    <t xml:space="preserve">$1,500–$4,000</t>
  </si>
  <si>
    <t xml:space="preserve">Standard CPM model</t>
  </si>
  <si>
    <t xml:space="preserve">Competitive esports focus</t>
  </si>
  <si>
    <t xml:space="preserve">Karmine Corp (EU)</t>
  </si>
  <si>
    <t xml:space="preserve">€5,000–€15,000</t>
  </si>
  <si>
    <t xml:space="preserve">€1,500–€4,000</t>
  </si>
  <si>
    <t xml:space="preserve">CPM + MENA/EU premium</t>
  </si>
  <si>
    <t xml:space="preserve">Strong French-speaking audience premium</t>
  </si>
  <si>
    <t xml:space="preserve">Team Falcons (MENA)</t>
  </si>
  <si>
    <t xml:space="preserve">SAR 18,000 (~$4,800)</t>
  </si>
  <si>
    <t xml:space="preserve">SAR 11,000 (~$2,933)</t>
  </si>
  <si>
    <t xml:space="preserve">CPM + Authority + Seasonality</t>
  </si>
  <si>
    <t xml:space="preserve">MENA premium + Ramadan/EWC multipliers</t>
  </si>
  <si>
    <t xml:space="preserve">Team Falcons (Target)</t>
  </si>
  <si>
    <t xml:space="preserve">SAR 25,000+ (~$6,667)</t>
  </si>
  <si>
    <t xml:space="preserve">SAR 15,000+ (~$4,000)</t>
  </si>
  <si>
    <t xml:space="preserve">Full cost-based model</t>
  </si>
  <si>
    <t xml:space="preserve">Phase 3 evolution target (2027)</t>
  </si>
  <si>
    <t xml:space="preserve">🦅  Team Falcons — Commercial Pricing Engine v2.0  ·  Confidential — Internal Use Only  ·  April 2026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</si>
</sst>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#,##0"/>
    <numFmt numFmtId="167" formatCode="0%"/>
    <numFmt numFmtId="168" formatCode="m/d/yyyy"/>
    <numFmt numFmtId="169" formatCode="mm/dd/yyyy"/>
    <numFmt numFmtId="170" formatCode="0.0%"/>
    <numFmt numFmtId="171" formatCode="#,##0.00"/>
  </numFmts>
  <fonts count="151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30"/>
      <color rgb="FF1FBF73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AAAAAA"/>
      <name val="Calibri"/>
      <family val="0"/>
      <charset val="1"/>
    </font>
    <font>
      <sz val="9"/>
      <color rgb="FF888888"/>
      <name val="Calibri"/>
      <family val="0"/>
      <charset val="1"/>
    </font>
    <font>
      <sz val="10"/>
      <color rgb="FFFFFFFF"/>
      <name val="Arial"/>
      <family val="0"/>
      <charset val="1"/>
    </font>
    <font>
      <b val="true"/>
      <sz val="20"/>
      <color rgb="FF1FBF73"/>
      <name val="Calibri"/>
      <family val="0"/>
      <charset val="1"/>
    </font>
    <font>
      <sz val="9"/>
      <color rgb="FF555555"/>
      <name val="Calibri"/>
      <family val="0"/>
      <charset val="1"/>
    </font>
    <font>
      <sz val="10"/>
      <name val="Arial"/>
      <family val="0"/>
      <charset val="1"/>
    </font>
    <font>
      <b val="true"/>
      <sz val="10"/>
      <color rgb="FF0B2340"/>
      <name val="Arial"/>
      <family val="0"/>
      <charset val="1"/>
    </font>
    <font>
      <b val="true"/>
      <sz val="10"/>
      <color rgb="FF007B3F"/>
      <name val="Arial"/>
      <family val="0"/>
      <charset val="1"/>
    </font>
    <font>
      <sz val="9"/>
      <color rgb="FF0B2340"/>
      <name val="Arial"/>
      <family val="0"/>
      <charset val="1"/>
    </font>
    <font>
      <b val="true"/>
      <sz val="14"/>
      <color theme="1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333333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9"/>
      <color rgb="FFC6DFFF"/>
      <name val="Calibri"/>
      <family val="0"/>
      <charset val="1"/>
    </font>
    <font>
      <sz val="10"/>
      <color rgb="FF1A1A1A"/>
      <name val="Arial"/>
      <family val="0"/>
      <charset val="1"/>
    </font>
    <font>
      <b val="true"/>
      <sz val="14"/>
      <color rgb="FF0B23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0B23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B2340"/>
      <name val="Arial"/>
      <family val="0"/>
      <charset val="1"/>
    </font>
    <font>
      <b val="true"/>
      <sz val="18"/>
      <color rgb="FF00B464"/>
      <name val="Calibri"/>
      <family val="0"/>
      <charset val="1"/>
    </font>
    <font>
      <i val="true"/>
      <sz val="10"/>
      <color rgb="FF94A3B8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00337F"/>
      <name val="Calibri"/>
      <family val="0"/>
      <charset val="1"/>
    </font>
    <font>
      <b val="true"/>
      <sz val="10"/>
      <color rgb="FF005900"/>
      <name val="Calibri"/>
      <family val="0"/>
      <charset val="1"/>
    </font>
    <font>
      <i val="true"/>
      <sz val="8"/>
      <color rgb="FF666666"/>
      <name val="Calibri"/>
      <family val="0"/>
      <charset val="1"/>
    </font>
    <font>
      <b val="true"/>
      <sz val="9"/>
      <color rgb="FF475569"/>
      <name val="Calibri"/>
      <family val="0"/>
      <charset val="1"/>
    </font>
    <font>
      <sz val="11"/>
      <color rgb="FF0A1423"/>
      <name val="Calibri"/>
      <family val="0"/>
      <charset val="1"/>
    </font>
    <font>
      <b val="true"/>
      <sz val="10"/>
      <color rgb="FF1E3A5F"/>
      <name val="Calibri"/>
      <family val="0"/>
      <charset val="1"/>
    </font>
    <font>
      <b val="true"/>
      <sz val="11"/>
      <color rgb="FF0D46A1"/>
      <name val="Calibri"/>
      <family val="0"/>
      <charset val="1"/>
    </font>
    <font>
      <b val="true"/>
      <sz val="8"/>
      <color rgb="FFFFFFFF"/>
      <name val="Calibri"/>
      <family val="0"/>
      <charset val="1"/>
    </font>
    <font>
      <sz val="9"/>
      <color rgb="FFFFFFFF"/>
      <name val="Calibri"/>
      <family val="0"/>
      <charset val="1"/>
    </font>
    <font>
      <b val="true"/>
      <sz val="11"/>
      <color rgb="FF166534"/>
      <name val="Calibri"/>
      <family val="0"/>
      <charset val="1"/>
    </font>
    <font>
      <b val="true"/>
      <sz val="10"/>
      <color rgb="FF0A1423"/>
      <name val="Calibri"/>
      <family val="0"/>
      <charset val="1"/>
    </font>
    <font>
      <b val="true"/>
      <sz val="10"/>
      <color theme="1"/>
      <name val="Calibri"/>
      <family val="0"/>
      <charset val="1"/>
    </font>
    <font>
      <b val="true"/>
      <sz val="10"/>
      <color rgb="FF0D46A1"/>
      <name val="Calibri"/>
      <family val="0"/>
      <charset val="1"/>
    </font>
    <font>
      <b val="true"/>
      <sz val="9"/>
      <color rgb="FFFFFDF4"/>
      <name val="Calibri"/>
      <family val="0"/>
      <charset val="1"/>
    </font>
    <font>
      <b val="true"/>
      <sz val="9"/>
      <color rgb="FF4C1D95"/>
      <name val="Calibri"/>
      <family val="0"/>
      <charset val="1"/>
    </font>
    <font>
      <sz val="10"/>
      <color rgb="FF1E293B"/>
      <name val="Calibri"/>
      <family val="0"/>
      <charset val="1"/>
    </font>
    <font>
      <b val="true"/>
      <sz val="11"/>
      <color rgb="FF008C4E"/>
      <name val="Calibri"/>
      <family val="0"/>
      <charset val="1"/>
    </font>
    <font>
      <i val="true"/>
      <sz val="9"/>
      <color rgb="FF64748B"/>
      <name val="Calibri"/>
      <family val="0"/>
      <charset val="1"/>
    </font>
    <font>
      <sz val="10"/>
      <color rgb="FF0A1423"/>
      <name val="Calibri"/>
      <family val="0"/>
      <charset val="1"/>
    </font>
    <font>
      <sz val="10"/>
      <color theme="1"/>
      <name val="Calibri"/>
      <family val="0"/>
      <charset val="1"/>
    </font>
    <font>
      <i val="true"/>
      <sz val="9"/>
      <color rgb="FFFFFDF4"/>
      <name val="Calibri"/>
      <family val="0"/>
      <charset val="1"/>
    </font>
    <font>
      <b val="true"/>
      <sz val="11"/>
      <color rgb="FF0A1423"/>
      <name val="Calibri"/>
      <family val="0"/>
      <charset val="1"/>
    </font>
    <font>
      <i val="true"/>
      <sz val="8"/>
      <color rgb="FFBDBDBD"/>
      <name val="Calibri"/>
      <family val="0"/>
      <charset val="1"/>
    </font>
    <font>
      <b val="true"/>
      <sz val="10"/>
      <color rgb="FF1E293B"/>
      <name val="Calibri"/>
      <family val="0"/>
      <charset val="1"/>
    </font>
    <font>
      <b val="true"/>
      <sz val="10"/>
      <color rgb="FF003399"/>
      <name val="Calibri"/>
      <family val="0"/>
      <charset val="1"/>
    </font>
    <font>
      <sz val="10"/>
      <color rgb="FF007B3F"/>
      <name val="Arial"/>
      <family val="0"/>
      <charset val="1"/>
    </font>
    <font>
      <b val="true"/>
      <sz val="11"/>
      <color rgb="FF1E3A5F"/>
      <name val="Calibri"/>
      <family val="0"/>
      <charset val="1"/>
    </font>
    <font>
      <sz val="10"/>
      <color rgb="FFFFFFFF"/>
      <name val="Calibri"/>
      <family val="0"/>
      <charset val="1"/>
    </font>
    <font>
      <i val="true"/>
      <sz val="9"/>
      <color rgb="FF475569"/>
      <name val="Calibri"/>
      <family val="0"/>
      <charset val="1"/>
    </font>
    <font>
      <b val="true"/>
      <sz val="12"/>
      <color rgb="FF0A1423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9"/>
      <color rgb="FF191919"/>
      <name val="Calibri"/>
      <family val="0"/>
      <charset val="1"/>
    </font>
    <font>
      <i val="true"/>
      <sz val="8"/>
      <color rgb="FF7F7F7F"/>
      <name val="Calibri"/>
      <family val="0"/>
      <charset val="1"/>
    </font>
    <font>
      <b val="true"/>
      <sz val="10"/>
      <color rgb="FF006600"/>
      <name val="Calibri"/>
      <family val="0"/>
      <charset val="1"/>
    </font>
    <font>
      <sz val="9"/>
      <color theme="1"/>
      <name val="Calibri"/>
      <family val="0"/>
      <charset val="1"/>
    </font>
    <font>
      <b val="true"/>
      <i val="true"/>
      <sz val="9"/>
      <color rgb="FF0D1B3E"/>
      <name val="Calibri"/>
      <family val="0"/>
      <charset val="1"/>
    </font>
    <font>
      <b val="true"/>
      <sz val="10"/>
      <color rgb="FF2DD06D"/>
      <name val="Calibri"/>
      <family val="0"/>
      <charset val="1"/>
    </font>
    <font>
      <sz val="9"/>
      <color rgb="FF195B35"/>
      <name val="Calibri"/>
      <family val="0"/>
      <charset val="1"/>
    </font>
    <font>
      <b val="true"/>
      <sz val="9"/>
      <color rgb="FF193A99"/>
      <name val="Calibri"/>
      <family val="0"/>
      <charset val="1"/>
    </font>
    <font>
      <b val="true"/>
      <sz val="9"/>
      <color theme="1"/>
      <name val="Calibri"/>
      <family val="0"/>
      <charset val="1"/>
    </font>
    <font>
      <b val="true"/>
      <sz val="16"/>
      <color rgb="FF001F3F"/>
      <name val="Calibri"/>
      <family val="0"/>
      <charset val="1"/>
    </font>
    <font>
      <i val="true"/>
      <sz val="9"/>
      <color rgb="FF666666"/>
      <name val="Calibri"/>
      <family val="0"/>
      <charset val="1"/>
    </font>
    <font>
      <b val="true"/>
      <sz val="10"/>
      <color rgb="FF001F3F"/>
      <name val="Calibri"/>
      <family val="0"/>
      <charset val="1"/>
    </font>
    <font>
      <b val="true"/>
      <sz val="9"/>
      <color rgb="FF111111"/>
      <name val="Calibri"/>
      <family val="0"/>
      <charset val="1"/>
    </font>
    <font>
      <b val="true"/>
      <sz val="10"/>
      <color rgb="FF1FBF73"/>
      <name val="Calibri"/>
      <family val="0"/>
      <charset val="1"/>
    </font>
    <font>
      <sz val="9"/>
      <color rgb="FF111111"/>
      <name val="Calibri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color rgb="FF5D707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8"/>
      <color rgb="FF2ED06E"/>
      <name val="Google Sans"/>
      <family val="0"/>
      <charset val="1"/>
    </font>
    <font>
      <b val="true"/>
      <sz val="9"/>
      <color rgb="FF5D7079"/>
      <name val="Google Sans"/>
      <family val="0"/>
      <charset val="1"/>
    </font>
    <font>
      <sz val="9"/>
      <color rgb="FF35424C"/>
      <name val="Google Sans"/>
      <family val="0"/>
      <charset val="1"/>
    </font>
    <font>
      <b val="true"/>
      <sz val="10"/>
      <color rgb="FFFFFFFF"/>
      <name val="Google Sans"/>
      <family val="0"/>
      <charset val="1"/>
    </font>
    <font>
      <b val="true"/>
      <sz val="10"/>
      <color rgb="FF35424C"/>
      <name val="Google Sans"/>
      <family val="0"/>
      <charset val="1"/>
    </font>
    <font>
      <sz val="10"/>
      <color rgb="FF5D7079"/>
      <name val="Google Sans"/>
      <family val="0"/>
      <charset val="1"/>
    </font>
    <font>
      <sz val="11"/>
      <color theme="1"/>
      <name val="Google Sans"/>
      <family val="0"/>
      <charset val="1"/>
    </font>
    <font>
      <b val="true"/>
      <sz val="9"/>
      <color rgb="FFFFFFFF"/>
      <name val="Google Sans"/>
      <family val="0"/>
      <charset val="1"/>
    </font>
    <font>
      <sz val="10"/>
      <color rgb="FF666666"/>
      <name val="Google Sans"/>
      <family val="0"/>
      <charset val="1"/>
    </font>
    <font>
      <b val="true"/>
      <sz val="11"/>
      <color rgb="FFFFFFFF"/>
      <name val="Google Sans"/>
      <family val="0"/>
      <charset val="1"/>
    </font>
    <font>
      <b val="true"/>
      <sz val="11"/>
      <color rgb="FF35424C"/>
      <name val="Google Sans"/>
      <family val="0"/>
      <charset val="1"/>
    </font>
    <font>
      <b val="true"/>
      <sz val="10"/>
      <color rgb="FF2ED06E"/>
      <name val="Google Sans"/>
      <family val="0"/>
      <charset val="1"/>
    </font>
    <font>
      <b val="true"/>
      <sz val="9"/>
      <color rgb="FF1B5E20"/>
      <name val="Google Sans"/>
      <family val="0"/>
      <charset val="1"/>
    </font>
    <font>
      <sz val="9"/>
      <color rgb="FF5D7079"/>
      <name val="Google Sans"/>
      <family val="0"/>
      <charset val="1"/>
    </font>
    <font>
      <sz val="9"/>
      <color rgb="FFFFFFFF"/>
      <name val="Google Sans"/>
      <family val="0"/>
      <charset val="1"/>
    </font>
    <font>
      <i val="true"/>
      <sz val="9"/>
      <color rgb="FF607D8B"/>
      <name val="Google Sans"/>
      <family val="0"/>
      <charset val="1"/>
    </font>
    <font>
      <i val="true"/>
      <sz val="8"/>
      <color rgb="FFCCCCCC"/>
      <name val="Google Sans"/>
      <family val="0"/>
      <charset val="1"/>
    </font>
    <font>
      <b val="true"/>
      <sz val="11"/>
      <color theme="1"/>
      <name val="Calibri"/>
      <family val="0"/>
      <charset val="1"/>
    </font>
    <font>
      <b val="true"/>
      <sz val="16"/>
      <color rgb="FF00B464"/>
      <name val="Calibri"/>
      <family val="0"/>
      <charset val="1"/>
    </font>
    <font>
      <sz val="10"/>
      <color rgb="FF475569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9"/>
      <color rgb="FF0A1423"/>
      <name val="Calibri"/>
      <family val="0"/>
      <charset val="1"/>
    </font>
    <font>
      <i val="true"/>
      <sz val="10"/>
      <color rgb="FFFFFFFF"/>
      <name val="Calibri"/>
      <family val="0"/>
      <charset val="1"/>
    </font>
    <font>
      <sz val="10"/>
      <color rgb="FF166534"/>
      <name val="Calibri"/>
      <family val="0"/>
      <charset val="1"/>
    </font>
    <font>
      <b val="true"/>
      <sz val="10"/>
      <color rgb="FF475569"/>
      <name val="Calibri"/>
      <family val="0"/>
      <charset val="1"/>
    </font>
    <font>
      <sz val="9"/>
      <color rgb="FF475569"/>
      <name val="Calibri"/>
      <family val="0"/>
      <charset val="1"/>
    </font>
    <font>
      <b val="true"/>
      <sz val="11"/>
      <color rgb="FF4C1D95"/>
      <name val="Calibri"/>
      <family val="0"/>
      <charset val="1"/>
    </font>
    <font>
      <i val="true"/>
      <sz val="10"/>
      <color rgb="FF1E3A5F"/>
      <name val="Calibri"/>
      <family val="0"/>
      <charset val="1"/>
    </font>
    <font>
      <sz val="10"/>
      <color rgb="FF1E3A5F"/>
      <name val="Calibri"/>
      <family val="0"/>
      <charset val="1"/>
    </font>
    <font>
      <b val="true"/>
      <sz val="10"/>
      <color rgb="FF6D28D9"/>
      <name val="Calibri"/>
      <family val="0"/>
      <charset val="1"/>
    </font>
    <font>
      <b val="true"/>
      <sz val="16"/>
      <color rgb="FF00B464"/>
      <name val="DejaVu Sans"/>
      <family val="2"/>
      <charset val="1"/>
    </font>
    <font>
      <i val="true"/>
      <sz val="10"/>
      <color rgb="FF94A3B8"/>
      <name val="DejaVu Sans"/>
      <family val="2"/>
      <charset val="1"/>
    </font>
    <font>
      <b val="true"/>
      <sz val="12"/>
      <color rgb="FFFFFFFF"/>
      <name val="DejaVu Sans"/>
      <family val="2"/>
      <charset val="1"/>
    </font>
    <font>
      <b val="true"/>
      <sz val="11"/>
      <color rgb="FF1E3A5F"/>
      <name val="DejaVu Sans"/>
      <family val="2"/>
      <charset val="1"/>
    </font>
    <font>
      <sz val="10"/>
      <color rgb="FF0A1423"/>
      <name val="DejaVu Sans"/>
      <family val="2"/>
      <charset val="1"/>
    </font>
    <font>
      <b val="true"/>
      <sz val="10"/>
      <color rgb="FF0A1423"/>
      <name val="DejaVu Sans"/>
      <family val="2"/>
      <charset val="1"/>
    </font>
    <font>
      <sz val="10"/>
      <color rgb="FF475569"/>
      <name val="DejaVu Sans"/>
      <family val="2"/>
      <charset val="1"/>
    </font>
    <font>
      <sz val="10"/>
      <color rgb="FF0A1423"/>
      <name val="DejaVu Sans"/>
      <family val="2"/>
    </font>
    <font>
      <sz val="10"/>
      <color rgb="FF475569"/>
      <name val="DejaVu Sans"/>
      <family val="2"/>
    </font>
    <font>
      <sz val="10"/>
      <color rgb="FF166534"/>
      <name val="DejaVu Sans"/>
      <family val="2"/>
      <charset val="1"/>
    </font>
    <font>
      <sz val="10"/>
      <color rgb="FF166534"/>
      <name val="DejaVu Sans"/>
      <family val="2"/>
    </font>
    <font>
      <b val="true"/>
      <sz val="12"/>
      <color rgb="FFFFFFFF"/>
      <name val="DejaVu Sans"/>
      <family val="2"/>
    </font>
    <font>
      <b val="true"/>
      <sz val="10"/>
      <color rgb="FF1E3A5F"/>
      <name val="DejaVu Sans"/>
      <family val="2"/>
      <charset val="1"/>
    </font>
    <font>
      <i val="true"/>
      <sz val="9"/>
      <color rgb="FF475569"/>
      <name val="DejaVu Sans"/>
      <family val="2"/>
      <charset val="1"/>
    </font>
    <font>
      <sz val="9"/>
      <color rgb="FF475569"/>
      <name val="DejaVu Sans"/>
      <family val="2"/>
      <charset val="1"/>
    </font>
    <font>
      <sz val="9"/>
      <color rgb="FF475569"/>
      <name val="DejaVu Sans"/>
      <family val="2"/>
    </font>
    <font>
      <b val="true"/>
      <sz val="11"/>
      <color rgb="FF4C1D95"/>
      <name val="DejaVu Sans"/>
      <family val="2"/>
      <charset val="1"/>
    </font>
    <font>
      <sz val="11"/>
      <color theme="1"/>
      <name val="DejaVu Sans"/>
      <family val="2"/>
      <charset val="1"/>
    </font>
    <font>
      <i val="true"/>
      <sz val="10"/>
      <color rgb="FF1E3A5F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sz val="10"/>
      <color rgb="FF6D28D9"/>
      <name val="DejaVu Sans"/>
      <family val="2"/>
      <charset val="1"/>
    </font>
    <font>
      <sz val="11"/>
      <color theme="1"/>
      <name val="Arial"/>
      <family val="0"/>
      <charset val="1"/>
    </font>
    <font>
      <i val="true"/>
      <sz val="11"/>
      <color rgb="FFC9A84C"/>
      <name val="Calibri"/>
      <family val="0"/>
      <charset val="1"/>
    </font>
    <font>
      <sz val="11"/>
      <color rgb="FFFFFFFF"/>
      <name val="Calibri"/>
      <family val="0"/>
      <charset val="1"/>
    </font>
    <font>
      <b val="true"/>
      <sz val="13"/>
      <color rgb="FFFFFFFF"/>
      <name val="Calibri"/>
      <family val="0"/>
      <charset val="1"/>
    </font>
    <font>
      <b val="true"/>
      <sz val="11"/>
      <color rgb="FF0D1B2A"/>
      <name val="Calibri"/>
      <family val="0"/>
      <charset val="1"/>
    </font>
    <font>
      <sz val="9"/>
      <color rgb="FF222222"/>
      <name val="Calibri"/>
      <family val="0"/>
      <charset val="1"/>
    </font>
    <font>
      <i val="true"/>
      <sz val="9"/>
      <color rgb="FF333333"/>
      <name val="Calibri"/>
      <family val="0"/>
      <charset val="1"/>
    </font>
    <font>
      <sz val="9"/>
      <color rgb="FF0D1B2A"/>
      <name val="Calibri"/>
      <family val="0"/>
      <charset val="1"/>
    </font>
    <font>
      <i val="true"/>
      <sz val="11"/>
      <color rgb="FF0D1B2A"/>
      <name val="Calibri"/>
      <family val="0"/>
      <charset val="1"/>
    </font>
    <font>
      <i val="true"/>
      <sz val="9"/>
      <color rgb="FF1565C0"/>
      <name val="Calibri"/>
      <family val="0"/>
      <charset val="1"/>
    </font>
    <font>
      <b val="true"/>
      <sz val="11"/>
      <color rgb="FF7B1D1D"/>
      <name val="Calibri"/>
      <family val="0"/>
      <charset val="1"/>
    </font>
    <font>
      <b val="true"/>
      <sz val="11"/>
      <color rgb="FFA07830"/>
      <name val="Calibri"/>
      <family val="0"/>
      <charset val="1"/>
    </font>
    <font>
      <b val="true"/>
      <sz val="11"/>
      <color rgb="FF1A5C38"/>
      <name val="Calibri"/>
      <family val="0"/>
      <charset val="1"/>
    </font>
    <font>
      <b val="true"/>
      <sz val="11"/>
      <color rgb="FF1565C0"/>
      <name val="Calibri"/>
      <family val="0"/>
      <charset val="1"/>
    </font>
    <font>
      <sz val="11"/>
      <color rgb="FF333333"/>
      <name val="Calibri"/>
      <family val="0"/>
      <charset val="1"/>
    </font>
    <font>
      <sz val="11"/>
      <color rgb="FF1A5C38"/>
      <name val="Calibri"/>
      <family val="0"/>
      <charset val="1"/>
    </font>
    <font>
      <i val="true"/>
      <sz val="9"/>
      <color rgb="FF555555"/>
      <name val="Calibri"/>
      <family val="0"/>
      <charset val="1"/>
    </font>
    <font>
      <sz val="11"/>
      <color rgb="FF0D1B2A"/>
      <name val="Calibri"/>
      <family val="0"/>
      <charset val="1"/>
    </font>
    <font>
      <i val="true"/>
      <sz val="9"/>
      <color rgb="FF444444"/>
      <name val="Calibri"/>
      <family val="0"/>
      <charset val="1"/>
    </font>
    <font>
      <b val="true"/>
      <sz val="11"/>
      <color rgb="FFC9A84C"/>
      <name val="Calibri"/>
      <family val="0"/>
      <charset val="1"/>
    </font>
  </fonts>
  <fills count="47">
    <fill>
      <patternFill patternType="none"/>
    </fill>
    <fill>
      <patternFill patternType="gray125"/>
    </fill>
    <fill>
      <patternFill patternType="solid">
        <fgColor rgb="FF001F3F"/>
        <bgColor rgb="FF001F3D"/>
      </patternFill>
    </fill>
    <fill>
      <patternFill patternType="solid">
        <fgColor rgb="FFD6EEE0"/>
        <bgColor rgb="FFDFE2E5"/>
      </patternFill>
    </fill>
    <fill>
      <patternFill patternType="darkGray">
        <fgColor rgb="FFFFF4CD"/>
        <bgColor rgb="FFFEF3C7"/>
      </patternFill>
    </fill>
    <fill>
      <patternFill patternType="solid">
        <fgColor rgb="FFEEF9F1"/>
        <bgColor rgb="FFF0FDF4"/>
      </patternFill>
    </fill>
    <fill>
      <patternFill patternType="solid">
        <fgColor rgb="FFFFDFAE"/>
        <bgColor rgb="FFFFE8CC"/>
      </patternFill>
    </fill>
    <fill>
      <patternFill patternType="solid">
        <fgColor rgb="FFF2F5F7"/>
        <bgColor rgb="FFF5F5F5"/>
      </patternFill>
    </fill>
    <fill>
      <patternFill patternType="solid">
        <fgColor rgb="FFE3F1FD"/>
        <bgColor rgb="FFE3F2FD"/>
      </patternFill>
    </fill>
    <fill>
      <patternFill patternType="solid">
        <fgColor rgb="FFFAE3EC"/>
        <bgColor rgb="FFF1E3F4"/>
      </patternFill>
    </fill>
    <fill>
      <patternFill patternType="solid">
        <fgColor rgb="FFF1E3F4"/>
        <bgColor rgb="FFFAE3EC"/>
      </patternFill>
    </fill>
    <fill>
      <patternFill patternType="solid">
        <fgColor rgb="FFFFE8CC"/>
        <bgColor rgb="FFFEF3C7"/>
      </patternFill>
    </fill>
    <fill>
      <patternFill patternType="solid">
        <fgColor rgb="FF001F3D"/>
        <bgColor rgb="FF001F3F"/>
      </patternFill>
    </fill>
    <fill>
      <patternFill patternType="solid">
        <fgColor rgb="FFFFFFFF"/>
        <bgColor rgb="FFFFFDF4"/>
      </patternFill>
    </fill>
    <fill>
      <patternFill patternType="solid">
        <fgColor rgb="FF1A1A1A"/>
        <bgColor rgb="FF0D1B2A"/>
      </patternFill>
    </fill>
    <fill>
      <patternFill patternType="solid">
        <fgColor rgb="FF36434C"/>
        <bgColor rgb="FF203D5D"/>
      </patternFill>
    </fill>
    <fill>
      <patternFill patternType="solid">
        <fgColor rgb="FFE5F1FA"/>
        <bgColor rgb="FFE3F1FD"/>
      </patternFill>
    </fill>
    <fill>
      <patternFill patternType="solid">
        <fgColor rgb="FF28CF6F"/>
        <bgColor rgb="FF02B465"/>
      </patternFill>
    </fill>
    <fill>
      <patternFill patternType="darkGray">
        <fgColor rgb="FF0D243E"/>
        <bgColor rgb="FF0D2040"/>
      </patternFill>
    </fill>
    <fill>
      <patternFill patternType="solid">
        <fgColor rgb="FF0B1623"/>
        <bgColor rgb="FF0A131C"/>
      </patternFill>
    </fill>
    <fill>
      <patternFill patternType="solid">
        <fgColor rgb="FF203D5D"/>
        <bgColor rgb="FF0B3771"/>
      </patternFill>
    </fill>
    <fill>
      <patternFill patternType="solid">
        <fgColor rgb="FFC6E0FD"/>
        <bgColor rgb="FFCBD5E1"/>
      </patternFill>
    </fill>
    <fill>
      <patternFill patternType="darkGray">
        <fgColor rgb="FFD6EEE0"/>
        <bgColor rgb="FFDFE2E5"/>
      </patternFill>
    </fill>
    <fill>
      <patternFill patternType="solid">
        <fgColor rgb="FFF8FAFC"/>
        <bgColor rgb="FFF0F9FF"/>
      </patternFill>
    </fill>
    <fill>
      <patternFill patternType="solid">
        <fgColor rgb="FFDBEAFE"/>
        <bgColor rgb="FFE0F1FF"/>
      </patternFill>
    </fill>
    <fill>
      <patternFill patternType="solid">
        <fgColor rgb="FFF0F9FF"/>
        <bgColor rgb="FFF2F5F7"/>
      </patternFill>
    </fill>
    <fill>
      <patternFill patternType="solid">
        <fgColor rgb="FFF0FDF4"/>
        <bgColor rgb="FFEEF9F1"/>
      </patternFill>
    </fill>
    <fill>
      <patternFill patternType="solid">
        <fgColor rgb="FFEDE9FE"/>
        <bgColor rgb="FFF1E3F4"/>
      </patternFill>
    </fill>
    <fill>
      <patternFill patternType="solid">
        <fgColor rgb="FFF5F3FF"/>
        <bgColor rgb="FFF2F5F7"/>
      </patternFill>
    </fill>
    <fill>
      <patternFill patternType="solid">
        <fgColor rgb="FFF5F5F5"/>
        <bgColor rgb="FFF2F5F7"/>
      </patternFill>
    </fill>
    <fill>
      <patternFill patternType="solid">
        <fgColor rgb="FFE0F1FF"/>
        <bgColor rgb="FFE3F1FD"/>
      </patternFill>
    </fill>
    <fill>
      <patternFill patternType="solid">
        <fgColor rgb="FFFEF3C7"/>
        <bgColor rgb="FFFFF4CD"/>
      </patternFill>
    </fill>
    <fill>
      <patternFill patternType="mediumGray">
        <fgColor rgb="FF047236"/>
        <bgColor rgb="FF0B6015"/>
      </patternFill>
    </fill>
    <fill>
      <patternFill patternType="mediumGray">
        <fgColor rgb="FFE0F1FF"/>
        <bgColor rgb="FFE3F1FD"/>
      </patternFill>
    </fill>
    <fill>
      <patternFill patternType="solid">
        <fgColor rgb="FFFFFBE0"/>
        <bgColor rgb="FFFFFDF4"/>
      </patternFill>
    </fill>
    <fill>
      <patternFill patternType="solid">
        <fgColor rgb="FFCAB380"/>
        <bgColor rgb="FFCACACA"/>
      </patternFill>
    </fill>
    <fill>
      <patternFill patternType="darkGray">
        <fgColor rgb="FFFFFBE0"/>
        <bgColor rgb="FFFFF4CD"/>
      </patternFill>
    </fill>
    <fill>
      <patternFill patternType="solid">
        <fgColor rgb="FFE3F2FD"/>
        <bgColor rgb="FFE3F1FD"/>
      </patternFill>
    </fill>
    <fill>
      <patternFill patternType="solid">
        <fgColor rgb="FF333333"/>
        <bgColor rgb="FF402424"/>
      </patternFill>
    </fill>
    <fill>
      <patternFill patternType="darkGray">
        <fgColor rgb="FF02B465"/>
        <bgColor rgb="FF28CF6F"/>
      </patternFill>
    </fill>
    <fill>
      <patternFill patternType="solid">
        <fgColor rgb="FFFFF4CD"/>
        <bgColor rgb="FFFEF3C7"/>
      </patternFill>
    </fill>
    <fill>
      <patternFill patternType="darkGray">
        <fgColor rgb="FF475569"/>
        <bgColor rgb="FF4D5660"/>
      </patternFill>
    </fill>
    <fill>
      <patternFill patternType="solid">
        <fgColor rgb="FF551EB2"/>
        <bgColor rgb="FF203D5D"/>
      </patternFill>
    </fill>
    <fill>
      <patternFill patternType="solid">
        <fgColor rgb="FFFFFDF4"/>
        <bgColor rgb="FFFFFFFF"/>
      </patternFill>
    </fill>
    <fill>
      <patternFill patternType="solid">
        <fgColor rgb="FF0D1B2A"/>
        <bgColor rgb="FF0B1623"/>
      </patternFill>
    </fill>
    <fill>
      <patternFill patternType="mediumGray">
        <fgColor rgb="FF0D243E"/>
        <bgColor rgb="FF0B3771"/>
      </patternFill>
    </fill>
    <fill>
      <patternFill patternType="solid">
        <fgColor rgb="FFFDECEA"/>
        <bgColor rgb="FFFAE3EC"/>
      </patternFill>
    </fill>
  </fills>
  <borders count="37">
    <border diagonalUp="false" diagonalDown="false">
      <left/>
      <right/>
      <top/>
      <bottom/>
      <diagonal/>
    </border>
    <border diagonalUp="false" diagonalDown="false">
      <left/>
      <right/>
      <top/>
      <bottom style="hair">
        <color rgb="FFDFE2E5"/>
      </bottom>
      <diagonal/>
    </border>
    <border diagonalUp="false" diagonalDown="false">
      <left style="medium">
        <color rgb="FF402424"/>
      </left>
      <right style="thin">
        <color rgb="FF6C7370"/>
      </right>
      <top style="medium">
        <color rgb="FF402424"/>
      </top>
      <bottom/>
      <diagonal/>
    </border>
    <border diagonalUp="false" diagonalDown="false">
      <left style="thin">
        <color rgb="FF6C7370"/>
      </left>
      <right style="thin">
        <color rgb="FF6C7370"/>
      </right>
      <top style="medium">
        <color rgb="FF402424"/>
      </top>
      <bottom/>
      <diagonal/>
    </border>
    <border diagonalUp="false" diagonalDown="false"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 diagonalUp="false" diagonalDown="false">
      <left style="thin">
        <color rgb="FF6C7370"/>
      </left>
      <right style="medium">
        <color rgb="FF402424"/>
      </right>
      <top style="medium">
        <color rgb="FF402424"/>
      </top>
      <bottom/>
      <diagonal/>
    </border>
    <border diagonalUp="false" diagonalDown="false">
      <left style="medium">
        <color rgb="FF402424"/>
      </left>
      <right style="thin">
        <color rgb="FFCAB380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AB380"/>
      </left>
      <right style="thin">
        <color rgb="FFCAB380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AB380"/>
      </left>
      <right style="medium">
        <color rgb="FF402424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CAB380"/>
      </left>
      <right style="medium">
        <color rgb="FF402424"/>
      </right>
      <top style="thin">
        <color rgb="FFD8D8D8"/>
      </top>
      <bottom style="thin">
        <color rgb="FFD8D8D8"/>
      </bottom>
      <diagonal/>
    </border>
    <border diagonalUp="false" diagonalDown="false">
      <left style="medium">
        <color rgb="FF402424"/>
      </left>
      <right style="thin">
        <color rgb="FFCAB380"/>
      </right>
      <top style="thin">
        <color rgb="FFD8D8D8"/>
      </top>
      <bottom style="medium">
        <color rgb="FF402424"/>
      </bottom>
      <diagonal/>
    </border>
    <border diagonalUp="false" diagonalDown="false">
      <left style="thin">
        <color rgb="FFCAB380"/>
      </left>
      <right style="thin">
        <color rgb="FFCAB380"/>
      </right>
      <top style="thin">
        <color rgb="FFD8D8D8"/>
      </top>
      <bottom style="medium">
        <color rgb="FF402424"/>
      </bottom>
      <diagonal/>
    </border>
    <border diagonalUp="false" diagonalDown="false">
      <left style="medium">
        <color rgb="FF402424"/>
      </left>
      <right style="thin">
        <color rgb="FFCAB380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CAB380"/>
      </left>
      <right style="thin">
        <color rgb="FFCAB380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CAB380"/>
      </left>
      <right style="medium">
        <color rgb="FF402424"/>
      </right>
      <top style="thin">
        <color rgb="FFD8D8D8"/>
      </top>
      <bottom style="medium">
        <color rgb="FF402424"/>
      </bottom>
      <diagonal/>
    </border>
    <border diagonalUp="false" diagonalDown="false">
      <left style="thin">
        <color rgb="FF02B465"/>
      </left>
      <right style="thin">
        <color rgb="FF02B465"/>
      </right>
      <top style="thin">
        <color rgb="FF02B465"/>
      </top>
      <bottom style="thin">
        <color rgb="FF02B465"/>
      </bottom>
      <diagonal/>
    </border>
    <border diagonalUp="false" diagonalDown="false">
      <left style="medium">
        <color rgb="FF02B465"/>
      </left>
      <right style="thin">
        <color rgb="FFD6EEE0"/>
      </right>
      <top style="medium">
        <color rgb="FF02B465"/>
      </top>
      <bottom style="medium">
        <color rgb="FF02B465"/>
      </bottom>
      <diagonal/>
    </border>
    <border diagonalUp="false" diagonalDown="false">
      <left style="thin">
        <color rgb="FFD6EEE0"/>
      </left>
      <right style="thin">
        <color rgb="FFD6EEE0"/>
      </right>
      <top style="medium">
        <color rgb="FF02B465"/>
      </top>
      <bottom style="medium">
        <color rgb="FF02B465"/>
      </bottom>
      <diagonal/>
    </border>
    <border diagonalUp="false" diagonalDown="false">
      <left style="thin">
        <color rgb="FFD6EEE0"/>
      </left>
      <right style="medium">
        <color rgb="FF02B465"/>
      </right>
      <top style="medium">
        <color rgb="FF02B465"/>
      </top>
      <bottom style="medium">
        <color rgb="FF02B465"/>
      </bottom>
      <diagonal/>
    </border>
    <border diagonalUp="false" diagonalDown="false">
      <left style="medium">
        <color rgb="FF1B72EC"/>
      </left>
      <right style="medium">
        <color rgb="FF1B72EC"/>
      </right>
      <top style="medium">
        <color rgb="FF1B72EC"/>
      </top>
      <bottom style="medium">
        <color rgb="FF1B72EC"/>
      </bottom>
      <diagonal/>
    </border>
    <border diagonalUp="false" diagonalDown="false">
      <left/>
      <right/>
      <top style="medium">
        <color rgb="FF1B72EC"/>
      </top>
      <bottom style="medium">
        <color rgb="FF1B72EC"/>
      </bottom>
      <diagonal/>
    </border>
    <border diagonalUp="false" diagonalDown="false">
      <left style="thin">
        <color rgb="FFCACACA"/>
      </left>
      <right style="thin">
        <color rgb="FFD8D8D8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ACACA"/>
      </right>
      <top style="thin">
        <color rgb="FFCACACA"/>
      </top>
      <bottom style="thin">
        <color rgb="FFD8D8D8"/>
      </bottom>
      <diagonal/>
    </border>
    <border diagonalUp="false" diagonalDown="false">
      <left style="thin">
        <color rgb="FFCACACA"/>
      </left>
      <right style="thin">
        <color rgb="FFD8D8D8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D8D8D8"/>
      </left>
      <right style="thin">
        <color rgb="FFCACACA"/>
      </right>
      <top style="thin">
        <color rgb="FFD8D8D8"/>
      </top>
      <bottom style="thin">
        <color rgb="FFD8D8D8"/>
      </bottom>
      <diagonal/>
    </border>
    <border diagonalUp="false" diagonalDown="false">
      <left style="thin">
        <color rgb="FFCACACA"/>
      </left>
      <right style="thin">
        <color rgb="FFD8D8D8"/>
      </right>
      <top style="thin">
        <color rgb="FFD8D8D8"/>
      </top>
      <bottom style="thin">
        <color rgb="FFCACACA"/>
      </bottom>
      <diagonal/>
    </border>
    <border diagonalUp="false" diagonalDown="false">
      <left style="thin">
        <color rgb="FFD8D8D8"/>
      </left>
      <right style="thin">
        <color rgb="FFD8D8D8"/>
      </right>
      <top style="thin">
        <color rgb="FFD8D8D8"/>
      </top>
      <bottom style="thin">
        <color rgb="FFCACACA"/>
      </bottom>
      <diagonal/>
    </border>
    <border diagonalUp="false" diagonalDown="false">
      <left style="thin">
        <color rgb="FFD8D8D8"/>
      </left>
      <right style="thin">
        <color rgb="FFCACACA"/>
      </right>
      <top style="thin">
        <color rgb="FFD8D8D8"/>
      </top>
      <bottom style="thin">
        <color rgb="FFCACACA"/>
      </bottom>
      <diagonal/>
    </border>
    <border diagonalUp="false" diagonalDown="false">
      <left style="medium">
        <color rgb="FF02B465"/>
      </left>
      <right/>
      <top/>
      <bottom style="thin">
        <color rgb="FF02B465"/>
      </bottom>
      <diagonal/>
    </border>
    <border diagonalUp="false" diagonalDown="false">
      <left/>
      <right style="thin">
        <color rgb="FF36434C"/>
      </right>
      <top/>
      <bottom style="medium">
        <color rgb="FF02B465"/>
      </bottom>
      <diagonal/>
    </border>
    <border diagonalUp="false" diagonalDown="false">
      <left style="thin">
        <color rgb="FFDFE2E5"/>
      </left>
      <right style="thin">
        <color rgb="FFDFE2E5"/>
      </right>
      <top style="thin">
        <color rgb="FFDFE2E5"/>
      </top>
      <bottom style="thin">
        <color rgb="FFDFE2E5"/>
      </bottom>
      <diagonal/>
    </border>
    <border diagonalUp="false" diagonalDown="false">
      <left/>
      <right/>
      <top/>
      <bottom style="medium">
        <color rgb="FFCACACA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medium">
        <color rgb="FF02B465"/>
      </left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7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9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11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8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1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15" borderId="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9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1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13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10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6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6" borderId="1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13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20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3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9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6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6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9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0" fillId="1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9" fontId="20" fillId="10" borderId="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0" fillId="9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9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20" fillId="9" borderId="1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6" borderId="1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13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1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20" fillId="13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13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0" fillId="6" borderId="1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5" borderId="8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17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22" fillId="1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11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24" fillId="1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7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12" borderId="1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21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0" fillId="22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0" borderId="1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1" fillId="20" borderId="1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2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3" fillId="2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2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5" fillId="8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6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7" fillId="2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38" fillId="26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2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24" borderId="2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1" fillId="8" borderId="2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8" fillId="2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2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3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4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5" fillId="2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6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2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8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9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0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1" fillId="2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2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38" fillId="2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5" fillId="8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3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3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3" fillId="2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3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8" fillId="3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4" fillId="24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5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6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6" fillId="2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5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8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1" fillId="29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9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3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7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9" fillId="31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39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0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71" fontId="58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9" fillId="3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6" fontId="59" fillId="3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6" fillId="13" borderId="2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2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2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33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9" fillId="21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1" fillId="13" borderId="2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0" fillId="34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2" fillId="34" borderId="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0" fillId="34" borderId="27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6" fillId="13" borderId="2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62" fillId="34" borderId="28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1" fillId="13" borderId="2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47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3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8" fillId="3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3" fillId="36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4" fillId="3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5" fillId="1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38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6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7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0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1" fillId="16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2" fillId="1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3" fillId="1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2" fillId="29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73" fillId="2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9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4" fillId="29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29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4" fillId="1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3" fillId="13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5" fillId="18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6" fillId="39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7" fillId="4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3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70" fontId="25" fillId="0" borderId="3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3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5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0" fontId="79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8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8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2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3" fillId="1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3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1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4" fillId="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13" borderId="3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5" fillId="1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4" fillId="13" borderId="3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6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7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8" fillId="7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6" fillId="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5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9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0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9" fillId="1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7" fillId="4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7" fillId="41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1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2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5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3" fillId="1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3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3" fillId="1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4" fillId="1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5" fillId="1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7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8" fillId="0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78" fillId="7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78" fillId="7" borderId="0" xfId="0" applyFont="true" applyBorder="false" applyAlignment="true" applyProtection="false">
      <alignment horizontal="center" vertical="center" textRotation="0" wrapText="false" indent="1" shrinkToFit="false"/>
      <protection locked="true" hidden="false"/>
    </xf>
    <xf numFmtId="166" fontId="78" fillId="7" borderId="0" xfId="0" applyFont="true" applyBorder="false" applyAlignment="true" applyProtection="false">
      <alignment horizontal="center" vertical="center" textRotation="0" wrapText="false" indent="1" shrinkToFit="false"/>
      <protection locked="true" hidden="false"/>
    </xf>
    <xf numFmtId="164" fontId="9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8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9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0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24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1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1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0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7" fontId="47" fillId="1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7" fillId="23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2" fillId="2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2" fillId="2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9" fillId="2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31" borderId="3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31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3" fillId="2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7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8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0" fillId="20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5" fillId="24" borderId="3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9" fillId="31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5" fillId="24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3" borderId="3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23" borderId="3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9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4" fillId="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5" fillId="2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0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6" fillId="27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7" fillId="2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9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1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34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7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6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8" fillId="4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8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4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28" fillId="4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9" fillId="28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09" fillId="1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34" fillId="25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9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8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0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7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1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0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2" fillId="20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5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3" fillId="24" borderId="3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9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5" fillId="31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47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31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2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3" fillId="24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4" fillId="23" borderId="3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3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23" borderId="3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6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3" fillId="2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9" fillId="2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34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2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7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3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5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4" fillId="2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0" fillId="4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2" fillId="4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6" fillId="2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6" fillId="27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2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2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4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0" fillId="2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7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8" fillId="2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19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19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4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4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42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42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0" fillId="28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30" fillId="13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28" fillId="2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29" fillId="2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4" fillId="2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47" fillId="25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98" fillId="4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2" fillId="45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3" fillId="2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4" fillId="4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9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5" fillId="4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20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7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5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7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8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8" fillId="2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9" fillId="4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46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46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46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46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1" fillId="46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40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40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3" fillId="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37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37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6" fillId="37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0" fillId="37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4" fillId="37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3" fillId="2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5" fillId="1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1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6" fillId="1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7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5" fillId="29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35" fillId="29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6" fillId="29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7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29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9" fillId="29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8" fillId="13" borderId="36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9" fillId="13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2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7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49" fillId="40" borderId="3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50" fillId="44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1F3D"/>
          <bgColor rgb="FF000000"/>
        </patternFill>
      </fill>
    </dxf>
    <dxf>
      <fill>
        <patternFill patternType="solid">
          <fgColor rgb="FFE3F1FD"/>
          <bgColor rgb="FF000000"/>
        </patternFill>
      </fill>
    </dxf>
    <dxf>
      <fill>
        <patternFill patternType="solid">
          <fgColor rgb="FFE5F1FA"/>
          <bgColor rgb="FF000000"/>
        </patternFill>
      </fill>
    </dxf>
    <dxf>
      <fill>
        <patternFill patternType="solid">
          <fgColor rgb="FFF1E3F4"/>
          <bgColor rgb="FF000000"/>
        </patternFill>
      </fill>
    </dxf>
    <dxf>
      <fill>
        <patternFill patternType="solid">
          <fgColor rgb="FFFAE3EC"/>
          <bgColor rgb="FF000000"/>
        </patternFill>
      </fill>
    </dxf>
    <dxf>
      <fill>
        <patternFill patternType="solid">
          <fgColor rgb="FFFFDFAE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1A1A"/>
          <bgColor rgb="FF000000"/>
        </patternFill>
      </fill>
    </dxf>
  </dxfs>
  <colors>
    <indexedColors>
      <rgbColor rgb="FF000000"/>
      <rgbColor rgb="FFFFFFFF"/>
      <rgbColor rgb="FFFFFDF4"/>
      <rgbColor rgb="FFF0FDF4"/>
      <rgbColor rgb="FF0000FF"/>
      <rgbColor rgb="FFFFF4CD"/>
      <rgbColor rgb="FFF0F9FF"/>
      <rgbColor rgb="FFE3F1FD"/>
      <rgbColor rgb="FF1A1A1A"/>
      <rgbColor rgb="FF047236"/>
      <rgbColor rgb="FF001F3F"/>
      <rgbColor rgb="FFF2F5F7"/>
      <rgbColor rgb="FF0D1B2A"/>
      <rgbColor rgb="FF0B6015"/>
      <rgbColor rgb="FFCACACA"/>
      <rgbColor rgb="FF6C7370"/>
      <rgbColor rgb="FFDFE2E5"/>
      <rgbColor rgb="FF475569"/>
      <rgbColor rgb="FFFFFBE0"/>
      <rgbColor rgb="FFE0F1FF"/>
      <rgbColor rgb="FF551EB2"/>
      <rgbColor rgb="FFF1E3F4"/>
      <rgbColor rgb="FF0D243E"/>
      <rgbColor rgb="FFCBD5E1"/>
      <rgbColor rgb="FF001F3D"/>
      <rgbColor rgb="FFF8FAFC"/>
      <rgbColor rgb="FFFFE8CC"/>
      <rgbColor rgb="FFE5F1FA"/>
      <rgbColor rgb="FF0B1623"/>
      <rgbColor rgb="FF0A131C"/>
      <rgbColor rgb="FF1E4D2B"/>
      <rgbColor rgb="FF0D2040"/>
      <rgbColor rgb="FFEEF9F1"/>
      <rgbColor rgb="FFE3F2FD"/>
      <rgbColor rgb="FFD6EEE0"/>
      <rgbColor rgb="FFFEF3C7"/>
      <rgbColor rgb="FFC6E0FD"/>
      <rgbColor rgb="FFFAE3EC"/>
      <rgbColor rgb="FFD8D8D8"/>
      <rgbColor rgb="FFFFDFAE"/>
      <rgbColor rgb="FF1B72EC"/>
      <rgbColor rgb="FF28CF6F"/>
      <rgbColor rgb="FFDBEAFE"/>
      <rgbColor rgb="FFFDECEA"/>
      <rgbColor rgb="FFEDE9FE"/>
      <rgbColor rgb="FFF5F5F5"/>
      <rgbColor rgb="FF4D5660"/>
      <rgbColor rgb="FFCAB380"/>
      <rgbColor rgb="FF0B3771"/>
      <rgbColor rgb="FF02B465"/>
      <rgbColor rgb="FF0E2D1B"/>
      <rgbColor rgb="FF402424"/>
      <rgbColor rgb="FFF5F3FF"/>
      <rgbColor rgb="FF36434C"/>
      <rgbColor rgb="FF203D5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pageSetUpPr fitToPage="false"/>
  </sheetPr>
  <dimension ref="A1:Z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44"/>
    <col collapsed="false" customWidth="true" hidden="false" outlineLevel="0" max="3" min="3" style="1" width="8.71"/>
    <col collapsed="false" customWidth="true" hidden="false" outlineLevel="0" max="4" min="4" style="1" width="52"/>
    <col collapsed="false" customWidth="true" hidden="false" outlineLevel="0" max="12" min="5" style="1" width="8.71"/>
  </cols>
  <sheetData>
    <row r="1" customFormat="false" ht="15" hidden="false" customHeight="true" outlineLevel="0" collapsed="false">
      <c r="A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7.5" hidden="false" customHeight="true" outlineLevel="0" collapsed="false">
      <c r="A3" s="3"/>
      <c r="B3" s="4" t="s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9.5" hidden="false" customHeight="true" outlineLevel="0" collapsed="false">
      <c r="A4" s="3"/>
      <c r="B4" s="5" t="s">
        <v>1</v>
      </c>
      <c r="C4" s="3"/>
      <c r="D4" s="3"/>
      <c r="E4" s="3"/>
      <c r="F4" s="3"/>
      <c r="G4" s="3"/>
      <c r="H4" s="3"/>
      <c r="I4" s="3"/>
      <c r="J4" s="3"/>
      <c r="K4" s="3"/>
      <c r="L4" s="3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A5" s="3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3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A6" s="3"/>
      <c r="B6" s="7" t="s">
        <v>3</v>
      </c>
      <c r="C6" s="3"/>
      <c r="D6" s="3"/>
      <c r="E6" s="3"/>
      <c r="F6" s="3"/>
      <c r="G6" s="3"/>
      <c r="H6" s="3"/>
      <c r="I6" s="3"/>
      <c r="J6" s="3"/>
      <c r="K6" s="3"/>
      <c r="L6" s="3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A7" s="3"/>
      <c r="B7" s="8" t="str">
        <f aca="false">"Total Talent: "&amp;COUNTA('01_Player_Rate_Card'!$C$5:$C$500)+COUNTA('02_Creator_Rate_Card'!$C$5:$C$500)&amp;" entries · "&amp;COUNTA('01_Player_Rate_Card'!$C$5:$C$500)&amp;" players · "&amp;COUNTA('02_Creator_Rate_Card'!$C$5:$C$500)&amp;" creators · Confidential — Internal Use Only"</f>
        <v>Total Talent: 206 entries · 189 players · 17 creators · Confidential — Internal Use Only</v>
      </c>
      <c r="C7" s="3"/>
      <c r="D7" s="3"/>
      <c r="E7" s="3"/>
      <c r="F7" s="3"/>
      <c r="G7" s="3"/>
      <c r="H7" s="3"/>
      <c r="I7" s="3"/>
      <c r="J7" s="3"/>
      <c r="K7" s="3"/>
      <c r="L7" s="3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37.5" hidden="false" customHeight="true" outlineLevel="0" collapsed="false">
      <c r="B10" s="9" t="n">
        <f aca="false">COUNTA('01_Player_Rate_Card'!$C$5:$C$500)</f>
        <v>189</v>
      </c>
      <c r="D10" s="9" t="n">
        <f aca="false">COUNTIF('01_Player_Rate_Card'!$D$5:$D$500,"Player")</f>
        <v>131</v>
      </c>
      <c r="F10" s="9" t="n">
        <f aca="false">COUNTIF('01_Player_Rate_Card'!$D$5:$D$500,"Influencer")</f>
        <v>8</v>
      </c>
      <c r="H10" s="9" t="n">
        <f aca="false">COUNTA('01_Player_Rate_Card'!$C$5:$C$500)-COUNTIF('01_Player_Rate_Card'!$D$5:$D$500,"Player")-COUNTIF('01_Player_Rate_Card'!$D$5:$D$500,"Influencer")</f>
        <v>50</v>
      </c>
      <c r="J10" s="9" t="str">
        <f aca="false">COUNTIF('01_Player_Rate_Card'!$I$5:$I$500,"Tier 1")&amp;"/"&amp;COUNTIF('01_Player_Rate_Card'!$I$5:$I$500,"Tier 2")&amp;"/"&amp;COUNTIF('01_Player_Rate_Card'!$I$5:$I$500,"Tier 3")</f>
        <v>25/106/58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B11" s="10" t="s">
        <v>4</v>
      </c>
      <c r="D11" s="10" t="s">
        <v>5</v>
      </c>
      <c r="F11" s="10" t="s">
        <v>6</v>
      </c>
      <c r="H11" s="10" t="s">
        <v>7</v>
      </c>
      <c r="J11" s="10" t="s">
        <v>8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21.75" hidden="false" customHeight="true" outlineLevel="0" collapsed="false">
      <c r="A13" s="11"/>
      <c r="B13" s="12" t="s">
        <v>9</v>
      </c>
      <c r="C13" s="12"/>
      <c r="D13" s="12"/>
      <c r="E13" s="12"/>
      <c r="F13" s="11"/>
      <c r="G13" s="11"/>
      <c r="H13" s="11"/>
      <c r="I13" s="11"/>
      <c r="J13" s="11"/>
      <c r="K13" s="11"/>
      <c r="L13" s="11"/>
      <c r="M13" s="11"/>
      <c r="N13" s="1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9.5" hidden="false" customHeight="true" outlineLevel="0" collapsed="false">
      <c r="A14" s="11"/>
      <c r="B14" s="13" t="s">
        <v>10</v>
      </c>
      <c r="C14" s="13"/>
      <c r="D14" s="14" t="str">
        <f aca="false">"All "&amp;COUNTA('01_Player_Rate_Card'!$C$5:$C$500)&amp;" entries · rates per platform · filterable by role/game/team/tier"</f>
        <v>All 189 entries · rates per platform · filterable by role/game/team/tier</v>
      </c>
      <c r="E14" s="14"/>
      <c r="F14" s="14"/>
      <c r="G14" s="14"/>
      <c r="H14" s="14"/>
      <c r="I14" s="11"/>
      <c r="J14" s="11"/>
      <c r="K14" s="11"/>
      <c r="L14" s="11"/>
      <c r="M14" s="11"/>
      <c r="N14" s="1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9.5" hidden="false" customHeight="true" outlineLevel="0" collapsed="false">
      <c r="A15" s="11"/>
      <c r="B15" s="13" t="s">
        <v>11</v>
      </c>
      <c r="C15" s="13"/>
      <c r="D15" s="14" t="str">
        <f aca="false">"All "&amp;COUNTA('02_Creator_Rate_Card'!$C$5:$C$500)&amp;" content creators · ceiling rates"</f>
        <v>All 17 content creators · ceiling rates</v>
      </c>
      <c r="E15" s="14"/>
      <c r="F15" s="14"/>
      <c r="G15" s="14"/>
      <c r="H15" s="14"/>
      <c r="I15" s="11"/>
      <c r="J15" s="11"/>
      <c r="K15" s="11"/>
      <c r="L15" s="11"/>
      <c r="M15" s="11"/>
      <c r="N15" s="1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9.5" hidden="false" customHeight="true" outlineLevel="0" collapsed="false">
      <c r="A16" s="11"/>
      <c r="B16" s="13" t="s">
        <v>12</v>
      </c>
      <c r="C16" s="13"/>
      <c r="D16" s="14" t="s">
        <v>13</v>
      </c>
      <c r="E16" s="14"/>
      <c r="F16" s="14"/>
      <c r="G16" s="14"/>
      <c r="H16" s="14"/>
      <c r="I16" s="11"/>
      <c r="J16" s="11"/>
      <c r="K16" s="11"/>
      <c r="L16" s="11"/>
      <c r="M16" s="11"/>
      <c r="N16" s="1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9.5" hidden="false" customHeight="true" outlineLevel="0" collapsed="false">
      <c r="A17" s="11"/>
      <c r="B17" s="13" t="s">
        <v>14</v>
      </c>
      <c r="C17" s="13"/>
      <c r="D17" s="14" t="s">
        <v>15</v>
      </c>
      <c r="E17" s="14"/>
      <c r="F17" s="14"/>
      <c r="G17" s="14"/>
      <c r="H17" s="14"/>
      <c r="I17" s="11"/>
      <c r="J17" s="11"/>
      <c r="K17" s="11"/>
      <c r="L17" s="11"/>
      <c r="M17" s="11"/>
      <c r="N17" s="1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9.5" hidden="false" customHeight="true" outlineLevel="0" collapsed="false">
      <c r="A18" s="11"/>
      <c r="B18" s="13" t="s">
        <v>16</v>
      </c>
      <c r="C18" s="13"/>
      <c r="D18" s="14" t="s">
        <v>17</v>
      </c>
      <c r="E18" s="14"/>
      <c r="F18" s="14"/>
      <c r="G18" s="14"/>
      <c r="H18" s="14"/>
      <c r="I18" s="11"/>
      <c r="J18" s="11"/>
      <c r="K18" s="11"/>
      <c r="L18" s="11"/>
      <c r="M18" s="11"/>
      <c r="N18" s="1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9.5" hidden="false" customHeight="true" outlineLevel="0" collapsed="false">
      <c r="A19" s="11"/>
      <c r="B19" s="13" t="s">
        <v>18</v>
      </c>
      <c r="C19" s="13"/>
      <c r="D19" s="14" t="s">
        <v>19</v>
      </c>
      <c r="E19" s="14"/>
      <c r="F19" s="14"/>
      <c r="G19" s="14"/>
      <c r="H19" s="14"/>
      <c r="I19" s="11"/>
      <c r="J19" s="11"/>
      <c r="K19" s="11"/>
      <c r="L19" s="11"/>
      <c r="M19" s="11"/>
      <c r="N19" s="1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9.5" hidden="false" customHeight="true" outlineLevel="0" collapsed="false">
      <c r="A20" s="11"/>
      <c r="B20" s="13" t="s">
        <v>20</v>
      </c>
      <c r="C20" s="13"/>
      <c r="D20" s="14" t="s">
        <v>21</v>
      </c>
      <c r="E20" s="14"/>
      <c r="F20" s="14"/>
      <c r="G20" s="14"/>
      <c r="H20" s="14"/>
      <c r="I20" s="11"/>
      <c r="J20" s="11"/>
      <c r="K20" s="11"/>
      <c r="L20" s="11"/>
      <c r="M20" s="11"/>
      <c r="N20" s="1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9.5" hidden="false" customHeight="true" outlineLevel="0" collapsed="false">
      <c r="A21" s="11"/>
      <c r="B21" s="13" t="s">
        <v>22</v>
      </c>
      <c r="C21" s="13"/>
      <c r="D21" s="14" t="s">
        <v>23</v>
      </c>
      <c r="E21" s="14"/>
      <c r="F21" s="14"/>
      <c r="G21" s="14"/>
      <c r="H21" s="14"/>
      <c r="I21" s="11"/>
      <c r="J21" s="11"/>
      <c r="K21" s="11"/>
      <c r="L21" s="11"/>
      <c r="M21" s="11"/>
      <c r="N21" s="1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9.5" hidden="false" customHeight="true" outlineLevel="0" collapsed="false">
      <c r="A22" s="11"/>
      <c r="B22" s="13" t="s">
        <v>24</v>
      </c>
      <c r="C22" s="13"/>
      <c r="D22" s="14" t="s">
        <v>25</v>
      </c>
      <c r="E22" s="14"/>
      <c r="F22" s="14"/>
      <c r="G22" s="14"/>
      <c r="H22" s="14"/>
      <c r="I22" s="11"/>
      <c r="J22" s="11"/>
      <c r="K22" s="11"/>
      <c r="L22" s="11"/>
      <c r="M22" s="11"/>
      <c r="N22" s="1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9.5" hidden="false" customHeight="true" outlineLevel="0" collapsed="false">
      <c r="A23" s="11"/>
      <c r="B23" s="13" t="s">
        <v>26</v>
      </c>
      <c r="C23" s="13"/>
      <c r="D23" s="14" t="s">
        <v>27</v>
      </c>
      <c r="E23" s="14"/>
      <c r="F23" s="14"/>
      <c r="G23" s="14"/>
      <c r="H23" s="14"/>
      <c r="I23" s="11"/>
      <c r="J23" s="11"/>
      <c r="K23" s="11"/>
      <c r="L23" s="11"/>
      <c r="M23" s="11"/>
      <c r="N23" s="1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9.5" hidden="false" customHeight="true" outlineLevel="0" collapsed="false">
      <c r="A24" s="11"/>
      <c r="B24" s="13" t="s">
        <v>28</v>
      </c>
      <c r="C24" s="13"/>
      <c r="D24" s="14" t="s">
        <v>29</v>
      </c>
      <c r="E24" s="14"/>
      <c r="F24" s="14"/>
      <c r="G24" s="14"/>
      <c r="H24" s="14"/>
      <c r="I24" s="11"/>
      <c r="J24" s="11"/>
      <c r="K24" s="11"/>
      <c r="L24" s="11"/>
      <c r="M24" s="11"/>
      <c r="N24" s="1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A25" s="11"/>
      <c r="B25" s="15"/>
      <c r="C25" s="11"/>
      <c r="D25" s="15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21.75" hidden="false" customHeight="true" outlineLevel="0" collapsed="false">
      <c r="A26" s="11"/>
      <c r="B26" s="12" t="s">
        <v>30</v>
      </c>
      <c r="C26" s="12"/>
      <c r="D26" s="12"/>
      <c r="E26" s="12"/>
      <c r="F26" s="12"/>
      <c r="G26" s="12"/>
      <c r="H26" s="12"/>
      <c r="I26" s="11"/>
      <c r="J26" s="11"/>
      <c r="K26" s="11"/>
      <c r="L26" s="11"/>
      <c r="M26" s="11"/>
      <c r="N26" s="1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9.5" hidden="false" customHeight="true" outlineLevel="0" collapsed="false">
      <c r="A27" s="11"/>
      <c r="B27" s="16" t="s">
        <v>31</v>
      </c>
      <c r="C27" s="16"/>
      <c r="D27" s="17" t="s">
        <v>32</v>
      </c>
      <c r="E27" s="17"/>
      <c r="F27" s="17"/>
      <c r="G27" s="17"/>
      <c r="H27" s="17"/>
      <c r="I27" s="11"/>
      <c r="J27" s="11"/>
      <c r="K27" s="11"/>
      <c r="L27" s="11"/>
      <c r="M27" s="11"/>
      <c r="N27" s="1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9.5" hidden="false" customHeight="true" outlineLevel="0" collapsed="false">
      <c r="A28" s="11"/>
      <c r="B28" s="16" t="s">
        <v>33</v>
      </c>
      <c r="C28" s="16"/>
      <c r="D28" s="17" t="s">
        <v>34</v>
      </c>
      <c r="E28" s="17"/>
      <c r="F28" s="17"/>
      <c r="G28" s="17"/>
      <c r="H28" s="17"/>
      <c r="I28" s="11"/>
      <c r="J28" s="11"/>
      <c r="K28" s="11"/>
      <c r="L28" s="11"/>
      <c r="M28" s="11"/>
      <c r="N28" s="1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9.5" hidden="false" customHeight="true" outlineLevel="0" collapsed="false">
      <c r="A29" s="11"/>
      <c r="B29" s="18" t="s">
        <v>35</v>
      </c>
      <c r="C29" s="18"/>
      <c r="D29" s="17" t="s">
        <v>36</v>
      </c>
      <c r="E29" s="17"/>
      <c r="F29" s="17"/>
      <c r="G29" s="17"/>
      <c r="H29" s="17"/>
      <c r="I29" s="11"/>
      <c r="J29" s="11"/>
      <c r="K29" s="11"/>
      <c r="L29" s="11"/>
      <c r="M29" s="11"/>
      <c r="N29" s="1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9.5" hidden="false" customHeight="true" outlineLevel="0" collapsed="false">
      <c r="A30" s="11"/>
      <c r="B30" s="19" t="s">
        <v>37</v>
      </c>
      <c r="C30" s="19"/>
      <c r="D30" s="17" t="s">
        <v>38</v>
      </c>
      <c r="E30" s="17"/>
      <c r="F30" s="17"/>
      <c r="G30" s="17"/>
      <c r="H30" s="17"/>
      <c r="I30" s="11"/>
      <c r="J30" s="11"/>
      <c r="K30" s="11"/>
      <c r="L30" s="11"/>
      <c r="M30" s="11"/>
      <c r="N30" s="1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9.5" hidden="false" customHeight="true" outlineLevel="0" collapsed="false">
      <c r="A31" s="11"/>
      <c r="B31" s="20" t="s">
        <v>39</v>
      </c>
      <c r="C31" s="20"/>
      <c r="D31" s="17" t="s">
        <v>40</v>
      </c>
      <c r="E31" s="17"/>
      <c r="F31" s="17"/>
      <c r="G31" s="17"/>
      <c r="H31" s="17"/>
      <c r="I31" s="11"/>
      <c r="J31" s="11"/>
      <c r="K31" s="11"/>
      <c r="L31" s="11"/>
      <c r="M31" s="11"/>
      <c r="N31" s="1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9.5" hidden="false" customHeight="true" outlineLevel="0" collapsed="false">
      <c r="A32" s="11"/>
      <c r="B32" s="21" t="s">
        <v>41</v>
      </c>
      <c r="C32" s="21"/>
      <c r="D32" s="17" t="s">
        <v>42</v>
      </c>
      <c r="E32" s="17"/>
      <c r="F32" s="17"/>
      <c r="G32" s="17"/>
      <c r="H32" s="17"/>
      <c r="I32" s="11"/>
      <c r="J32" s="11"/>
      <c r="K32" s="11"/>
      <c r="L32" s="11"/>
      <c r="M32" s="11"/>
      <c r="N32" s="1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9.5" hidden="false" customHeight="true" outlineLevel="0" collapsed="false">
      <c r="A33" s="11"/>
      <c r="B33" s="22" t="s">
        <v>43</v>
      </c>
      <c r="C33" s="22"/>
      <c r="D33" s="17" t="s">
        <v>44</v>
      </c>
      <c r="E33" s="17"/>
      <c r="F33" s="17"/>
      <c r="G33" s="17"/>
      <c r="H33" s="17"/>
      <c r="I33" s="11"/>
      <c r="J33" s="11"/>
      <c r="K33" s="11"/>
      <c r="L33" s="11"/>
      <c r="M33" s="11"/>
      <c r="N33" s="1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9.5" hidden="false" customHeight="true" outlineLevel="0" collapsed="false">
      <c r="A34" s="11"/>
      <c r="B34" s="23" t="s">
        <v>45</v>
      </c>
      <c r="C34" s="23"/>
      <c r="D34" s="17" t="s">
        <v>46</v>
      </c>
      <c r="E34" s="17"/>
      <c r="F34" s="17"/>
      <c r="G34" s="17"/>
      <c r="H34" s="17"/>
      <c r="I34" s="11"/>
      <c r="J34" s="11"/>
      <c r="K34" s="11"/>
      <c r="L34" s="11"/>
      <c r="M34" s="11"/>
      <c r="N34" s="1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9.5" hidden="false" customHeight="true" outlineLevel="0" collapsed="false">
      <c r="B35" s="19" t="s">
        <v>47</v>
      </c>
      <c r="C35" s="19"/>
      <c r="D35" s="17" t="s">
        <v>48</v>
      </c>
      <c r="E35" s="17"/>
      <c r="F35" s="17"/>
      <c r="G35" s="17"/>
      <c r="H35" s="17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9.5" hidden="false" customHeight="true" outlineLevel="0" collapsed="false">
      <c r="B36" s="24" t="s">
        <v>49</v>
      </c>
      <c r="C36" s="24"/>
      <c r="D36" s="17" t="s">
        <v>50</v>
      </c>
      <c r="E36" s="17"/>
      <c r="F36" s="17"/>
      <c r="G36" s="17"/>
      <c r="H36" s="17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44">
    <mergeCell ref="B13:E13"/>
    <mergeCell ref="B14:C14"/>
    <mergeCell ref="D14:H14"/>
    <mergeCell ref="B15:C15"/>
    <mergeCell ref="D15:H15"/>
    <mergeCell ref="B16:C16"/>
    <mergeCell ref="D16:H16"/>
    <mergeCell ref="B17:C17"/>
    <mergeCell ref="D17:H17"/>
    <mergeCell ref="B18:C18"/>
    <mergeCell ref="D18:H18"/>
    <mergeCell ref="B19:C19"/>
    <mergeCell ref="D19:H19"/>
    <mergeCell ref="B20:C20"/>
    <mergeCell ref="D20:H20"/>
    <mergeCell ref="B21:C21"/>
    <mergeCell ref="D21:H21"/>
    <mergeCell ref="B22:C22"/>
    <mergeCell ref="D22:H22"/>
    <mergeCell ref="B23:C23"/>
    <mergeCell ref="D23:H23"/>
    <mergeCell ref="B24:C24"/>
    <mergeCell ref="D24:H24"/>
    <mergeCell ref="B26:H26"/>
    <mergeCell ref="B27:C27"/>
    <mergeCell ref="D27:H27"/>
    <mergeCell ref="B28:C28"/>
    <mergeCell ref="D28:H28"/>
    <mergeCell ref="B29:C29"/>
    <mergeCell ref="D29:H29"/>
    <mergeCell ref="B30:C30"/>
    <mergeCell ref="D30:H30"/>
    <mergeCell ref="B31:C31"/>
    <mergeCell ref="D31:H31"/>
    <mergeCell ref="B32:C32"/>
    <mergeCell ref="D32:H32"/>
    <mergeCell ref="B33:C33"/>
    <mergeCell ref="D33:H33"/>
    <mergeCell ref="B34:C34"/>
    <mergeCell ref="D34:H34"/>
    <mergeCell ref="B35:C35"/>
    <mergeCell ref="D35:H35"/>
    <mergeCell ref="B36:C36"/>
    <mergeCell ref="D36:H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5E2B"/>
    <pageSetUpPr fitToPage="false"/>
  </sheetPr>
  <dimension ref="A1:AN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D5" activeCellId="0" sqref="D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0.85"/>
    <col collapsed="false" customWidth="true" hidden="false" outlineLevel="0" max="3" min="3" style="1" width="18"/>
    <col collapsed="false" customWidth="true" hidden="false" outlineLevel="0" max="4" min="4" style="1" width="20.43"/>
    <col collapsed="false" customWidth="true" hidden="false" outlineLevel="0" max="5" min="5" style="1" width="31.57"/>
    <col collapsed="false" customWidth="true" hidden="false" outlineLevel="0" max="6" min="6" style="1" width="22.29"/>
    <col collapsed="false" customWidth="true" hidden="false" outlineLevel="0" max="7" min="7" style="1" width="21.43"/>
    <col collapsed="false" customWidth="true" hidden="false" outlineLevel="0" max="8" min="8" style="1" width="13"/>
    <col collapsed="false" customWidth="true" hidden="false" outlineLevel="0" max="9" min="9" style="1" width="19.43"/>
    <col collapsed="false" customWidth="true" hidden="false" outlineLevel="0" max="10" min="10" style="1" width="10.43"/>
    <col collapsed="false" customWidth="true" hidden="false" outlineLevel="0" max="12" min="11" style="1" width="13"/>
    <col collapsed="false" customWidth="true" hidden="false" outlineLevel="0" max="13" min="13" style="1" width="12"/>
    <col collapsed="false" customWidth="true" hidden="false" outlineLevel="0" max="14" min="14" style="1" width="12.71"/>
    <col collapsed="false" customWidth="true" hidden="false" outlineLevel="0" max="16" min="15" style="1" width="13"/>
    <col collapsed="false" customWidth="true" hidden="false" outlineLevel="0" max="17" min="17" style="1" width="12.86"/>
    <col collapsed="false" customWidth="true" hidden="false" outlineLevel="0" max="19" min="18" style="1" width="11.29"/>
    <col collapsed="false" customWidth="true" hidden="false" outlineLevel="0" max="20" min="20" style="1" width="10.43"/>
    <col collapsed="false" customWidth="true" hidden="false" outlineLevel="0" max="21" min="21" style="1" width="12.71"/>
    <col collapsed="false" customWidth="true" hidden="false" outlineLevel="0" max="22" min="22" style="1" width="12"/>
    <col collapsed="false" customWidth="true" hidden="false" outlineLevel="0" max="23" min="23" style="1" width="11.85"/>
    <col collapsed="false" customWidth="true" hidden="false" outlineLevel="0" max="24" min="24" style="1" width="16.29"/>
    <col collapsed="false" customWidth="true" hidden="false" outlineLevel="0" max="26" min="25" style="1" width="13"/>
    <col collapsed="false" customWidth="true" hidden="false" outlineLevel="0" max="27" min="27" style="1" width="19.43"/>
    <col collapsed="false" customWidth="true" hidden="false" outlineLevel="0" max="28" min="28" style="1" width="43.57"/>
    <col collapsed="false" customWidth="true" hidden="false" outlineLevel="0" max="29" min="29" style="1" width="56.57"/>
    <col collapsed="false" customWidth="true" hidden="false" outlineLevel="0" max="32" min="30" style="1" width="23"/>
    <col collapsed="false" customWidth="true" hidden="false" outlineLevel="0" max="33" min="33" style="1" width="20.14"/>
    <col collapsed="false" customWidth="true" hidden="false" outlineLevel="0" max="36" min="34" style="1" width="12.29"/>
    <col collapsed="false" customWidth="true" hidden="false" outlineLevel="0" max="37" min="37" style="1" width="13"/>
    <col collapsed="false" customWidth="true" hidden="false" outlineLevel="0" max="38" min="38" style="1" width="15.14"/>
    <col collapsed="false" customWidth="true" hidden="false" outlineLevel="0" max="40" min="39" style="1" width="8.71"/>
  </cols>
  <sheetData>
    <row r="1" customFormat="false" ht="15" hidden="false" customHeight="true" outlineLevel="0" collapsed="false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</row>
    <row r="2" customFormat="false" ht="24" hidden="false" customHeight="true" outlineLevel="0" collapsed="false">
      <c r="A2" s="25"/>
      <c r="B2" s="26" t="str">
        <f aca="false">"TALENT RATE CARD — ALL "&amp;COUNTA($C$5:$C$500)&amp;" ENTRIES"</f>
        <v>TALENT RATE CARD — ALL 189 ENTRIES</v>
      </c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B2" s="26"/>
      <c r="AC2" s="26"/>
      <c r="AD2" s="26"/>
      <c r="AE2" s="26"/>
      <c r="AF2" s="26"/>
      <c r="AG2" s="26"/>
      <c r="AH2" s="25"/>
      <c r="AI2" s="25"/>
      <c r="AJ2" s="25"/>
      <c r="AK2" s="25"/>
      <c r="AL2" s="25"/>
      <c r="AM2" s="25"/>
      <c r="AN2" s="25"/>
    </row>
    <row r="3" customFormat="false" ht="16.5" hidden="false" customHeight="true" outlineLevel="0" collapsed="false">
      <c r="A3" s="27" t="s">
        <v>51</v>
      </c>
      <c r="B3" s="28" t="s">
        <v>52</v>
      </c>
      <c r="C3" s="29" t="s">
        <v>53</v>
      </c>
      <c r="D3" s="29" t="s">
        <v>54</v>
      </c>
      <c r="E3" s="30" t="s">
        <v>55</v>
      </c>
      <c r="F3" s="31" t="s">
        <v>56</v>
      </c>
      <c r="G3" s="32" t="s">
        <v>57</v>
      </c>
      <c r="H3" s="28" t="s">
        <v>54</v>
      </c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25"/>
      <c r="AN3" s="25"/>
    </row>
    <row r="4" customFormat="false" ht="36" hidden="false" customHeight="true" outlineLevel="0" collapsed="false">
      <c r="A4" s="34"/>
      <c r="B4" s="35" t="s">
        <v>58</v>
      </c>
      <c r="C4" s="36" t="s">
        <v>59</v>
      </c>
      <c r="D4" s="36" t="s">
        <v>60</v>
      </c>
      <c r="E4" s="36" t="s">
        <v>61</v>
      </c>
      <c r="F4" s="36" t="s">
        <v>62</v>
      </c>
      <c r="G4" s="36" t="s">
        <v>63</v>
      </c>
      <c r="H4" s="36" t="s">
        <v>64</v>
      </c>
      <c r="I4" s="36" t="s">
        <v>65</v>
      </c>
      <c r="J4" s="36" t="s">
        <v>66</v>
      </c>
      <c r="K4" s="36" t="s">
        <v>67</v>
      </c>
      <c r="L4" s="36" t="s">
        <v>68</v>
      </c>
      <c r="M4" s="36" t="s">
        <v>69</v>
      </c>
      <c r="N4" s="36" t="s">
        <v>70</v>
      </c>
      <c r="O4" s="36" t="s">
        <v>71</v>
      </c>
      <c r="P4" s="37" t="s">
        <v>72</v>
      </c>
      <c r="Q4" s="36" t="s">
        <v>73</v>
      </c>
      <c r="R4" s="36" t="s">
        <v>74</v>
      </c>
      <c r="S4" s="36" t="s">
        <v>75</v>
      </c>
      <c r="T4" s="36" t="s">
        <v>76</v>
      </c>
      <c r="U4" s="36" t="s">
        <v>77</v>
      </c>
      <c r="V4" s="36" t="s">
        <v>78</v>
      </c>
      <c r="W4" s="36" t="s">
        <v>79</v>
      </c>
      <c r="X4" s="36" t="s">
        <v>80</v>
      </c>
      <c r="Y4" s="38" t="s">
        <v>81</v>
      </c>
      <c r="Z4" s="38" t="s">
        <v>82</v>
      </c>
      <c r="AA4" s="36" t="s">
        <v>83</v>
      </c>
      <c r="AB4" s="36" t="s">
        <v>84</v>
      </c>
      <c r="AC4" s="36" t="s">
        <v>85</v>
      </c>
      <c r="AD4" s="36" t="s">
        <v>86</v>
      </c>
      <c r="AE4" s="36" t="s">
        <v>87</v>
      </c>
      <c r="AF4" s="36" t="s">
        <v>88</v>
      </c>
      <c r="AG4" s="36" t="s">
        <v>89</v>
      </c>
      <c r="AH4" s="36" t="s">
        <v>90</v>
      </c>
      <c r="AI4" s="36" t="s">
        <v>91</v>
      </c>
      <c r="AJ4" s="36" t="s">
        <v>92</v>
      </c>
      <c r="AK4" s="36" t="s">
        <v>93</v>
      </c>
      <c r="AL4" s="36" t="s">
        <v>94</v>
      </c>
      <c r="AM4" s="39"/>
      <c r="AN4" s="25"/>
    </row>
    <row r="5" customFormat="false" ht="16.5" hidden="false" customHeight="true" outlineLevel="0" collapsed="false">
      <c r="A5" s="40"/>
      <c r="B5" s="41" t="n">
        <f aca="false">IF($C5="","",COUNTA($C$5:C5))</f>
        <v>1</v>
      </c>
      <c r="C5" s="42" t="s">
        <v>95</v>
      </c>
      <c r="D5" s="42" t="s">
        <v>47</v>
      </c>
      <c r="E5" s="42" t="s">
        <v>6</v>
      </c>
      <c r="F5" s="42" t="s">
        <v>6</v>
      </c>
      <c r="G5" s="42" t="s">
        <v>96</v>
      </c>
      <c r="H5" s="42" t="n">
        <v>6</v>
      </c>
      <c r="I5" s="42" t="s">
        <v>97</v>
      </c>
      <c r="J5" s="43" t="n">
        <v>11000</v>
      </c>
      <c r="K5" s="43" t="n">
        <v>4600</v>
      </c>
      <c r="L5" s="43" t="n">
        <f aca="false">IF($C5="","",ROUND($J5*0.17,0))</f>
        <v>1870</v>
      </c>
      <c r="M5" s="43" t="n">
        <v>8600</v>
      </c>
      <c r="N5" s="43" t="n">
        <v>3500</v>
      </c>
      <c r="O5" s="43" t="n">
        <v>2200</v>
      </c>
      <c r="P5" s="43" t="n">
        <v>2200</v>
      </c>
      <c r="Q5" s="43" t="n">
        <v>15950</v>
      </c>
      <c r="R5" s="43" t="n">
        <v>7150</v>
      </c>
      <c r="S5" s="43" t="n">
        <f aca="false">IF($C5="","",ROUND($J5*2.2,0))</f>
        <v>24200</v>
      </c>
      <c r="T5" s="43" t="n">
        <v>3850</v>
      </c>
      <c r="U5" s="43" t="n">
        <v>3300</v>
      </c>
      <c r="V5" s="43" t="n">
        <v>2000</v>
      </c>
      <c r="W5" s="42" t="n">
        <v>1650</v>
      </c>
      <c r="X5" s="42" t="s">
        <v>98</v>
      </c>
      <c r="Y5" s="44" t="n">
        <v>0.3</v>
      </c>
      <c r="Z5" s="44" t="n">
        <v>1</v>
      </c>
      <c r="AA5" s="42" t="s">
        <v>99</v>
      </c>
      <c r="AB5" s="42" t="s">
        <v>100</v>
      </c>
      <c r="AC5" s="42" t="s">
        <v>101</v>
      </c>
      <c r="AD5" s="42" t="s">
        <v>102</v>
      </c>
      <c r="AE5" s="42" t="s">
        <v>103</v>
      </c>
      <c r="AF5" s="42" t="s">
        <v>104</v>
      </c>
      <c r="AG5" s="42" t="s">
        <v>105</v>
      </c>
      <c r="AH5" s="42"/>
      <c r="AI5" s="42" t="s">
        <v>106</v>
      </c>
      <c r="AJ5" s="42" t="s">
        <v>107</v>
      </c>
      <c r="AK5" s="42"/>
      <c r="AL5" s="42"/>
      <c r="AM5" s="45"/>
      <c r="AN5" s="40"/>
    </row>
    <row r="6" customFormat="false" ht="16.5" hidden="false" customHeight="true" outlineLevel="0" collapsed="false">
      <c r="A6" s="46"/>
      <c r="B6" s="41" t="n">
        <f aca="false">IF($C6="","",COUNTA($C$5:C6))</f>
        <v>2</v>
      </c>
      <c r="C6" s="42" t="s">
        <v>108</v>
      </c>
      <c r="D6" s="42" t="s">
        <v>47</v>
      </c>
      <c r="E6" s="42" t="s">
        <v>6</v>
      </c>
      <c r="F6" s="42" t="s">
        <v>6</v>
      </c>
      <c r="G6" s="42" t="s">
        <v>96</v>
      </c>
      <c r="H6" s="42" t="n">
        <v>4</v>
      </c>
      <c r="I6" s="42" t="s">
        <v>97</v>
      </c>
      <c r="J6" s="43" t="n">
        <v>8100</v>
      </c>
      <c r="K6" s="43" t="n">
        <v>3200</v>
      </c>
      <c r="L6" s="43" t="n">
        <f aca="false">IF($C6="","",ROUND($J6*0.17,0))</f>
        <v>1377</v>
      </c>
      <c r="M6" s="43" t="n">
        <v>6350</v>
      </c>
      <c r="N6" s="43" t="n">
        <v>2600</v>
      </c>
      <c r="O6" s="43" t="n">
        <v>1600</v>
      </c>
      <c r="P6" s="43" t="n">
        <v>1600</v>
      </c>
      <c r="Q6" s="43" t="n">
        <v>11800</v>
      </c>
      <c r="R6" s="43" t="n">
        <v>5300</v>
      </c>
      <c r="S6" s="43" t="n">
        <f aca="false">IF($C6="","",ROUND($J6*2.2,0))</f>
        <v>17820</v>
      </c>
      <c r="T6" s="43" t="n">
        <v>2850</v>
      </c>
      <c r="U6" s="43" t="n">
        <v>2450</v>
      </c>
      <c r="V6" s="43" t="n">
        <v>1450</v>
      </c>
      <c r="W6" s="42" t="n">
        <v>1215</v>
      </c>
      <c r="X6" s="42" t="s">
        <v>109</v>
      </c>
      <c r="Y6" s="44" t="n">
        <v>0.3</v>
      </c>
      <c r="Z6" s="44" t="n">
        <v>1</v>
      </c>
      <c r="AA6" s="42" t="s">
        <v>110</v>
      </c>
      <c r="AB6" s="42" t="s">
        <v>111</v>
      </c>
      <c r="AC6" s="42" t="s">
        <v>112</v>
      </c>
      <c r="AD6" s="42" t="s">
        <v>113</v>
      </c>
      <c r="AE6" s="42" t="s">
        <v>114</v>
      </c>
      <c r="AF6" s="42"/>
      <c r="AG6" s="42"/>
      <c r="AH6" s="42"/>
      <c r="AI6" s="42"/>
      <c r="AJ6" s="42" t="s">
        <v>115</v>
      </c>
      <c r="AK6" s="42"/>
      <c r="AL6" s="42"/>
      <c r="AM6" s="47"/>
      <c r="AN6" s="46"/>
    </row>
    <row r="7" customFormat="false" ht="16.5" hidden="false" customHeight="true" outlineLevel="0" collapsed="false">
      <c r="A7" s="48"/>
      <c r="B7" s="41" t="n">
        <f aca="false">IF($C7="","",COUNTA($C$5:C7))</f>
        <v>3</v>
      </c>
      <c r="C7" s="42" t="s">
        <v>116</v>
      </c>
      <c r="D7" s="42" t="s">
        <v>47</v>
      </c>
      <c r="E7" s="42" t="s">
        <v>6</v>
      </c>
      <c r="F7" s="42" t="s">
        <v>6</v>
      </c>
      <c r="G7" s="42" t="s">
        <v>96</v>
      </c>
      <c r="H7" s="42" t="n">
        <v>4</v>
      </c>
      <c r="I7" s="42" t="s">
        <v>97</v>
      </c>
      <c r="J7" s="43" t="n">
        <v>7450</v>
      </c>
      <c r="K7" s="43" t="n">
        <v>3150</v>
      </c>
      <c r="L7" s="43" t="n">
        <f aca="false">IF($C7="","",ROUND($J7*0.17,0))</f>
        <v>1267</v>
      </c>
      <c r="M7" s="43" t="n">
        <v>5850</v>
      </c>
      <c r="N7" s="43" t="n">
        <v>2400</v>
      </c>
      <c r="O7" s="43" t="n">
        <v>1500</v>
      </c>
      <c r="P7" s="43" t="n">
        <v>1500</v>
      </c>
      <c r="Q7" s="43" t="n">
        <v>10850</v>
      </c>
      <c r="R7" s="43" t="n">
        <v>4850</v>
      </c>
      <c r="S7" s="43" t="n">
        <f aca="false">IF($C7="","",ROUND($J7*2.2,0))</f>
        <v>16390</v>
      </c>
      <c r="T7" s="43" t="n">
        <v>2600</v>
      </c>
      <c r="U7" s="43" t="n">
        <v>2250</v>
      </c>
      <c r="V7" s="43" t="n">
        <v>1350</v>
      </c>
      <c r="W7" s="42" t="n">
        <v>1118</v>
      </c>
      <c r="X7" s="42" t="s">
        <v>109</v>
      </c>
      <c r="Y7" s="44" t="n">
        <v>0.3</v>
      </c>
      <c r="Z7" s="44" t="n">
        <v>1</v>
      </c>
      <c r="AA7" s="42" t="s">
        <v>117</v>
      </c>
      <c r="AB7" s="42" t="s">
        <v>118</v>
      </c>
      <c r="AC7" s="42" t="s">
        <v>119</v>
      </c>
      <c r="AD7" s="42" t="s">
        <v>120</v>
      </c>
      <c r="AE7" s="42"/>
      <c r="AF7" s="42"/>
      <c r="AG7" s="42" t="s">
        <v>121</v>
      </c>
      <c r="AH7" s="42"/>
      <c r="AI7" s="42"/>
      <c r="AJ7" s="42"/>
      <c r="AK7" s="42"/>
      <c r="AL7" s="42"/>
      <c r="AM7" s="49"/>
      <c r="AN7" s="48"/>
    </row>
    <row r="8" customFormat="false" ht="16.5" hidden="false" customHeight="true" outlineLevel="0" collapsed="false">
      <c r="A8" s="50"/>
      <c r="B8" s="41" t="n">
        <f aca="false">IF($C8="","",COUNTA($C$5:C8))</f>
        <v>4</v>
      </c>
      <c r="C8" s="42" t="s">
        <v>122</v>
      </c>
      <c r="D8" s="42" t="s">
        <v>47</v>
      </c>
      <c r="E8" s="42" t="s">
        <v>6</v>
      </c>
      <c r="F8" s="42" t="s">
        <v>6</v>
      </c>
      <c r="G8" s="42" t="s">
        <v>96</v>
      </c>
      <c r="H8" s="42" t="n">
        <v>3</v>
      </c>
      <c r="I8" s="42" t="s">
        <v>97</v>
      </c>
      <c r="J8" s="43" t="n">
        <v>5200</v>
      </c>
      <c r="K8" s="43" t="n">
        <v>2200</v>
      </c>
      <c r="L8" s="43" t="n">
        <f aca="false">IF($C8="","",ROUND($J8*0.17,0))</f>
        <v>884</v>
      </c>
      <c r="M8" s="43" t="n">
        <v>4050</v>
      </c>
      <c r="N8" s="43" t="n">
        <v>1650</v>
      </c>
      <c r="O8" s="43" t="n">
        <v>1050</v>
      </c>
      <c r="P8" s="43" t="n">
        <v>1050</v>
      </c>
      <c r="Q8" s="43" t="n">
        <v>7550</v>
      </c>
      <c r="R8" s="43" t="n">
        <v>3400</v>
      </c>
      <c r="S8" s="43" t="n">
        <f aca="false">IF($C8="","",ROUND($J8*2.2,0))</f>
        <v>11440</v>
      </c>
      <c r="T8" s="43" t="n">
        <v>1800</v>
      </c>
      <c r="U8" s="43" t="n">
        <v>1550</v>
      </c>
      <c r="V8" s="43" t="n">
        <v>950</v>
      </c>
      <c r="W8" s="42" t="n">
        <v>780</v>
      </c>
      <c r="X8" s="42" t="s">
        <v>123</v>
      </c>
      <c r="Y8" s="44" t="n">
        <v>0.3</v>
      </c>
      <c r="Z8" s="44" t="n">
        <v>1</v>
      </c>
      <c r="AA8" s="42" t="s">
        <v>124</v>
      </c>
      <c r="AB8" s="42" t="s">
        <v>125</v>
      </c>
      <c r="AC8" s="42"/>
      <c r="AD8" s="42" t="s">
        <v>126</v>
      </c>
      <c r="AE8" s="42"/>
      <c r="AF8" s="42"/>
      <c r="AG8" s="42" t="s">
        <v>127</v>
      </c>
      <c r="AH8" s="42" t="s">
        <v>128</v>
      </c>
      <c r="AI8" s="42" t="s">
        <v>129</v>
      </c>
      <c r="AJ8" s="42" t="s">
        <v>130</v>
      </c>
      <c r="AK8" s="42"/>
      <c r="AL8" s="42"/>
      <c r="AM8" s="51"/>
      <c r="AN8" s="50"/>
    </row>
    <row r="9" customFormat="false" ht="16.5" hidden="false" customHeight="true" outlineLevel="0" collapsed="false">
      <c r="A9" s="48"/>
      <c r="B9" s="41" t="n">
        <f aca="false">IF($C9="","",COUNTA($C$5:C9))</f>
        <v>5</v>
      </c>
      <c r="C9" s="42" t="s">
        <v>131</v>
      </c>
      <c r="D9" s="42" t="s">
        <v>47</v>
      </c>
      <c r="E9" s="42" t="s">
        <v>6</v>
      </c>
      <c r="F9" s="42" t="s">
        <v>6</v>
      </c>
      <c r="G9" s="42" t="s">
        <v>132</v>
      </c>
      <c r="H9" s="42" t="n">
        <v>5</v>
      </c>
      <c r="I9" s="42" t="s">
        <v>97</v>
      </c>
      <c r="J9" s="43" t="n">
        <v>8100</v>
      </c>
      <c r="K9" s="43" t="n">
        <v>3400</v>
      </c>
      <c r="L9" s="43" t="n">
        <f aca="false">IF($C9="","",ROUND($J9*0.17,0))</f>
        <v>1377</v>
      </c>
      <c r="M9" s="43" t="n">
        <v>6350</v>
      </c>
      <c r="N9" s="43" t="n">
        <v>2600</v>
      </c>
      <c r="O9" s="43" t="n">
        <v>1600</v>
      </c>
      <c r="P9" s="43" t="n">
        <v>1600</v>
      </c>
      <c r="Q9" s="43" t="n">
        <v>11800</v>
      </c>
      <c r="R9" s="43" t="n">
        <v>5300</v>
      </c>
      <c r="S9" s="43" t="n">
        <f aca="false">IF($C9="","",ROUND($J9*2.2,0))</f>
        <v>17820</v>
      </c>
      <c r="T9" s="43" t="n">
        <v>2850</v>
      </c>
      <c r="U9" s="43" t="n">
        <v>2450</v>
      </c>
      <c r="V9" s="43" t="n">
        <v>1450</v>
      </c>
      <c r="W9" s="42" t="n">
        <v>1215</v>
      </c>
      <c r="X9" s="42" t="s">
        <v>133</v>
      </c>
      <c r="Y9" s="44" t="n">
        <v>0.3</v>
      </c>
      <c r="Z9" s="44" t="n">
        <v>1</v>
      </c>
      <c r="AA9" s="42" t="s">
        <v>134</v>
      </c>
      <c r="AB9" s="42" t="s">
        <v>135</v>
      </c>
      <c r="AC9" s="42" t="s">
        <v>136</v>
      </c>
      <c r="AD9" s="42" t="s">
        <v>137</v>
      </c>
      <c r="AE9" s="42" t="s">
        <v>138</v>
      </c>
      <c r="AF9" s="42" t="s">
        <v>139</v>
      </c>
      <c r="AG9" s="42"/>
      <c r="AH9" s="42"/>
      <c r="AI9" s="42"/>
      <c r="AJ9" s="42" t="s">
        <v>140</v>
      </c>
      <c r="AK9" s="42"/>
      <c r="AL9" s="42"/>
      <c r="AM9" s="49"/>
      <c r="AN9" s="48"/>
    </row>
    <row r="10" customFormat="false" ht="16.5" hidden="false" customHeight="true" outlineLevel="0" collapsed="false">
      <c r="A10" s="46"/>
      <c r="B10" s="41" t="n">
        <f aca="false">IF($C10="","",COUNTA($C$5:C10))</f>
        <v>6</v>
      </c>
      <c r="C10" s="42" t="s">
        <v>141</v>
      </c>
      <c r="D10" s="42" t="s">
        <v>47</v>
      </c>
      <c r="E10" s="42" t="s">
        <v>6</v>
      </c>
      <c r="F10" s="42" t="s">
        <v>6</v>
      </c>
      <c r="G10" s="42" t="s">
        <v>96</v>
      </c>
      <c r="H10" s="42" t="n">
        <v>5</v>
      </c>
      <c r="I10" s="42" t="s">
        <v>97</v>
      </c>
      <c r="J10" s="43" t="n">
        <v>7450</v>
      </c>
      <c r="K10" s="43" t="n">
        <v>3150</v>
      </c>
      <c r="L10" s="43" t="n">
        <f aca="false">IF($C10="","",ROUND($J10*0.17,0))</f>
        <v>1267</v>
      </c>
      <c r="M10" s="43" t="n">
        <v>5850</v>
      </c>
      <c r="N10" s="43" t="n">
        <v>2400</v>
      </c>
      <c r="O10" s="43" t="n">
        <v>1500</v>
      </c>
      <c r="P10" s="43" t="n">
        <v>1500</v>
      </c>
      <c r="Q10" s="43" t="n">
        <v>10850</v>
      </c>
      <c r="R10" s="43" t="n">
        <v>4850</v>
      </c>
      <c r="S10" s="43" t="n">
        <f aca="false">IF($C10="","",ROUND($J10*2.2,0))</f>
        <v>16390</v>
      </c>
      <c r="T10" s="43" t="n">
        <v>2600</v>
      </c>
      <c r="U10" s="43" t="n">
        <v>2250</v>
      </c>
      <c r="V10" s="43" t="n">
        <v>1350</v>
      </c>
      <c r="W10" s="42" t="n">
        <v>1118</v>
      </c>
      <c r="X10" s="42" t="s">
        <v>133</v>
      </c>
      <c r="Y10" s="44" t="n">
        <v>0.3</v>
      </c>
      <c r="Z10" s="44" t="n">
        <v>1</v>
      </c>
      <c r="AA10" s="42" t="s">
        <v>142</v>
      </c>
      <c r="AB10" s="42" t="s">
        <v>143</v>
      </c>
      <c r="AC10" s="42" t="s">
        <v>144</v>
      </c>
      <c r="AD10" s="42"/>
      <c r="AE10" s="42" t="s">
        <v>145</v>
      </c>
      <c r="AF10" s="42" t="s">
        <v>146</v>
      </c>
      <c r="AG10" s="42" t="s">
        <v>147</v>
      </c>
      <c r="AH10" s="42"/>
      <c r="AI10" s="42" t="s">
        <v>148</v>
      </c>
      <c r="AJ10" s="42" t="s">
        <v>149</v>
      </c>
      <c r="AK10" s="42"/>
      <c r="AL10" s="42"/>
      <c r="AM10" s="47"/>
      <c r="AN10" s="46"/>
    </row>
    <row r="11" customFormat="false" ht="16.5" hidden="false" customHeight="true" outlineLevel="0" collapsed="false">
      <c r="A11" s="46"/>
      <c r="B11" s="52" t="n">
        <f aca="false">IF($C11="","",COUNTA($C$5:C11))</f>
        <v>7</v>
      </c>
      <c r="C11" s="53" t="s">
        <v>150</v>
      </c>
      <c r="D11" s="53" t="s">
        <v>47</v>
      </c>
      <c r="E11" s="53" t="s">
        <v>6</v>
      </c>
      <c r="F11" s="53" t="s">
        <v>6</v>
      </c>
      <c r="G11" s="53" t="s">
        <v>96</v>
      </c>
      <c r="H11" s="53" t="n">
        <v>5</v>
      </c>
      <c r="I11" s="53" t="s">
        <v>151</v>
      </c>
      <c r="J11" s="53" t="n">
        <v>6500</v>
      </c>
      <c r="K11" s="53" t="n">
        <v>5300</v>
      </c>
      <c r="L11" s="54" t="n">
        <f aca="false">IF($C11="","",ROUND($J11*0.17,0))</f>
        <v>1105</v>
      </c>
      <c r="M11" s="53" t="n">
        <v>3400</v>
      </c>
      <c r="N11" s="53" t="n">
        <v>4050</v>
      </c>
      <c r="O11" s="53" t="n">
        <v>2500</v>
      </c>
      <c r="P11" s="53" t="n">
        <v>2500</v>
      </c>
      <c r="Q11" s="53" t="n">
        <v>15950</v>
      </c>
      <c r="R11" s="54" t="n">
        <v>8200</v>
      </c>
      <c r="S11" s="54" t="n">
        <f aca="false">IF($C11="","",ROUND($J11*2.2,0))</f>
        <v>14300</v>
      </c>
      <c r="T11" s="53" t="n">
        <v>3800</v>
      </c>
      <c r="U11" s="53" t="n">
        <v>1900</v>
      </c>
      <c r="V11" s="53" t="n">
        <v>3150</v>
      </c>
      <c r="W11" s="53" t="n">
        <v>1250</v>
      </c>
      <c r="X11" s="53" t="s">
        <v>133</v>
      </c>
      <c r="Y11" s="44" t="n">
        <v>0.3</v>
      </c>
      <c r="Z11" s="44" t="n">
        <v>1</v>
      </c>
      <c r="AA11" s="53" t="s">
        <v>152</v>
      </c>
      <c r="AB11" s="53" t="s">
        <v>153</v>
      </c>
      <c r="AC11" s="53" t="s">
        <v>154</v>
      </c>
      <c r="AD11" s="53"/>
      <c r="AE11" s="53" t="s">
        <v>155</v>
      </c>
      <c r="AF11" s="53" t="s">
        <v>156</v>
      </c>
      <c r="AG11" s="53" t="s">
        <v>157</v>
      </c>
      <c r="AH11" s="53"/>
      <c r="AI11" s="53"/>
      <c r="AJ11" s="53"/>
      <c r="AK11" s="53"/>
      <c r="AL11" s="53"/>
      <c r="AM11" s="47"/>
      <c r="AN11" s="46"/>
    </row>
    <row r="12" customFormat="false" ht="16.5" hidden="false" customHeight="true" outlineLevel="0" collapsed="false">
      <c r="A12" s="50"/>
      <c r="B12" s="52" t="n">
        <f aca="false">IF($C12="","",COUNTA($C$5:C12))</f>
        <v>8</v>
      </c>
      <c r="C12" s="53" t="s">
        <v>158</v>
      </c>
      <c r="D12" s="53" t="s">
        <v>47</v>
      </c>
      <c r="E12" s="53" t="s">
        <v>6</v>
      </c>
      <c r="F12" s="53" t="s">
        <v>6</v>
      </c>
      <c r="G12" s="53" t="s">
        <v>96</v>
      </c>
      <c r="H12" s="53" t="n">
        <v>5</v>
      </c>
      <c r="I12" s="53" t="s">
        <v>97</v>
      </c>
      <c r="J12" s="53" t="n">
        <v>7450</v>
      </c>
      <c r="K12" s="53" t="n">
        <v>3150</v>
      </c>
      <c r="L12" s="54" t="n">
        <f aca="false">IF($C12="","",ROUND($J12*0.17,0))</f>
        <v>1267</v>
      </c>
      <c r="M12" s="53" t="n">
        <v>5800</v>
      </c>
      <c r="N12" s="54" t="n">
        <v>2400</v>
      </c>
      <c r="O12" s="53" t="n">
        <v>1500</v>
      </c>
      <c r="P12" s="53" t="n">
        <v>1500</v>
      </c>
      <c r="Q12" s="53" t="n">
        <v>7500</v>
      </c>
      <c r="R12" s="54" t="n">
        <v>4850</v>
      </c>
      <c r="S12" s="54" t="n">
        <f aca="false">IF($C12="","",ROUND($J12*2.2,0))</f>
        <v>16390</v>
      </c>
      <c r="T12" s="53" t="n">
        <v>2250</v>
      </c>
      <c r="U12" s="53" t="n">
        <v>1100</v>
      </c>
      <c r="V12" s="53" t="n">
        <v>1850</v>
      </c>
      <c r="W12" s="53" t="n">
        <v>750</v>
      </c>
      <c r="X12" s="53" t="s">
        <v>133</v>
      </c>
      <c r="Y12" s="44" t="n">
        <v>0.3</v>
      </c>
      <c r="Z12" s="44" t="n">
        <v>1</v>
      </c>
      <c r="AA12" s="53" t="s">
        <v>159</v>
      </c>
      <c r="AB12" s="53" t="s">
        <v>160</v>
      </c>
      <c r="AC12" s="53" t="s">
        <v>161</v>
      </c>
      <c r="AD12" s="53"/>
      <c r="AE12" s="53"/>
      <c r="AF12" s="53" t="s">
        <v>162</v>
      </c>
      <c r="AG12" s="53" t="s">
        <v>163</v>
      </c>
      <c r="AH12" s="53" t="s">
        <v>164</v>
      </c>
      <c r="AI12" s="53"/>
      <c r="AJ12" s="53"/>
      <c r="AK12" s="53" t="s">
        <v>165</v>
      </c>
      <c r="AL12" s="53"/>
      <c r="AM12" s="51"/>
      <c r="AN12" s="50"/>
    </row>
    <row r="13" customFormat="false" ht="16.5" hidden="false" customHeight="true" outlineLevel="0" collapsed="false">
      <c r="A13" s="48"/>
      <c r="B13" s="55" t="n">
        <f aca="false">IF($C13="","",COUNTA($C$5:C13))</f>
        <v>9</v>
      </c>
      <c r="C13" s="56" t="s">
        <v>166</v>
      </c>
      <c r="D13" s="56" t="s">
        <v>167</v>
      </c>
      <c r="E13" s="56" t="s">
        <v>168</v>
      </c>
      <c r="F13" s="56" t="s">
        <v>169</v>
      </c>
      <c r="G13" s="56" t="s">
        <v>170</v>
      </c>
      <c r="H13" s="56" t="n">
        <v>3</v>
      </c>
      <c r="I13" s="56" t="s">
        <v>151</v>
      </c>
      <c r="J13" s="57" t="n">
        <v>11250</v>
      </c>
      <c r="K13" s="57" t="n">
        <v>4500</v>
      </c>
      <c r="L13" s="57" t="n">
        <f aca="false">IF($C13="","",ROUND($J13*0.17,0))</f>
        <v>1913</v>
      </c>
      <c r="M13" s="57" t="n">
        <v>8000</v>
      </c>
      <c r="N13" s="57" t="n">
        <v>3500</v>
      </c>
      <c r="O13" s="57" t="n">
        <v>2000</v>
      </c>
      <c r="P13" s="57" t="n">
        <v>2000</v>
      </c>
      <c r="Q13" s="57" t="n">
        <v>13500</v>
      </c>
      <c r="R13" s="57" t="n">
        <v>6075</v>
      </c>
      <c r="S13" s="57" t="n">
        <f aca="false">IF($C13="","",ROUND($J13*2.2,0))</f>
        <v>24750</v>
      </c>
      <c r="T13" s="57" t="n">
        <v>4638</v>
      </c>
      <c r="U13" s="57" t="n">
        <v>4063</v>
      </c>
      <c r="V13" s="57" t="n">
        <v>2438</v>
      </c>
      <c r="W13" s="57" t="n">
        <v>2400</v>
      </c>
      <c r="X13" s="56" t="s">
        <v>123</v>
      </c>
      <c r="Y13" s="58" t="n">
        <v>0.3</v>
      </c>
      <c r="Z13" s="58" t="n">
        <v>1</v>
      </c>
      <c r="AA13" s="56" t="s">
        <v>171</v>
      </c>
      <c r="AB13" s="56" t="s">
        <v>172</v>
      </c>
      <c r="AC13" s="56" t="s">
        <v>173</v>
      </c>
      <c r="AD13" s="56" t="s">
        <v>174</v>
      </c>
      <c r="AE13" s="56"/>
      <c r="AF13" s="56"/>
      <c r="AG13" s="56"/>
      <c r="AH13" s="56"/>
      <c r="AI13" s="56"/>
      <c r="AJ13" s="56"/>
      <c r="AK13" s="56" t="s">
        <v>175</v>
      </c>
      <c r="AL13" s="56" t="s">
        <v>176</v>
      </c>
      <c r="AM13" s="49"/>
      <c r="AN13" s="48"/>
    </row>
    <row r="14" customFormat="false" ht="16.5" hidden="false" customHeight="true" outlineLevel="0" collapsed="false">
      <c r="A14" s="48"/>
      <c r="B14" s="55" t="n">
        <f aca="false">IF($C14="","",COUNTA($C$5:C14))</f>
        <v>10</v>
      </c>
      <c r="C14" s="56" t="s">
        <v>177</v>
      </c>
      <c r="D14" s="56" t="s">
        <v>167</v>
      </c>
      <c r="E14" s="56" t="s">
        <v>168</v>
      </c>
      <c r="F14" s="56" t="s">
        <v>169</v>
      </c>
      <c r="G14" s="56" t="s">
        <v>96</v>
      </c>
      <c r="H14" s="56" t="n">
        <v>2</v>
      </c>
      <c r="I14" s="56" t="s">
        <v>151</v>
      </c>
      <c r="J14" s="57" t="n">
        <v>11000</v>
      </c>
      <c r="K14" s="57" t="n">
        <v>4600</v>
      </c>
      <c r="L14" s="57" t="n">
        <f aca="false">IF($C14="","",ROUND($J14*0.17,0))</f>
        <v>1870</v>
      </c>
      <c r="M14" s="57" t="n">
        <v>8600</v>
      </c>
      <c r="N14" s="57" t="n">
        <v>3500</v>
      </c>
      <c r="O14" s="57" t="n">
        <v>2200</v>
      </c>
      <c r="P14" s="57" t="n">
        <v>2200</v>
      </c>
      <c r="Q14" s="57" t="n">
        <v>15950</v>
      </c>
      <c r="R14" s="57" t="n">
        <v>7150</v>
      </c>
      <c r="S14" s="57" t="n">
        <f aca="false">IF($C14="","",ROUND($J14*2.2,0))</f>
        <v>24200</v>
      </c>
      <c r="T14" s="57" t="n">
        <v>3850</v>
      </c>
      <c r="U14" s="57" t="n">
        <v>3300</v>
      </c>
      <c r="V14" s="57" t="n">
        <v>2000</v>
      </c>
      <c r="W14" s="57" t="n">
        <v>2400</v>
      </c>
      <c r="X14" s="56" t="s">
        <v>178</v>
      </c>
      <c r="Y14" s="58" t="n">
        <v>0.3</v>
      </c>
      <c r="Z14" s="58" t="n">
        <v>1</v>
      </c>
      <c r="AA14" s="56" t="s">
        <v>179</v>
      </c>
      <c r="AB14" s="56" t="s">
        <v>180</v>
      </c>
      <c r="AC14" s="56"/>
      <c r="AD14" s="56" t="s">
        <v>181</v>
      </c>
      <c r="AE14" s="56"/>
      <c r="AF14" s="56"/>
      <c r="AG14" s="56"/>
      <c r="AH14" s="56"/>
      <c r="AI14" s="56"/>
      <c r="AJ14" s="56"/>
      <c r="AK14" s="56" t="s">
        <v>182</v>
      </c>
      <c r="AL14" s="56" t="s">
        <v>183</v>
      </c>
      <c r="AM14" s="49"/>
      <c r="AN14" s="48"/>
    </row>
    <row r="15" customFormat="false" ht="16.5" hidden="false" customHeight="true" outlineLevel="0" collapsed="false">
      <c r="A15" s="48"/>
      <c r="B15" s="55" t="n">
        <f aca="false">IF($C15="","",COUNTA($C$5:C15))</f>
        <v>11</v>
      </c>
      <c r="C15" s="56" t="s">
        <v>184</v>
      </c>
      <c r="D15" s="56" t="s">
        <v>167</v>
      </c>
      <c r="E15" s="56" t="s">
        <v>168</v>
      </c>
      <c r="F15" s="56" t="s">
        <v>169</v>
      </c>
      <c r="G15" s="56" t="s">
        <v>170</v>
      </c>
      <c r="H15" s="56" t="n">
        <v>3</v>
      </c>
      <c r="I15" s="56" t="s">
        <v>151</v>
      </c>
      <c r="J15" s="57" t="n">
        <v>12100</v>
      </c>
      <c r="K15" s="57" t="n">
        <v>5100</v>
      </c>
      <c r="L15" s="57" t="n">
        <f aca="false">IF($C15="","",ROUND($J15*0.17,0))</f>
        <v>2057</v>
      </c>
      <c r="M15" s="57" t="n">
        <v>9450</v>
      </c>
      <c r="N15" s="57" t="n">
        <v>3850</v>
      </c>
      <c r="O15" s="57" t="n">
        <v>2400</v>
      </c>
      <c r="P15" s="57" t="n">
        <v>2400</v>
      </c>
      <c r="Q15" s="57" t="n">
        <v>17550</v>
      </c>
      <c r="R15" s="57" t="n">
        <v>7850</v>
      </c>
      <c r="S15" s="57" t="n">
        <f aca="false">IF($C15="","",ROUND($J15*2.2,0))</f>
        <v>26620</v>
      </c>
      <c r="T15" s="57" t="n">
        <v>4250</v>
      </c>
      <c r="U15" s="57" t="n">
        <v>3650</v>
      </c>
      <c r="V15" s="57" t="n">
        <v>2200</v>
      </c>
      <c r="W15" s="57" t="n">
        <v>2400</v>
      </c>
      <c r="X15" s="56" t="s">
        <v>123</v>
      </c>
      <c r="Y15" s="58" t="n">
        <v>0.3</v>
      </c>
      <c r="Z15" s="58" t="n">
        <v>1</v>
      </c>
      <c r="AA15" s="56" t="s">
        <v>185</v>
      </c>
      <c r="AB15" s="56" t="s">
        <v>186</v>
      </c>
      <c r="AC15" s="56" t="s">
        <v>187</v>
      </c>
      <c r="AD15" s="56" t="s">
        <v>188</v>
      </c>
      <c r="AE15" s="56"/>
      <c r="AF15" s="56"/>
      <c r="AG15" s="56"/>
      <c r="AH15" s="56"/>
      <c r="AI15" s="56"/>
      <c r="AJ15" s="56"/>
      <c r="AK15" s="59" t="n">
        <v>36475</v>
      </c>
      <c r="AL15" s="56" t="s">
        <v>189</v>
      </c>
      <c r="AM15" s="49"/>
      <c r="AN15" s="48"/>
    </row>
    <row r="16" customFormat="false" ht="16.5" hidden="false" customHeight="true" outlineLevel="0" collapsed="false">
      <c r="A16" s="48"/>
      <c r="B16" s="55" t="n">
        <f aca="false">IF($C16="","",COUNTA($C$5:C16))</f>
        <v>12</v>
      </c>
      <c r="C16" s="56" t="s">
        <v>190</v>
      </c>
      <c r="D16" s="56" t="s">
        <v>167</v>
      </c>
      <c r="E16" s="56" t="s">
        <v>168</v>
      </c>
      <c r="F16" s="56" t="s">
        <v>169</v>
      </c>
      <c r="G16" s="56" t="s">
        <v>170</v>
      </c>
      <c r="H16" s="56" t="n">
        <v>3</v>
      </c>
      <c r="I16" s="56" t="s">
        <v>151</v>
      </c>
      <c r="J16" s="57" t="n">
        <v>11000</v>
      </c>
      <c r="K16" s="57" t="n">
        <v>4600</v>
      </c>
      <c r="L16" s="57" t="n">
        <f aca="false">IF($C16="","",ROUND($J16*0.17,0))</f>
        <v>1870</v>
      </c>
      <c r="M16" s="57" t="n">
        <v>8600</v>
      </c>
      <c r="N16" s="57" t="n">
        <v>3500</v>
      </c>
      <c r="O16" s="57" t="n">
        <v>2200</v>
      </c>
      <c r="P16" s="57" t="n">
        <v>2200</v>
      </c>
      <c r="Q16" s="57" t="n">
        <v>15950</v>
      </c>
      <c r="R16" s="57" t="n">
        <v>7150</v>
      </c>
      <c r="S16" s="57" t="n">
        <f aca="false">IF($C16="","",ROUND($J16*2.2,0))</f>
        <v>24200</v>
      </c>
      <c r="T16" s="57" t="n">
        <v>3850</v>
      </c>
      <c r="U16" s="57" t="n">
        <v>3300</v>
      </c>
      <c r="V16" s="57" t="n">
        <v>2000</v>
      </c>
      <c r="W16" s="57" t="n">
        <v>2400</v>
      </c>
      <c r="X16" s="56" t="s">
        <v>123</v>
      </c>
      <c r="Y16" s="58" t="n">
        <v>0.3</v>
      </c>
      <c r="Z16" s="58" t="n">
        <v>1</v>
      </c>
      <c r="AA16" s="56" t="s">
        <v>191</v>
      </c>
      <c r="AB16" s="56" t="s">
        <v>192</v>
      </c>
      <c r="AC16" s="56" t="s">
        <v>193</v>
      </c>
      <c r="AD16" s="56" t="s">
        <v>194</v>
      </c>
      <c r="AE16" s="56"/>
      <c r="AF16" s="56"/>
      <c r="AG16" s="56"/>
      <c r="AH16" s="56"/>
      <c r="AI16" s="56"/>
      <c r="AJ16" s="56"/>
      <c r="AK16" s="56" t="s">
        <v>195</v>
      </c>
      <c r="AL16" s="56" t="s">
        <v>183</v>
      </c>
      <c r="AM16" s="49"/>
      <c r="AN16" s="48"/>
    </row>
    <row r="17" customFormat="false" ht="16.5" hidden="false" customHeight="true" outlineLevel="0" collapsed="false">
      <c r="A17" s="48"/>
      <c r="B17" s="55" t="n">
        <f aca="false">IF($C17="","",COUNTA($C$5:C17))</f>
        <v>13</v>
      </c>
      <c r="C17" s="56" t="s">
        <v>196</v>
      </c>
      <c r="D17" s="56" t="s">
        <v>167</v>
      </c>
      <c r="E17" s="56" t="s">
        <v>168</v>
      </c>
      <c r="F17" s="56" t="s">
        <v>197</v>
      </c>
      <c r="G17" s="56" t="s">
        <v>96</v>
      </c>
      <c r="H17" s="56" t="n">
        <v>1</v>
      </c>
      <c r="I17" s="56" t="s">
        <v>151</v>
      </c>
      <c r="J17" s="57" t="n">
        <v>11000</v>
      </c>
      <c r="K17" s="57" t="n">
        <v>4600</v>
      </c>
      <c r="L17" s="57" t="n">
        <f aca="false">IF($C17="","",ROUND($J17*0.17,0))</f>
        <v>1870</v>
      </c>
      <c r="M17" s="57" t="n">
        <v>8600</v>
      </c>
      <c r="N17" s="57" t="n">
        <v>3500</v>
      </c>
      <c r="O17" s="57" t="n">
        <v>2200</v>
      </c>
      <c r="P17" s="57" t="n">
        <v>2200</v>
      </c>
      <c r="Q17" s="57" t="n">
        <v>15950</v>
      </c>
      <c r="R17" s="57" t="n">
        <v>7150</v>
      </c>
      <c r="S17" s="57" t="n">
        <f aca="false">IF($C17="","",ROUND($J17*2.2,0))</f>
        <v>24200</v>
      </c>
      <c r="T17" s="57" t="n">
        <v>3850</v>
      </c>
      <c r="U17" s="57" t="n">
        <v>3300</v>
      </c>
      <c r="V17" s="57" t="n">
        <v>2000</v>
      </c>
      <c r="W17" s="57" t="n">
        <v>2400</v>
      </c>
      <c r="X17" s="56" t="s">
        <v>198</v>
      </c>
      <c r="Y17" s="58" t="n">
        <v>0.3</v>
      </c>
      <c r="Z17" s="58" t="n">
        <v>1</v>
      </c>
      <c r="AA17" s="56" t="s">
        <v>199</v>
      </c>
      <c r="AB17" s="56" t="s">
        <v>200</v>
      </c>
      <c r="AC17" s="56"/>
      <c r="AD17" s="56"/>
      <c r="AE17" s="56"/>
      <c r="AF17" s="56"/>
      <c r="AG17" s="56"/>
      <c r="AH17" s="56"/>
      <c r="AI17" s="56"/>
      <c r="AJ17" s="56"/>
      <c r="AK17" s="60" t="n">
        <v>36679</v>
      </c>
      <c r="AL17" s="56" t="s">
        <v>183</v>
      </c>
      <c r="AM17" s="49"/>
      <c r="AN17" s="48"/>
    </row>
    <row r="18" customFormat="false" ht="16.5" hidden="false" customHeight="true" outlineLevel="0" collapsed="false">
      <c r="A18" s="48"/>
      <c r="B18" s="55" t="n">
        <f aca="false">IF($C18="","",COUNTA($C$5:C18))</f>
        <v>14</v>
      </c>
      <c r="C18" s="56" t="s">
        <v>201</v>
      </c>
      <c r="D18" s="56" t="s">
        <v>167</v>
      </c>
      <c r="E18" s="56" t="s">
        <v>168</v>
      </c>
      <c r="F18" s="56" t="s">
        <v>202</v>
      </c>
      <c r="G18" s="56" t="s">
        <v>170</v>
      </c>
      <c r="H18" s="56" t="n">
        <v>3</v>
      </c>
      <c r="I18" s="56" t="s">
        <v>151</v>
      </c>
      <c r="J18" s="57" t="n">
        <v>12100</v>
      </c>
      <c r="K18" s="57" t="n">
        <v>5100</v>
      </c>
      <c r="L18" s="57" t="n">
        <f aca="false">IF($C18="","",ROUND($J18*0.17,0))</f>
        <v>2057</v>
      </c>
      <c r="M18" s="57" t="n">
        <v>9450</v>
      </c>
      <c r="N18" s="57" t="n">
        <v>3850</v>
      </c>
      <c r="O18" s="57" t="n">
        <v>2400</v>
      </c>
      <c r="P18" s="57" t="n">
        <v>2400</v>
      </c>
      <c r="Q18" s="57" t="n">
        <v>17550</v>
      </c>
      <c r="R18" s="57" t="n">
        <v>7850</v>
      </c>
      <c r="S18" s="57" t="n">
        <f aca="false">IF($C18="","",ROUND($J18*2.2,0))</f>
        <v>26620</v>
      </c>
      <c r="T18" s="57" t="n">
        <v>4250</v>
      </c>
      <c r="U18" s="57" t="n">
        <v>3650</v>
      </c>
      <c r="V18" s="57" t="n">
        <v>2200</v>
      </c>
      <c r="W18" s="57" t="n">
        <v>2400</v>
      </c>
      <c r="X18" s="56" t="s">
        <v>123</v>
      </c>
      <c r="Y18" s="58" t="n">
        <v>0.3</v>
      </c>
      <c r="Z18" s="58" t="n">
        <v>1</v>
      </c>
      <c r="AA18" s="56" t="s">
        <v>203</v>
      </c>
      <c r="AB18" s="56" t="s">
        <v>204</v>
      </c>
      <c r="AC18" s="56" t="s">
        <v>205</v>
      </c>
      <c r="AD18" s="56" t="s">
        <v>206</v>
      </c>
      <c r="AE18" s="56"/>
      <c r="AF18" s="56"/>
      <c r="AG18" s="56"/>
      <c r="AH18" s="56"/>
      <c r="AI18" s="56"/>
      <c r="AJ18" s="56"/>
      <c r="AK18" s="60" t="n">
        <v>36045</v>
      </c>
      <c r="AL18" s="56" t="s">
        <v>176</v>
      </c>
      <c r="AM18" s="49"/>
      <c r="AN18" s="48"/>
    </row>
    <row r="19" customFormat="false" ht="16.5" hidden="false" customHeight="true" outlineLevel="0" collapsed="false">
      <c r="A19" s="48"/>
      <c r="B19" s="55" t="n">
        <f aca="false">IF($C19="","",COUNTA($C$5:C19))</f>
        <v>15</v>
      </c>
      <c r="C19" s="56" t="s">
        <v>207</v>
      </c>
      <c r="D19" s="56" t="s">
        <v>167</v>
      </c>
      <c r="E19" s="56" t="s">
        <v>168</v>
      </c>
      <c r="F19" s="56" t="s">
        <v>202</v>
      </c>
      <c r="G19" s="56" t="s">
        <v>170</v>
      </c>
      <c r="H19" s="56" t="n">
        <v>2</v>
      </c>
      <c r="I19" s="56" t="s">
        <v>151</v>
      </c>
      <c r="J19" s="57" t="n">
        <v>11000</v>
      </c>
      <c r="K19" s="57" t="n">
        <v>4600</v>
      </c>
      <c r="L19" s="57" t="n">
        <f aca="false">IF($C19="","",ROUND($J19*0.17,0))</f>
        <v>1870</v>
      </c>
      <c r="M19" s="57" t="n">
        <v>8600</v>
      </c>
      <c r="N19" s="57" t="n">
        <v>3500</v>
      </c>
      <c r="O19" s="57" t="n">
        <v>2200</v>
      </c>
      <c r="P19" s="57" t="n">
        <v>2200</v>
      </c>
      <c r="Q19" s="57" t="n">
        <v>15950</v>
      </c>
      <c r="R19" s="57" t="n">
        <v>7150</v>
      </c>
      <c r="S19" s="57" t="n">
        <f aca="false">IF($C19="","",ROUND($J19*2.2,0))</f>
        <v>24200</v>
      </c>
      <c r="T19" s="57" t="n">
        <v>3850</v>
      </c>
      <c r="U19" s="57" t="n">
        <v>3300</v>
      </c>
      <c r="V19" s="57" t="n">
        <v>2000</v>
      </c>
      <c r="W19" s="57" t="n">
        <v>2400</v>
      </c>
      <c r="X19" s="56" t="s">
        <v>178</v>
      </c>
      <c r="Y19" s="58" t="n">
        <v>0.3</v>
      </c>
      <c r="Z19" s="58" t="n">
        <v>1</v>
      </c>
      <c r="AA19" s="56" t="s">
        <v>208</v>
      </c>
      <c r="AB19" s="56" t="s">
        <v>209</v>
      </c>
      <c r="AC19" s="56"/>
      <c r="AD19" s="56" t="s">
        <v>210</v>
      </c>
      <c r="AE19" s="56"/>
      <c r="AF19" s="56"/>
      <c r="AG19" s="56"/>
      <c r="AH19" s="56"/>
      <c r="AI19" s="56"/>
      <c r="AJ19" s="56"/>
      <c r="AK19" s="56" t="s">
        <v>211</v>
      </c>
      <c r="AL19" s="56" t="s">
        <v>189</v>
      </c>
      <c r="AM19" s="49"/>
      <c r="AN19" s="48"/>
    </row>
    <row r="20" customFormat="false" ht="16.5" hidden="false" customHeight="true" outlineLevel="0" collapsed="false">
      <c r="A20" s="48"/>
      <c r="B20" s="55" t="n">
        <f aca="false">IF($C20="","",COUNTA($C$5:C20))</f>
        <v>16</v>
      </c>
      <c r="C20" s="56" t="s">
        <v>212</v>
      </c>
      <c r="D20" s="56" t="s">
        <v>167</v>
      </c>
      <c r="E20" s="56" t="s">
        <v>213</v>
      </c>
      <c r="F20" s="56" t="s">
        <v>214</v>
      </c>
      <c r="G20" s="56" t="s">
        <v>96</v>
      </c>
      <c r="H20" s="56" t="n">
        <v>2</v>
      </c>
      <c r="I20" s="56" t="s">
        <v>151</v>
      </c>
      <c r="J20" s="57" t="n">
        <v>11000</v>
      </c>
      <c r="K20" s="57" t="n">
        <v>4600</v>
      </c>
      <c r="L20" s="57" t="n">
        <f aca="false">IF($C20="","",ROUND($J20*0.17,0))</f>
        <v>1870</v>
      </c>
      <c r="M20" s="57" t="n">
        <v>8600</v>
      </c>
      <c r="N20" s="57" t="n">
        <v>3500</v>
      </c>
      <c r="O20" s="57" t="n">
        <v>2200</v>
      </c>
      <c r="P20" s="57" t="n">
        <v>2200</v>
      </c>
      <c r="Q20" s="57" t="n">
        <v>15950</v>
      </c>
      <c r="R20" s="57" t="n">
        <v>7150</v>
      </c>
      <c r="S20" s="57" t="n">
        <f aca="false">IF($C20="","",ROUND($J20*2.2,0))</f>
        <v>24200</v>
      </c>
      <c r="T20" s="57" t="n">
        <v>3850</v>
      </c>
      <c r="U20" s="57" t="n">
        <v>3300</v>
      </c>
      <c r="V20" s="57" t="n">
        <v>2000</v>
      </c>
      <c r="W20" s="57" t="n">
        <v>2400</v>
      </c>
      <c r="X20" s="56" t="s">
        <v>178</v>
      </c>
      <c r="Y20" s="58" t="n">
        <v>0.3</v>
      </c>
      <c r="Z20" s="58" t="n">
        <v>1</v>
      </c>
      <c r="AA20" s="56" t="s">
        <v>215</v>
      </c>
      <c r="AB20" s="56" t="s">
        <v>216</v>
      </c>
      <c r="AC20" s="56"/>
      <c r="AD20" s="56" t="s">
        <v>217</v>
      </c>
      <c r="AE20" s="56"/>
      <c r="AF20" s="56"/>
      <c r="AG20" s="56"/>
      <c r="AH20" s="56"/>
      <c r="AI20" s="56"/>
      <c r="AJ20" s="56"/>
      <c r="AK20" s="56"/>
      <c r="AL20" s="56"/>
      <c r="AM20" s="49"/>
      <c r="AN20" s="48"/>
    </row>
    <row r="21" customFormat="false" ht="16.5" hidden="false" customHeight="true" outlineLevel="0" collapsed="false">
      <c r="A21" s="48"/>
      <c r="B21" s="55" t="n">
        <f aca="false">IF($C21="","",COUNTA($C$5:C21))</f>
        <v>17</v>
      </c>
      <c r="C21" s="56" t="s">
        <v>218</v>
      </c>
      <c r="D21" s="56" t="s">
        <v>167</v>
      </c>
      <c r="E21" s="56" t="s">
        <v>213</v>
      </c>
      <c r="F21" s="56" t="s">
        <v>214</v>
      </c>
      <c r="G21" s="56" t="s">
        <v>96</v>
      </c>
      <c r="H21" s="56" t="n">
        <v>4</v>
      </c>
      <c r="I21" s="56" t="s">
        <v>219</v>
      </c>
      <c r="J21" s="57" t="n">
        <v>12100</v>
      </c>
      <c r="K21" s="57" t="n">
        <v>5100</v>
      </c>
      <c r="L21" s="57" t="n">
        <f aca="false">IF($C21="","",ROUND($J21*0.17,0))</f>
        <v>2057</v>
      </c>
      <c r="M21" s="57" t="n">
        <v>9450</v>
      </c>
      <c r="N21" s="57" t="n">
        <v>3850</v>
      </c>
      <c r="O21" s="57" t="n">
        <v>2400</v>
      </c>
      <c r="P21" s="57" t="n">
        <v>2400</v>
      </c>
      <c r="Q21" s="57" t="n">
        <v>17550</v>
      </c>
      <c r="R21" s="57" t="n">
        <v>7850</v>
      </c>
      <c r="S21" s="57" t="n">
        <f aca="false">IF($C21="","",ROUND($J21*2.2,0))</f>
        <v>26620</v>
      </c>
      <c r="T21" s="57" t="n">
        <v>4250</v>
      </c>
      <c r="U21" s="57" t="n">
        <v>3650</v>
      </c>
      <c r="V21" s="57" t="n">
        <v>2200</v>
      </c>
      <c r="W21" s="57" t="n">
        <v>2400</v>
      </c>
      <c r="X21" s="56" t="s">
        <v>109</v>
      </c>
      <c r="Y21" s="58" t="n">
        <v>0.3</v>
      </c>
      <c r="Z21" s="58" t="n">
        <v>1</v>
      </c>
      <c r="AA21" s="56" t="s">
        <v>220</v>
      </c>
      <c r="AB21" s="56" t="s">
        <v>221</v>
      </c>
      <c r="AC21" s="56" t="s">
        <v>222</v>
      </c>
      <c r="AD21" s="56" t="s">
        <v>223</v>
      </c>
      <c r="AE21" s="56" t="s">
        <v>224</v>
      </c>
      <c r="AF21" s="56"/>
      <c r="AG21" s="56"/>
      <c r="AH21" s="56"/>
      <c r="AI21" s="56"/>
      <c r="AJ21" s="56"/>
      <c r="AK21" s="56"/>
      <c r="AL21" s="56"/>
      <c r="AM21" s="49"/>
      <c r="AN21" s="48"/>
    </row>
    <row r="22" customFormat="false" ht="16.5" hidden="false" customHeight="true" outlineLevel="0" collapsed="false">
      <c r="A22" s="40"/>
      <c r="B22" s="61" t="n">
        <f aca="false">IF($C22="","",COUNTA($C$5:C22))</f>
        <v>18</v>
      </c>
      <c r="C22" s="62" t="s">
        <v>225</v>
      </c>
      <c r="D22" s="62" t="s">
        <v>43</v>
      </c>
      <c r="E22" s="62" t="s">
        <v>213</v>
      </c>
      <c r="F22" s="62" t="s">
        <v>226</v>
      </c>
      <c r="G22" s="62" t="s">
        <v>170</v>
      </c>
      <c r="H22" s="62" t="n">
        <v>1</v>
      </c>
      <c r="I22" s="62" t="s">
        <v>97</v>
      </c>
      <c r="J22" s="62" t="n">
        <v>22750</v>
      </c>
      <c r="K22" s="62" t="n">
        <v>9550</v>
      </c>
      <c r="L22" s="63" t="n">
        <f aca="false">IF($C22="","",ROUND($J22*0.17,0))</f>
        <v>3868</v>
      </c>
      <c r="M22" s="62" t="n">
        <v>17750</v>
      </c>
      <c r="N22" s="62" t="n">
        <v>7300</v>
      </c>
      <c r="O22" s="62" t="n">
        <v>4550</v>
      </c>
      <c r="P22" s="62" t="n">
        <v>0</v>
      </c>
      <c r="Q22" s="62" t="n">
        <v>33000</v>
      </c>
      <c r="R22" s="62" t="n">
        <v>14800</v>
      </c>
      <c r="S22" s="63" t="n">
        <f aca="false">IF($C22="","",ROUND($J22*2.2,0))</f>
        <v>50050</v>
      </c>
      <c r="T22" s="62" t="n">
        <v>7950</v>
      </c>
      <c r="U22" s="62" t="n">
        <v>6850</v>
      </c>
      <c r="V22" s="62" t="n">
        <v>4100</v>
      </c>
      <c r="W22" s="62" t="n">
        <v>0</v>
      </c>
      <c r="X22" s="62" t="s">
        <v>198</v>
      </c>
      <c r="Y22" s="64" t="n">
        <v>0.3</v>
      </c>
      <c r="Z22" s="64" t="n">
        <v>1</v>
      </c>
      <c r="AA22" s="62" t="s">
        <v>227</v>
      </c>
      <c r="AB22" s="62" t="s">
        <v>228</v>
      </c>
      <c r="AC22" s="62"/>
      <c r="AD22" s="62"/>
      <c r="AE22" s="62"/>
      <c r="AF22" s="62"/>
      <c r="AG22" s="62"/>
      <c r="AH22" s="62"/>
      <c r="AI22" s="62"/>
      <c r="AJ22" s="62"/>
      <c r="AK22" s="62" t="s">
        <v>229</v>
      </c>
      <c r="AL22" s="62"/>
      <c r="AM22" s="65"/>
      <c r="AN22" s="40"/>
    </row>
    <row r="23" customFormat="false" ht="16.5" hidden="false" customHeight="true" outlineLevel="0" collapsed="false">
      <c r="A23" s="48"/>
      <c r="B23" s="55" t="n">
        <f aca="false">IF($C23="","",COUNTA($C$5:C23))</f>
        <v>19</v>
      </c>
      <c r="C23" s="56" t="s">
        <v>230</v>
      </c>
      <c r="D23" s="56" t="s">
        <v>167</v>
      </c>
      <c r="E23" s="56" t="s">
        <v>213</v>
      </c>
      <c r="F23" s="56" t="s">
        <v>226</v>
      </c>
      <c r="G23" s="56" t="s">
        <v>170</v>
      </c>
      <c r="H23" s="56" t="n">
        <v>2</v>
      </c>
      <c r="I23" s="56" t="s">
        <v>97</v>
      </c>
      <c r="J23" s="57" t="n">
        <v>20700</v>
      </c>
      <c r="K23" s="57" t="n">
        <v>8700</v>
      </c>
      <c r="L23" s="57" t="n">
        <f aca="false">IF($C23="","",ROUND($J23*0.17,0))</f>
        <v>3519</v>
      </c>
      <c r="M23" s="57" t="n">
        <v>16150</v>
      </c>
      <c r="N23" s="57" t="n">
        <v>6600</v>
      </c>
      <c r="O23" s="57" t="n">
        <v>4150</v>
      </c>
      <c r="P23" s="57" t="n">
        <v>4150</v>
      </c>
      <c r="Q23" s="57" t="n">
        <v>30000</v>
      </c>
      <c r="R23" s="57" t="n">
        <v>13450</v>
      </c>
      <c r="S23" s="57" t="n">
        <f aca="false">IF($C23="","",ROUND($J23*2.2,0))</f>
        <v>45540</v>
      </c>
      <c r="T23" s="57" t="n">
        <v>7250</v>
      </c>
      <c r="U23" s="57" t="n">
        <v>6200</v>
      </c>
      <c r="V23" s="57" t="n">
        <v>3750</v>
      </c>
      <c r="W23" s="57" t="n">
        <v>2400</v>
      </c>
      <c r="X23" s="56" t="s">
        <v>178</v>
      </c>
      <c r="Y23" s="58" t="n">
        <v>0.2</v>
      </c>
      <c r="Z23" s="58" t="n">
        <v>1</v>
      </c>
      <c r="AA23" s="56" t="s">
        <v>231</v>
      </c>
      <c r="AB23" s="56" t="s">
        <v>232</v>
      </c>
      <c r="AC23" s="56"/>
      <c r="AD23" s="56" t="s">
        <v>233</v>
      </c>
      <c r="AE23" s="56"/>
      <c r="AF23" s="56"/>
      <c r="AG23" s="56"/>
      <c r="AH23" s="56"/>
      <c r="AI23" s="56"/>
      <c r="AJ23" s="56"/>
      <c r="AK23" s="60" t="n">
        <v>36527</v>
      </c>
      <c r="AL23" s="56"/>
      <c r="AM23" s="49"/>
      <c r="AN23" s="48"/>
    </row>
    <row r="24" customFormat="false" ht="16.5" hidden="false" customHeight="true" outlineLevel="0" collapsed="false">
      <c r="A24" s="48"/>
      <c r="B24" s="55" t="n">
        <f aca="false">IF($C24="","",COUNTA($C$5:C24))</f>
        <v>20</v>
      </c>
      <c r="C24" s="56" t="s">
        <v>234</v>
      </c>
      <c r="D24" s="56" t="s">
        <v>167</v>
      </c>
      <c r="E24" s="56" t="s">
        <v>213</v>
      </c>
      <c r="F24" s="56" t="s">
        <v>226</v>
      </c>
      <c r="G24" s="56" t="s">
        <v>170</v>
      </c>
      <c r="H24" s="56" t="n">
        <v>2</v>
      </c>
      <c r="I24" s="56" t="s">
        <v>97</v>
      </c>
      <c r="J24" s="57" t="n">
        <v>6500</v>
      </c>
      <c r="K24" s="57" t="n">
        <v>2750</v>
      </c>
      <c r="L24" s="57" t="n">
        <f aca="false">IF($C24="","",ROUND($J24*0.17,0))</f>
        <v>1105</v>
      </c>
      <c r="M24" s="57" t="n">
        <v>5050</v>
      </c>
      <c r="N24" s="57" t="n">
        <v>2100</v>
      </c>
      <c r="O24" s="57" t="n">
        <v>1300</v>
      </c>
      <c r="P24" s="57" t="n">
        <v>1300</v>
      </c>
      <c r="Q24" s="57" t="n">
        <v>9400</v>
      </c>
      <c r="R24" s="57" t="n">
        <v>4200</v>
      </c>
      <c r="S24" s="57" t="n">
        <f aca="false">IF($C24="","",ROUND($J24*2.2,0))</f>
        <v>14300</v>
      </c>
      <c r="T24" s="57" t="n">
        <v>2300</v>
      </c>
      <c r="U24" s="57" t="n">
        <v>1950</v>
      </c>
      <c r="V24" s="57" t="n">
        <v>1150</v>
      </c>
      <c r="W24" s="57" t="n">
        <v>2400</v>
      </c>
      <c r="X24" s="56" t="s">
        <v>178</v>
      </c>
      <c r="Y24" s="58" t="n">
        <v>0.2</v>
      </c>
      <c r="Z24" s="58" t="n">
        <v>1</v>
      </c>
      <c r="AA24" s="56" t="s">
        <v>235</v>
      </c>
      <c r="AB24" s="56" t="s">
        <v>236</v>
      </c>
      <c r="AC24" s="56"/>
      <c r="AD24" s="56" t="s">
        <v>237</v>
      </c>
      <c r="AE24" s="56"/>
      <c r="AF24" s="56"/>
      <c r="AG24" s="56"/>
      <c r="AH24" s="56"/>
      <c r="AI24" s="56"/>
      <c r="AJ24" s="56"/>
      <c r="AK24" s="56" t="s">
        <v>238</v>
      </c>
      <c r="AL24" s="56"/>
      <c r="AM24" s="49"/>
      <c r="AN24" s="48"/>
    </row>
    <row r="25" customFormat="false" ht="16.5" hidden="false" customHeight="true" outlineLevel="0" collapsed="false">
      <c r="A25" s="48"/>
      <c r="B25" s="55" t="n">
        <f aca="false">IF($C25="","",COUNTA($C$5:C25))</f>
        <v>21</v>
      </c>
      <c r="C25" s="56" t="s">
        <v>239</v>
      </c>
      <c r="D25" s="56" t="s">
        <v>167</v>
      </c>
      <c r="E25" s="56" t="s">
        <v>213</v>
      </c>
      <c r="F25" s="56" t="s">
        <v>226</v>
      </c>
      <c r="G25" s="56" t="s">
        <v>240</v>
      </c>
      <c r="H25" s="56" t="n">
        <v>5</v>
      </c>
      <c r="I25" s="56" t="s">
        <v>219</v>
      </c>
      <c r="J25" s="57" t="n">
        <v>6500</v>
      </c>
      <c r="K25" s="57" t="n">
        <v>2750</v>
      </c>
      <c r="L25" s="57" t="n">
        <f aca="false">IF($C25="","",ROUND($J25*0.17,0))</f>
        <v>1105</v>
      </c>
      <c r="M25" s="57" t="n">
        <v>5050</v>
      </c>
      <c r="N25" s="57" t="n">
        <v>2100</v>
      </c>
      <c r="O25" s="57" t="n">
        <v>1300</v>
      </c>
      <c r="P25" s="57" t="n">
        <v>1300</v>
      </c>
      <c r="Q25" s="57" t="n">
        <v>9400</v>
      </c>
      <c r="R25" s="57" t="n">
        <v>4200</v>
      </c>
      <c r="S25" s="57" t="n">
        <f aca="false">IF($C25="","",ROUND($J25*2.2,0))</f>
        <v>14300</v>
      </c>
      <c r="T25" s="57" t="n">
        <v>2300</v>
      </c>
      <c r="U25" s="57" t="n">
        <v>1950</v>
      </c>
      <c r="V25" s="57" t="n">
        <v>1150</v>
      </c>
      <c r="W25" s="57" t="n">
        <v>2400</v>
      </c>
      <c r="X25" s="56" t="s">
        <v>133</v>
      </c>
      <c r="Y25" s="58" t="n">
        <v>0.2</v>
      </c>
      <c r="Z25" s="58" t="n">
        <v>1</v>
      </c>
      <c r="AA25" s="56" t="s">
        <v>241</v>
      </c>
      <c r="AB25" s="56" t="s">
        <v>242</v>
      </c>
      <c r="AC25" s="56" t="s">
        <v>243</v>
      </c>
      <c r="AD25" s="56" t="s">
        <v>244</v>
      </c>
      <c r="AE25" s="56" t="s">
        <v>245</v>
      </c>
      <c r="AF25" s="56" t="s">
        <v>246</v>
      </c>
      <c r="AG25" s="56"/>
      <c r="AH25" s="56"/>
      <c r="AI25" s="56"/>
      <c r="AJ25" s="56"/>
      <c r="AK25" s="56" t="s">
        <v>247</v>
      </c>
      <c r="AL25" s="56"/>
      <c r="AM25" s="49"/>
      <c r="AN25" s="48"/>
    </row>
    <row r="26" customFormat="false" ht="16.5" hidden="false" customHeight="true" outlineLevel="0" collapsed="false">
      <c r="A26" s="48"/>
      <c r="B26" s="55" t="n">
        <f aca="false">IF($C26="","",COUNTA($C$5:C26))</f>
        <v>22</v>
      </c>
      <c r="C26" s="56" t="s">
        <v>248</v>
      </c>
      <c r="D26" s="56" t="s">
        <v>167</v>
      </c>
      <c r="E26" s="56" t="s">
        <v>249</v>
      </c>
      <c r="F26" s="56" t="s">
        <v>249</v>
      </c>
      <c r="G26" s="56" t="s">
        <v>250</v>
      </c>
      <c r="H26" s="56" t="n">
        <v>5</v>
      </c>
      <c r="I26" s="56" t="s">
        <v>219</v>
      </c>
      <c r="J26" s="57" t="n">
        <v>20700</v>
      </c>
      <c r="K26" s="57" t="n">
        <v>8700</v>
      </c>
      <c r="L26" s="57" t="n">
        <f aca="false">IF($C26="","",ROUND($J26*0.17,0))</f>
        <v>3519</v>
      </c>
      <c r="M26" s="57" t="n">
        <v>16150</v>
      </c>
      <c r="N26" s="57" t="n">
        <v>6600</v>
      </c>
      <c r="O26" s="57" t="n">
        <v>4150</v>
      </c>
      <c r="P26" s="57" t="n">
        <v>4150</v>
      </c>
      <c r="Q26" s="57" t="n">
        <v>30000</v>
      </c>
      <c r="R26" s="57" t="n">
        <v>13450</v>
      </c>
      <c r="S26" s="57" t="n">
        <f aca="false">IF($C26="","",ROUND($J26*2.2,0))</f>
        <v>45540</v>
      </c>
      <c r="T26" s="57" t="n">
        <v>7250</v>
      </c>
      <c r="U26" s="57" t="n">
        <v>6200</v>
      </c>
      <c r="V26" s="57" t="n">
        <v>3750</v>
      </c>
      <c r="W26" s="57" t="n">
        <v>2400</v>
      </c>
      <c r="X26" s="56" t="s">
        <v>133</v>
      </c>
      <c r="Y26" s="58" t="n">
        <v>0.5</v>
      </c>
      <c r="Z26" s="58" t="n">
        <v>1</v>
      </c>
      <c r="AA26" s="56" t="s">
        <v>248</v>
      </c>
      <c r="AB26" s="56" t="s">
        <v>251</v>
      </c>
      <c r="AC26" s="56" t="s">
        <v>252</v>
      </c>
      <c r="AD26" s="56" t="s">
        <v>253</v>
      </c>
      <c r="AE26" s="56" t="s">
        <v>254</v>
      </c>
      <c r="AF26" s="56"/>
      <c r="AG26" s="56"/>
      <c r="AH26" s="56" t="s">
        <v>255</v>
      </c>
      <c r="AI26" s="56"/>
      <c r="AJ26" s="56"/>
      <c r="AK26" s="56" t="s">
        <v>256</v>
      </c>
      <c r="AL26" s="56"/>
      <c r="AM26" s="49"/>
      <c r="AN26" s="48"/>
    </row>
    <row r="27" customFormat="false" ht="16.5" hidden="false" customHeight="true" outlineLevel="0" collapsed="false">
      <c r="A27" s="48"/>
      <c r="B27" s="55" t="n">
        <f aca="false">IF($C27="","",COUNTA($C$5:C27))</f>
        <v>23</v>
      </c>
      <c r="C27" s="56" t="s">
        <v>257</v>
      </c>
      <c r="D27" s="56" t="s">
        <v>167</v>
      </c>
      <c r="E27" s="56" t="s">
        <v>249</v>
      </c>
      <c r="F27" s="56" t="s">
        <v>249</v>
      </c>
      <c r="G27" s="56" t="s">
        <v>170</v>
      </c>
      <c r="H27" s="56" t="n">
        <v>6</v>
      </c>
      <c r="I27" s="56" t="s">
        <v>219</v>
      </c>
      <c r="J27" s="57" t="n">
        <v>22500</v>
      </c>
      <c r="K27" s="57" t="n">
        <v>9450</v>
      </c>
      <c r="L27" s="57" t="n">
        <f aca="false">IF($C27="","",ROUND($J27*0.17,0))</f>
        <v>3825</v>
      </c>
      <c r="M27" s="57" t="n">
        <v>17550</v>
      </c>
      <c r="N27" s="57" t="n">
        <v>7200</v>
      </c>
      <c r="O27" s="57" t="n">
        <v>4500</v>
      </c>
      <c r="P27" s="57" t="n">
        <v>4500</v>
      </c>
      <c r="Q27" s="57" t="n">
        <v>32600</v>
      </c>
      <c r="R27" s="57" t="n">
        <v>14600</v>
      </c>
      <c r="S27" s="57" t="n">
        <f aca="false">IF($C27="","",ROUND($J27*2.2,0))</f>
        <v>49500</v>
      </c>
      <c r="T27" s="57" t="n">
        <v>7850</v>
      </c>
      <c r="U27" s="57" t="n">
        <v>6750</v>
      </c>
      <c r="V27" s="57" t="n">
        <v>4050</v>
      </c>
      <c r="W27" s="57" t="n">
        <v>2400</v>
      </c>
      <c r="X27" s="56" t="s">
        <v>98</v>
      </c>
      <c r="Y27" s="58" t="n">
        <v>0.5</v>
      </c>
      <c r="Z27" s="58" t="n">
        <v>1</v>
      </c>
      <c r="AA27" s="56" t="s">
        <v>257</v>
      </c>
      <c r="AB27" s="56" t="s">
        <v>258</v>
      </c>
      <c r="AC27" s="56" t="s">
        <v>259</v>
      </c>
      <c r="AD27" s="56" t="s">
        <v>260</v>
      </c>
      <c r="AE27" s="56" t="s">
        <v>261</v>
      </c>
      <c r="AF27" s="56"/>
      <c r="AG27" s="56" t="s">
        <v>262</v>
      </c>
      <c r="AH27" s="56" t="s">
        <v>263</v>
      </c>
      <c r="AI27" s="56"/>
      <c r="AJ27" s="56"/>
      <c r="AK27" s="60" t="n">
        <v>32120</v>
      </c>
      <c r="AL27" s="56"/>
      <c r="AM27" s="49"/>
      <c r="AN27" s="48"/>
    </row>
    <row r="28" customFormat="false" ht="16.5" hidden="false" customHeight="true" outlineLevel="0" collapsed="false">
      <c r="A28" s="40"/>
      <c r="B28" s="61" t="n">
        <f aca="false">IF($C28="","",COUNTA($C$5:C28))</f>
        <v>24</v>
      </c>
      <c r="C28" s="62" t="s">
        <v>264</v>
      </c>
      <c r="D28" s="62" t="s">
        <v>43</v>
      </c>
      <c r="E28" s="62" t="s">
        <v>249</v>
      </c>
      <c r="F28" s="62" t="s">
        <v>249</v>
      </c>
      <c r="G28" s="62"/>
      <c r="H28" s="62" t="n">
        <v>0</v>
      </c>
      <c r="I28" s="62" t="s">
        <v>97</v>
      </c>
      <c r="J28" s="62" t="n">
        <v>22500</v>
      </c>
      <c r="K28" s="62" t="n">
        <v>9450</v>
      </c>
      <c r="L28" s="63" t="n">
        <f aca="false">IF($C28="","",ROUND($J28*0.17,0))</f>
        <v>3825</v>
      </c>
      <c r="M28" s="62" t="n">
        <v>17550</v>
      </c>
      <c r="N28" s="62" t="n">
        <v>7200</v>
      </c>
      <c r="O28" s="62" t="n">
        <v>4500</v>
      </c>
      <c r="P28" s="62" t="n">
        <v>0</v>
      </c>
      <c r="Q28" s="62" t="n">
        <v>32600</v>
      </c>
      <c r="R28" s="62" t="n">
        <v>14600</v>
      </c>
      <c r="S28" s="63" t="n">
        <f aca="false">IF($C28="","",ROUND($J28*2.2,0))</f>
        <v>49500</v>
      </c>
      <c r="T28" s="62" t="n">
        <v>7850</v>
      </c>
      <c r="U28" s="62" t="n">
        <v>6750</v>
      </c>
      <c r="V28" s="62" t="n">
        <v>4050</v>
      </c>
      <c r="W28" s="62" t="n">
        <v>0</v>
      </c>
      <c r="X28" s="62" t="s">
        <v>265</v>
      </c>
      <c r="Y28" s="64" t="n">
        <v>0.3</v>
      </c>
      <c r="Z28" s="64" t="n">
        <v>1</v>
      </c>
      <c r="AA28" s="62" t="s">
        <v>266</v>
      </c>
      <c r="AB28" s="62"/>
      <c r="AC28" s="62"/>
      <c r="AD28" s="62"/>
      <c r="AE28" s="62"/>
      <c r="AF28" s="62"/>
      <c r="AG28" s="62"/>
      <c r="AH28" s="62"/>
      <c r="AI28" s="62"/>
      <c r="AJ28" s="62"/>
      <c r="AK28" s="62"/>
      <c r="AL28" s="62"/>
      <c r="AM28" s="65"/>
      <c r="AN28" s="40"/>
    </row>
    <row r="29" customFormat="false" ht="16.5" hidden="false" customHeight="true" outlineLevel="0" collapsed="false">
      <c r="A29" s="48"/>
      <c r="B29" s="55" t="n">
        <f aca="false">IF($C29="","",COUNTA($C$5:C29))</f>
        <v>25</v>
      </c>
      <c r="C29" s="56" t="s">
        <v>267</v>
      </c>
      <c r="D29" s="56" t="s">
        <v>167</v>
      </c>
      <c r="E29" s="56" t="s">
        <v>268</v>
      </c>
      <c r="F29" s="56" t="s">
        <v>226</v>
      </c>
      <c r="G29" s="56" t="s">
        <v>269</v>
      </c>
      <c r="H29" s="56" t="n">
        <v>3</v>
      </c>
      <c r="I29" s="56" t="s">
        <v>219</v>
      </c>
      <c r="J29" s="57" t="n">
        <v>15000</v>
      </c>
      <c r="K29" s="57" t="n">
        <v>6750</v>
      </c>
      <c r="L29" s="57" t="n">
        <f aca="false">IF($C29="","",ROUND($J29*0.17,0))</f>
        <v>2550</v>
      </c>
      <c r="M29" s="57" t="n">
        <v>11000</v>
      </c>
      <c r="N29" s="57" t="n">
        <v>5000</v>
      </c>
      <c r="O29" s="57" t="n">
        <v>3200</v>
      </c>
      <c r="P29" s="57" t="n">
        <v>3200</v>
      </c>
      <c r="Q29" s="57" t="n">
        <v>19500</v>
      </c>
      <c r="R29" s="57" t="n">
        <v>8775</v>
      </c>
      <c r="S29" s="57" t="n">
        <f aca="false">IF($C29="","",ROUND($J29*2.2,0))</f>
        <v>33000</v>
      </c>
      <c r="T29" s="57" t="n">
        <v>6800</v>
      </c>
      <c r="U29" s="57" t="n">
        <v>5950</v>
      </c>
      <c r="V29" s="57" t="n">
        <v>3570</v>
      </c>
      <c r="W29" s="57" t="n">
        <v>2400</v>
      </c>
      <c r="X29" s="56" t="s">
        <v>123</v>
      </c>
      <c r="Y29" s="58" t="n">
        <v>0.75</v>
      </c>
      <c r="Z29" s="58" t="n">
        <v>1</v>
      </c>
      <c r="AA29" s="56" t="s">
        <v>270</v>
      </c>
      <c r="AB29" s="56" t="s">
        <v>271</v>
      </c>
      <c r="AC29" s="56" t="s">
        <v>272</v>
      </c>
      <c r="AD29" s="56" t="s">
        <v>273</v>
      </c>
      <c r="AE29" s="56"/>
      <c r="AF29" s="56"/>
      <c r="AG29" s="56"/>
      <c r="AH29" s="56"/>
      <c r="AI29" s="56"/>
      <c r="AJ29" s="56"/>
      <c r="AK29" s="56" t="s">
        <v>274</v>
      </c>
      <c r="AL29" s="56" t="s">
        <v>275</v>
      </c>
      <c r="AM29" s="49"/>
      <c r="AN29" s="48"/>
    </row>
    <row r="30" customFormat="false" ht="16.5" hidden="false" customHeight="true" outlineLevel="0" collapsed="false">
      <c r="A30" s="48"/>
      <c r="B30" s="55" t="n">
        <f aca="false">IF($C30="","",COUNTA($C$5:C30))</f>
        <v>26</v>
      </c>
      <c r="C30" s="56" t="s">
        <v>276</v>
      </c>
      <c r="D30" s="56" t="s">
        <v>167</v>
      </c>
      <c r="E30" s="56" t="s">
        <v>268</v>
      </c>
      <c r="F30" s="56" t="s">
        <v>226</v>
      </c>
      <c r="G30" s="56" t="s">
        <v>277</v>
      </c>
      <c r="H30" s="56" t="n">
        <v>2</v>
      </c>
      <c r="I30" s="56" t="s">
        <v>219</v>
      </c>
      <c r="J30" s="57" t="n">
        <v>22500</v>
      </c>
      <c r="K30" s="57" t="n">
        <v>9450</v>
      </c>
      <c r="L30" s="57" t="n">
        <f aca="false">IF($C30="","",ROUND($J30*0.17,0))</f>
        <v>3825</v>
      </c>
      <c r="M30" s="57" t="n">
        <v>17550</v>
      </c>
      <c r="N30" s="57" t="n">
        <v>7200</v>
      </c>
      <c r="O30" s="57" t="n">
        <v>4500</v>
      </c>
      <c r="P30" s="57" t="n">
        <v>4500</v>
      </c>
      <c r="Q30" s="57" t="n">
        <v>32600</v>
      </c>
      <c r="R30" s="57" t="n">
        <v>14600</v>
      </c>
      <c r="S30" s="57" t="n">
        <f aca="false">IF($C30="","",ROUND($J30*2.2,0))</f>
        <v>49500</v>
      </c>
      <c r="T30" s="57" t="n">
        <v>7850</v>
      </c>
      <c r="U30" s="57" t="n">
        <v>6750</v>
      </c>
      <c r="V30" s="57" t="n">
        <v>4050</v>
      </c>
      <c r="W30" s="57" t="n">
        <v>2400</v>
      </c>
      <c r="X30" s="56" t="s">
        <v>178</v>
      </c>
      <c r="Y30" s="58" t="n">
        <v>0.75</v>
      </c>
      <c r="Z30" s="58" t="n">
        <v>1</v>
      </c>
      <c r="AA30" s="56" t="s">
        <v>278</v>
      </c>
      <c r="AB30" s="56" t="s">
        <v>279</v>
      </c>
      <c r="AC30" s="56" t="s">
        <v>280</v>
      </c>
      <c r="AD30" s="56"/>
      <c r="AE30" s="56"/>
      <c r="AF30" s="56"/>
      <c r="AG30" s="56"/>
      <c r="AH30" s="56"/>
      <c r="AI30" s="56"/>
      <c r="AJ30" s="56"/>
      <c r="AK30" s="56" t="s">
        <v>281</v>
      </c>
      <c r="AL30" s="56" t="s">
        <v>282</v>
      </c>
      <c r="AM30" s="49"/>
      <c r="AN30" s="48"/>
    </row>
    <row r="31" customFormat="false" ht="16.5" hidden="false" customHeight="true" outlineLevel="0" collapsed="false">
      <c r="A31" s="48"/>
      <c r="B31" s="55" t="n">
        <f aca="false">IF($C31="","",COUNTA($C$5:C31))</f>
        <v>27</v>
      </c>
      <c r="C31" s="56" t="s">
        <v>283</v>
      </c>
      <c r="D31" s="56" t="s">
        <v>167</v>
      </c>
      <c r="E31" s="56" t="s">
        <v>268</v>
      </c>
      <c r="F31" s="56" t="s">
        <v>226</v>
      </c>
      <c r="G31" s="56" t="s">
        <v>269</v>
      </c>
      <c r="H31" s="56" t="n">
        <v>4</v>
      </c>
      <c r="I31" s="56" t="s">
        <v>219</v>
      </c>
      <c r="J31" s="57" t="n">
        <v>22500</v>
      </c>
      <c r="K31" s="57" t="n">
        <v>9450</v>
      </c>
      <c r="L31" s="57" t="n">
        <f aca="false">IF($C31="","",ROUND($J31*0.17,0))</f>
        <v>3825</v>
      </c>
      <c r="M31" s="57" t="n">
        <v>17550</v>
      </c>
      <c r="N31" s="57" t="n">
        <v>7200</v>
      </c>
      <c r="O31" s="57" t="n">
        <v>4500</v>
      </c>
      <c r="P31" s="57" t="n">
        <v>4500</v>
      </c>
      <c r="Q31" s="57" t="n">
        <v>32600</v>
      </c>
      <c r="R31" s="57" t="n">
        <v>14600</v>
      </c>
      <c r="S31" s="57" t="n">
        <f aca="false">IF($C31="","",ROUND($J31*2.2,0))</f>
        <v>49500</v>
      </c>
      <c r="T31" s="57" t="n">
        <v>7850</v>
      </c>
      <c r="U31" s="57" t="n">
        <v>6750</v>
      </c>
      <c r="V31" s="57" t="n">
        <v>4050</v>
      </c>
      <c r="W31" s="57" t="n">
        <v>2400</v>
      </c>
      <c r="X31" s="56" t="s">
        <v>109</v>
      </c>
      <c r="Y31" s="58" t="n">
        <v>0.2</v>
      </c>
      <c r="Z31" s="58" t="n">
        <v>1</v>
      </c>
      <c r="AA31" s="56" t="s">
        <v>284</v>
      </c>
      <c r="AB31" s="56" t="s">
        <v>285</v>
      </c>
      <c r="AC31" s="56" t="s">
        <v>286</v>
      </c>
      <c r="AD31" s="56" t="s">
        <v>287</v>
      </c>
      <c r="AE31" s="56" t="s">
        <v>288</v>
      </c>
      <c r="AF31" s="56"/>
      <c r="AG31" s="56"/>
      <c r="AH31" s="56"/>
      <c r="AI31" s="56"/>
      <c r="AJ31" s="56"/>
      <c r="AK31" s="60" t="n">
        <v>38357</v>
      </c>
      <c r="AL31" s="56" t="s">
        <v>289</v>
      </c>
      <c r="AM31" s="49"/>
      <c r="AN31" s="48"/>
    </row>
    <row r="32" customFormat="false" ht="16.5" hidden="false" customHeight="true" outlineLevel="0" collapsed="false">
      <c r="A32" s="48"/>
      <c r="B32" s="55" t="n">
        <f aca="false">IF($C32="","",COUNTA($C$5:C32))</f>
        <v>28</v>
      </c>
      <c r="C32" s="56" t="s">
        <v>290</v>
      </c>
      <c r="D32" s="56" t="s">
        <v>167</v>
      </c>
      <c r="E32" s="56" t="s">
        <v>268</v>
      </c>
      <c r="F32" s="56" t="s">
        <v>226</v>
      </c>
      <c r="G32" s="56" t="s">
        <v>291</v>
      </c>
      <c r="H32" s="56" t="n">
        <v>5</v>
      </c>
      <c r="I32" s="56" t="s">
        <v>219</v>
      </c>
      <c r="J32" s="57" t="n">
        <v>22500</v>
      </c>
      <c r="K32" s="57" t="n">
        <v>9450</v>
      </c>
      <c r="L32" s="57" t="n">
        <f aca="false">IF($C32="","",ROUND($J32*0.17,0))</f>
        <v>3825</v>
      </c>
      <c r="M32" s="57" t="n">
        <v>17550</v>
      </c>
      <c r="N32" s="57" t="n">
        <v>7200</v>
      </c>
      <c r="O32" s="57" t="n">
        <v>4500</v>
      </c>
      <c r="P32" s="57" t="n">
        <v>4500</v>
      </c>
      <c r="Q32" s="57" t="n">
        <v>32600</v>
      </c>
      <c r="R32" s="57" t="n">
        <v>14600</v>
      </c>
      <c r="S32" s="57" t="n">
        <f aca="false">IF($C32="","",ROUND($J32*2.2,0))</f>
        <v>49500</v>
      </c>
      <c r="T32" s="57" t="n">
        <v>7850</v>
      </c>
      <c r="U32" s="57" t="n">
        <v>6750</v>
      </c>
      <c r="V32" s="57" t="n">
        <v>4050</v>
      </c>
      <c r="W32" s="57" t="n">
        <v>2400</v>
      </c>
      <c r="X32" s="56" t="s">
        <v>133</v>
      </c>
      <c r="Y32" s="58" t="n">
        <v>0.3</v>
      </c>
      <c r="Z32" s="58" t="n">
        <v>1</v>
      </c>
      <c r="AA32" s="56" t="s">
        <v>292</v>
      </c>
      <c r="AB32" s="56" t="s">
        <v>293</v>
      </c>
      <c r="AC32" s="56" t="s">
        <v>294</v>
      </c>
      <c r="AD32" s="56" t="s">
        <v>295</v>
      </c>
      <c r="AE32" s="56" t="s">
        <v>296</v>
      </c>
      <c r="AF32" s="56"/>
      <c r="AG32" s="56"/>
      <c r="AH32" s="56" t="s">
        <v>297</v>
      </c>
      <c r="AI32" s="56"/>
      <c r="AJ32" s="56"/>
      <c r="AK32" s="56" t="s">
        <v>298</v>
      </c>
      <c r="AL32" s="56" t="s">
        <v>275</v>
      </c>
      <c r="AM32" s="49"/>
      <c r="AN32" s="48"/>
    </row>
    <row r="33" customFormat="false" ht="16.5" hidden="false" customHeight="true" outlineLevel="0" collapsed="false">
      <c r="A33" s="40"/>
      <c r="B33" s="61" t="n">
        <f aca="false">IF($C33="","",COUNTA($C$5:C33))</f>
        <v>29</v>
      </c>
      <c r="C33" s="62" t="s">
        <v>299</v>
      </c>
      <c r="D33" s="62" t="s">
        <v>43</v>
      </c>
      <c r="E33" s="62" t="s">
        <v>268</v>
      </c>
      <c r="F33" s="62" t="s">
        <v>226</v>
      </c>
      <c r="G33" s="62" t="s">
        <v>300</v>
      </c>
      <c r="H33" s="62" t="n">
        <v>1</v>
      </c>
      <c r="I33" s="62" t="s">
        <v>97</v>
      </c>
      <c r="J33" s="62" t="n">
        <v>22500</v>
      </c>
      <c r="K33" s="62" t="n">
        <v>9450</v>
      </c>
      <c r="L33" s="63" t="n">
        <f aca="false">IF($C33="","",ROUND($J33*0.17,0))</f>
        <v>3825</v>
      </c>
      <c r="M33" s="62" t="n">
        <v>17550</v>
      </c>
      <c r="N33" s="62" t="n">
        <v>7200</v>
      </c>
      <c r="O33" s="62" t="n">
        <v>4500</v>
      </c>
      <c r="P33" s="62" t="n">
        <v>0</v>
      </c>
      <c r="Q33" s="62" t="n">
        <v>32600</v>
      </c>
      <c r="R33" s="62" t="n">
        <v>14600</v>
      </c>
      <c r="S33" s="63" t="n">
        <f aca="false">IF($C33="","",ROUND($J33*2.2,0))</f>
        <v>49500</v>
      </c>
      <c r="T33" s="62" t="n">
        <v>7850</v>
      </c>
      <c r="U33" s="62" t="n">
        <v>6750</v>
      </c>
      <c r="V33" s="62" t="n">
        <v>4050</v>
      </c>
      <c r="W33" s="62" t="n">
        <v>0</v>
      </c>
      <c r="X33" s="62" t="s">
        <v>198</v>
      </c>
      <c r="Y33" s="64" t="n">
        <v>0.3</v>
      </c>
      <c r="Z33" s="64" t="n">
        <v>1</v>
      </c>
      <c r="AA33" s="62" t="s">
        <v>301</v>
      </c>
      <c r="AB33" s="62" t="s">
        <v>302</v>
      </c>
      <c r="AC33" s="62"/>
      <c r="AD33" s="62"/>
      <c r="AE33" s="62"/>
      <c r="AF33" s="62"/>
      <c r="AG33" s="62"/>
      <c r="AH33" s="62"/>
      <c r="AI33" s="62"/>
      <c r="AJ33" s="62"/>
      <c r="AK33" s="62" t="s">
        <v>303</v>
      </c>
      <c r="AL33" s="62"/>
      <c r="AM33" s="65"/>
      <c r="AN33" s="40"/>
    </row>
    <row r="34" customFormat="false" ht="16.5" hidden="false" customHeight="true" outlineLevel="0" collapsed="false">
      <c r="A34" s="48"/>
      <c r="B34" s="55" t="n">
        <f aca="false">IF($C34="","",COUNTA($C$5:C34))</f>
        <v>30</v>
      </c>
      <c r="C34" s="56" t="s">
        <v>304</v>
      </c>
      <c r="D34" s="56" t="s">
        <v>167</v>
      </c>
      <c r="E34" s="56" t="s">
        <v>268</v>
      </c>
      <c r="F34" s="56" t="s">
        <v>226</v>
      </c>
      <c r="G34" s="56" t="s">
        <v>305</v>
      </c>
      <c r="H34" s="56" t="n">
        <v>2</v>
      </c>
      <c r="I34" s="56" t="s">
        <v>151</v>
      </c>
      <c r="J34" s="57" t="n">
        <v>11250</v>
      </c>
      <c r="K34" s="57" t="n">
        <v>4500</v>
      </c>
      <c r="L34" s="57" t="n">
        <f aca="false">IF($C34="","",ROUND($J34*0.17,0))</f>
        <v>1913</v>
      </c>
      <c r="M34" s="57" t="n">
        <v>8000</v>
      </c>
      <c r="N34" s="57" t="n">
        <v>3500</v>
      </c>
      <c r="O34" s="57" t="n">
        <v>2000</v>
      </c>
      <c r="P34" s="57" t="n">
        <v>2000</v>
      </c>
      <c r="Q34" s="57" t="n">
        <v>13500</v>
      </c>
      <c r="R34" s="57" t="n">
        <v>6075</v>
      </c>
      <c r="S34" s="57" t="n">
        <f aca="false">IF($C34="","",ROUND($J34*2.2,0))</f>
        <v>24750</v>
      </c>
      <c r="T34" s="57" t="n">
        <v>4638</v>
      </c>
      <c r="U34" s="57" t="n">
        <v>4063</v>
      </c>
      <c r="V34" s="57" t="n">
        <v>2438</v>
      </c>
      <c r="W34" s="57" t="n">
        <v>2400</v>
      </c>
      <c r="X34" s="56" t="s">
        <v>178</v>
      </c>
      <c r="Y34" s="58" t="n">
        <v>0.75</v>
      </c>
      <c r="Z34" s="58" t="n">
        <v>1</v>
      </c>
      <c r="AA34" s="56" t="s">
        <v>306</v>
      </c>
      <c r="AB34" s="56" t="s">
        <v>307</v>
      </c>
      <c r="AC34" s="56" t="s">
        <v>308</v>
      </c>
      <c r="AD34" s="56" t="s">
        <v>309</v>
      </c>
      <c r="AE34" s="56"/>
      <c r="AF34" s="56"/>
      <c r="AG34" s="56"/>
      <c r="AH34" s="56"/>
      <c r="AI34" s="56"/>
      <c r="AJ34" s="56"/>
      <c r="AK34" s="59" t="n">
        <v>36872</v>
      </c>
      <c r="AL34" s="56" t="s">
        <v>275</v>
      </c>
      <c r="AM34" s="49"/>
      <c r="AN34" s="48"/>
    </row>
    <row r="35" customFormat="false" ht="16.5" hidden="false" customHeight="true" outlineLevel="0" collapsed="false">
      <c r="A35" s="46"/>
      <c r="B35" s="66" t="n">
        <f aca="false">IF($C35="","",COUNTA($C$5:C35))</f>
        <v>31</v>
      </c>
      <c r="C35" s="67" t="s">
        <v>310</v>
      </c>
      <c r="D35" s="67" t="s">
        <v>311</v>
      </c>
      <c r="E35" s="67" t="s">
        <v>268</v>
      </c>
      <c r="F35" s="67" t="s">
        <v>226</v>
      </c>
      <c r="G35" s="67" t="s">
        <v>300</v>
      </c>
      <c r="H35" s="67" t="n">
        <v>2</v>
      </c>
      <c r="I35" s="67" t="s">
        <v>151</v>
      </c>
      <c r="J35" s="67" t="n">
        <v>11000</v>
      </c>
      <c r="K35" s="67" t="n">
        <v>4600</v>
      </c>
      <c r="L35" s="68" t="n">
        <f aca="false">IF($C35="","",ROUND($J35*0.17,0))</f>
        <v>1870</v>
      </c>
      <c r="M35" s="67" t="n">
        <v>8600</v>
      </c>
      <c r="N35" s="67" t="n">
        <v>3500</v>
      </c>
      <c r="O35" s="67" t="n">
        <v>2200</v>
      </c>
      <c r="P35" s="67" t="n">
        <v>0</v>
      </c>
      <c r="Q35" s="67" t="n">
        <v>15950</v>
      </c>
      <c r="R35" s="67" t="n">
        <v>7150</v>
      </c>
      <c r="S35" s="68" t="n">
        <f aca="false">IF($C35="","",ROUND($J35*2.2,0))</f>
        <v>24200</v>
      </c>
      <c r="T35" s="67" t="n">
        <v>3850</v>
      </c>
      <c r="U35" s="67" t="n">
        <v>3300</v>
      </c>
      <c r="V35" s="67" t="n">
        <v>2000</v>
      </c>
      <c r="W35" s="67" t="n">
        <v>0</v>
      </c>
      <c r="X35" s="67" t="s">
        <v>178</v>
      </c>
      <c r="Y35" s="69" t="n">
        <v>0.5</v>
      </c>
      <c r="Z35" s="69" t="n">
        <v>1</v>
      </c>
      <c r="AA35" s="67" t="s">
        <v>312</v>
      </c>
      <c r="AB35" s="67" t="s">
        <v>313</v>
      </c>
      <c r="AC35" s="67" t="s">
        <v>314</v>
      </c>
      <c r="AD35" s="67"/>
      <c r="AE35" s="67"/>
      <c r="AF35" s="67"/>
      <c r="AG35" s="67"/>
      <c r="AH35" s="67"/>
      <c r="AI35" s="67"/>
      <c r="AJ35" s="67"/>
      <c r="AK35" s="67" t="s">
        <v>315</v>
      </c>
      <c r="AL35" s="67"/>
      <c r="AM35" s="47"/>
      <c r="AN35" s="46"/>
    </row>
    <row r="36" customFormat="false" ht="16.5" hidden="false" customHeight="true" outlineLevel="0" collapsed="false">
      <c r="A36" s="46"/>
      <c r="B36" s="66" t="n">
        <f aca="false">IF($C36="","",COUNTA($C$5:C36))</f>
        <v>32</v>
      </c>
      <c r="C36" s="67" t="s">
        <v>316</v>
      </c>
      <c r="D36" s="67" t="s">
        <v>317</v>
      </c>
      <c r="E36" s="67" t="s">
        <v>268</v>
      </c>
      <c r="F36" s="67" t="s">
        <v>226</v>
      </c>
      <c r="G36" s="67" t="s">
        <v>305</v>
      </c>
      <c r="H36" s="67" t="n">
        <v>2</v>
      </c>
      <c r="I36" s="67" t="s">
        <v>219</v>
      </c>
      <c r="J36" s="67" t="n">
        <v>0</v>
      </c>
      <c r="K36" s="67" t="n">
        <v>0</v>
      </c>
      <c r="L36" s="68" t="n">
        <f aca="false">IF($C36="","",ROUND($J36*0.17,0))</f>
        <v>0</v>
      </c>
      <c r="M36" s="67" t="n">
        <v>0</v>
      </c>
      <c r="N36" s="67" t="n">
        <v>0</v>
      </c>
      <c r="O36" s="67" t="n">
        <v>0</v>
      </c>
      <c r="P36" s="67" t="n">
        <v>0</v>
      </c>
      <c r="Q36" s="67" t="n">
        <v>0</v>
      </c>
      <c r="R36" s="67" t="n">
        <v>0</v>
      </c>
      <c r="S36" s="68" t="n">
        <f aca="false">IF($C36="","",ROUND($J36*2.2,0))</f>
        <v>0</v>
      </c>
      <c r="T36" s="67" t="n">
        <v>0</v>
      </c>
      <c r="U36" s="67" t="n">
        <v>0</v>
      </c>
      <c r="V36" s="67" t="n">
        <v>2000</v>
      </c>
      <c r="W36" s="67" t="n">
        <v>0</v>
      </c>
      <c r="X36" s="67" t="s">
        <v>178</v>
      </c>
      <c r="Y36" s="69" t="n">
        <v>0.5</v>
      </c>
      <c r="Z36" s="69" t="n">
        <v>1</v>
      </c>
      <c r="AA36" s="67" t="s">
        <v>318</v>
      </c>
      <c r="AB36" s="67" t="s">
        <v>319</v>
      </c>
      <c r="AC36" s="67" t="s">
        <v>320</v>
      </c>
      <c r="AD36" s="67" t="s">
        <v>321</v>
      </c>
      <c r="AE36" s="67"/>
      <c r="AF36" s="67"/>
      <c r="AG36" s="67"/>
      <c r="AH36" s="67" t="s">
        <v>322</v>
      </c>
      <c r="AI36" s="67"/>
      <c r="AJ36" s="67"/>
      <c r="AK36" s="67" t="s">
        <v>323</v>
      </c>
      <c r="AL36" s="67"/>
      <c r="AM36" s="47"/>
      <c r="AN36" s="46"/>
    </row>
    <row r="37" customFormat="false" ht="16.5" hidden="false" customHeight="true" outlineLevel="0" collapsed="false">
      <c r="A37" s="48"/>
      <c r="B37" s="55" t="n">
        <f aca="false">IF($C37="","",COUNTA($C$5:C37))</f>
        <v>33</v>
      </c>
      <c r="C37" s="56" t="s">
        <v>324</v>
      </c>
      <c r="D37" s="56" t="s">
        <v>167</v>
      </c>
      <c r="E37" s="56" t="s">
        <v>268</v>
      </c>
      <c r="F37" s="56" t="s">
        <v>325</v>
      </c>
      <c r="G37" s="56" t="s">
        <v>305</v>
      </c>
      <c r="H37" s="56" t="n">
        <v>1</v>
      </c>
      <c r="I37" s="56" t="s">
        <v>97</v>
      </c>
      <c r="J37" s="57" t="n">
        <v>11000</v>
      </c>
      <c r="K37" s="57" t="n">
        <v>4600</v>
      </c>
      <c r="L37" s="57" t="n">
        <f aca="false">IF($C37="","",ROUND($J37*0.17,0))</f>
        <v>1870</v>
      </c>
      <c r="M37" s="57" t="n">
        <v>8600</v>
      </c>
      <c r="N37" s="57" t="n">
        <v>3500</v>
      </c>
      <c r="O37" s="57" t="n">
        <v>2200</v>
      </c>
      <c r="P37" s="57" t="n">
        <v>2200</v>
      </c>
      <c r="Q37" s="57" t="n">
        <v>15950</v>
      </c>
      <c r="R37" s="57" t="n">
        <v>7150</v>
      </c>
      <c r="S37" s="57" t="n">
        <f aca="false">IF($C37="","",ROUND($J37*2.2,0))</f>
        <v>24200</v>
      </c>
      <c r="T37" s="57" t="n">
        <v>3850</v>
      </c>
      <c r="U37" s="57" t="n">
        <v>3300</v>
      </c>
      <c r="V37" s="57" t="n">
        <v>2000</v>
      </c>
      <c r="W37" s="57" t="n">
        <v>2400</v>
      </c>
      <c r="X37" s="56" t="s">
        <v>198</v>
      </c>
      <c r="Y37" s="58" t="n">
        <v>0.75</v>
      </c>
      <c r="Z37" s="58" t="n">
        <v>1</v>
      </c>
      <c r="AA37" s="56" t="s">
        <v>326</v>
      </c>
      <c r="AB37" s="56" t="s">
        <v>327</v>
      </c>
      <c r="AC37" s="56"/>
      <c r="AD37" s="56"/>
      <c r="AE37" s="56"/>
      <c r="AF37" s="56"/>
      <c r="AG37" s="56"/>
      <c r="AH37" s="56"/>
      <c r="AI37" s="56"/>
      <c r="AJ37" s="56"/>
      <c r="AK37" s="56" t="s">
        <v>328</v>
      </c>
      <c r="AL37" s="56" t="s">
        <v>275</v>
      </c>
      <c r="AM37" s="49"/>
      <c r="AN37" s="48"/>
    </row>
    <row r="38" customFormat="false" ht="16.5" hidden="false" customHeight="true" outlineLevel="0" collapsed="false">
      <c r="A38" s="48"/>
      <c r="B38" s="55" t="n">
        <f aca="false">IF($C38="","",COUNTA($C$5:C38))</f>
        <v>34</v>
      </c>
      <c r="C38" s="56" t="s">
        <v>329</v>
      </c>
      <c r="D38" s="56" t="s">
        <v>167</v>
      </c>
      <c r="E38" s="56" t="s">
        <v>268</v>
      </c>
      <c r="F38" s="56" t="s">
        <v>325</v>
      </c>
      <c r="G38" s="56" t="s">
        <v>330</v>
      </c>
      <c r="H38" s="56" t="n">
        <v>2</v>
      </c>
      <c r="I38" s="56" t="s">
        <v>151</v>
      </c>
      <c r="J38" s="57" t="n">
        <v>5200</v>
      </c>
      <c r="K38" s="57" t="n">
        <v>2200</v>
      </c>
      <c r="L38" s="57" t="n">
        <f aca="false">IF($C38="","",ROUND($J38*0.17,0))</f>
        <v>884</v>
      </c>
      <c r="M38" s="57" t="n">
        <v>4050</v>
      </c>
      <c r="N38" s="57" t="n">
        <v>1650</v>
      </c>
      <c r="O38" s="57" t="n">
        <v>1050</v>
      </c>
      <c r="P38" s="57" t="n">
        <v>1050</v>
      </c>
      <c r="Q38" s="57" t="n">
        <v>7550</v>
      </c>
      <c r="R38" s="57" t="n">
        <v>3400</v>
      </c>
      <c r="S38" s="57" t="n">
        <f aca="false">IF($C38="","",ROUND($J38*2.2,0))</f>
        <v>11440</v>
      </c>
      <c r="T38" s="57" t="n">
        <v>1800</v>
      </c>
      <c r="U38" s="57" t="n">
        <v>1550</v>
      </c>
      <c r="V38" s="57" t="n">
        <v>950</v>
      </c>
      <c r="W38" s="57" t="n">
        <v>2400</v>
      </c>
      <c r="X38" s="56" t="s">
        <v>178</v>
      </c>
      <c r="Y38" s="58" t="n">
        <v>0.75</v>
      </c>
      <c r="Z38" s="58" t="n">
        <v>1</v>
      </c>
      <c r="AA38" s="56" t="s">
        <v>331</v>
      </c>
      <c r="AB38" s="56" t="s">
        <v>332</v>
      </c>
      <c r="AC38" s="56"/>
      <c r="AD38" s="56" t="s">
        <v>333</v>
      </c>
      <c r="AE38" s="56"/>
      <c r="AF38" s="56"/>
      <c r="AG38" s="56"/>
      <c r="AH38" s="56"/>
      <c r="AI38" s="56"/>
      <c r="AJ38" s="56"/>
      <c r="AK38" s="56" t="s">
        <v>334</v>
      </c>
      <c r="AL38" s="56" t="s">
        <v>335</v>
      </c>
      <c r="AM38" s="49"/>
      <c r="AN38" s="48"/>
    </row>
    <row r="39" customFormat="false" ht="16.5" hidden="false" customHeight="true" outlineLevel="0" collapsed="false">
      <c r="A39" s="48"/>
      <c r="B39" s="55" t="n">
        <f aca="false">IF($C39="","",COUNTA($C$5:C39))</f>
        <v>35</v>
      </c>
      <c r="C39" s="56" t="s">
        <v>336</v>
      </c>
      <c r="D39" s="56" t="s">
        <v>167</v>
      </c>
      <c r="E39" s="56" t="s">
        <v>268</v>
      </c>
      <c r="F39" s="56" t="s">
        <v>325</v>
      </c>
      <c r="G39" s="56" t="s">
        <v>337</v>
      </c>
      <c r="H39" s="56" t="n">
        <v>3</v>
      </c>
      <c r="I39" s="56" t="s">
        <v>151</v>
      </c>
      <c r="J39" s="57" t="n">
        <v>12100</v>
      </c>
      <c r="K39" s="57" t="n">
        <v>5100</v>
      </c>
      <c r="L39" s="57" t="n">
        <f aca="false">IF($C39="","",ROUND($J39*0.17,0))</f>
        <v>2057</v>
      </c>
      <c r="M39" s="57" t="n">
        <v>9450</v>
      </c>
      <c r="N39" s="57" t="n">
        <v>3850</v>
      </c>
      <c r="O39" s="57" t="n">
        <v>2400</v>
      </c>
      <c r="P39" s="57" t="n">
        <v>2400</v>
      </c>
      <c r="Q39" s="57" t="n">
        <v>17550</v>
      </c>
      <c r="R39" s="57" t="n">
        <v>7850</v>
      </c>
      <c r="S39" s="57" t="n">
        <f aca="false">IF($C39="","",ROUND($J39*2.2,0))</f>
        <v>26620</v>
      </c>
      <c r="T39" s="57" t="n">
        <v>4250</v>
      </c>
      <c r="U39" s="57" t="n">
        <v>3650</v>
      </c>
      <c r="V39" s="57" t="n">
        <v>2200</v>
      </c>
      <c r="W39" s="57" t="n">
        <v>2400</v>
      </c>
      <c r="X39" s="56" t="s">
        <v>123</v>
      </c>
      <c r="Y39" s="58" t="n">
        <v>0.75</v>
      </c>
      <c r="Z39" s="58" t="n">
        <v>1</v>
      </c>
      <c r="AA39" s="56" t="s">
        <v>338</v>
      </c>
      <c r="AB39" s="56" t="s">
        <v>339</v>
      </c>
      <c r="AC39" s="56"/>
      <c r="AD39" s="56" t="s">
        <v>340</v>
      </c>
      <c r="AE39" s="56" t="s">
        <v>341</v>
      </c>
      <c r="AF39" s="56"/>
      <c r="AG39" s="56"/>
      <c r="AH39" s="56"/>
      <c r="AI39" s="56"/>
      <c r="AJ39" s="56"/>
      <c r="AK39" s="56" t="s">
        <v>342</v>
      </c>
      <c r="AL39" s="56" t="s">
        <v>275</v>
      </c>
      <c r="AM39" s="49"/>
      <c r="AN39" s="48"/>
    </row>
    <row r="40" customFormat="false" ht="16.5" hidden="false" customHeight="true" outlineLevel="0" collapsed="false">
      <c r="A40" s="46"/>
      <c r="B40" s="66" t="n">
        <f aca="false">IF($C40="","",COUNTA($C$5:C40))</f>
        <v>36</v>
      </c>
      <c r="C40" s="67" t="s">
        <v>343</v>
      </c>
      <c r="D40" s="67" t="s">
        <v>317</v>
      </c>
      <c r="E40" s="67" t="s">
        <v>268</v>
      </c>
      <c r="F40" s="67" t="s">
        <v>325</v>
      </c>
      <c r="G40" s="67" t="s">
        <v>305</v>
      </c>
      <c r="H40" s="67" t="n">
        <v>5</v>
      </c>
      <c r="I40" s="67" t="s">
        <v>151</v>
      </c>
      <c r="J40" s="67" t="n">
        <v>11000</v>
      </c>
      <c r="K40" s="67" t="n">
        <v>4600</v>
      </c>
      <c r="L40" s="68" t="n">
        <f aca="false">IF($C40="","",ROUND($J40*0.17,0))</f>
        <v>1870</v>
      </c>
      <c r="M40" s="67" t="n">
        <v>8600</v>
      </c>
      <c r="N40" s="67" t="n">
        <v>3500</v>
      </c>
      <c r="O40" s="67" t="n">
        <v>2200</v>
      </c>
      <c r="P40" s="67" t="n">
        <v>0</v>
      </c>
      <c r="Q40" s="67" t="n">
        <v>15950</v>
      </c>
      <c r="R40" s="67" t="n">
        <v>7150</v>
      </c>
      <c r="S40" s="68" t="n">
        <f aca="false">IF($C40="","",ROUND($J40*2.2,0))</f>
        <v>24200</v>
      </c>
      <c r="T40" s="67" t="n">
        <v>3850</v>
      </c>
      <c r="U40" s="67" t="n">
        <v>3300</v>
      </c>
      <c r="V40" s="67" t="n">
        <v>2000</v>
      </c>
      <c r="W40" s="67" t="n">
        <v>0</v>
      </c>
      <c r="X40" s="67" t="s">
        <v>133</v>
      </c>
      <c r="Y40" s="69" t="n">
        <v>0.2</v>
      </c>
      <c r="Z40" s="69" t="n">
        <v>1</v>
      </c>
      <c r="AA40" s="67" t="s">
        <v>344</v>
      </c>
      <c r="AB40" s="67" t="s">
        <v>345</v>
      </c>
      <c r="AC40" s="67" t="s">
        <v>346</v>
      </c>
      <c r="AD40" s="67" t="s">
        <v>347</v>
      </c>
      <c r="AE40" s="67" t="s">
        <v>348</v>
      </c>
      <c r="AF40" s="67"/>
      <c r="AG40" s="67"/>
      <c r="AH40" s="67"/>
      <c r="AI40" s="67"/>
      <c r="AJ40" s="67"/>
      <c r="AK40" s="67" t="s">
        <v>349</v>
      </c>
      <c r="AL40" s="67"/>
      <c r="AM40" s="47"/>
      <c r="AN40" s="46"/>
    </row>
    <row r="41" customFormat="false" ht="16.5" hidden="false" customHeight="true" outlineLevel="0" collapsed="false">
      <c r="A41" s="40"/>
      <c r="B41" s="61" t="n">
        <f aca="false">IF($C41="","",COUNTA($C$5:C41))</f>
        <v>37</v>
      </c>
      <c r="C41" s="62" t="s">
        <v>350</v>
      </c>
      <c r="D41" s="62" t="s">
        <v>43</v>
      </c>
      <c r="E41" s="62" t="s">
        <v>268</v>
      </c>
      <c r="F41" s="62" t="s">
        <v>325</v>
      </c>
      <c r="G41" s="62" t="s">
        <v>300</v>
      </c>
      <c r="H41" s="62" t="n">
        <v>2</v>
      </c>
      <c r="I41" s="62" t="s">
        <v>151</v>
      </c>
      <c r="J41" s="62" t="n">
        <v>0</v>
      </c>
      <c r="K41" s="62" t="n">
        <v>0</v>
      </c>
      <c r="L41" s="63" t="n">
        <f aca="false">IF($C41="","",ROUND($J41*0.17,0))</f>
        <v>0</v>
      </c>
      <c r="M41" s="62" t="n">
        <v>0</v>
      </c>
      <c r="N41" s="62" t="n">
        <v>0</v>
      </c>
      <c r="O41" s="62" t="n">
        <v>0</v>
      </c>
      <c r="P41" s="62" t="n">
        <v>0</v>
      </c>
      <c r="Q41" s="62" t="n">
        <v>0</v>
      </c>
      <c r="R41" s="62" t="n">
        <v>0</v>
      </c>
      <c r="S41" s="63" t="n">
        <f aca="false">IF($C41="","",ROUND($J41*2.2,0))</f>
        <v>0</v>
      </c>
      <c r="T41" s="62" t="n">
        <v>0</v>
      </c>
      <c r="U41" s="62" t="n">
        <v>0</v>
      </c>
      <c r="V41" s="62" t="n">
        <v>1200</v>
      </c>
      <c r="W41" s="62" t="n">
        <v>0</v>
      </c>
      <c r="X41" s="62" t="s">
        <v>178</v>
      </c>
      <c r="Y41" s="64" t="n">
        <v>0.2</v>
      </c>
      <c r="Z41" s="64" t="n">
        <v>1</v>
      </c>
      <c r="AA41" s="62" t="s">
        <v>351</v>
      </c>
      <c r="AB41" s="62" t="s">
        <v>352</v>
      </c>
      <c r="AC41" s="62" t="s">
        <v>353</v>
      </c>
      <c r="AD41" s="62"/>
      <c r="AE41" s="62"/>
      <c r="AF41" s="62"/>
      <c r="AG41" s="62"/>
      <c r="AH41" s="62"/>
      <c r="AI41" s="62"/>
      <c r="AJ41" s="62"/>
      <c r="AK41" s="62" t="s">
        <v>354</v>
      </c>
      <c r="AL41" s="62"/>
      <c r="AM41" s="65"/>
      <c r="AN41" s="40"/>
    </row>
    <row r="42" customFormat="false" ht="16.5" hidden="false" customHeight="true" outlineLevel="0" collapsed="false">
      <c r="A42" s="48"/>
      <c r="B42" s="55" t="n">
        <f aca="false">IF($C42="","",COUNTA($C$5:C42))</f>
        <v>38</v>
      </c>
      <c r="C42" s="56" t="s">
        <v>355</v>
      </c>
      <c r="D42" s="56" t="s">
        <v>167</v>
      </c>
      <c r="E42" s="56" t="s">
        <v>268</v>
      </c>
      <c r="F42" s="56" t="s">
        <v>325</v>
      </c>
      <c r="G42" s="56" t="s">
        <v>356</v>
      </c>
      <c r="H42" s="56" t="n">
        <v>1</v>
      </c>
      <c r="I42" s="56" t="s">
        <v>97</v>
      </c>
      <c r="J42" s="57" t="n">
        <v>8750</v>
      </c>
      <c r="K42" s="57" t="n">
        <v>3000</v>
      </c>
      <c r="L42" s="57" t="n">
        <f aca="false">IF($C42="","",ROUND($J42*0.17,0))</f>
        <v>1488</v>
      </c>
      <c r="M42" s="57" t="n">
        <v>6000</v>
      </c>
      <c r="N42" s="57" t="n">
        <v>2500</v>
      </c>
      <c r="O42" s="57" t="n">
        <v>1200</v>
      </c>
      <c r="P42" s="57" t="n">
        <v>1200</v>
      </c>
      <c r="Q42" s="57" t="n">
        <v>9000</v>
      </c>
      <c r="R42" s="57" t="n">
        <v>4050</v>
      </c>
      <c r="S42" s="57" t="n">
        <f aca="false">IF($C42="","",ROUND($J42*2.2,0))</f>
        <v>19250</v>
      </c>
      <c r="T42" s="57" t="n">
        <v>2200</v>
      </c>
      <c r="U42" s="57" t="n">
        <v>1925</v>
      </c>
      <c r="V42" s="57" t="n">
        <v>1155</v>
      </c>
      <c r="W42" s="57" t="n">
        <v>2400</v>
      </c>
      <c r="X42" s="56" t="s">
        <v>198</v>
      </c>
      <c r="Y42" s="58" t="n">
        <v>0.75</v>
      </c>
      <c r="Z42" s="58" t="n">
        <v>1</v>
      </c>
      <c r="AA42" s="56" t="s">
        <v>357</v>
      </c>
      <c r="AB42" s="56" t="s">
        <v>358</v>
      </c>
      <c r="AC42" s="56"/>
      <c r="AD42" s="56"/>
      <c r="AE42" s="56"/>
      <c r="AF42" s="56"/>
      <c r="AG42" s="56"/>
      <c r="AH42" s="56"/>
      <c r="AI42" s="56"/>
      <c r="AJ42" s="56"/>
      <c r="AK42" s="60" t="n">
        <v>39722</v>
      </c>
      <c r="AL42" s="56" t="s">
        <v>275</v>
      </c>
      <c r="AM42" s="49"/>
      <c r="AN42" s="48"/>
    </row>
    <row r="43" customFormat="false" ht="16.5" hidden="false" customHeight="true" outlineLevel="0" collapsed="false">
      <c r="A43" s="48"/>
      <c r="B43" s="55" t="n">
        <f aca="false">IF($C43="","",COUNTA($C$5:C43))</f>
        <v>39</v>
      </c>
      <c r="C43" s="56" t="s">
        <v>359</v>
      </c>
      <c r="D43" s="56" t="s">
        <v>167</v>
      </c>
      <c r="E43" s="56" t="s">
        <v>360</v>
      </c>
      <c r="F43" s="56" t="s">
        <v>360</v>
      </c>
      <c r="G43" s="56" t="s">
        <v>361</v>
      </c>
      <c r="H43" s="56" t="n">
        <v>2</v>
      </c>
      <c r="I43" s="56" t="s">
        <v>151</v>
      </c>
      <c r="J43" s="57" t="n">
        <v>5200</v>
      </c>
      <c r="K43" s="57" t="n">
        <v>2200</v>
      </c>
      <c r="L43" s="57" t="n">
        <f aca="false">IF($C43="","",ROUND($J43*0.17,0))</f>
        <v>884</v>
      </c>
      <c r="M43" s="57" t="n">
        <v>4050</v>
      </c>
      <c r="N43" s="57" t="n">
        <v>1650</v>
      </c>
      <c r="O43" s="57" t="n">
        <v>1050</v>
      </c>
      <c r="P43" s="57" t="n">
        <v>1050</v>
      </c>
      <c r="Q43" s="57" t="n">
        <v>7550</v>
      </c>
      <c r="R43" s="57" t="n">
        <v>3400</v>
      </c>
      <c r="S43" s="57" t="n">
        <f aca="false">IF($C43="","",ROUND($J43*2.2,0))</f>
        <v>11440</v>
      </c>
      <c r="T43" s="57" t="n">
        <v>1800</v>
      </c>
      <c r="U43" s="57" t="n">
        <v>1550</v>
      </c>
      <c r="V43" s="57" t="n">
        <v>950</v>
      </c>
      <c r="W43" s="57" t="n">
        <v>2400</v>
      </c>
      <c r="X43" s="56" t="s">
        <v>178</v>
      </c>
      <c r="Y43" s="58" t="n">
        <v>0.75</v>
      </c>
      <c r="Z43" s="58" t="n">
        <v>1</v>
      </c>
      <c r="AA43" s="56" t="s">
        <v>362</v>
      </c>
      <c r="AB43" s="56" t="s">
        <v>363</v>
      </c>
      <c r="AC43" s="56" t="s">
        <v>364</v>
      </c>
      <c r="AD43" s="56"/>
      <c r="AE43" s="56"/>
      <c r="AF43" s="56"/>
      <c r="AG43" s="56"/>
      <c r="AH43" s="56" t="s">
        <v>365</v>
      </c>
      <c r="AI43" s="56"/>
      <c r="AJ43" s="56"/>
      <c r="AK43" s="60" t="n">
        <v>36138</v>
      </c>
      <c r="AL43" s="56"/>
      <c r="AM43" s="49"/>
      <c r="AN43" s="48"/>
    </row>
    <row r="44" customFormat="false" ht="16.5" hidden="false" customHeight="true" outlineLevel="0" collapsed="false">
      <c r="A44" s="48"/>
      <c r="B44" s="55" t="n">
        <f aca="false">IF($C44="","",COUNTA($C$5:C44))</f>
        <v>40</v>
      </c>
      <c r="C44" s="56" t="s">
        <v>366</v>
      </c>
      <c r="D44" s="56" t="s">
        <v>167</v>
      </c>
      <c r="E44" s="56" t="s">
        <v>360</v>
      </c>
      <c r="F44" s="56" t="s">
        <v>360</v>
      </c>
      <c r="G44" s="56" t="s">
        <v>269</v>
      </c>
      <c r="H44" s="56" t="n">
        <v>2</v>
      </c>
      <c r="I44" s="56" t="s">
        <v>151</v>
      </c>
      <c r="J44" s="57" t="n">
        <v>11000</v>
      </c>
      <c r="K44" s="57" t="n">
        <v>4600</v>
      </c>
      <c r="L44" s="57" t="n">
        <f aca="false">IF($C44="","",ROUND($J44*0.17,0))</f>
        <v>1870</v>
      </c>
      <c r="M44" s="57" t="n">
        <v>8600</v>
      </c>
      <c r="N44" s="57" t="n">
        <v>3500</v>
      </c>
      <c r="O44" s="57" t="n">
        <v>2200</v>
      </c>
      <c r="P44" s="57" t="n">
        <v>2200</v>
      </c>
      <c r="Q44" s="57" t="n">
        <v>15950</v>
      </c>
      <c r="R44" s="57" t="n">
        <v>7150</v>
      </c>
      <c r="S44" s="57" t="n">
        <f aca="false">IF($C44="","",ROUND($J44*2.2,0))</f>
        <v>24200</v>
      </c>
      <c r="T44" s="57" t="n">
        <v>3850</v>
      </c>
      <c r="U44" s="57" t="n">
        <v>3300</v>
      </c>
      <c r="V44" s="57" t="n">
        <v>2000</v>
      </c>
      <c r="W44" s="57" t="n">
        <v>2400</v>
      </c>
      <c r="X44" s="56" t="s">
        <v>178</v>
      </c>
      <c r="Y44" s="58" t="n">
        <v>0.75</v>
      </c>
      <c r="Z44" s="58" t="n">
        <v>1</v>
      </c>
      <c r="AA44" s="56" t="s">
        <v>367</v>
      </c>
      <c r="AB44" s="56" t="s">
        <v>368</v>
      </c>
      <c r="AC44" s="56" t="s">
        <v>369</v>
      </c>
      <c r="AD44" s="56" t="s">
        <v>370</v>
      </c>
      <c r="AE44" s="56"/>
      <c r="AF44" s="56"/>
      <c r="AG44" s="56"/>
      <c r="AH44" s="56"/>
      <c r="AI44" s="56"/>
      <c r="AJ44" s="56"/>
      <c r="AK44" s="56" t="s">
        <v>371</v>
      </c>
      <c r="AL44" s="56"/>
      <c r="AM44" s="49"/>
      <c r="AN44" s="48"/>
    </row>
    <row r="45" customFormat="false" ht="16.5" hidden="false" customHeight="true" outlineLevel="0" collapsed="false">
      <c r="A45" s="48"/>
      <c r="B45" s="55" t="n">
        <f aca="false">IF($C45="","",COUNTA($C$5:C45))</f>
        <v>41</v>
      </c>
      <c r="C45" s="56" t="s">
        <v>372</v>
      </c>
      <c r="D45" s="56" t="s">
        <v>167</v>
      </c>
      <c r="E45" s="56" t="s">
        <v>360</v>
      </c>
      <c r="F45" s="56" t="s">
        <v>360</v>
      </c>
      <c r="G45" s="56" t="s">
        <v>373</v>
      </c>
      <c r="H45" s="56" t="n">
        <v>2</v>
      </c>
      <c r="I45" s="56" t="s">
        <v>151</v>
      </c>
      <c r="J45" s="57" t="n">
        <v>11000</v>
      </c>
      <c r="K45" s="57" t="n">
        <v>4600</v>
      </c>
      <c r="L45" s="57" t="n">
        <f aca="false">IF($C45="","",ROUND($J45*0.17,0))</f>
        <v>1870</v>
      </c>
      <c r="M45" s="57" t="n">
        <v>8600</v>
      </c>
      <c r="N45" s="57" t="n">
        <v>3500</v>
      </c>
      <c r="O45" s="57" t="n">
        <v>2200</v>
      </c>
      <c r="P45" s="57" t="n">
        <v>2200</v>
      </c>
      <c r="Q45" s="57" t="n">
        <v>15950</v>
      </c>
      <c r="R45" s="57" t="n">
        <v>7150</v>
      </c>
      <c r="S45" s="57" t="n">
        <f aca="false">IF($C45="","",ROUND($J45*2.2,0))</f>
        <v>24200</v>
      </c>
      <c r="T45" s="57" t="n">
        <v>3850</v>
      </c>
      <c r="U45" s="57" t="n">
        <v>3300</v>
      </c>
      <c r="V45" s="57" t="n">
        <v>2000</v>
      </c>
      <c r="W45" s="57" t="n">
        <v>2400</v>
      </c>
      <c r="X45" s="56" t="s">
        <v>178</v>
      </c>
      <c r="Y45" s="58" t="n">
        <v>0.75</v>
      </c>
      <c r="Z45" s="58" t="n">
        <v>1</v>
      </c>
      <c r="AA45" s="56" t="s">
        <v>374</v>
      </c>
      <c r="AB45" s="56" t="s">
        <v>375</v>
      </c>
      <c r="AC45" s="56" t="s">
        <v>376</v>
      </c>
      <c r="AD45" s="56" t="s">
        <v>377</v>
      </c>
      <c r="AE45" s="56"/>
      <c r="AF45" s="56"/>
      <c r="AG45" s="56"/>
      <c r="AH45" s="56"/>
      <c r="AI45" s="56"/>
      <c r="AJ45" s="56"/>
      <c r="AK45" s="60" t="n">
        <v>38416</v>
      </c>
      <c r="AL45" s="56"/>
      <c r="AM45" s="49"/>
      <c r="AN45" s="48"/>
    </row>
    <row r="46" customFormat="false" ht="16.5" hidden="false" customHeight="true" outlineLevel="0" collapsed="false">
      <c r="A46" s="48"/>
      <c r="B46" s="55" t="n">
        <f aca="false">IF($C46="","",COUNTA($C$5:C46))</f>
        <v>42</v>
      </c>
      <c r="C46" s="56" t="s">
        <v>378</v>
      </c>
      <c r="D46" s="56" t="s">
        <v>167</v>
      </c>
      <c r="E46" s="56" t="s">
        <v>360</v>
      </c>
      <c r="F46" s="56" t="s">
        <v>360</v>
      </c>
      <c r="G46" s="56" t="s">
        <v>305</v>
      </c>
      <c r="H46" s="56" t="n">
        <v>3</v>
      </c>
      <c r="I46" s="56" t="s">
        <v>219</v>
      </c>
      <c r="J46" s="57" t="n">
        <v>12100</v>
      </c>
      <c r="K46" s="57" t="n">
        <v>5100</v>
      </c>
      <c r="L46" s="57" t="n">
        <f aca="false">IF($C46="","",ROUND($J46*0.17,0))</f>
        <v>2057</v>
      </c>
      <c r="M46" s="57" t="n">
        <v>9450</v>
      </c>
      <c r="N46" s="57" t="n">
        <v>3850</v>
      </c>
      <c r="O46" s="57" t="n">
        <v>2400</v>
      </c>
      <c r="P46" s="57" t="n">
        <v>2400</v>
      </c>
      <c r="Q46" s="57" t="n">
        <v>17550</v>
      </c>
      <c r="R46" s="57" t="n">
        <v>7850</v>
      </c>
      <c r="S46" s="57" t="n">
        <f aca="false">IF($C46="","",ROUND($J46*2.2,0))</f>
        <v>26620</v>
      </c>
      <c r="T46" s="57" t="n">
        <v>4250</v>
      </c>
      <c r="U46" s="57" t="n">
        <v>3650</v>
      </c>
      <c r="V46" s="57" t="n">
        <v>2200</v>
      </c>
      <c r="W46" s="57" t="n">
        <v>2400</v>
      </c>
      <c r="X46" s="56" t="s">
        <v>123</v>
      </c>
      <c r="Y46" s="58" t="n">
        <v>0.75</v>
      </c>
      <c r="Z46" s="58" t="n">
        <v>1</v>
      </c>
      <c r="AA46" s="56" t="s">
        <v>379</v>
      </c>
      <c r="AB46" s="56" t="s">
        <v>380</v>
      </c>
      <c r="AC46" s="56" t="s">
        <v>381</v>
      </c>
      <c r="AD46" s="56" t="s">
        <v>382</v>
      </c>
      <c r="AE46" s="56" t="s">
        <v>383</v>
      </c>
      <c r="AF46" s="56"/>
      <c r="AG46" s="56"/>
      <c r="AH46" s="56" t="s">
        <v>384</v>
      </c>
      <c r="AI46" s="56"/>
      <c r="AJ46" s="56"/>
      <c r="AK46" s="56" t="s">
        <v>385</v>
      </c>
      <c r="AL46" s="56"/>
      <c r="AM46" s="49"/>
      <c r="AN46" s="48"/>
    </row>
    <row r="47" customFormat="false" ht="16.5" hidden="false" customHeight="true" outlineLevel="0" collapsed="false">
      <c r="A47" s="48"/>
      <c r="B47" s="55" t="n">
        <f aca="false">IF($C47="","",COUNTA($C$5:C47))</f>
        <v>43</v>
      </c>
      <c r="C47" s="56" t="s">
        <v>386</v>
      </c>
      <c r="D47" s="56" t="s">
        <v>167</v>
      </c>
      <c r="E47" s="56" t="s">
        <v>360</v>
      </c>
      <c r="F47" s="56" t="s">
        <v>360</v>
      </c>
      <c r="G47" s="56" t="s">
        <v>387</v>
      </c>
      <c r="H47" s="56" t="n">
        <v>2</v>
      </c>
      <c r="I47" s="56" t="s">
        <v>151</v>
      </c>
      <c r="J47" s="57" t="n">
        <v>20700</v>
      </c>
      <c r="K47" s="57" t="n">
        <v>8700</v>
      </c>
      <c r="L47" s="57" t="n">
        <f aca="false">IF($C47="","",ROUND($J47*0.17,0))</f>
        <v>3519</v>
      </c>
      <c r="M47" s="57" t="n">
        <v>16150</v>
      </c>
      <c r="N47" s="57" t="n">
        <v>6600</v>
      </c>
      <c r="O47" s="57" t="n">
        <v>4150</v>
      </c>
      <c r="P47" s="57" t="n">
        <v>4150</v>
      </c>
      <c r="Q47" s="57" t="n">
        <v>30000</v>
      </c>
      <c r="R47" s="57" t="n">
        <v>13450</v>
      </c>
      <c r="S47" s="57" t="n">
        <f aca="false">IF($C47="","",ROUND($J47*2.2,0))</f>
        <v>45540</v>
      </c>
      <c r="T47" s="57" t="n">
        <v>7250</v>
      </c>
      <c r="U47" s="57" t="n">
        <v>6200</v>
      </c>
      <c r="V47" s="57" t="n">
        <v>3750</v>
      </c>
      <c r="W47" s="57" t="n">
        <v>2400</v>
      </c>
      <c r="X47" s="56" t="s">
        <v>178</v>
      </c>
      <c r="Y47" s="58" t="n">
        <v>0.75</v>
      </c>
      <c r="Z47" s="58" t="n">
        <v>1</v>
      </c>
      <c r="AA47" s="56" t="s">
        <v>388</v>
      </c>
      <c r="AB47" s="56" t="s">
        <v>389</v>
      </c>
      <c r="AC47" s="56"/>
      <c r="AD47" s="56" t="s">
        <v>390</v>
      </c>
      <c r="AE47" s="56"/>
      <c r="AF47" s="56"/>
      <c r="AG47" s="56"/>
      <c r="AH47" s="56"/>
      <c r="AI47" s="56"/>
      <c r="AJ47" s="56"/>
      <c r="AK47" s="60" t="n">
        <v>34763</v>
      </c>
      <c r="AL47" s="56"/>
      <c r="AM47" s="49"/>
      <c r="AN47" s="48"/>
    </row>
    <row r="48" customFormat="false" ht="16.5" hidden="false" customHeight="true" outlineLevel="0" collapsed="false">
      <c r="A48" s="46"/>
      <c r="B48" s="66" t="n">
        <f aca="false">IF($C48="","",COUNTA($C$5:C48))</f>
        <v>44</v>
      </c>
      <c r="C48" s="67" t="s">
        <v>391</v>
      </c>
      <c r="D48" s="67" t="s">
        <v>317</v>
      </c>
      <c r="E48" s="67" t="s">
        <v>360</v>
      </c>
      <c r="F48" s="67" t="s">
        <v>360</v>
      </c>
      <c r="G48" s="67" t="s">
        <v>392</v>
      </c>
      <c r="H48" s="67" t="n">
        <v>2</v>
      </c>
      <c r="I48" s="67" t="s">
        <v>151</v>
      </c>
      <c r="J48" s="67" t="n">
        <v>11000</v>
      </c>
      <c r="K48" s="67" t="n">
        <v>4600</v>
      </c>
      <c r="L48" s="68" t="n">
        <f aca="false">IF($C48="","",ROUND($J48*0.17,0))</f>
        <v>1870</v>
      </c>
      <c r="M48" s="67" t="n">
        <v>8600</v>
      </c>
      <c r="N48" s="67" t="n">
        <v>3500</v>
      </c>
      <c r="O48" s="67" t="n">
        <v>2200</v>
      </c>
      <c r="P48" s="67" t="n">
        <v>0</v>
      </c>
      <c r="Q48" s="67" t="n">
        <v>15950</v>
      </c>
      <c r="R48" s="67" t="n">
        <v>7150</v>
      </c>
      <c r="S48" s="68" t="n">
        <f aca="false">IF($C48="","",ROUND($J48*2.2,0))</f>
        <v>24200</v>
      </c>
      <c r="T48" s="67" t="n">
        <v>3850</v>
      </c>
      <c r="U48" s="67" t="n">
        <v>3300</v>
      </c>
      <c r="V48" s="67" t="n">
        <v>2000</v>
      </c>
      <c r="W48" s="67" t="n">
        <v>0</v>
      </c>
      <c r="X48" s="67" t="s">
        <v>178</v>
      </c>
      <c r="Y48" s="69" t="n">
        <v>0.75</v>
      </c>
      <c r="Z48" s="69" t="n">
        <v>1</v>
      </c>
      <c r="AA48" s="67" t="s">
        <v>393</v>
      </c>
      <c r="AB48" s="67" t="s">
        <v>394</v>
      </c>
      <c r="AC48" s="67"/>
      <c r="AD48" s="67" t="s">
        <v>395</v>
      </c>
      <c r="AE48" s="67" t="s">
        <v>396</v>
      </c>
      <c r="AF48" s="67"/>
      <c r="AG48" s="67"/>
      <c r="AH48" s="67"/>
      <c r="AI48" s="67"/>
      <c r="AJ48" s="67"/>
      <c r="AK48" s="70" t="n">
        <v>33644</v>
      </c>
      <c r="AL48" s="67"/>
      <c r="AM48" s="47"/>
      <c r="AN48" s="46"/>
    </row>
    <row r="49" customFormat="false" ht="16.5" hidden="false" customHeight="true" outlineLevel="0" collapsed="false">
      <c r="A49" s="40"/>
      <c r="B49" s="61" t="n">
        <f aca="false">IF($C49="","",COUNTA($C$5:C49))</f>
        <v>45</v>
      </c>
      <c r="C49" s="62" t="s">
        <v>397</v>
      </c>
      <c r="D49" s="62" t="s">
        <v>43</v>
      </c>
      <c r="E49" s="62" t="s">
        <v>360</v>
      </c>
      <c r="F49" s="62" t="s">
        <v>360</v>
      </c>
      <c r="G49" s="62" t="s">
        <v>373</v>
      </c>
      <c r="H49" s="62" t="n">
        <v>3</v>
      </c>
      <c r="I49" s="62" t="s">
        <v>151</v>
      </c>
      <c r="J49" s="62" t="n">
        <v>0</v>
      </c>
      <c r="K49" s="62" t="n">
        <v>0</v>
      </c>
      <c r="L49" s="63" t="n">
        <f aca="false">IF($C49="","",ROUND($J49*0.17,0))</f>
        <v>0</v>
      </c>
      <c r="M49" s="62" t="n">
        <v>0</v>
      </c>
      <c r="N49" s="62" t="n">
        <v>0</v>
      </c>
      <c r="O49" s="62" t="n">
        <v>0</v>
      </c>
      <c r="P49" s="62" t="n">
        <v>0</v>
      </c>
      <c r="Q49" s="62" t="n">
        <v>0</v>
      </c>
      <c r="R49" s="62" t="n">
        <v>0</v>
      </c>
      <c r="S49" s="63" t="n">
        <f aca="false">IF($C49="","",ROUND($J49*2.2,0))</f>
        <v>0</v>
      </c>
      <c r="T49" s="62" t="n">
        <v>0</v>
      </c>
      <c r="U49" s="62" t="n">
        <v>0</v>
      </c>
      <c r="V49" s="62" t="n">
        <v>1200</v>
      </c>
      <c r="W49" s="62" t="n">
        <v>0</v>
      </c>
      <c r="X49" s="62" t="s">
        <v>123</v>
      </c>
      <c r="Y49" s="64" t="n">
        <v>0.5</v>
      </c>
      <c r="Z49" s="64" t="n">
        <v>1</v>
      </c>
      <c r="AA49" s="62" t="s">
        <v>398</v>
      </c>
      <c r="AB49" s="62" t="s">
        <v>399</v>
      </c>
      <c r="AC49" s="62"/>
      <c r="AD49" s="62" t="s">
        <v>400</v>
      </c>
      <c r="AE49" s="62"/>
      <c r="AF49" s="62"/>
      <c r="AG49" s="62"/>
      <c r="AH49" s="62" t="s">
        <v>401</v>
      </c>
      <c r="AI49" s="62"/>
      <c r="AJ49" s="62"/>
      <c r="AK49" s="71" t="n">
        <v>35228</v>
      </c>
      <c r="AL49" s="62"/>
      <c r="AM49" s="65"/>
      <c r="AN49" s="40"/>
    </row>
    <row r="50" customFormat="false" ht="16.5" hidden="false" customHeight="true" outlineLevel="0" collapsed="false">
      <c r="A50" s="50"/>
      <c r="B50" s="72" t="n">
        <f aca="false">IF($C50="","",COUNTA($C$5:C50))</f>
        <v>46</v>
      </c>
      <c r="C50" s="73" t="s">
        <v>402</v>
      </c>
      <c r="D50" s="73" t="s">
        <v>45</v>
      </c>
      <c r="E50" s="73" t="s">
        <v>360</v>
      </c>
      <c r="F50" s="73" t="s">
        <v>360</v>
      </c>
      <c r="G50" s="73" t="s">
        <v>403</v>
      </c>
      <c r="H50" s="73" t="n">
        <v>1</v>
      </c>
      <c r="I50" s="73" t="s">
        <v>97</v>
      </c>
      <c r="J50" s="73" t="n">
        <v>0</v>
      </c>
      <c r="K50" s="73" t="n">
        <v>0</v>
      </c>
      <c r="L50" s="73" t="n">
        <f aca="false">IF($C50="","",ROUND($J50*0.17,0))</f>
        <v>0</v>
      </c>
      <c r="M50" s="73" t="n">
        <v>0</v>
      </c>
      <c r="N50" s="73" t="n">
        <v>0</v>
      </c>
      <c r="O50" s="73" t="n">
        <v>0</v>
      </c>
      <c r="P50" s="73" t="n">
        <v>0</v>
      </c>
      <c r="Q50" s="73" t="n">
        <v>0</v>
      </c>
      <c r="R50" s="73" t="n">
        <v>0</v>
      </c>
      <c r="S50" s="74" t="n">
        <f aca="false">IF($C50="","",ROUND($J50*2.2,0))</f>
        <v>0</v>
      </c>
      <c r="T50" s="73" t="n">
        <v>0</v>
      </c>
      <c r="U50" s="73" t="n">
        <v>0</v>
      </c>
      <c r="V50" s="73" t="n">
        <v>600</v>
      </c>
      <c r="W50" s="73" t="n">
        <v>0</v>
      </c>
      <c r="X50" s="73" t="s">
        <v>198</v>
      </c>
      <c r="Y50" s="75" t="n">
        <v>0.5</v>
      </c>
      <c r="Z50" s="75" t="n">
        <v>1</v>
      </c>
      <c r="AA50" s="73" t="s">
        <v>404</v>
      </c>
      <c r="AB50" s="73" t="s">
        <v>405</v>
      </c>
      <c r="AC50" s="73"/>
      <c r="AD50" s="73"/>
      <c r="AE50" s="73"/>
      <c r="AF50" s="73"/>
      <c r="AG50" s="73"/>
      <c r="AH50" s="73"/>
      <c r="AI50" s="73"/>
      <c r="AJ50" s="73"/>
      <c r="AK50" s="73" t="s">
        <v>406</v>
      </c>
      <c r="AL50" s="73"/>
      <c r="AM50" s="51"/>
      <c r="AN50" s="50"/>
    </row>
    <row r="51" customFormat="false" ht="16.5" hidden="false" customHeight="true" outlineLevel="0" collapsed="false">
      <c r="A51" s="48"/>
      <c r="B51" s="55" t="n">
        <f aca="false">IF($C51="","",COUNTA($C$5:C51))</f>
        <v>47</v>
      </c>
      <c r="C51" s="56" t="s">
        <v>407</v>
      </c>
      <c r="D51" s="56" t="s">
        <v>167</v>
      </c>
      <c r="E51" s="56" t="s">
        <v>408</v>
      </c>
      <c r="F51" s="56" t="s">
        <v>409</v>
      </c>
      <c r="G51" s="56" t="s">
        <v>96</v>
      </c>
      <c r="H51" s="56" t="n">
        <v>2</v>
      </c>
      <c r="I51" s="56" t="s">
        <v>151</v>
      </c>
      <c r="J51" s="57" t="n">
        <v>11250</v>
      </c>
      <c r="K51" s="57" t="n">
        <v>4500</v>
      </c>
      <c r="L51" s="57" t="n">
        <f aca="false">IF($C51="","",ROUND($J51*0.17,0))</f>
        <v>1913</v>
      </c>
      <c r="M51" s="57" t="n">
        <v>8000</v>
      </c>
      <c r="N51" s="57" t="n">
        <v>3500</v>
      </c>
      <c r="O51" s="57" t="n">
        <v>2000</v>
      </c>
      <c r="P51" s="57" t="n">
        <v>2000</v>
      </c>
      <c r="Q51" s="57" t="n">
        <v>13500</v>
      </c>
      <c r="R51" s="57" t="n">
        <v>6075</v>
      </c>
      <c r="S51" s="57" t="n">
        <f aca="false">IF($C51="","",ROUND($J51*2.2,0))</f>
        <v>24750</v>
      </c>
      <c r="T51" s="57" t="n">
        <v>4638</v>
      </c>
      <c r="U51" s="57" t="n">
        <v>4063</v>
      </c>
      <c r="V51" s="57" t="n">
        <v>2438</v>
      </c>
      <c r="W51" s="57" t="n">
        <v>2400</v>
      </c>
      <c r="X51" s="56" t="s">
        <v>178</v>
      </c>
      <c r="Y51" s="58" t="n">
        <v>0.3</v>
      </c>
      <c r="Z51" s="58" t="n">
        <v>1</v>
      </c>
      <c r="AA51" s="56" t="s">
        <v>410</v>
      </c>
      <c r="AB51" s="56" t="s">
        <v>411</v>
      </c>
      <c r="AC51" s="56"/>
      <c r="AD51" s="56" t="s">
        <v>412</v>
      </c>
      <c r="AE51" s="56"/>
      <c r="AF51" s="56"/>
      <c r="AG51" s="56"/>
      <c r="AH51" s="56"/>
      <c r="AI51" s="56"/>
      <c r="AJ51" s="56"/>
      <c r="AK51" s="56" t="s">
        <v>413</v>
      </c>
      <c r="AL51" s="56"/>
      <c r="AM51" s="49"/>
      <c r="AN51" s="48"/>
    </row>
    <row r="52" customFormat="false" ht="16.5" hidden="false" customHeight="true" outlineLevel="0" collapsed="false">
      <c r="A52" s="46"/>
      <c r="B52" s="66" t="n">
        <f aca="false">IF($C52="","",COUNTA($C$5:C52))</f>
        <v>48</v>
      </c>
      <c r="C52" s="67" t="s">
        <v>414</v>
      </c>
      <c r="D52" s="67" t="s">
        <v>415</v>
      </c>
      <c r="E52" s="67" t="s">
        <v>408</v>
      </c>
      <c r="F52" s="67" t="s">
        <v>409</v>
      </c>
      <c r="G52" s="67" t="s">
        <v>96</v>
      </c>
      <c r="H52" s="67" t="n">
        <v>1</v>
      </c>
      <c r="I52" s="67" t="s">
        <v>97</v>
      </c>
      <c r="J52" s="67" t="n">
        <v>12100</v>
      </c>
      <c r="K52" s="67" t="n">
        <v>5100</v>
      </c>
      <c r="L52" s="68" t="n">
        <f aca="false">IF($C52="","",ROUND($J52*0.17,0))</f>
        <v>2057</v>
      </c>
      <c r="M52" s="67" t="n">
        <v>9450</v>
      </c>
      <c r="N52" s="67" t="n">
        <v>3850</v>
      </c>
      <c r="O52" s="67" t="n">
        <v>2400</v>
      </c>
      <c r="P52" s="67" t="n">
        <v>0</v>
      </c>
      <c r="Q52" s="67" t="n">
        <v>17550</v>
      </c>
      <c r="R52" s="67" t="n">
        <v>7850</v>
      </c>
      <c r="S52" s="68" t="n">
        <f aca="false">IF($C52="","",ROUND($J52*2.2,0))</f>
        <v>26620</v>
      </c>
      <c r="T52" s="67" t="n">
        <v>4250</v>
      </c>
      <c r="U52" s="67" t="n">
        <v>3650</v>
      </c>
      <c r="V52" s="67" t="n">
        <v>2200</v>
      </c>
      <c r="W52" s="67" t="n">
        <v>0</v>
      </c>
      <c r="X52" s="67" t="s">
        <v>198</v>
      </c>
      <c r="Y52" s="69" t="n">
        <v>0.3</v>
      </c>
      <c r="Z52" s="69" t="n">
        <v>1</v>
      </c>
      <c r="AA52" s="67" t="s">
        <v>416</v>
      </c>
      <c r="AB52" s="67" t="s">
        <v>417</v>
      </c>
      <c r="AC52" s="67"/>
      <c r="AD52" s="67"/>
      <c r="AE52" s="67"/>
      <c r="AF52" s="67"/>
      <c r="AG52" s="67"/>
      <c r="AH52" s="67"/>
      <c r="AI52" s="67"/>
      <c r="AJ52" s="67"/>
      <c r="AK52" s="67" t="s">
        <v>418</v>
      </c>
      <c r="AL52" s="67"/>
      <c r="AM52" s="47"/>
      <c r="AN52" s="46"/>
    </row>
    <row r="53" customFormat="false" ht="16.5" hidden="false" customHeight="true" outlineLevel="0" collapsed="false">
      <c r="A53" s="46"/>
      <c r="B53" s="66" t="n">
        <f aca="false">IF($C53="","",COUNTA($C$5:C53))</f>
        <v>49</v>
      </c>
      <c r="C53" s="67" t="s">
        <v>419</v>
      </c>
      <c r="D53" s="67" t="s">
        <v>415</v>
      </c>
      <c r="E53" s="67" t="s">
        <v>408</v>
      </c>
      <c r="F53" s="67" t="s">
        <v>409</v>
      </c>
      <c r="G53" s="67" t="s">
        <v>420</v>
      </c>
      <c r="H53" s="67" t="n">
        <v>4</v>
      </c>
      <c r="I53" s="67" t="s">
        <v>219</v>
      </c>
      <c r="J53" s="67" t="n">
        <v>0</v>
      </c>
      <c r="K53" s="67" t="n">
        <v>0</v>
      </c>
      <c r="L53" s="68" t="n">
        <f aca="false">IF($C53="","",ROUND($J53*0.17,0))</f>
        <v>0</v>
      </c>
      <c r="M53" s="67" t="n">
        <v>0</v>
      </c>
      <c r="N53" s="67" t="n">
        <v>0</v>
      </c>
      <c r="O53" s="67" t="n">
        <v>0</v>
      </c>
      <c r="P53" s="67" t="n">
        <v>0</v>
      </c>
      <c r="Q53" s="67" t="n">
        <v>0</v>
      </c>
      <c r="R53" s="67" t="n">
        <v>0</v>
      </c>
      <c r="S53" s="68" t="n">
        <f aca="false">IF($C53="","",ROUND($J53*2.2,0))</f>
        <v>0</v>
      </c>
      <c r="T53" s="67" t="n">
        <v>0</v>
      </c>
      <c r="U53" s="67" t="n">
        <v>0</v>
      </c>
      <c r="V53" s="67" t="n">
        <v>2000</v>
      </c>
      <c r="W53" s="67" t="n">
        <v>0</v>
      </c>
      <c r="X53" s="67" t="s">
        <v>109</v>
      </c>
      <c r="Y53" s="69" t="n">
        <v>0.3</v>
      </c>
      <c r="Z53" s="69" t="n">
        <v>1</v>
      </c>
      <c r="AA53" s="67" t="s">
        <v>421</v>
      </c>
      <c r="AB53" s="67" t="s">
        <v>422</v>
      </c>
      <c r="AC53" s="67" t="s">
        <v>423</v>
      </c>
      <c r="AD53" s="67" t="s">
        <v>424</v>
      </c>
      <c r="AE53" s="67" t="s">
        <v>425</v>
      </c>
      <c r="AF53" s="67" t="s">
        <v>426</v>
      </c>
      <c r="AG53" s="67"/>
      <c r="AH53" s="67"/>
      <c r="AI53" s="67"/>
      <c r="AJ53" s="67"/>
      <c r="AK53" s="67" t="s">
        <v>427</v>
      </c>
      <c r="AL53" s="67"/>
      <c r="AM53" s="47"/>
      <c r="AN53" s="46"/>
    </row>
    <row r="54" customFormat="false" ht="16.5" hidden="false" customHeight="true" outlineLevel="0" collapsed="false">
      <c r="A54" s="48"/>
      <c r="B54" s="55" t="n">
        <f aca="false">IF($C54="","",COUNTA($C$5:C54))</f>
        <v>50</v>
      </c>
      <c r="C54" s="56" t="s">
        <v>428</v>
      </c>
      <c r="D54" s="56" t="s">
        <v>167</v>
      </c>
      <c r="E54" s="56" t="s">
        <v>408</v>
      </c>
      <c r="F54" s="56" t="s">
        <v>409</v>
      </c>
      <c r="G54" s="56" t="s">
        <v>96</v>
      </c>
      <c r="H54" s="56" t="n">
        <v>1</v>
      </c>
      <c r="I54" s="56" t="s">
        <v>151</v>
      </c>
      <c r="J54" s="57" t="n">
        <v>11250</v>
      </c>
      <c r="K54" s="57" t="n">
        <v>4500</v>
      </c>
      <c r="L54" s="57" t="n">
        <f aca="false">IF($C54="","",ROUND($J54*0.17,0))</f>
        <v>1913</v>
      </c>
      <c r="M54" s="57" t="n">
        <v>8000</v>
      </c>
      <c r="N54" s="57" t="n">
        <v>3500</v>
      </c>
      <c r="O54" s="57" t="n">
        <v>2000</v>
      </c>
      <c r="P54" s="57" t="n">
        <v>2000</v>
      </c>
      <c r="Q54" s="57" t="n">
        <v>13500</v>
      </c>
      <c r="R54" s="57" t="n">
        <v>6075</v>
      </c>
      <c r="S54" s="57" t="n">
        <f aca="false">IF($C54="","",ROUND($J54*2.2,0))</f>
        <v>24750</v>
      </c>
      <c r="T54" s="57" t="n">
        <v>4638</v>
      </c>
      <c r="U54" s="57" t="n">
        <v>4063</v>
      </c>
      <c r="V54" s="57" t="n">
        <v>2438</v>
      </c>
      <c r="W54" s="57" t="n">
        <v>2400</v>
      </c>
      <c r="X54" s="56" t="s">
        <v>198</v>
      </c>
      <c r="Y54" s="58" t="n">
        <v>0.3</v>
      </c>
      <c r="Z54" s="58" t="n">
        <v>1</v>
      </c>
      <c r="AA54" s="56" t="s">
        <v>429</v>
      </c>
      <c r="AB54" s="56" t="s">
        <v>430</v>
      </c>
      <c r="AC54" s="56" t="s">
        <v>431</v>
      </c>
      <c r="AD54" s="56"/>
      <c r="AE54" s="56" t="s">
        <v>432</v>
      </c>
      <c r="AF54" s="56"/>
      <c r="AG54" s="56"/>
      <c r="AH54" s="56"/>
      <c r="AI54" s="56"/>
      <c r="AJ54" s="56"/>
      <c r="AK54" s="56" t="s">
        <v>433</v>
      </c>
      <c r="AL54" s="56"/>
      <c r="AM54" s="49"/>
      <c r="AN54" s="48"/>
    </row>
    <row r="55" customFormat="false" ht="16.5" hidden="false" customHeight="true" outlineLevel="0" collapsed="false">
      <c r="A55" s="48"/>
      <c r="B55" s="55" t="n">
        <f aca="false">IF($C55="","",COUNTA($C$5:C55))</f>
        <v>51</v>
      </c>
      <c r="C55" s="56" t="s">
        <v>434</v>
      </c>
      <c r="D55" s="56" t="s">
        <v>167</v>
      </c>
      <c r="E55" s="56" t="s">
        <v>408</v>
      </c>
      <c r="F55" s="56" t="s">
        <v>409</v>
      </c>
      <c r="G55" s="56" t="s">
        <v>305</v>
      </c>
      <c r="H55" s="56" t="n">
        <v>4</v>
      </c>
      <c r="I55" s="56" t="s">
        <v>219</v>
      </c>
      <c r="J55" s="57" t="n">
        <v>12100</v>
      </c>
      <c r="K55" s="57" t="n">
        <v>5100</v>
      </c>
      <c r="L55" s="57" t="n">
        <f aca="false">IF($C55="","",ROUND($J55*0.17,0))</f>
        <v>2057</v>
      </c>
      <c r="M55" s="57" t="n">
        <v>9450</v>
      </c>
      <c r="N55" s="57" t="n">
        <v>3850</v>
      </c>
      <c r="O55" s="57" t="n">
        <v>2400</v>
      </c>
      <c r="P55" s="57" t="n">
        <v>2400</v>
      </c>
      <c r="Q55" s="57" t="n">
        <v>17550</v>
      </c>
      <c r="R55" s="57" t="n">
        <v>7850</v>
      </c>
      <c r="S55" s="57" t="n">
        <f aca="false">IF($C55="","",ROUND($J55*2.2,0))</f>
        <v>26620</v>
      </c>
      <c r="T55" s="57" t="n">
        <v>4250</v>
      </c>
      <c r="U55" s="57" t="n">
        <v>3650</v>
      </c>
      <c r="V55" s="57" t="n">
        <v>2200</v>
      </c>
      <c r="W55" s="57" t="n">
        <v>2400</v>
      </c>
      <c r="X55" s="56" t="s">
        <v>109</v>
      </c>
      <c r="Y55" s="58" t="n">
        <v>0.3</v>
      </c>
      <c r="Z55" s="58" t="n">
        <v>1</v>
      </c>
      <c r="AA55" s="56" t="s">
        <v>435</v>
      </c>
      <c r="AB55" s="56" t="s">
        <v>436</v>
      </c>
      <c r="AC55" s="56" t="s">
        <v>437</v>
      </c>
      <c r="AD55" s="56" t="s">
        <v>438</v>
      </c>
      <c r="AE55" s="56" t="s">
        <v>439</v>
      </c>
      <c r="AF55" s="56"/>
      <c r="AG55" s="56"/>
      <c r="AH55" s="56"/>
      <c r="AI55" s="56"/>
      <c r="AJ55" s="56"/>
      <c r="AK55" s="56" t="s">
        <v>440</v>
      </c>
      <c r="AL55" s="56"/>
      <c r="AM55" s="49"/>
      <c r="AN55" s="48"/>
    </row>
    <row r="56" customFormat="false" ht="16.5" hidden="false" customHeight="true" outlineLevel="0" collapsed="false">
      <c r="A56" s="40"/>
      <c r="B56" s="61" t="n">
        <f aca="false">IF($C56="","",COUNTA($C$5:C56))</f>
        <v>52</v>
      </c>
      <c r="C56" s="62" t="s">
        <v>441</v>
      </c>
      <c r="D56" s="62" t="s">
        <v>43</v>
      </c>
      <c r="E56" s="62" t="s">
        <v>408</v>
      </c>
      <c r="F56" s="62" t="s">
        <v>409</v>
      </c>
      <c r="G56" s="62" t="s">
        <v>96</v>
      </c>
      <c r="H56" s="62" t="n">
        <v>0</v>
      </c>
      <c r="I56" s="62" t="s">
        <v>97</v>
      </c>
      <c r="J56" s="62" t="n">
        <v>20700</v>
      </c>
      <c r="K56" s="62" t="n">
        <v>8700</v>
      </c>
      <c r="L56" s="63" t="n">
        <f aca="false">IF($C56="","",ROUND($J56*0.17,0))</f>
        <v>3519</v>
      </c>
      <c r="M56" s="62" t="n">
        <v>16150</v>
      </c>
      <c r="N56" s="62" t="n">
        <v>6600</v>
      </c>
      <c r="O56" s="62" t="n">
        <v>4150</v>
      </c>
      <c r="P56" s="62" t="n">
        <v>0</v>
      </c>
      <c r="Q56" s="62" t="n">
        <v>30000</v>
      </c>
      <c r="R56" s="62" t="n">
        <v>13450</v>
      </c>
      <c r="S56" s="63" t="n">
        <f aca="false">IF($C56="","",ROUND($J56*2.2,0))</f>
        <v>45540</v>
      </c>
      <c r="T56" s="62" t="n">
        <v>7250</v>
      </c>
      <c r="U56" s="62" t="n">
        <v>6200</v>
      </c>
      <c r="V56" s="62" t="n">
        <v>3750</v>
      </c>
      <c r="W56" s="62" t="n">
        <v>0</v>
      </c>
      <c r="X56" s="62" t="s">
        <v>265</v>
      </c>
      <c r="Y56" s="64" t="n">
        <v>0.3</v>
      </c>
      <c r="Z56" s="64" t="n">
        <v>1</v>
      </c>
      <c r="AA56" s="62" t="s">
        <v>442</v>
      </c>
      <c r="AB56" s="62"/>
      <c r="AC56" s="62"/>
      <c r="AD56" s="62"/>
      <c r="AE56" s="62"/>
      <c r="AF56" s="62"/>
      <c r="AG56" s="62"/>
      <c r="AH56" s="62"/>
      <c r="AI56" s="62"/>
      <c r="AJ56" s="62"/>
      <c r="AK56" s="71" t="n">
        <v>35343</v>
      </c>
      <c r="AL56" s="62"/>
      <c r="AM56" s="65"/>
      <c r="AN56" s="40"/>
    </row>
    <row r="57" customFormat="false" ht="16.5" hidden="false" customHeight="true" outlineLevel="0" collapsed="false">
      <c r="A57" s="48"/>
      <c r="B57" s="55" t="n">
        <f aca="false">IF($C57="","",COUNTA($C$5:C57))</f>
        <v>53</v>
      </c>
      <c r="C57" s="56" t="s">
        <v>443</v>
      </c>
      <c r="D57" s="56" t="s">
        <v>167</v>
      </c>
      <c r="E57" s="56" t="s">
        <v>408</v>
      </c>
      <c r="F57" s="56" t="s">
        <v>409</v>
      </c>
      <c r="G57" s="56" t="s">
        <v>96</v>
      </c>
      <c r="H57" s="56" t="n">
        <v>2</v>
      </c>
      <c r="I57" s="56" t="s">
        <v>151</v>
      </c>
      <c r="J57" s="57" t="n">
        <v>11250</v>
      </c>
      <c r="K57" s="57" t="n">
        <v>4500</v>
      </c>
      <c r="L57" s="57" t="n">
        <f aca="false">IF($C57="","",ROUND($J57*0.17,0))</f>
        <v>1913</v>
      </c>
      <c r="M57" s="57" t="n">
        <v>8000</v>
      </c>
      <c r="N57" s="57" t="n">
        <v>3500</v>
      </c>
      <c r="O57" s="57" t="n">
        <v>2000</v>
      </c>
      <c r="P57" s="57" t="n">
        <v>2000</v>
      </c>
      <c r="Q57" s="57" t="n">
        <v>13500</v>
      </c>
      <c r="R57" s="57" t="n">
        <v>6075</v>
      </c>
      <c r="S57" s="57" t="n">
        <f aca="false">IF($C57="","",ROUND($J57*2.2,0))</f>
        <v>24750</v>
      </c>
      <c r="T57" s="57" t="n">
        <v>4638</v>
      </c>
      <c r="U57" s="57" t="n">
        <v>4063</v>
      </c>
      <c r="V57" s="57" t="n">
        <v>2438</v>
      </c>
      <c r="W57" s="57" t="n">
        <v>2400</v>
      </c>
      <c r="X57" s="56" t="s">
        <v>178</v>
      </c>
      <c r="Y57" s="58" t="n">
        <v>0.3</v>
      </c>
      <c r="Z57" s="58" t="n">
        <v>1</v>
      </c>
      <c r="AA57" s="56" t="s">
        <v>444</v>
      </c>
      <c r="AB57" s="56" t="s">
        <v>445</v>
      </c>
      <c r="AC57" s="56" t="s">
        <v>446</v>
      </c>
      <c r="AD57" s="56"/>
      <c r="AE57" s="56"/>
      <c r="AF57" s="56"/>
      <c r="AG57" s="56"/>
      <c r="AH57" s="56"/>
      <c r="AI57" s="56"/>
      <c r="AJ57" s="56"/>
      <c r="AK57" s="60" t="n">
        <v>39757</v>
      </c>
      <c r="AL57" s="56"/>
      <c r="AM57" s="49"/>
      <c r="AN57" s="48"/>
    </row>
    <row r="58" customFormat="false" ht="16.5" hidden="false" customHeight="true" outlineLevel="0" collapsed="false">
      <c r="A58" s="40"/>
      <c r="B58" s="61" t="n">
        <f aca="false">IF($C58="","",COUNTA($C$5:C58))</f>
        <v>54</v>
      </c>
      <c r="C58" s="62" t="s">
        <v>447</v>
      </c>
      <c r="D58" s="62" t="s">
        <v>43</v>
      </c>
      <c r="E58" s="62" t="s">
        <v>448</v>
      </c>
      <c r="F58" s="62" t="s">
        <v>448</v>
      </c>
      <c r="G58" s="62" t="s">
        <v>449</v>
      </c>
      <c r="H58" s="62" t="n">
        <v>0</v>
      </c>
      <c r="I58" s="62" t="s">
        <v>97</v>
      </c>
      <c r="J58" s="62" t="n">
        <v>12100</v>
      </c>
      <c r="K58" s="62" t="n">
        <v>5100</v>
      </c>
      <c r="L58" s="63" t="n">
        <f aca="false">IF($C58="","",ROUND($J58*0.17,0))</f>
        <v>2057</v>
      </c>
      <c r="M58" s="62" t="n">
        <v>9450</v>
      </c>
      <c r="N58" s="62" t="n">
        <v>3850</v>
      </c>
      <c r="O58" s="62" t="n">
        <v>2400</v>
      </c>
      <c r="P58" s="62" t="n">
        <v>0</v>
      </c>
      <c r="Q58" s="62" t="n">
        <v>17550</v>
      </c>
      <c r="R58" s="62" t="n">
        <v>7850</v>
      </c>
      <c r="S58" s="63" t="n">
        <f aca="false">IF($C58="","",ROUND($J58*2.2,0))</f>
        <v>26620</v>
      </c>
      <c r="T58" s="62" t="n">
        <v>4250</v>
      </c>
      <c r="U58" s="62" t="n">
        <v>3650</v>
      </c>
      <c r="V58" s="62" t="n">
        <v>2200</v>
      </c>
      <c r="W58" s="62" t="n">
        <v>0</v>
      </c>
      <c r="X58" s="62" t="s">
        <v>265</v>
      </c>
      <c r="Y58" s="64" t="n">
        <v>0.3</v>
      </c>
      <c r="Z58" s="64" t="n">
        <v>1</v>
      </c>
      <c r="AA58" s="62" t="s">
        <v>450</v>
      </c>
      <c r="AB58" s="62"/>
      <c r="AC58" s="62"/>
      <c r="AD58" s="62"/>
      <c r="AE58" s="62"/>
      <c r="AF58" s="62"/>
      <c r="AG58" s="62"/>
      <c r="AH58" s="62"/>
      <c r="AI58" s="62"/>
      <c r="AJ58" s="62"/>
      <c r="AK58" s="62"/>
      <c r="AL58" s="62"/>
      <c r="AM58" s="65"/>
      <c r="AN58" s="40"/>
    </row>
    <row r="59" customFormat="false" ht="16.5" hidden="false" customHeight="true" outlineLevel="0" collapsed="false">
      <c r="A59" s="48"/>
      <c r="B59" s="55" t="n">
        <f aca="false">IF($C59="","",COUNTA($C$5:C59))</f>
        <v>55</v>
      </c>
      <c r="C59" s="56" t="s">
        <v>451</v>
      </c>
      <c r="D59" s="56" t="s">
        <v>167</v>
      </c>
      <c r="E59" s="56" t="s">
        <v>452</v>
      </c>
      <c r="F59" s="56" t="s">
        <v>452</v>
      </c>
      <c r="G59" s="56" t="s">
        <v>449</v>
      </c>
      <c r="H59" s="56" t="n">
        <v>1</v>
      </c>
      <c r="I59" s="56" t="s">
        <v>97</v>
      </c>
      <c r="J59" s="57" t="n">
        <v>8750</v>
      </c>
      <c r="K59" s="57" t="n">
        <v>3000</v>
      </c>
      <c r="L59" s="57" t="n">
        <f aca="false">IF($C59="","",ROUND($J59*0.17,0))</f>
        <v>1488</v>
      </c>
      <c r="M59" s="57" t="n">
        <v>6000</v>
      </c>
      <c r="N59" s="57" t="n">
        <v>2500</v>
      </c>
      <c r="O59" s="57" t="n">
        <v>1200</v>
      </c>
      <c r="P59" s="57" t="n">
        <v>1200</v>
      </c>
      <c r="Q59" s="57" t="n">
        <v>9000</v>
      </c>
      <c r="R59" s="57" t="n">
        <v>4050</v>
      </c>
      <c r="S59" s="57" t="n">
        <f aca="false">IF($C59="","",ROUND($J59*2.2,0))</f>
        <v>19250</v>
      </c>
      <c r="T59" s="57" t="n">
        <v>2200</v>
      </c>
      <c r="U59" s="57" t="n">
        <v>1925</v>
      </c>
      <c r="V59" s="57" t="n">
        <v>1155</v>
      </c>
      <c r="W59" s="57" t="n">
        <v>2400</v>
      </c>
      <c r="X59" s="56" t="s">
        <v>198</v>
      </c>
      <c r="Y59" s="58" t="n">
        <v>0.3</v>
      </c>
      <c r="Z59" s="58" t="n">
        <v>1</v>
      </c>
      <c r="AA59" s="56" t="s">
        <v>453</v>
      </c>
      <c r="AB59" s="56" t="s">
        <v>454</v>
      </c>
      <c r="AC59" s="56"/>
      <c r="AD59" s="56"/>
      <c r="AE59" s="56"/>
      <c r="AF59" s="56"/>
      <c r="AG59" s="56"/>
      <c r="AH59" s="56"/>
      <c r="AI59" s="56"/>
      <c r="AJ59" s="56"/>
      <c r="AK59" s="56" t="s">
        <v>455</v>
      </c>
      <c r="AL59" s="56"/>
      <c r="AM59" s="49"/>
      <c r="AN59" s="48"/>
    </row>
    <row r="60" customFormat="false" ht="16.5" hidden="false" customHeight="true" outlineLevel="0" collapsed="false">
      <c r="A60" s="48"/>
      <c r="B60" s="55" t="n">
        <f aca="false">IF($C60="","",COUNTA($C$5:C60))</f>
        <v>56</v>
      </c>
      <c r="C60" s="56" t="s">
        <v>456</v>
      </c>
      <c r="D60" s="56" t="s">
        <v>167</v>
      </c>
      <c r="E60" s="56" t="s">
        <v>452</v>
      </c>
      <c r="F60" s="56" t="s">
        <v>452</v>
      </c>
      <c r="G60" s="56" t="s">
        <v>457</v>
      </c>
      <c r="H60" s="56" t="n">
        <v>3</v>
      </c>
      <c r="I60" s="56" t="s">
        <v>151</v>
      </c>
      <c r="J60" s="57" t="n">
        <v>5700</v>
      </c>
      <c r="K60" s="57" t="n">
        <v>2400</v>
      </c>
      <c r="L60" s="57" t="n">
        <f aca="false">IF($C60="","",ROUND($J60*0.17,0))</f>
        <v>969</v>
      </c>
      <c r="M60" s="57" t="n">
        <v>4450</v>
      </c>
      <c r="N60" s="57" t="n">
        <v>1850</v>
      </c>
      <c r="O60" s="57" t="n">
        <v>1150</v>
      </c>
      <c r="P60" s="57" t="n">
        <v>1150</v>
      </c>
      <c r="Q60" s="57" t="n">
        <v>8300</v>
      </c>
      <c r="R60" s="57" t="n">
        <v>3700</v>
      </c>
      <c r="S60" s="57" t="n">
        <f aca="false">IF($C60="","",ROUND($J60*2.2,0))</f>
        <v>12540</v>
      </c>
      <c r="T60" s="57" t="n">
        <v>2000</v>
      </c>
      <c r="U60" s="57" t="n">
        <v>1700</v>
      </c>
      <c r="V60" s="57" t="n">
        <v>1050</v>
      </c>
      <c r="W60" s="57" t="n">
        <v>2400</v>
      </c>
      <c r="X60" s="56" t="s">
        <v>123</v>
      </c>
      <c r="Y60" s="58" t="n">
        <v>0.1</v>
      </c>
      <c r="Z60" s="58" t="n">
        <v>1</v>
      </c>
      <c r="AA60" s="56" t="s">
        <v>458</v>
      </c>
      <c r="AB60" s="56" t="s">
        <v>459</v>
      </c>
      <c r="AC60" s="56" t="s">
        <v>460</v>
      </c>
      <c r="AD60" s="56"/>
      <c r="AE60" s="56"/>
      <c r="AF60" s="56"/>
      <c r="AG60" s="56"/>
      <c r="AH60" s="56" t="s">
        <v>461</v>
      </c>
      <c r="AI60" s="56"/>
      <c r="AJ60" s="56"/>
      <c r="AK60" s="56" t="s">
        <v>462</v>
      </c>
      <c r="AL60" s="56"/>
      <c r="AM60" s="49"/>
      <c r="AN60" s="48"/>
    </row>
    <row r="61" customFormat="false" ht="16.5" hidden="false" customHeight="true" outlineLevel="0" collapsed="false">
      <c r="A61" s="40"/>
      <c r="B61" s="61" t="n">
        <f aca="false">IF($C61="","",COUNTA($C$5:C61))</f>
        <v>57</v>
      </c>
      <c r="C61" s="62" t="s">
        <v>463</v>
      </c>
      <c r="D61" s="62" t="s">
        <v>43</v>
      </c>
      <c r="E61" s="62" t="s">
        <v>452</v>
      </c>
      <c r="F61" s="62" t="s">
        <v>452</v>
      </c>
      <c r="G61" s="62" t="s">
        <v>464</v>
      </c>
      <c r="H61" s="62" t="n">
        <v>1</v>
      </c>
      <c r="I61" s="62" t="s">
        <v>97</v>
      </c>
      <c r="J61" s="62" t="n">
        <v>11000</v>
      </c>
      <c r="K61" s="62" t="n">
        <v>4600</v>
      </c>
      <c r="L61" s="63" t="n">
        <f aca="false">IF($C61="","",ROUND($J61*0.17,0))</f>
        <v>1870</v>
      </c>
      <c r="M61" s="62" t="n">
        <v>8600</v>
      </c>
      <c r="N61" s="62" t="n">
        <v>3500</v>
      </c>
      <c r="O61" s="62" t="n">
        <v>2200</v>
      </c>
      <c r="P61" s="62" t="n">
        <v>0</v>
      </c>
      <c r="Q61" s="62" t="n">
        <v>15950</v>
      </c>
      <c r="R61" s="62" t="n">
        <v>7150</v>
      </c>
      <c r="S61" s="63" t="n">
        <f aca="false">IF($C61="","",ROUND($J61*2.2,0))</f>
        <v>24200</v>
      </c>
      <c r="T61" s="62" t="n">
        <v>3850</v>
      </c>
      <c r="U61" s="62" t="n">
        <v>3300</v>
      </c>
      <c r="V61" s="62" t="n">
        <v>2000</v>
      </c>
      <c r="W61" s="62" t="n">
        <v>0</v>
      </c>
      <c r="X61" s="62" t="s">
        <v>198</v>
      </c>
      <c r="Y61" s="64" t="n">
        <v>0.5</v>
      </c>
      <c r="Z61" s="64" t="n">
        <v>1</v>
      </c>
      <c r="AA61" s="62" t="s">
        <v>465</v>
      </c>
      <c r="AB61" s="62" t="s">
        <v>466</v>
      </c>
      <c r="AC61" s="62"/>
      <c r="AD61" s="62"/>
      <c r="AE61" s="62"/>
      <c r="AF61" s="62"/>
      <c r="AG61" s="62"/>
      <c r="AH61" s="62"/>
      <c r="AI61" s="62"/>
      <c r="AJ61" s="62"/>
      <c r="AK61" s="62" t="s">
        <v>467</v>
      </c>
      <c r="AL61" s="62"/>
      <c r="AM61" s="65"/>
      <c r="AN61" s="40"/>
    </row>
    <row r="62" customFormat="false" ht="16.5" hidden="false" customHeight="true" outlineLevel="0" collapsed="false">
      <c r="A62" s="48"/>
      <c r="B62" s="55" t="n">
        <f aca="false">IF($C62="","",COUNTA($C$5:C62))</f>
        <v>58</v>
      </c>
      <c r="C62" s="56" t="s">
        <v>468</v>
      </c>
      <c r="D62" s="56" t="s">
        <v>167</v>
      </c>
      <c r="E62" s="56" t="s">
        <v>452</v>
      </c>
      <c r="F62" s="56" t="s">
        <v>452</v>
      </c>
      <c r="G62" s="56" t="s">
        <v>469</v>
      </c>
      <c r="H62" s="56" t="n">
        <v>3</v>
      </c>
      <c r="I62" s="56" t="s">
        <v>151</v>
      </c>
      <c r="J62" s="57" t="n">
        <v>11250</v>
      </c>
      <c r="K62" s="57" t="n">
        <v>4500</v>
      </c>
      <c r="L62" s="57" t="n">
        <f aca="false">IF($C62="","",ROUND($J62*0.17,0))</f>
        <v>1913</v>
      </c>
      <c r="M62" s="57" t="n">
        <v>8000</v>
      </c>
      <c r="N62" s="57" t="n">
        <v>3500</v>
      </c>
      <c r="O62" s="57" t="n">
        <v>2000</v>
      </c>
      <c r="P62" s="57" t="n">
        <v>2000</v>
      </c>
      <c r="Q62" s="57" t="n">
        <v>13500</v>
      </c>
      <c r="R62" s="57" t="n">
        <v>6075</v>
      </c>
      <c r="S62" s="57" t="n">
        <f aca="false">IF($C62="","",ROUND($J62*2.2,0))</f>
        <v>24750</v>
      </c>
      <c r="T62" s="57" t="n">
        <v>4638</v>
      </c>
      <c r="U62" s="57" t="n">
        <v>4063</v>
      </c>
      <c r="V62" s="57" t="n">
        <v>2438</v>
      </c>
      <c r="W62" s="57" t="n">
        <v>2400</v>
      </c>
      <c r="X62" s="56" t="s">
        <v>123</v>
      </c>
      <c r="Y62" s="58" t="n">
        <v>0.75</v>
      </c>
      <c r="Z62" s="58" t="n">
        <v>1</v>
      </c>
      <c r="AA62" s="56" t="s">
        <v>470</v>
      </c>
      <c r="AB62" s="56" t="s">
        <v>471</v>
      </c>
      <c r="AC62" s="56"/>
      <c r="AD62" s="56" t="s">
        <v>472</v>
      </c>
      <c r="AE62" s="56" t="s">
        <v>473</v>
      </c>
      <c r="AF62" s="56"/>
      <c r="AG62" s="56"/>
      <c r="AH62" s="56"/>
      <c r="AI62" s="56"/>
      <c r="AJ62" s="56"/>
      <c r="AK62" s="56" t="s">
        <v>474</v>
      </c>
      <c r="AL62" s="56"/>
      <c r="AM62" s="49"/>
      <c r="AN62" s="48"/>
    </row>
    <row r="63" customFormat="false" ht="16.5" hidden="false" customHeight="true" outlineLevel="0" collapsed="false">
      <c r="A63" s="48"/>
      <c r="B63" s="55" t="n">
        <f aca="false">IF($C63="","",COUNTA($C$5:C63))</f>
        <v>59</v>
      </c>
      <c r="C63" s="56" t="s">
        <v>475</v>
      </c>
      <c r="D63" s="56" t="s">
        <v>167</v>
      </c>
      <c r="E63" s="56" t="s">
        <v>452</v>
      </c>
      <c r="F63" s="56" t="s">
        <v>452</v>
      </c>
      <c r="G63" s="56" t="s">
        <v>476</v>
      </c>
      <c r="H63" s="56" t="n">
        <v>2</v>
      </c>
      <c r="I63" s="56" t="s">
        <v>151</v>
      </c>
      <c r="J63" s="57" t="n">
        <v>11000</v>
      </c>
      <c r="K63" s="57" t="n">
        <v>4600</v>
      </c>
      <c r="L63" s="57" t="n">
        <f aca="false">IF($C63="","",ROUND($J63*0.17,0))</f>
        <v>1870</v>
      </c>
      <c r="M63" s="57" t="n">
        <v>8600</v>
      </c>
      <c r="N63" s="57" t="n">
        <v>3500</v>
      </c>
      <c r="O63" s="57" t="n">
        <v>2200</v>
      </c>
      <c r="P63" s="57" t="n">
        <v>2200</v>
      </c>
      <c r="Q63" s="57" t="n">
        <v>15950</v>
      </c>
      <c r="R63" s="57" t="n">
        <v>7150</v>
      </c>
      <c r="S63" s="57" t="n">
        <f aca="false">IF($C63="","",ROUND($J63*2.2,0))</f>
        <v>24200</v>
      </c>
      <c r="T63" s="57" t="n">
        <v>3850</v>
      </c>
      <c r="U63" s="57" t="n">
        <v>3300</v>
      </c>
      <c r="V63" s="57" t="n">
        <v>2000</v>
      </c>
      <c r="W63" s="57" t="n">
        <v>2400</v>
      </c>
      <c r="X63" s="56" t="s">
        <v>178</v>
      </c>
      <c r="Y63" s="58" t="n">
        <v>0.75</v>
      </c>
      <c r="Z63" s="58" t="n">
        <v>1</v>
      </c>
      <c r="AA63" s="56" t="s">
        <v>477</v>
      </c>
      <c r="AB63" s="56" t="s">
        <v>478</v>
      </c>
      <c r="AC63" s="56"/>
      <c r="AD63" s="56"/>
      <c r="AE63" s="56" t="s">
        <v>479</v>
      </c>
      <c r="AF63" s="56"/>
      <c r="AG63" s="56"/>
      <c r="AH63" s="56"/>
      <c r="AI63" s="56"/>
      <c r="AJ63" s="56"/>
      <c r="AK63" s="56" t="s">
        <v>480</v>
      </c>
      <c r="AL63" s="56"/>
      <c r="AM63" s="49"/>
      <c r="AN63" s="48"/>
    </row>
    <row r="64" customFormat="false" ht="16.5" hidden="false" customHeight="true" outlineLevel="0" collapsed="false">
      <c r="A64" s="48"/>
      <c r="B64" s="55" t="n">
        <f aca="false">IF($C64="","",COUNTA($C$5:C64))</f>
        <v>60</v>
      </c>
      <c r="C64" s="56" t="s">
        <v>481</v>
      </c>
      <c r="D64" s="56" t="s">
        <v>167</v>
      </c>
      <c r="E64" s="56" t="s">
        <v>452</v>
      </c>
      <c r="F64" s="56" t="s">
        <v>452</v>
      </c>
      <c r="G64" s="56" t="s">
        <v>449</v>
      </c>
      <c r="H64" s="56" t="n">
        <v>1</v>
      </c>
      <c r="I64" s="56" t="s">
        <v>97</v>
      </c>
      <c r="J64" s="57" t="n">
        <v>11000</v>
      </c>
      <c r="K64" s="57" t="n">
        <v>4600</v>
      </c>
      <c r="L64" s="57" t="n">
        <f aca="false">IF($C64="","",ROUND($J64*0.17,0))</f>
        <v>1870</v>
      </c>
      <c r="M64" s="57" t="n">
        <v>8600</v>
      </c>
      <c r="N64" s="57" t="n">
        <v>3500</v>
      </c>
      <c r="O64" s="57" t="n">
        <v>2200</v>
      </c>
      <c r="P64" s="57" t="n">
        <v>2200</v>
      </c>
      <c r="Q64" s="57" t="n">
        <v>15950</v>
      </c>
      <c r="R64" s="57" t="n">
        <v>7150</v>
      </c>
      <c r="S64" s="57" t="n">
        <f aca="false">IF($C64="","",ROUND($J64*2.2,0))</f>
        <v>24200</v>
      </c>
      <c r="T64" s="57" t="n">
        <v>3850</v>
      </c>
      <c r="U64" s="57" t="n">
        <v>3300</v>
      </c>
      <c r="V64" s="57" t="n">
        <v>2000</v>
      </c>
      <c r="W64" s="57" t="n">
        <v>2400</v>
      </c>
      <c r="X64" s="56" t="s">
        <v>198</v>
      </c>
      <c r="Y64" s="58" t="n">
        <v>0.3</v>
      </c>
      <c r="Z64" s="58" t="n">
        <v>1</v>
      </c>
      <c r="AA64" s="56" t="s">
        <v>482</v>
      </c>
      <c r="AB64" s="56" t="s">
        <v>483</v>
      </c>
      <c r="AC64" s="56"/>
      <c r="AD64" s="56"/>
      <c r="AE64" s="56"/>
      <c r="AF64" s="56"/>
      <c r="AG64" s="56"/>
      <c r="AH64" s="56"/>
      <c r="AI64" s="56"/>
      <c r="AJ64" s="56"/>
      <c r="AK64" s="56" t="s">
        <v>484</v>
      </c>
      <c r="AL64" s="56"/>
      <c r="AM64" s="49"/>
      <c r="AN64" s="48"/>
    </row>
    <row r="65" customFormat="false" ht="16.5" hidden="false" customHeight="true" outlineLevel="0" collapsed="false">
      <c r="A65" s="48"/>
      <c r="B65" s="55" t="n">
        <f aca="false">IF($C65="","",COUNTA($C$5:C65))</f>
        <v>61</v>
      </c>
      <c r="C65" s="56" t="s">
        <v>485</v>
      </c>
      <c r="D65" s="56" t="s">
        <v>167</v>
      </c>
      <c r="E65" s="56" t="s">
        <v>452</v>
      </c>
      <c r="F65" s="56" t="s">
        <v>452</v>
      </c>
      <c r="G65" s="56" t="s">
        <v>486</v>
      </c>
      <c r="H65" s="56" t="n">
        <v>2</v>
      </c>
      <c r="I65" s="56" t="s">
        <v>151</v>
      </c>
      <c r="J65" s="57" t="n">
        <v>5700</v>
      </c>
      <c r="K65" s="57" t="n">
        <v>2400</v>
      </c>
      <c r="L65" s="57" t="n">
        <f aca="false">IF($C65="","",ROUND($J65*0.17,0))</f>
        <v>969</v>
      </c>
      <c r="M65" s="57" t="n">
        <v>4450</v>
      </c>
      <c r="N65" s="57" t="n">
        <v>1850</v>
      </c>
      <c r="O65" s="57" t="n">
        <v>1150</v>
      </c>
      <c r="P65" s="57" t="n">
        <v>1150</v>
      </c>
      <c r="Q65" s="57" t="n">
        <v>8300</v>
      </c>
      <c r="R65" s="57" t="n">
        <v>3700</v>
      </c>
      <c r="S65" s="57" t="n">
        <f aca="false">IF($C65="","",ROUND($J65*2.2,0))</f>
        <v>12540</v>
      </c>
      <c r="T65" s="57" t="n">
        <v>2000</v>
      </c>
      <c r="U65" s="57" t="n">
        <v>1700</v>
      </c>
      <c r="V65" s="57" t="n">
        <v>1050</v>
      </c>
      <c r="W65" s="57" t="n">
        <v>2400</v>
      </c>
      <c r="X65" s="56" t="s">
        <v>178</v>
      </c>
      <c r="Y65" s="58" t="n">
        <v>0.75</v>
      </c>
      <c r="Z65" s="58" t="n">
        <v>1</v>
      </c>
      <c r="AA65" s="56" t="s">
        <v>487</v>
      </c>
      <c r="AB65" s="56" t="s">
        <v>488</v>
      </c>
      <c r="AC65" s="56"/>
      <c r="AD65" s="56" t="s">
        <v>489</v>
      </c>
      <c r="AE65" s="56"/>
      <c r="AF65" s="56"/>
      <c r="AG65" s="56"/>
      <c r="AH65" s="56"/>
      <c r="AI65" s="56"/>
      <c r="AJ65" s="56"/>
      <c r="AK65" s="56" t="s">
        <v>490</v>
      </c>
      <c r="AL65" s="56"/>
      <c r="AM65" s="49"/>
      <c r="AN65" s="48"/>
    </row>
    <row r="66" customFormat="false" ht="16.5" hidden="false" customHeight="true" outlineLevel="0" collapsed="false">
      <c r="A66" s="48"/>
      <c r="B66" s="55" t="n">
        <f aca="false">IF($C66="","",COUNTA($C$5:C66))</f>
        <v>62</v>
      </c>
      <c r="C66" s="56" t="s">
        <v>491</v>
      </c>
      <c r="D66" s="56" t="s">
        <v>167</v>
      </c>
      <c r="E66" s="56" t="s">
        <v>452</v>
      </c>
      <c r="F66" s="56" t="s">
        <v>452</v>
      </c>
      <c r="G66" s="56" t="s">
        <v>486</v>
      </c>
      <c r="H66" s="56" t="n">
        <v>1</v>
      </c>
      <c r="I66" s="56" t="s">
        <v>97</v>
      </c>
      <c r="J66" s="57" t="n">
        <v>11000</v>
      </c>
      <c r="K66" s="57" t="n">
        <v>4600</v>
      </c>
      <c r="L66" s="57" t="n">
        <f aca="false">IF($C66="","",ROUND($J66*0.17,0))</f>
        <v>1870</v>
      </c>
      <c r="M66" s="57" t="n">
        <v>8600</v>
      </c>
      <c r="N66" s="57" t="n">
        <v>3500</v>
      </c>
      <c r="O66" s="57" t="n">
        <v>2200</v>
      </c>
      <c r="P66" s="57" t="n">
        <v>2200</v>
      </c>
      <c r="Q66" s="57" t="n">
        <v>15950</v>
      </c>
      <c r="R66" s="57" t="n">
        <v>7150</v>
      </c>
      <c r="S66" s="57" t="n">
        <f aca="false">IF($C66="","",ROUND($J66*2.2,0))</f>
        <v>24200</v>
      </c>
      <c r="T66" s="57" t="n">
        <v>3850</v>
      </c>
      <c r="U66" s="57" t="n">
        <v>3300</v>
      </c>
      <c r="V66" s="57" t="n">
        <v>2000</v>
      </c>
      <c r="W66" s="57" t="n">
        <v>2400</v>
      </c>
      <c r="X66" s="56" t="s">
        <v>198</v>
      </c>
      <c r="Y66" s="58" t="n">
        <v>0.75</v>
      </c>
      <c r="Z66" s="58" t="n">
        <v>1</v>
      </c>
      <c r="AA66" s="56" t="s">
        <v>492</v>
      </c>
      <c r="AB66" s="56" t="s">
        <v>493</v>
      </c>
      <c r="AC66" s="56"/>
      <c r="AD66" s="56"/>
      <c r="AE66" s="56"/>
      <c r="AF66" s="56"/>
      <c r="AG66" s="56"/>
      <c r="AH66" s="56"/>
      <c r="AI66" s="56"/>
      <c r="AJ66" s="56"/>
      <c r="AK66" s="60" t="n">
        <v>31480</v>
      </c>
      <c r="AL66" s="56"/>
      <c r="AM66" s="49"/>
      <c r="AN66" s="48"/>
    </row>
    <row r="67" customFormat="false" ht="16.5" hidden="false" customHeight="true" outlineLevel="0" collapsed="false">
      <c r="A67" s="48"/>
      <c r="B67" s="55" t="n">
        <f aca="false">IF($C67="","",COUNTA($C$5:C67))</f>
        <v>63</v>
      </c>
      <c r="C67" s="56" t="s">
        <v>494</v>
      </c>
      <c r="D67" s="56" t="s">
        <v>167</v>
      </c>
      <c r="E67" s="56" t="s">
        <v>452</v>
      </c>
      <c r="F67" s="56" t="s">
        <v>452</v>
      </c>
      <c r="G67" s="56" t="s">
        <v>495</v>
      </c>
      <c r="H67" s="56" t="n">
        <v>2</v>
      </c>
      <c r="I67" s="56" t="s">
        <v>151</v>
      </c>
      <c r="J67" s="57" t="n">
        <v>5200</v>
      </c>
      <c r="K67" s="57" t="n">
        <v>2200</v>
      </c>
      <c r="L67" s="57" t="n">
        <f aca="false">IF($C67="","",ROUND($J67*0.17,0))</f>
        <v>884</v>
      </c>
      <c r="M67" s="57" t="n">
        <v>4050</v>
      </c>
      <c r="N67" s="57" t="n">
        <v>1650</v>
      </c>
      <c r="O67" s="57" t="n">
        <v>1050</v>
      </c>
      <c r="P67" s="57" t="n">
        <v>1050</v>
      </c>
      <c r="Q67" s="57" t="n">
        <v>7550</v>
      </c>
      <c r="R67" s="57" t="n">
        <v>3400</v>
      </c>
      <c r="S67" s="57" t="n">
        <f aca="false">IF($C67="","",ROUND($J67*2.2,0))</f>
        <v>11440</v>
      </c>
      <c r="T67" s="57" t="n">
        <v>1800</v>
      </c>
      <c r="U67" s="57" t="n">
        <v>1550</v>
      </c>
      <c r="V67" s="57" t="n">
        <v>950</v>
      </c>
      <c r="W67" s="57" t="n">
        <v>2400</v>
      </c>
      <c r="X67" s="56" t="s">
        <v>178</v>
      </c>
      <c r="Y67" s="58" t="n">
        <v>0.75</v>
      </c>
      <c r="Z67" s="58" t="n">
        <v>1</v>
      </c>
      <c r="AA67" s="56" t="s">
        <v>496</v>
      </c>
      <c r="AB67" s="56" t="s">
        <v>497</v>
      </c>
      <c r="AC67" s="56"/>
      <c r="AD67" s="56" t="s">
        <v>498</v>
      </c>
      <c r="AE67" s="56"/>
      <c r="AF67" s="56"/>
      <c r="AG67" s="56"/>
      <c r="AH67" s="56"/>
      <c r="AI67" s="56"/>
      <c r="AJ67" s="56"/>
      <c r="AK67" s="60" t="n">
        <v>32517</v>
      </c>
      <c r="AL67" s="56"/>
      <c r="AM67" s="49"/>
      <c r="AN67" s="48"/>
    </row>
    <row r="68" customFormat="false" ht="16.5" hidden="false" customHeight="true" outlineLevel="0" collapsed="false">
      <c r="A68" s="48"/>
      <c r="B68" s="55" t="n">
        <f aca="false">IF($C68="","",COUNTA($C$5:C68))</f>
        <v>64</v>
      </c>
      <c r="C68" s="56" t="s">
        <v>499</v>
      </c>
      <c r="D68" s="56" t="s">
        <v>167</v>
      </c>
      <c r="E68" s="56" t="s">
        <v>452</v>
      </c>
      <c r="F68" s="56" t="s">
        <v>452</v>
      </c>
      <c r="G68" s="56" t="s">
        <v>500</v>
      </c>
      <c r="H68" s="56" t="n">
        <v>1</v>
      </c>
      <c r="I68" s="56" t="s">
        <v>97</v>
      </c>
      <c r="J68" s="57" t="n">
        <v>11000</v>
      </c>
      <c r="K68" s="57" t="n">
        <v>4600</v>
      </c>
      <c r="L68" s="57" t="n">
        <f aca="false">IF($C68="","",ROUND($J68*0.17,0))</f>
        <v>1870</v>
      </c>
      <c r="M68" s="57" t="n">
        <v>8600</v>
      </c>
      <c r="N68" s="57" t="n">
        <v>3500</v>
      </c>
      <c r="O68" s="57" t="n">
        <v>2200</v>
      </c>
      <c r="P68" s="57" t="n">
        <v>2200</v>
      </c>
      <c r="Q68" s="57" t="n">
        <v>15950</v>
      </c>
      <c r="R68" s="57" t="n">
        <v>7150</v>
      </c>
      <c r="S68" s="57" t="n">
        <f aca="false">IF($C68="","",ROUND($J68*2.2,0))</f>
        <v>24200</v>
      </c>
      <c r="T68" s="57" t="n">
        <v>3850</v>
      </c>
      <c r="U68" s="57" t="n">
        <v>3300</v>
      </c>
      <c r="V68" s="57" t="n">
        <v>2000</v>
      </c>
      <c r="W68" s="57" t="n">
        <v>2400</v>
      </c>
      <c r="X68" s="56" t="s">
        <v>198</v>
      </c>
      <c r="Y68" s="58" t="n">
        <v>0.1</v>
      </c>
      <c r="Z68" s="58" t="n">
        <v>1</v>
      </c>
      <c r="AA68" s="56" t="s">
        <v>501</v>
      </c>
      <c r="AB68" s="56" t="s">
        <v>502</v>
      </c>
      <c r="AC68" s="56"/>
      <c r="AD68" s="56"/>
      <c r="AE68" s="56"/>
      <c r="AF68" s="56"/>
      <c r="AG68" s="56"/>
      <c r="AH68" s="56"/>
      <c r="AI68" s="56"/>
      <c r="AJ68" s="56"/>
      <c r="AK68" s="56" t="s">
        <v>503</v>
      </c>
      <c r="AL68" s="56"/>
      <c r="AM68" s="49"/>
      <c r="AN68" s="48"/>
    </row>
    <row r="69" customFormat="false" ht="16.5" hidden="false" customHeight="true" outlineLevel="0" collapsed="false">
      <c r="A69" s="48"/>
      <c r="B69" s="55" t="n">
        <f aca="false">IF($C69="","",COUNTA($C$5:C69))</f>
        <v>65</v>
      </c>
      <c r="C69" s="56" t="s">
        <v>504</v>
      </c>
      <c r="D69" s="56" t="s">
        <v>167</v>
      </c>
      <c r="E69" s="56" t="s">
        <v>448</v>
      </c>
      <c r="F69" s="56" t="s">
        <v>448</v>
      </c>
      <c r="G69" s="56" t="s">
        <v>505</v>
      </c>
      <c r="H69" s="56" t="n">
        <v>3</v>
      </c>
      <c r="I69" s="56" t="s">
        <v>151</v>
      </c>
      <c r="J69" s="57" t="n">
        <v>11000</v>
      </c>
      <c r="K69" s="57" t="n">
        <v>4600</v>
      </c>
      <c r="L69" s="57" t="n">
        <f aca="false">IF($C69="","",ROUND($J69*0.17,0))</f>
        <v>1870</v>
      </c>
      <c r="M69" s="57" t="n">
        <v>8600</v>
      </c>
      <c r="N69" s="57" t="n">
        <v>3500</v>
      </c>
      <c r="O69" s="57" t="n">
        <v>2200</v>
      </c>
      <c r="P69" s="57" t="n">
        <v>2200</v>
      </c>
      <c r="Q69" s="57" t="n">
        <v>15950</v>
      </c>
      <c r="R69" s="57" t="n">
        <v>7150</v>
      </c>
      <c r="S69" s="57" t="n">
        <f aca="false">IF($C69="","",ROUND($J69*2.2,0))</f>
        <v>24200</v>
      </c>
      <c r="T69" s="57" t="n">
        <v>3850</v>
      </c>
      <c r="U69" s="57" t="n">
        <v>3300</v>
      </c>
      <c r="V69" s="57" t="n">
        <v>2000</v>
      </c>
      <c r="W69" s="57" t="n">
        <v>2400</v>
      </c>
      <c r="X69" s="56" t="s">
        <v>123</v>
      </c>
      <c r="Y69" s="58" t="n">
        <v>0.5</v>
      </c>
      <c r="Z69" s="58" t="n">
        <v>1</v>
      </c>
      <c r="AA69" s="56" t="s">
        <v>506</v>
      </c>
      <c r="AB69" s="56" t="s">
        <v>507</v>
      </c>
      <c r="AC69" s="56"/>
      <c r="AD69" s="56" t="s">
        <v>508</v>
      </c>
      <c r="AE69" s="56" t="s">
        <v>509</v>
      </c>
      <c r="AF69" s="56"/>
      <c r="AG69" s="56"/>
      <c r="AH69" s="56"/>
      <c r="AI69" s="56"/>
      <c r="AJ69" s="56"/>
      <c r="AK69" s="56" t="s">
        <v>510</v>
      </c>
      <c r="AL69" s="56"/>
      <c r="AM69" s="49"/>
      <c r="AN69" s="48"/>
    </row>
    <row r="70" customFormat="false" ht="16.5" hidden="false" customHeight="true" outlineLevel="0" collapsed="false">
      <c r="A70" s="48"/>
      <c r="B70" s="55" t="n">
        <f aca="false">IF($C70="","",COUNTA($C$5:C70))</f>
        <v>66</v>
      </c>
      <c r="C70" s="56" t="s">
        <v>511</v>
      </c>
      <c r="D70" s="56" t="s">
        <v>167</v>
      </c>
      <c r="E70" s="56" t="s">
        <v>448</v>
      </c>
      <c r="F70" s="56" t="s">
        <v>448</v>
      </c>
      <c r="G70" s="56" t="s">
        <v>449</v>
      </c>
      <c r="H70" s="56" t="n">
        <v>3</v>
      </c>
      <c r="I70" s="56" t="s">
        <v>151</v>
      </c>
      <c r="J70" s="57" t="n">
        <v>11000</v>
      </c>
      <c r="K70" s="57" t="n">
        <v>4600</v>
      </c>
      <c r="L70" s="57" t="n">
        <f aca="false">IF($C70="","",ROUND($J70*0.17,0))</f>
        <v>1870</v>
      </c>
      <c r="M70" s="57" t="n">
        <v>8600</v>
      </c>
      <c r="N70" s="57" t="n">
        <v>3500</v>
      </c>
      <c r="O70" s="57" t="n">
        <v>2200</v>
      </c>
      <c r="P70" s="57" t="n">
        <v>2200</v>
      </c>
      <c r="Q70" s="57" t="n">
        <v>15950</v>
      </c>
      <c r="R70" s="57" t="n">
        <v>7150</v>
      </c>
      <c r="S70" s="57" t="n">
        <f aca="false">IF($C70="","",ROUND($J70*2.2,0))</f>
        <v>24200</v>
      </c>
      <c r="T70" s="57" t="n">
        <v>3850</v>
      </c>
      <c r="U70" s="57" t="n">
        <v>3300</v>
      </c>
      <c r="V70" s="57" t="n">
        <v>2000</v>
      </c>
      <c r="W70" s="57" t="n">
        <v>2400</v>
      </c>
      <c r="X70" s="56" t="s">
        <v>123</v>
      </c>
      <c r="Y70" s="58" t="n">
        <v>0.3</v>
      </c>
      <c r="Z70" s="58" t="n">
        <v>1</v>
      </c>
      <c r="AA70" s="56" t="s">
        <v>512</v>
      </c>
      <c r="AB70" s="56" t="s">
        <v>513</v>
      </c>
      <c r="AC70" s="56" t="s">
        <v>514</v>
      </c>
      <c r="AD70" s="56" t="s">
        <v>515</v>
      </c>
      <c r="AE70" s="56"/>
      <c r="AF70" s="56"/>
      <c r="AG70" s="56"/>
      <c r="AH70" s="56"/>
      <c r="AI70" s="56"/>
      <c r="AJ70" s="56"/>
      <c r="AK70" s="56" t="s">
        <v>516</v>
      </c>
      <c r="AL70" s="56"/>
      <c r="AM70" s="49"/>
      <c r="AN70" s="48"/>
    </row>
    <row r="71" customFormat="false" ht="16.5" hidden="false" customHeight="true" outlineLevel="0" collapsed="false">
      <c r="A71" s="48"/>
      <c r="B71" s="55" t="n">
        <f aca="false">IF($C71="","",COUNTA($C$5:C71))</f>
        <v>67</v>
      </c>
      <c r="C71" s="56" t="s">
        <v>517</v>
      </c>
      <c r="D71" s="56" t="s">
        <v>167</v>
      </c>
      <c r="E71" s="56" t="s">
        <v>168</v>
      </c>
      <c r="F71" s="56" t="s">
        <v>197</v>
      </c>
      <c r="G71" s="56" t="s">
        <v>449</v>
      </c>
      <c r="H71" s="56" t="n">
        <v>4</v>
      </c>
      <c r="I71" s="56" t="s">
        <v>97</v>
      </c>
      <c r="J71" s="57" t="n">
        <v>12100</v>
      </c>
      <c r="K71" s="57" t="n">
        <v>5100</v>
      </c>
      <c r="L71" s="57" t="n">
        <f aca="false">IF($C71="","",ROUND($J71*0.17,0))</f>
        <v>2057</v>
      </c>
      <c r="M71" s="57" t="n">
        <v>9450</v>
      </c>
      <c r="N71" s="57" t="n">
        <v>3850</v>
      </c>
      <c r="O71" s="57" t="n">
        <v>2400</v>
      </c>
      <c r="P71" s="57" t="n">
        <v>2400</v>
      </c>
      <c r="Q71" s="57" t="n">
        <v>17550</v>
      </c>
      <c r="R71" s="57" t="n">
        <v>7850</v>
      </c>
      <c r="S71" s="57" t="n">
        <f aca="false">IF($C71="","",ROUND($J71*2.2,0))</f>
        <v>26620</v>
      </c>
      <c r="T71" s="57" t="n">
        <v>4250</v>
      </c>
      <c r="U71" s="57" t="n">
        <v>3650</v>
      </c>
      <c r="V71" s="57" t="n">
        <v>2200</v>
      </c>
      <c r="W71" s="57" t="n">
        <v>2400</v>
      </c>
      <c r="X71" s="56" t="s">
        <v>109</v>
      </c>
      <c r="Y71" s="58" t="n">
        <v>0.3</v>
      </c>
      <c r="Z71" s="58" t="n">
        <v>1</v>
      </c>
      <c r="AA71" s="56" t="s">
        <v>518</v>
      </c>
      <c r="AB71" s="56" t="s">
        <v>519</v>
      </c>
      <c r="AC71" s="56" t="s">
        <v>520</v>
      </c>
      <c r="AD71" s="56" t="s">
        <v>521</v>
      </c>
      <c r="AE71" s="56" t="s">
        <v>522</v>
      </c>
      <c r="AF71" s="56"/>
      <c r="AG71" s="56"/>
      <c r="AH71" s="56"/>
      <c r="AI71" s="56"/>
      <c r="AJ71" s="56"/>
      <c r="AK71" s="56" t="s">
        <v>523</v>
      </c>
      <c r="AL71" s="56"/>
      <c r="AM71" s="49"/>
      <c r="AN71" s="48"/>
    </row>
    <row r="72" customFormat="false" ht="16.5" hidden="false" customHeight="true" outlineLevel="0" collapsed="false">
      <c r="A72" s="48"/>
      <c r="B72" s="55" t="n">
        <f aca="false">IF($C72="","",COUNTA($C$5:C72))</f>
        <v>68</v>
      </c>
      <c r="C72" s="56" t="s">
        <v>524</v>
      </c>
      <c r="D72" s="56" t="s">
        <v>167</v>
      </c>
      <c r="E72" s="56" t="s">
        <v>448</v>
      </c>
      <c r="F72" s="56" t="s">
        <v>448</v>
      </c>
      <c r="G72" s="56" t="s">
        <v>449</v>
      </c>
      <c r="H72" s="56" t="n">
        <v>4</v>
      </c>
      <c r="I72" s="56" t="s">
        <v>97</v>
      </c>
      <c r="J72" s="57" t="n">
        <v>5700</v>
      </c>
      <c r="K72" s="57" t="n">
        <v>2400</v>
      </c>
      <c r="L72" s="57" t="n">
        <f aca="false">IF($C72="","",ROUND($J72*0.17,0))</f>
        <v>969</v>
      </c>
      <c r="M72" s="57" t="n">
        <v>4450</v>
      </c>
      <c r="N72" s="57" t="n">
        <v>1850</v>
      </c>
      <c r="O72" s="57" t="n">
        <v>1150</v>
      </c>
      <c r="P72" s="57" t="n">
        <v>1150</v>
      </c>
      <c r="Q72" s="57" t="n">
        <v>8300</v>
      </c>
      <c r="R72" s="57" t="n">
        <v>3700</v>
      </c>
      <c r="S72" s="57" t="n">
        <f aca="false">IF($C72="","",ROUND($J72*2.2,0))</f>
        <v>12540</v>
      </c>
      <c r="T72" s="57" t="n">
        <v>2000</v>
      </c>
      <c r="U72" s="57" t="n">
        <v>1700</v>
      </c>
      <c r="V72" s="57" t="n">
        <v>1050</v>
      </c>
      <c r="W72" s="57" t="n">
        <v>2400</v>
      </c>
      <c r="X72" s="56" t="s">
        <v>109</v>
      </c>
      <c r="Y72" s="58" t="n">
        <v>0.3</v>
      </c>
      <c r="Z72" s="58" t="n">
        <v>1</v>
      </c>
      <c r="AA72" s="56" t="s">
        <v>525</v>
      </c>
      <c r="AB72" s="56" t="s">
        <v>526</v>
      </c>
      <c r="AC72" s="56" t="s">
        <v>527</v>
      </c>
      <c r="AD72" s="56" t="s">
        <v>528</v>
      </c>
      <c r="AE72" s="56" t="s">
        <v>529</v>
      </c>
      <c r="AF72" s="56"/>
      <c r="AG72" s="56"/>
      <c r="AH72" s="56"/>
      <c r="AI72" s="56"/>
      <c r="AJ72" s="56"/>
      <c r="AK72" s="60" t="n">
        <v>37502</v>
      </c>
      <c r="AL72" s="56"/>
      <c r="AM72" s="49"/>
      <c r="AN72" s="48"/>
    </row>
    <row r="73" customFormat="false" ht="16.5" hidden="false" customHeight="true" outlineLevel="0" collapsed="false">
      <c r="A73" s="48"/>
      <c r="B73" s="55" t="n">
        <f aca="false">IF($C73="","",COUNTA($C$5:C73))</f>
        <v>69</v>
      </c>
      <c r="C73" s="56" t="s">
        <v>530</v>
      </c>
      <c r="D73" s="56" t="s">
        <v>167</v>
      </c>
      <c r="E73" s="56" t="s">
        <v>448</v>
      </c>
      <c r="F73" s="56" t="s">
        <v>448</v>
      </c>
      <c r="G73" s="56" t="s">
        <v>449</v>
      </c>
      <c r="H73" s="56" t="n">
        <v>4</v>
      </c>
      <c r="I73" s="56" t="s">
        <v>97</v>
      </c>
      <c r="J73" s="57" t="n">
        <v>5700</v>
      </c>
      <c r="K73" s="57" t="n">
        <v>2400</v>
      </c>
      <c r="L73" s="57" t="n">
        <f aca="false">IF($C73="","",ROUND($J73*0.17,0))</f>
        <v>969</v>
      </c>
      <c r="M73" s="57" t="n">
        <v>4450</v>
      </c>
      <c r="N73" s="57" t="n">
        <v>1850</v>
      </c>
      <c r="O73" s="57" t="n">
        <v>1150</v>
      </c>
      <c r="P73" s="57" t="n">
        <v>1150</v>
      </c>
      <c r="Q73" s="57" t="n">
        <v>8300</v>
      </c>
      <c r="R73" s="57" t="n">
        <v>3700</v>
      </c>
      <c r="S73" s="57" t="n">
        <f aca="false">IF($C73="","",ROUND($J73*2.2,0))</f>
        <v>12540</v>
      </c>
      <c r="T73" s="57" t="n">
        <v>2000</v>
      </c>
      <c r="U73" s="57" t="n">
        <v>1700</v>
      </c>
      <c r="V73" s="57" t="n">
        <v>1050</v>
      </c>
      <c r="W73" s="57" t="n">
        <v>2400</v>
      </c>
      <c r="X73" s="56" t="s">
        <v>109</v>
      </c>
      <c r="Y73" s="58" t="n">
        <v>0.3</v>
      </c>
      <c r="Z73" s="58" t="n">
        <v>1</v>
      </c>
      <c r="AA73" s="56" t="s">
        <v>531</v>
      </c>
      <c r="AB73" s="56" t="s">
        <v>532</v>
      </c>
      <c r="AC73" s="56" t="s">
        <v>533</v>
      </c>
      <c r="AD73" s="56" t="s">
        <v>534</v>
      </c>
      <c r="AE73" s="56" t="s">
        <v>535</v>
      </c>
      <c r="AF73" s="56"/>
      <c r="AG73" s="56"/>
      <c r="AH73" s="56"/>
      <c r="AI73" s="56"/>
      <c r="AJ73" s="56"/>
      <c r="AK73" s="56" t="s">
        <v>536</v>
      </c>
      <c r="AL73" s="56"/>
      <c r="AM73" s="49"/>
      <c r="AN73" s="48"/>
    </row>
    <row r="74" customFormat="false" ht="16.5" hidden="false" customHeight="true" outlineLevel="0" collapsed="false">
      <c r="A74" s="48"/>
      <c r="B74" s="55" t="n">
        <f aca="false">IF($C74="","",COUNTA($C$5:C74))</f>
        <v>70</v>
      </c>
      <c r="C74" s="56" t="s">
        <v>537</v>
      </c>
      <c r="D74" s="56" t="s">
        <v>167</v>
      </c>
      <c r="E74" s="56" t="s">
        <v>448</v>
      </c>
      <c r="F74" s="56" t="s">
        <v>448</v>
      </c>
      <c r="G74" s="56" t="s">
        <v>449</v>
      </c>
      <c r="H74" s="56" t="n">
        <v>3</v>
      </c>
      <c r="I74" s="56" t="s">
        <v>97</v>
      </c>
      <c r="J74" s="57" t="n">
        <v>5700</v>
      </c>
      <c r="K74" s="57" t="n">
        <v>2400</v>
      </c>
      <c r="L74" s="57" t="n">
        <f aca="false">IF($C74="","",ROUND($J74*0.17,0))</f>
        <v>969</v>
      </c>
      <c r="M74" s="57" t="n">
        <v>4450</v>
      </c>
      <c r="N74" s="57" t="n">
        <v>1850</v>
      </c>
      <c r="O74" s="57" t="n">
        <v>1150</v>
      </c>
      <c r="P74" s="57" t="n">
        <v>1150</v>
      </c>
      <c r="Q74" s="57" t="n">
        <v>8300</v>
      </c>
      <c r="R74" s="57" t="n">
        <v>3700</v>
      </c>
      <c r="S74" s="57" t="n">
        <f aca="false">IF($C74="","",ROUND($J74*2.2,0))</f>
        <v>12540</v>
      </c>
      <c r="T74" s="57" t="n">
        <v>2000</v>
      </c>
      <c r="U74" s="57" t="n">
        <v>1700</v>
      </c>
      <c r="V74" s="57" t="n">
        <v>1050</v>
      </c>
      <c r="W74" s="57" t="n">
        <v>2400</v>
      </c>
      <c r="X74" s="56" t="s">
        <v>123</v>
      </c>
      <c r="Y74" s="58" t="n">
        <v>0.3</v>
      </c>
      <c r="Z74" s="58" t="n">
        <v>1</v>
      </c>
      <c r="AA74" s="56" t="s">
        <v>538</v>
      </c>
      <c r="AB74" s="56" t="s">
        <v>539</v>
      </c>
      <c r="AC74" s="56"/>
      <c r="AD74" s="56" t="s">
        <v>540</v>
      </c>
      <c r="AE74" s="56" t="s">
        <v>541</v>
      </c>
      <c r="AF74" s="56"/>
      <c r="AG74" s="56"/>
      <c r="AH74" s="56"/>
      <c r="AI74" s="56"/>
      <c r="AJ74" s="56"/>
      <c r="AK74" s="60" t="n">
        <v>38295</v>
      </c>
      <c r="AL74" s="56"/>
      <c r="AM74" s="49"/>
      <c r="AN74" s="48"/>
    </row>
    <row r="75" customFormat="false" ht="16.5" hidden="false" customHeight="true" outlineLevel="0" collapsed="false">
      <c r="A75" s="40"/>
      <c r="B75" s="61" t="n">
        <f aca="false">IF($C75="","",COUNTA($C$5:C75))</f>
        <v>71</v>
      </c>
      <c r="C75" s="62" t="s">
        <v>542</v>
      </c>
      <c r="D75" s="62" t="s">
        <v>43</v>
      </c>
      <c r="E75" s="62" t="s">
        <v>448</v>
      </c>
      <c r="F75" s="62" t="s">
        <v>448</v>
      </c>
      <c r="G75" s="62" t="s">
        <v>300</v>
      </c>
      <c r="H75" s="62" t="n">
        <v>0</v>
      </c>
      <c r="I75" s="62" t="s">
        <v>97</v>
      </c>
      <c r="J75" s="62" t="n">
        <v>0</v>
      </c>
      <c r="K75" s="62" t="n">
        <v>0</v>
      </c>
      <c r="L75" s="63" t="n">
        <f aca="false">IF($C75="","",ROUND($J75*0.17,0))</f>
        <v>0</v>
      </c>
      <c r="M75" s="62" t="n">
        <v>0</v>
      </c>
      <c r="N75" s="62" t="n">
        <v>0</v>
      </c>
      <c r="O75" s="62" t="n">
        <v>0</v>
      </c>
      <c r="P75" s="62" t="n">
        <v>0</v>
      </c>
      <c r="Q75" s="62" t="n">
        <v>0</v>
      </c>
      <c r="R75" s="62" t="n">
        <v>0</v>
      </c>
      <c r="S75" s="63" t="n">
        <f aca="false">IF($C75="","",ROUND($J75*2.2,0))</f>
        <v>0</v>
      </c>
      <c r="T75" s="62" t="n">
        <v>0</v>
      </c>
      <c r="U75" s="62" t="n">
        <v>0</v>
      </c>
      <c r="V75" s="62" t="n">
        <v>600</v>
      </c>
      <c r="W75" s="62" t="n">
        <v>0</v>
      </c>
      <c r="X75" s="62" t="s">
        <v>265</v>
      </c>
      <c r="Y75" s="64" t="n">
        <v>0.3</v>
      </c>
      <c r="Z75" s="64" t="n">
        <v>1</v>
      </c>
      <c r="AA75" s="62" t="s">
        <v>543</v>
      </c>
      <c r="AB75" s="62"/>
      <c r="AC75" s="62"/>
      <c r="AD75" s="62"/>
      <c r="AE75" s="62"/>
      <c r="AF75" s="62"/>
      <c r="AG75" s="62"/>
      <c r="AH75" s="62"/>
      <c r="AI75" s="62"/>
      <c r="AJ75" s="62"/>
      <c r="AK75" s="62"/>
      <c r="AL75" s="62"/>
      <c r="AM75" s="65"/>
      <c r="AN75" s="40"/>
    </row>
    <row r="76" customFormat="false" ht="16.5" hidden="false" customHeight="true" outlineLevel="0" collapsed="false">
      <c r="A76" s="46"/>
      <c r="B76" s="66" t="n">
        <f aca="false">IF($C76="","",COUNTA($C$5:C76))</f>
        <v>72</v>
      </c>
      <c r="C76" s="67" t="s">
        <v>544</v>
      </c>
      <c r="D76" s="67" t="s">
        <v>317</v>
      </c>
      <c r="E76" s="67" t="s">
        <v>545</v>
      </c>
      <c r="F76" s="67" t="s">
        <v>226</v>
      </c>
      <c r="G76" s="67" t="s">
        <v>546</v>
      </c>
      <c r="H76" s="67" t="n">
        <v>2</v>
      </c>
      <c r="I76" s="67" t="s">
        <v>151</v>
      </c>
      <c r="J76" s="67" t="n">
        <v>0</v>
      </c>
      <c r="K76" s="67" t="n">
        <v>0</v>
      </c>
      <c r="L76" s="67" t="n">
        <f aca="false">IF($C76="","",ROUND($J76*0.17,0))</f>
        <v>0</v>
      </c>
      <c r="M76" s="67" t="n">
        <v>0</v>
      </c>
      <c r="N76" s="67" t="n">
        <v>0</v>
      </c>
      <c r="O76" s="67" t="n">
        <v>0</v>
      </c>
      <c r="P76" s="67" t="n">
        <v>0</v>
      </c>
      <c r="Q76" s="67" t="n">
        <v>0</v>
      </c>
      <c r="R76" s="67" t="n">
        <v>0</v>
      </c>
      <c r="S76" s="68" t="n">
        <f aca="false">IF($C76="","",ROUND($J76*2.2,0))</f>
        <v>0</v>
      </c>
      <c r="T76" s="67" t="n">
        <v>0</v>
      </c>
      <c r="U76" s="67" t="n">
        <v>0</v>
      </c>
      <c r="V76" s="67" t="n">
        <v>1200</v>
      </c>
      <c r="W76" s="67" t="n">
        <v>0</v>
      </c>
      <c r="X76" s="67" t="s">
        <v>178</v>
      </c>
      <c r="Y76" s="69" t="n">
        <v>0.3</v>
      </c>
      <c r="Z76" s="69" t="n">
        <v>1</v>
      </c>
      <c r="AA76" s="67" t="s">
        <v>547</v>
      </c>
      <c r="AB76" s="67"/>
      <c r="AC76" s="67" t="s">
        <v>548</v>
      </c>
      <c r="AD76" s="67"/>
      <c r="AE76" s="67"/>
      <c r="AF76" s="67"/>
      <c r="AG76" s="67"/>
      <c r="AH76" s="67" t="s">
        <v>549</v>
      </c>
      <c r="AI76" s="67"/>
      <c r="AJ76" s="67"/>
      <c r="AK76" s="70" t="n">
        <v>34003</v>
      </c>
      <c r="AL76" s="67"/>
      <c r="AM76" s="47"/>
      <c r="AN76" s="46"/>
    </row>
    <row r="77" customFormat="false" ht="16.5" hidden="false" customHeight="true" outlineLevel="0" collapsed="false">
      <c r="A77" s="48"/>
      <c r="B77" s="55" t="n">
        <f aca="false">IF($C77="","",COUNTA($C$5:C77))</f>
        <v>73</v>
      </c>
      <c r="C77" s="56" t="s">
        <v>550</v>
      </c>
      <c r="D77" s="56" t="s">
        <v>167</v>
      </c>
      <c r="E77" s="56" t="s">
        <v>545</v>
      </c>
      <c r="F77" s="56" t="s">
        <v>226</v>
      </c>
      <c r="G77" s="56" t="s">
        <v>546</v>
      </c>
      <c r="H77" s="56" t="n">
        <v>2</v>
      </c>
      <c r="I77" s="56" t="s">
        <v>151</v>
      </c>
      <c r="J77" s="57" t="n">
        <v>11250</v>
      </c>
      <c r="K77" s="57" t="n">
        <v>4500</v>
      </c>
      <c r="L77" s="57" t="n">
        <f aca="false">IF($C77="","",ROUND($J77*0.17,0))</f>
        <v>1913</v>
      </c>
      <c r="M77" s="57" t="n">
        <v>8000</v>
      </c>
      <c r="N77" s="57" t="n">
        <v>3500</v>
      </c>
      <c r="O77" s="57" t="n">
        <v>2000</v>
      </c>
      <c r="P77" s="57" t="n">
        <v>2000</v>
      </c>
      <c r="Q77" s="57" t="n">
        <v>13500</v>
      </c>
      <c r="R77" s="57" t="n">
        <v>6075</v>
      </c>
      <c r="S77" s="57" t="n">
        <f aca="false">IF($C77="","",ROUND($J77*2.2,0))</f>
        <v>24750</v>
      </c>
      <c r="T77" s="57" t="n">
        <v>4638</v>
      </c>
      <c r="U77" s="57" t="n">
        <v>4063</v>
      </c>
      <c r="V77" s="57" t="n">
        <v>2438</v>
      </c>
      <c r="W77" s="57" t="n">
        <v>2400</v>
      </c>
      <c r="X77" s="56" t="s">
        <v>178</v>
      </c>
      <c r="Y77" s="58" t="n">
        <v>0.3</v>
      </c>
      <c r="Z77" s="58" t="n">
        <v>1</v>
      </c>
      <c r="AA77" s="56" t="s">
        <v>551</v>
      </c>
      <c r="AB77" s="56"/>
      <c r="AC77" s="56" t="s">
        <v>552</v>
      </c>
      <c r="AD77" s="56"/>
      <c r="AE77" s="56"/>
      <c r="AF77" s="56"/>
      <c r="AG77" s="56"/>
      <c r="AH77" s="56" t="s">
        <v>553</v>
      </c>
      <c r="AI77" s="56"/>
      <c r="AJ77" s="56"/>
      <c r="AK77" s="56" t="s">
        <v>554</v>
      </c>
      <c r="AL77" s="56"/>
      <c r="AM77" s="49"/>
      <c r="AN77" s="48"/>
    </row>
    <row r="78" customFormat="false" ht="16.5" hidden="false" customHeight="true" outlineLevel="0" collapsed="false">
      <c r="A78" s="48"/>
      <c r="B78" s="55" t="n">
        <f aca="false">IF($C78="","",COUNTA($C$5:C78))</f>
        <v>74</v>
      </c>
      <c r="C78" s="56" t="s">
        <v>555</v>
      </c>
      <c r="D78" s="56" t="s">
        <v>167</v>
      </c>
      <c r="E78" s="56" t="s">
        <v>545</v>
      </c>
      <c r="F78" s="56" t="s">
        <v>226</v>
      </c>
      <c r="G78" s="56" t="s">
        <v>546</v>
      </c>
      <c r="H78" s="56" t="n">
        <v>3</v>
      </c>
      <c r="I78" s="56" t="s">
        <v>151</v>
      </c>
      <c r="J78" s="57" t="n">
        <v>11000</v>
      </c>
      <c r="K78" s="57" t="n">
        <v>4600</v>
      </c>
      <c r="L78" s="57" t="n">
        <f aca="false">IF($C78="","",ROUND($J78*0.17,0))</f>
        <v>1870</v>
      </c>
      <c r="M78" s="57" t="n">
        <v>8600</v>
      </c>
      <c r="N78" s="57" t="n">
        <v>3500</v>
      </c>
      <c r="O78" s="57" t="n">
        <v>2200</v>
      </c>
      <c r="P78" s="57" t="n">
        <v>2200</v>
      </c>
      <c r="Q78" s="57" t="n">
        <v>15950</v>
      </c>
      <c r="R78" s="57" t="n">
        <v>7150</v>
      </c>
      <c r="S78" s="57" t="n">
        <f aca="false">IF($C78="","",ROUND($J78*2.2,0))</f>
        <v>24200</v>
      </c>
      <c r="T78" s="57" t="n">
        <v>3850</v>
      </c>
      <c r="U78" s="57" t="n">
        <v>3300</v>
      </c>
      <c r="V78" s="57" t="n">
        <v>2000</v>
      </c>
      <c r="W78" s="57" t="n">
        <v>2400</v>
      </c>
      <c r="X78" s="56" t="s">
        <v>123</v>
      </c>
      <c r="Y78" s="58" t="n">
        <v>0.3</v>
      </c>
      <c r="Z78" s="58" t="n">
        <v>1</v>
      </c>
      <c r="AA78" s="56" t="s">
        <v>556</v>
      </c>
      <c r="AB78" s="56"/>
      <c r="AC78" s="56" t="s">
        <v>557</v>
      </c>
      <c r="AD78" s="56"/>
      <c r="AE78" s="56"/>
      <c r="AF78" s="56" t="s">
        <v>558</v>
      </c>
      <c r="AG78" s="56"/>
      <c r="AH78" s="56" t="s">
        <v>559</v>
      </c>
      <c r="AI78" s="56"/>
      <c r="AJ78" s="56"/>
      <c r="AK78" s="56" t="s">
        <v>560</v>
      </c>
      <c r="AL78" s="56"/>
      <c r="AM78" s="49"/>
      <c r="AN78" s="48"/>
    </row>
    <row r="79" customFormat="false" ht="16.5" hidden="false" customHeight="true" outlineLevel="0" collapsed="false">
      <c r="A79" s="48"/>
      <c r="B79" s="55" t="n">
        <f aca="false">IF($C79="","",COUNTA($C$5:C79))</f>
        <v>75</v>
      </c>
      <c r="C79" s="56" t="s">
        <v>561</v>
      </c>
      <c r="D79" s="56" t="s">
        <v>167</v>
      </c>
      <c r="E79" s="56" t="s">
        <v>545</v>
      </c>
      <c r="F79" s="56" t="s">
        <v>226</v>
      </c>
      <c r="G79" s="56" t="s">
        <v>546</v>
      </c>
      <c r="H79" s="56" t="n">
        <v>3</v>
      </c>
      <c r="I79" s="56" t="s">
        <v>151</v>
      </c>
      <c r="J79" s="57" t="n">
        <v>11000</v>
      </c>
      <c r="K79" s="57" t="n">
        <v>4600</v>
      </c>
      <c r="L79" s="57" t="n">
        <f aca="false">IF($C79="","",ROUND($J79*0.17,0))</f>
        <v>1870</v>
      </c>
      <c r="M79" s="57" t="n">
        <v>8600</v>
      </c>
      <c r="N79" s="57" t="n">
        <v>3500</v>
      </c>
      <c r="O79" s="57" t="n">
        <v>2200</v>
      </c>
      <c r="P79" s="57" t="n">
        <v>2200</v>
      </c>
      <c r="Q79" s="57" t="n">
        <v>15950</v>
      </c>
      <c r="R79" s="57" t="n">
        <v>7150</v>
      </c>
      <c r="S79" s="57" t="n">
        <f aca="false">IF($C79="","",ROUND($J79*2.2,0))</f>
        <v>24200</v>
      </c>
      <c r="T79" s="57" t="n">
        <v>3850</v>
      </c>
      <c r="U79" s="57" t="n">
        <v>3300</v>
      </c>
      <c r="V79" s="57" t="n">
        <v>2000</v>
      </c>
      <c r="W79" s="57" t="n">
        <v>2400</v>
      </c>
      <c r="X79" s="56" t="s">
        <v>123</v>
      </c>
      <c r="Y79" s="58" t="n">
        <v>0.3</v>
      </c>
      <c r="Z79" s="58" t="n">
        <v>1</v>
      </c>
      <c r="AA79" s="56" t="s">
        <v>562</v>
      </c>
      <c r="AB79" s="56"/>
      <c r="AC79" s="56" t="s">
        <v>563</v>
      </c>
      <c r="AD79" s="56"/>
      <c r="AE79" s="56"/>
      <c r="AF79" s="56" t="s">
        <v>564</v>
      </c>
      <c r="AG79" s="56"/>
      <c r="AH79" s="56" t="s">
        <v>565</v>
      </c>
      <c r="AI79" s="56"/>
      <c r="AJ79" s="56"/>
      <c r="AK79" s="60" t="n">
        <v>38600</v>
      </c>
      <c r="AL79" s="56"/>
      <c r="AM79" s="49"/>
      <c r="AN79" s="48"/>
    </row>
    <row r="80" customFormat="false" ht="16.5" hidden="false" customHeight="true" outlineLevel="0" collapsed="false">
      <c r="A80" s="48"/>
      <c r="B80" s="55" t="n">
        <f aca="false">IF($C80="","",COUNTA($C$5:C80))</f>
        <v>76</v>
      </c>
      <c r="C80" s="56" t="s">
        <v>566</v>
      </c>
      <c r="D80" s="56" t="s">
        <v>167</v>
      </c>
      <c r="E80" s="56" t="s">
        <v>545</v>
      </c>
      <c r="F80" s="56" t="s">
        <v>226</v>
      </c>
      <c r="G80" s="56" t="s">
        <v>546</v>
      </c>
      <c r="H80" s="56" t="n">
        <v>3</v>
      </c>
      <c r="I80" s="56" t="s">
        <v>151</v>
      </c>
      <c r="J80" s="57" t="n">
        <v>11000</v>
      </c>
      <c r="K80" s="57" t="n">
        <v>4600</v>
      </c>
      <c r="L80" s="57" t="n">
        <f aca="false">IF($C80="","",ROUND($J80*0.17,0))</f>
        <v>1870</v>
      </c>
      <c r="M80" s="57" t="n">
        <v>8600</v>
      </c>
      <c r="N80" s="57" t="n">
        <v>3500</v>
      </c>
      <c r="O80" s="57" t="n">
        <v>2200</v>
      </c>
      <c r="P80" s="57" t="n">
        <v>2200</v>
      </c>
      <c r="Q80" s="57" t="n">
        <v>15950</v>
      </c>
      <c r="R80" s="57" t="n">
        <v>7150</v>
      </c>
      <c r="S80" s="57" t="n">
        <f aca="false">IF($C80="","",ROUND($J80*2.2,0))</f>
        <v>24200</v>
      </c>
      <c r="T80" s="57" t="n">
        <v>3850</v>
      </c>
      <c r="U80" s="57" t="n">
        <v>3300</v>
      </c>
      <c r="V80" s="57" t="n">
        <v>2000</v>
      </c>
      <c r="W80" s="57" t="n">
        <v>2400</v>
      </c>
      <c r="X80" s="56" t="s">
        <v>123</v>
      </c>
      <c r="Y80" s="58" t="n">
        <v>0.3</v>
      </c>
      <c r="Z80" s="58" t="n">
        <v>1</v>
      </c>
      <c r="AA80" s="56" t="s">
        <v>567</v>
      </c>
      <c r="AB80" s="56"/>
      <c r="AC80" s="56" t="s">
        <v>568</v>
      </c>
      <c r="AD80" s="56"/>
      <c r="AE80" s="56"/>
      <c r="AF80" s="56" t="s">
        <v>569</v>
      </c>
      <c r="AG80" s="56"/>
      <c r="AH80" s="56" t="s">
        <v>570</v>
      </c>
      <c r="AI80" s="56"/>
      <c r="AJ80" s="56"/>
      <c r="AK80" s="56" t="s">
        <v>571</v>
      </c>
      <c r="AL80" s="56"/>
      <c r="AM80" s="49"/>
      <c r="AN80" s="48"/>
    </row>
    <row r="81" customFormat="false" ht="16.5" hidden="false" customHeight="true" outlineLevel="0" collapsed="false">
      <c r="A81" s="48"/>
      <c r="B81" s="55" t="n">
        <f aca="false">IF($C81="","",COUNTA($C$5:C81))</f>
        <v>77</v>
      </c>
      <c r="C81" s="56" t="s">
        <v>572</v>
      </c>
      <c r="D81" s="56" t="s">
        <v>167</v>
      </c>
      <c r="E81" s="56" t="s">
        <v>545</v>
      </c>
      <c r="F81" s="56" t="s">
        <v>226</v>
      </c>
      <c r="G81" s="56" t="s">
        <v>546</v>
      </c>
      <c r="H81" s="56" t="n">
        <v>2</v>
      </c>
      <c r="I81" s="56" t="s">
        <v>151</v>
      </c>
      <c r="J81" s="57" t="n">
        <v>11000</v>
      </c>
      <c r="K81" s="57" t="n">
        <v>4600</v>
      </c>
      <c r="L81" s="57" t="n">
        <f aca="false">IF($C81="","",ROUND($J81*0.17,0))</f>
        <v>1870</v>
      </c>
      <c r="M81" s="57" t="n">
        <v>8600</v>
      </c>
      <c r="N81" s="57" t="n">
        <v>3500</v>
      </c>
      <c r="O81" s="57" t="n">
        <v>2200</v>
      </c>
      <c r="P81" s="57" t="n">
        <v>2200</v>
      </c>
      <c r="Q81" s="57" t="n">
        <v>15950</v>
      </c>
      <c r="R81" s="57" t="n">
        <v>7150</v>
      </c>
      <c r="S81" s="57" t="n">
        <f aca="false">IF($C81="","",ROUND($J81*2.2,0))</f>
        <v>24200</v>
      </c>
      <c r="T81" s="57" t="n">
        <v>3850</v>
      </c>
      <c r="U81" s="57" t="n">
        <v>3300</v>
      </c>
      <c r="V81" s="57" t="n">
        <v>2000</v>
      </c>
      <c r="W81" s="57" t="n">
        <v>2400</v>
      </c>
      <c r="X81" s="56" t="s">
        <v>178</v>
      </c>
      <c r="Y81" s="58" t="n">
        <v>0.3</v>
      </c>
      <c r="Z81" s="58" t="n">
        <v>1</v>
      </c>
      <c r="AA81" s="56" t="s">
        <v>573</v>
      </c>
      <c r="AB81" s="56"/>
      <c r="AC81" s="56" t="s">
        <v>574</v>
      </c>
      <c r="AD81" s="56"/>
      <c r="AE81" s="56"/>
      <c r="AF81" s="56" t="s">
        <v>575</v>
      </c>
      <c r="AG81" s="56"/>
      <c r="AH81" s="56"/>
      <c r="AI81" s="56"/>
      <c r="AJ81" s="56"/>
      <c r="AK81" s="56" t="s">
        <v>576</v>
      </c>
      <c r="AL81" s="56"/>
      <c r="AM81" s="49"/>
      <c r="AN81" s="48"/>
    </row>
    <row r="82" customFormat="false" ht="16.5" hidden="false" customHeight="true" outlineLevel="0" collapsed="false">
      <c r="A82" s="48"/>
      <c r="B82" s="55" t="n">
        <f aca="false">IF($C82="","",COUNTA($C$5:C82))</f>
        <v>78</v>
      </c>
      <c r="C82" s="56" t="s">
        <v>577</v>
      </c>
      <c r="D82" s="56" t="s">
        <v>167</v>
      </c>
      <c r="E82" s="56" t="s">
        <v>545</v>
      </c>
      <c r="F82" s="56" t="s">
        <v>226</v>
      </c>
      <c r="G82" s="56" t="s">
        <v>546</v>
      </c>
      <c r="H82" s="56" t="n">
        <v>2</v>
      </c>
      <c r="I82" s="56" t="s">
        <v>151</v>
      </c>
      <c r="J82" s="57" t="n">
        <v>11000</v>
      </c>
      <c r="K82" s="57" t="n">
        <v>4600</v>
      </c>
      <c r="L82" s="57" t="n">
        <f aca="false">IF($C82="","",ROUND($J82*0.17,0))</f>
        <v>1870</v>
      </c>
      <c r="M82" s="57" t="n">
        <v>8600</v>
      </c>
      <c r="N82" s="57" t="n">
        <v>3500</v>
      </c>
      <c r="O82" s="57" t="n">
        <v>2200</v>
      </c>
      <c r="P82" s="57" t="n">
        <v>2200</v>
      </c>
      <c r="Q82" s="57" t="n">
        <v>15950</v>
      </c>
      <c r="R82" s="57" t="n">
        <v>7150</v>
      </c>
      <c r="S82" s="57" t="n">
        <f aca="false">IF($C82="","",ROUND($J82*2.2,0))</f>
        <v>24200</v>
      </c>
      <c r="T82" s="57" t="n">
        <v>3850</v>
      </c>
      <c r="U82" s="57" t="n">
        <v>3300</v>
      </c>
      <c r="V82" s="57" t="n">
        <v>2000</v>
      </c>
      <c r="W82" s="57" t="n">
        <v>2400</v>
      </c>
      <c r="X82" s="56" t="s">
        <v>178</v>
      </c>
      <c r="Y82" s="58" t="n">
        <v>0.3</v>
      </c>
      <c r="Z82" s="58" t="n">
        <v>1</v>
      </c>
      <c r="AA82" s="56" t="s">
        <v>578</v>
      </c>
      <c r="AB82" s="56"/>
      <c r="AC82" s="56" t="s">
        <v>579</v>
      </c>
      <c r="AD82" s="56"/>
      <c r="AE82" s="56"/>
      <c r="AF82" s="56"/>
      <c r="AG82" s="56"/>
      <c r="AH82" s="56" t="s">
        <v>580</v>
      </c>
      <c r="AI82" s="56"/>
      <c r="AJ82" s="56"/>
      <c r="AK82" s="60" t="n">
        <v>39905</v>
      </c>
      <c r="AL82" s="56"/>
      <c r="AM82" s="49"/>
      <c r="AN82" s="48"/>
    </row>
    <row r="83" customFormat="false" ht="16.5" hidden="false" customHeight="true" outlineLevel="0" collapsed="false">
      <c r="A83" s="40"/>
      <c r="B83" s="61" t="n">
        <f aca="false">IF($C83="","",COUNTA($C$5:C83))</f>
        <v>79</v>
      </c>
      <c r="C83" s="62" t="s">
        <v>581</v>
      </c>
      <c r="D83" s="62" t="s">
        <v>43</v>
      </c>
      <c r="E83" s="62" t="s">
        <v>545</v>
      </c>
      <c r="F83" s="62" t="s">
        <v>226</v>
      </c>
      <c r="G83" s="62" t="s">
        <v>546</v>
      </c>
      <c r="H83" s="62" t="n">
        <v>0</v>
      </c>
      <c r="I83" s="62" t="s">
        <v>97</v>
      </c>
      <c r="J83" s="62" t="n">
        <v>11000</v>
      </c>
      <c r="K83" s="62" t="n">
        <v>4600</v>
      </c>
      <c r="L83" s="63" t="n">
        <f aca="false">IF($C83="","",ROUND($J83*0.17,0))</f>
        <v>1870</v>
      </c>
      <c r="M83" s="62" t="n">
        <v>8600</v>
      </c>
      <c r="N83" s="62" t="n">
        <v>3500</v>
      </c>
      <c r="O83" s="62" t="n">
        <v>2200</v>
      </c>
      <c r="P83" s="62" t="n">
        <v>0</v>
      </c>
      <c r="Q83" s="62" t="n">
        <v>15950</v>
      </c>
      <c r="R83" s="62" t="n">
        <v>7150</v>
      </c>
      <c r="S83" s="63" t="n">
        <f aca="false">IF($C83="","",ROUND($J83*2.2,0))</f>
        <v>24200</v>
      </c>
      <c r="T83" s="62" t="n">
        <v>3850</v>
      </c>
      <c r="U83" s="62" t="n">
        <v>3300</v>
      </c>
      <c r="V83" s="62" t="n">
        <v>2000</v>
      </c>
      <c r="W83" s="62" t="n">
        <v>0</v>
      </c>
      <c r="X83" s="62" t="s">
        <v>265</v>
      </c>
      <c r="Y83" s="64" t="n">
        <v>0.3</v>
      </c>
      <c r="Z83" s="64" t="n">
        <v>1</v>
      </c>
      <c r="AA83" s="62" t="s">
        <v>582</v>
      </c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5"/>
      <c r="AN83" s="40"/>
    </row>
    <row r="84" customFormat="false" ht="16.5" hidden="false" customHeight="true" outlineLevel="0" collapsed="false">
      <c r="A84" s="48"/>
      <c r="B84" s="55" t="n">
        <f aca="false">IF($C84="","",COUNTA($C$5:C84))</f>
        <v>80</v>
      </c>
      <c r="C84" s="56" t="s">
        <v>583</v>
      </c>
      <c r="D84" s="56" t="s">
        <v>167</v>
      </c>
      <c r="E84" s="56" t="s">
        <v>584</v>
      </c>
      <c r="F84" s="56" t="s">
        <v>584</v>
      </c>
      <c r="G84" s="56" t="s">
        <v>420</v>
      </c>
      <c r="H84" s="56" t="n">
        <v>3</v>
      </c>
      <c r="I84" s="56" t="s">
        <v>151</v>
      </c>
      <c r="J84" s="57" t="n">
        <v>11250</v>
      </c>
      <c r="K84" s="57" t="n">
        <v>4500</v>
      </c>
      <c r="L84" s="57" t="n">
        <f aca="false">IF($C84="","",ROUND($J84*0.17,0))</f>
        <v>1913</v>
      </c>
      <c r="M84" s="57" t="n">
        <v>8000</v>
      </c>
      <c r="N84" s="57" t="n">
        <v>3500</v>
      </c>
      <c r="O84" s="57" t="n">
        <v>2000</v>
      </c>
      <c r="P84" s="57" t="n">
        <v>2000</v>
      </c>
      <c r="Q84" s="57" t="n">
        <v>13500</v>
      </c>
      <c r="R84" s="57" t="n">
        <v>6075</v>
      </c>
      <c r="S84" s="57" t="n">
        <f aca="false">IF($C84="","",ROUND($J84*2.2,0))</f>
        <v>24750</v>
      </c>
      <c r="T84" s="57" t="n">
        <v>4638</v>
      </c>
      <c r="U84" s="57" t="n">
        <v>4063</v>
      </c>
      <c r="V84" s="57" t="n">
        <v>2438</v>
      </c>
      <c r="W84" s="57" t="n">
        <v>2400</v>
      </c>
      <c r="X84" s="56" t="s">
        <v>123</v>
      </c>
      <c r="Y84" s="58" t="n">
        <v>0.75</v>
      </c>
      <c r="Z84" s="58" t="n">
        <v>1</v>
      </c>
      <c r="AA84" s="56" t="s">
        <v>583</v>
      </c>
      <c r="AB84" s="56" t="s">
        <v>585</v>
      </c>
      <c r="AC84" s="56" t="s">
        <v>586</v>
      </c>
      <c r="AD84" s="56" t="s">
        <v>587</v>
      </c>
      <c r="AE84" s="56"/>
      <c r="AF84" s="56"/>
      <c r="AG84" s="56"/>
      <c r="AH84" s="56"/>
      <c r="AI84" s="56"/>
      <c r="AJ84" s="56"/>
      <c r="AK84" s="56" t="s">
        <v>588</v>
      </c>
      <c r="AL84" s="56" t="s">
        <v>589</v>
      </c>
      <c r="AM84" s="49"/>
      <c r="AN84" s="48"/>
    </row>
    <row r="85" customFormat="false" ht="16.5" hidden="false" customHeight="true" outlineLevel="0" collapsed="false">
      <c r="A85" s="48"/>
      <c r="B85" s="55" t="n">
        <f aca="false">IF($C85="","",COUNTA($C$5:C85))</f>
        <v>81</v>
      </c>
      <c r="C85" s="56" t="s">
        <v>590</v>
      </c>
      <c r="D85" s="56" t="s">
        <v>167</v>
      </c>
      <c r="E85" s="56" t="s">
        <v>584</v>
      </c>
      <c r="F85" s="56" t="s">
        <v>584</v>
      </c>
      <c r="G85" s="56" t="s">
        <v>449</v>
      </c>
      <c r="H85" s="56" t="n">
        <v>2</v>
      </c>
      <c r="I85" s="56" t="s">
        <v>151</v>
      </c>
      <c r="J85" s="57" t="n">
        <v>11000</v>
      </c>
      <c r="K85" s="57" t="n">
        <v>4600</v>
      </c>
      <c r="L85" s="57" t="n">
        <f aca="false">IF($C85="","",ROUND($J85*0.17,0))</f>
        <v>1870</v>
      </c>
      <c r="M85" s="57" t="n">
        <v>8600</v>
      </c>
      <c r="N85" s="57" t="n">
        <v>3500</v>
      </c>
      <c r="O85" s="57" t="n">
        <v>2200</v>
      </c>
      <c r="P85" s="57" t="n">
        <v>2200</v>
      </c>
      <c r="Q85" s="57" t="n">
        <v>15950</v>
      </c>
      <c r="R85" s="57" t="n">
        <v>7150</v>
      </c>
      <c r="S85" s="57" t="n">
        <f aca="false">IF($C85="","",ROUND($J85*2.2,0))</f>
        <v>24200</v>
      </c>
      <c r="T85" s="57" t="n">
        <v>3850</v>
      </c>
      <c r="U85" s="57" t="n">
        <v>3300</v>
      </c>
      <c r="V85" s="57" t="n">
        <v>2000</v>
      </c>
      <c r="W85" s="57" t="n">
        <v>2400</v>
      </c>
      <c r="X85" s="56" t="s">
        <v>178</v>
      </c>
      <c r="Y85" s="58" t="n">
        <v>0.3</v>
      </c>
      <c r="Z85" s="58" t="n">
        <v>1</v>
      </c>
      <c r="AA85" s="56" t="s">
        <v>590</v>
      </c>
      <c r="AB85" s="56" t="s">
        <v>591</v>
      </c>
      <c r="AC85" s="56" t="s">
        <v>592</v>
      </c>
      <c r="AD85" s="56"/>
      <c r="AE85" s="56"/>
      <c r="AF85" s="56"/>
      <c r="AG85" s="56"/>
      <c r="AH85" s="56"/>
      <c r="AI85" s="56"/>
      <c r="AJ85" s="56"/>
      <c r="AK85" s="56" t="s">
        <v>593</v>
      </c>
      <c r="AL85" s="56" t="s">
        <v>589</v>
      </c>
      <c r="AM85" s="49"/>
      <c r="AN85" s="48"/>
    </row>
    <row r="86" customFormat="false" ht="16.5" hidden="false" customHeight="true" outlineLevel="0" collapsed="false">
      <c r="A86" s="48"/>
      <c r="B86" s="55" t="n">
        <f aca="false">IF($C86="","",COUNTA($C$5:C86))</f>
        <v>82</v>
      </c>
      <c r="C86" s="56" t="s">
        <v>594</v>
      </c>
      <c r="D86" s="56" t="s">
        <v>167</v>
      </c>
      <c r="E86" s="56" t="s">
        <v>584</v>
      </c>
      <c r="F86" s="56" t="s">
        <v>584</v>
      </c>
      <c r="G86" s="56" t="s">
        <v>420</v>
      </c>
      <c r="H86" s="56" t="n">
        <v>2</v>
      </c>
      <c r="I86" s="56" t="s">
        <v>151</v>
      </c>
      <c r="J86" s="57" t="n">
        <v>12100</v>
      </c>
      <c r="K86" s="57" t="n">
        <v>5100</v>
      </c>
      <c r="L86" s="57" t="n">
        <f aca="false">IF($C86="","",ROUND($J86*0.17,0))</f>
        <v>2057</v>
      </c>
      <c r="M86" s="57" t="n">
        <v>9450</v>
      </c>
      <c r="N86" s="57" t="n">
        <v>3850</v>
      </c>
      <c r="O86" s="57" t="n">
        <v>2400</v>
      </c>
      <c r="P86" s="57" t="n">
        <v>2400</v>
      </c>
      <c r="Q86" s="57" t="n">
        <v>17550</v>
      </c>
      <c r="R86" s="57" t="n">
        <v>7850</v>
      </c>
      <c r="S86" s="57" t="n">
        <f aca="false">IF($C86="","",ROUND($J86*2.2,0))</f>
        <v>26620</v>
      </c>
      <c r="T86" s="57" t="n">
        <v>4250</v>
      </c>
      <c r="U86" s="57" t="n">
        <v>3650</v>
      </c>
      <c r="V86" s="57" t="n">
        <v>2200</v>
      </c>
      <c r="W86" s="57" t="n">
        <v>2400</v>
      </c>
      <c r="X86" s="56" t="s">
        <v>178</v>
      </c>
      <c r="Y86" s="58" t="n">
        <v>0.75</v>
      </c>
      <c r="Z86" s="58" t="n">
        <v>1</v>
      </c>
      <c r="AA86" s="56" t="s">
        <v>594</v>
      </c>
      <c r="AB86" s="56" t="s">
        <v>595</v>
      </c>
      <c r="AC86" s="56" t="s">
        <v>596</v>
      </c>
      <c r="AD86" s="56"/>
      <c r="AE86" s="56"/>
      <c r="AF86" s="56"/>
      <c r="AG86" s="56"/>
      <c r="AH86" s="56"/>
      <c r="AI86" s="56"/>
      <c r="AJ86" s="56"/>
      <c r="AK86" s="56" t="s">
        <v>597</v>
      </c>
      <c r="AL86" s="56" t="s">
        <v>589</v>
      </c>
      <c r="AM86" s="49"/>
      <c r="AN86" s="48"/>
    </row>
    <row r="87" customFormat="false" ht="16.5" hidden="false" customHeight="true" outlineLevel="0" collapsed="false">
      <c r="A87" s="48"/>
      <c r="B87" s="55" t="n">
        <f aca="false">IF($C87="","",COUNTA($C$5:C87))</f>
        <v>83</v>
      </c>
      <c r="C87" s="56" t="s">
        <v>598</v>
      </c>
      <c r="D87" s="56" t="s">
        <v>167</v>
      </c>
      <c r="E87" s="56" t="s">
        <v>584</v>
      </c>
      <c r="F87" s="56" t="s">
        <v>584</v>
      </c>
      <c r="G87" s="56" t="s">
        <v>449</v>
      </c>
      <c r="H87" s="56" t="n">
        <v>2</v>
      </c>
      <c r="I87" s="56" t="s">
        <v>151</v>
      </c>
      <c r="J87" s="57" t="n">
        <v>11000</v>
      </c>
      <c r="K87" s="57" t="n">
        <v>4600</v>
      </c>
      <c r="L87" s="57" t="n">
        <f aca="false">IF($C87="","",ROUND($J87*0.17,0))</f>
        <v>1870</v>
      </c>
      <c r="M87" s="57" t="n">
        <v>8600</v>
      </c>
      <c r="N87" s="57" t="n">
        <v>3500</v>
      </c>
      <c r="O87" s="57" t="n">
        <v>2200</v>
      </c>
      <c r="P87" s="57" t="n">
        <v>2200</v>
      </c>
      <c r="Q87" s="57" t="n">
        <v>15950</v>
      </c>
      <c r="R87" s="57" t="n">
        <v>7150</v>
      </c>
      <c r="S87" s="57" t="n">
        <f aca="false">IF($C87="","",ROUND($J87*2.2,0))</f>
        <v>24200</v>
      </c>
      <c r="T87" s="57" t="n">
        <v>3850</v>
      </c>
      <c r="U87" s="57" t="n">
        <v>3300</v>
      </c>
      <c r="V87" s="57" t="n">
        <v>2000</v>
      </c>
      <c r="W87" s="57" t="n">
        <v>2400</v>
      </c>
      <c r="X87" s="56" t="s">
        <v>178</v>
      </c>
      <c r="Y87" s="58" t="n">
        <v>0.3</v>
      </c>
      <c r="Z87" s="58" t="n">
        <v>1</v>
      </c>
      <c r="AA87" s="56" t="s">
        <v>598</v>
      </c>
      <c r="AB87" s="56" t="s">
        <v>599</v>
      </c>
      <c r="AC87" s="56" t="s">
        <v>600</v>
      </c>
      <c r="AD87" s="56"/>
      <c r="AE87" s="56"/>
      <c r="AF87" s="56"/>
      <c r="AG87" s="56"/>
      <c r="AH87" s="56"/>
      <c r="AI87" s="56"/>
      <c r="AJ87" s="56"/>
      <c r="AK87" s="56" t="s">
        <v>601</v>
      </c>
      <c r="AL87" s="56" t="s">
        <v>589</v>
      </c>
      <c r="AM87" s="49"/>
      <c r="AN87" s="48"/>
    </row>
    <row r="88" customFormat="false" ht="16.5" hidden="false" customHeight="true" outlineLevel="0" collapsed="false">
      <c r="A88" s="40"/>
      <c r="B88" s="61" t="n">
        <f aca="false">IF($C88="","",COUNTA($C$5:C88))</f>
        <v>84</v>
      </c>
      <c r="C88" s="62" t="s">
        <v>602</v>
      </c>
      <c r="D88" s="62" t="s">
        <v>43</v>
      </c>
      <c r="E88" s="62" t="s">
        <v>584</v>
      </c>
      <c r="F88" s="62" t="s">
        <v>584</v>
      </c>
      <c r="G88" s="62" t="s">
        <v>300</v>
      </c>
      <c r="H88" s="62" t="n">
        <v>2</v>
      </c>
      <c r="I88" s="62" t="s">
        <v>151</v>
      </c>
      <c r="J88" s="62" t="n">
        <v>12100</v>
      </c>
      <c r="K88" s="62" t="n">
        <v>5100</v>
      </c>
      <c r="L88" s="63" t="n">
        <f aca="false">IF($C88="","",ROUND($J88*0.17,0))</f>
        <v>2057</v>
      </c>
      <c r="M88" s="62" t="n">
        <v>9450</v>
      </c>
      <c r="N88" s="62" t="n">
        <v>3850</v>
      </c>
      <c r="O88" s="62" t="n">
        <v>2400</v>
      </c>
      <c r="P88" s="62" t="n">
        <v>0</v>
      </c>
      <c r="Q88" s="62" t="n">
        <v>17550</v>
      </c>
      <c r="R88" s="62" t="n">
        <v>7850</v>
      </c>
      <c r="S88" s="63" t="n">
        <f aca="false">IF($C88="","",ROUND($J88*2.2,0))</f>
        <v>26620</v>
      </c>
      <c r="T88" s="62" t="n">
        <v>4250</v>
      </c>
      <c r="U88" s="62" t="n">
        <v>3650</v>
      </c>
      <c r="V88" s="62" t="n">
        <v>2200</v>
      </c>
      <c r="W88" s="62" t="n">
        <v>0</v>
      </c>
      <c r="X88" s="62" t="s">
        <v>178</v>
      </c>
      <c r="Y88" s="64" t="n">
        <v>0.3</v>
      </c>
      <c r="Z88" s="64" t="n">
        <v>1</v>
      </c>
      <c r="AA88" s="62" t="s">
        <v>603</v>
      </c>
      <c r="AB88" s="62" t="s">
        <v>604</v>
      </c>
      <c r="AC88" s="62" t="s">
        <v>605</v>
      </c>
      <c r="AD88" s="62"/>
      <c r="AE88" s="62"/>
      <c r="AF88" s="62"/>
      <c r="AG88" s="62"/>
      <c r="AH88" s="62"/>
      <c r="AI88" s="62"/>
      <c r="AJ88" s="62"/>
      <c r="AK88" s="62" t="s">
        <v>606</v>
      </c>
      <c r="AL88" s="62"/>
      <c r="AM88" s="65"/>
      <c r="AN88" s="40"/>
    </row>
    <row r="89" customFormat="false" ht="16.5" hidden="false" customHeight="true" outlineLevel="0" collapsed="false">
      <c r="A89" s="48"/>
      <c r="B89" s="55" t="n">
        <f aca="false">IF($C89="","",COUNTA($C$5:C89))</f>
        <v>85</v>
      </c>
      <c r="C89" s="56" t="s">
        <v>607</v>
      </c>
      <c r="D89" s="56" t="s">
        <v>167</v>
      </c>
      <c r="E89" s="56" t="s">
        <v>608</v>
      </c>
      <c r="F89" s="56" t="s">
        <v>214</v>
      </c>
      <c r="G89" s="56" t="s">
        <v>609</v>
      </c>
      <c r="H89" s="56" t="n">
        <v>1</v>
      </c>
      <c r="I89" s="56" t="s">
        <v>97</v>
      </c>
      <c r="J89" s="57" t="n">
        <v>8750</v>
      </c>
      <c r="K89" s="57" t="n">
        <v>3000</v>
      </c>
      <c r="L89" s="57" t="n">
        <f aca="false">IF($C89="","",ROUND($J89*0.17,0))</f>
        <v>1488</v>
      </c>
      <c r="M89" s="57" t="n">
        <v>6000</v>
      </c>
      <c r="N89" s="57" t="n">
        <v>2500</v>
      </c>
      <c r="O89" s="57" t="n">
        <v>1200</v>
      </c>
      <c r="P89" s="57" t="n">
        <v>1200</v>
      </c>
      <c r="Q89" s="57" t="n">
        <v>9000</v>
      </c>
      <c r="R89" s="57" t="n">
        <v>4050</v>
      </c>
      <c r="S89" s="57" t="n">
        <f aca="false">IF($C89="","",ROUND($J89*2.2,0))</f>
        <v>19250</v>
      </c>
      <c r="T89" s="57" t="n">
        <v>2200</v>
      </c>
      <c r="U89" s="57" t="n">
        <v>1925</v>
      </c>
      <c r="V89" s="57" t="n">
        <v>1155</v>
      </c>
      <c r="W89" s="57" t="n">
        <v>2400</v>
      </c>
      <c r="X89" s="56" t="s">
        <v>198</v>
      </c>
      <c r="Y89" s="58" t="n">
        <v>0.3</v>
      </c>
      <c r="Z89" s="58" t="n">
        <v>1</v>
      </c>
      <c r="AA89" s="56" t="s">
        <v>610</v>
      </c>
      <c r="AB89" s="56"/>
      <c r="AC89" s="56" t="s">
        <v>611</v>
      </c>
      <c r="AD89" s="56"/>
      <c r="AE89" s="56"/>
      <c r="AF89" s="56"/>
      <c r="AG89" s="56"/>
      <c r="AH89" s="56"/>
      <c r="AI89" s="56"/>
      <c r="AJ89" s="56"/>
      <c r="AK89" s="56" t="s">
        <v>612</v>
      </c>
      <c r="AL89" s="56" t="s">
        <v>613</v>
      </c>
      <c r="AM89" s="49"/>
      <c r="AN89" s="48"/>
    </row>
    <row r="90" customFormat="false" ht="16.5" hidden="false" customHeight="true" outlineLevel="0" collapsed="false">
      <c r="A90" s="48"/>
      <c r="B90" s="55" t="n">
        <f aca="false">IF($C90="","",COUNTA($C$5:C90))</f>
        <v>86</v>
      </c>
      <c r="C90" s="56" t="s">
        <v>614</v>
      </c>
      <c r="D90" s="56" t="s">
        <v>167</v>
      </c>
      <c r="E90" s="56" t="s">
        <v>608</v>
      </c>
      <c r="F90" s="56" t="s">
        <v>214</v>
      </c>
      <c r="G90" s="56" t="s">
        <v>96</v>
      </c>
      <c r="H90" s="56" t="n">
        <v>1</v>
      </c>
      <c r="I90" s="56" t="s">
        <v>97</v>
      </c>
      <c r="J90" s="57" t="n">
        <v>5200</v>
      </c>
      <c r="K90" s="57" t="n">
        <v>2200</v>
      </c>
      <c r="L90" s="57" t="n">
        <f aca="false">IF($C90="","",ROUND($J90*0.17,0))</f>
        <v>884</v>
      </c>
      <c r="M90" s="57" t="n">
        <v>4050</v>
      </c>
      <c r="N90" s="57" t="n">
        <v>1650</v>
      </c>
      <c r="O90" s="57" t="n">
        <v>1050</v>
      </c>
      <c r="P90" s="57" t="n">
        <v>1050</v>
      </c>
      <c r="Q90" s="57" t="n">
        <v>7550</v>
      </c>
      <c r="R90" s="57" t="n">
        <v>3400</v>
      </c>
      <c r="S90" s="57" t="n">
        <f aca="false">IF($C90="","",ROUND($J90*2.2,0))</f>
        <v>11440</v>
      </c>
      <c r="T90" s="57" t="n">
        <v>1800</v>
      </c>
      <c r="U90" s="57" t="n">
        <v>1550</v>
      </c>
      <c r="V90" s="57" t="n">
        <v>950</v>
      </c>
      <c r="W90" s="57" t="n">
        <v>2400</v>
      </c>
      <c r="X90" s="56" t="s">
        <v>198</v>
      </c>
      <c r="Y90" s="58" t="n">
        <v>0.3</v>
      </c>
      <c r="Z90" s="58" t="n">
        <v>1</v>
      </c>
      <c r="AA90" s="56" t="s">
        <v>615</v>
      </c>
      <c r="AB90" s="56"/>
      <c r="AC90" s="56" t="s">
        <v>616</v>
      </c>
      <c r="AD90" s="56"/>
      <c r="AE90" s="56"/>
      <c r="AF90" s="56"/>
      <c r="AG90" s="56"/>
      <c r="AH90" s="56"/>
      <c r="AI90" s="56"/>
      <c r="AJ90" s="56"/>
      <c r="AK90" s="56" t="s">
        <v>617</v>
      </c>
      <c r="AL90" s="56" t="s">
        <v>618</v>
      </c>
      <c r="AM90" s="49"/>
      <c r="AN90" s="48"/>
    </row>
    <row r="91" customFormat="false" ht="16.5" hidden="false" customHeight="true" outlineLevel="0" collapsed="false">
      <c r="A91" s="40"/>
      <c r="B91" s="61" t="n">
        <f aca="false">IF($C91="","",COUNTA($C$5:C91))</f>
        <v>87</v>
      </c>
      <c r="C91" s="62" t="s">
        <v>619</v>
      </c>
      <c r="D91" s="62" t="s">
        <v>43</v>
      </c>
      <c r="E91" s="62" t="s">
        <v>608</v>
      </c>
      <c r="F91" s="62" t="s">
        <v>214</v>
      </c>
      <c r="G91" s="62" t="s">
        <v>620</v>
      </c>
      <c r="H91" s="62" t="n">
        <v>1</v>
      </c>
      <c r="I91" s="62" t="s">
        <v>97</v>
      </c>
      <c r="J91" s="62" t="n">
        <v>5700</v>
      </c>
      <c r="K91" s="62" t="n">
        <v>2400</v>
      </c>
      <c r="L91" s="63" t="n">
        <f aca="false">IF($C91="","",ROUND($J91*0.17,0))</f>
        <v>969</v>
      </c>
      <c r="M91" s="62" t="n">
        <v>4450</v>
      </c>
      <c r="N91" s="62" t="n">
        <v>1850</v>
      </c>
      <c r="O91" s="62" t="n">
        <v>1150</v>
      </c>
      <c r="P91" s="62" t="n">
        <v>0</v>
      </c>
      <c r="Q91" s="62" t="n">
        <v>8300</v>
      </c>
      <c r="R91" s="62" t="n">
        <v>3700</v>
      </c>
      <c r="S91" s="63" t="n">
        <f aca="false">IF($C91="","",ROUND($J91*2.2,0))</f>
        <v>12540</v>
      </c>
      <c r="T91" s="62" t="n">
        <v>2000</v>
      </c>
      <c r="U91" s="62" t="n">
        <v>1700</v>
      </c>
      <c r="V91" s="62" t="n">
        <v>1050</v>
      </c>
      <c r="W91" s="62" t="n">
        <v>0</v>
      </c>
      <c r="X91" s="62" t="s">
        <v>198</v>
      </c>
      <c r="Y91" s="64" t="n">
        <v>0.3</v>
      </c>
      <c r="Z91" s="64" t="n">
        <v>1</v>
      </c>
      <c r="AA91" s="62" t="s">
        <v>621</v>
      </c>
      <c r="AB91" s="62"/>
      <c r="AC91" s="62" t="s">
        <v>622</v>
      </c>
      <c r="AD91" s="62"/>
      <c r="AE91" s="62"/>
      <c r="AF91" s="62"/>
      <c r="AG91" s="62"/>
      <c r="AH91" s="62"/>
      <c r="AI91" s="62"/>
      <c r="AJ91" s="62"/>
      <c r="AK91" s="71" t="n">
        <v>37050</v>
      </c>
      <c r="AL91" s="62"/>
      <c r="AM91" s="65"/>
      <c r="AN91" s="40"/>
    </row>
    <row r="92" customFormat="false" ht="16.5" hidden="false" customHeight="true" outlineLevel="0" collapsed="false">
      <c r="A92" s="40"/>
      <c r="B92" s="61" t="n">
        <f aca="false">IF($C92="","",COUNTA($C$5:C92))</f>
        <v>88</v>
      </c>
      <c r="C92" s="62" t="s">
        <v>619</v>
      </c>
      <c r="D92" s="62" t="s">
        <v>43</v>
      </c>
      <c r="E92" s="62" t="s">
        <v>608</v>
      </c>
      <c r="F92" s="62" t="s">
        <v>623</v>
      </c>
      <c r="G92" s="62" t="s">
        <v>620</v>
      </c>
      <c r="H92" s="62" t="n">
        <v>1</v>
      </c>
      <c r="I92" s="62" t="s">
        <v>97</v>
      </c>
      <c r="J92" s="62" t="n">
        <v>0</v>
      </c>
      <c r="K92" s="62" t="n">
        <v>0</v>
      </c>
      <c r="L92" s="63" t="n">
        <f aca="false">IF($C92="","",ROUND($J92*0.17,0))</f>
        <v>0</v>
      </c>
      <c r="M92" s="62" t="n">
        <v>0</v>
      </c>
      <c r="N92" s="62" t="n">
        <v>0</v>
      </c>
      <c r="O92" s="62" t="n">
        <v>0</v>
      </c>
      <c r="P92" s="62" t="n">
        <v>0</v>
      </c>
      <c r="Q92" s="62" t="n">
        <v>0</v>
      </c>
      <c r="R92" s="62" t="n">
        <v>0</v>
      </c>
      <c r="S92" s="63" t="n">
        <f aca="false">IF($C92="","",ROUND($J92*2.2,0))</f>
        <v>0</v>
      </c>
      <c r="T92" s="62" t="n">
        <v>0</v>
      </c>
      <c r="U92" s="62" t="n">
        <v>0</v>
      </c>
      <c r="V92" s="62" t="n">
        <v>600</v>
      </c>
      <c r="W92" s="62" t="n">
        <v>0</v>
      </c>
      <c r="X92" s="62" t="s">
        <v>198</v>
      </c>
      <c r="Y92" s="64" t="n">
        <v>0.3</v>
      </c>
      <c r="Z92" s="64" t="n">
        <v>1</v>
      </c>
      <c r="AA92" s="62" t="s">
        <v>621</v>
      </c>
      <c r="AB92" s="62"/>
      <c r="AC92" s="62" t="s">
        <v>622</v>
      </c>
      <c r="AD92" s="62"/>
      <c r="AE92" s="62"/>
      <c r="AF92" s="62"/>
      <c r="AG92" s="62"/>
      <c r="AH92" s="62"/>
      <c r="AI92" s="62"/>
      <c r="AJ92" s="62"/>
      <c r="AK92" s="71" t="n">
        <v>37050</v>
      </c>
      <c r="AL92" s="62"/>
      <c r="AM92" s="65"/>
      <c r="AN92" s="40"/>
    </row>
    <row r="93" customFormat="false" ht="16.5" hidden="false" customHeight="true" outlineLevel="0" collapsed="false">
      <c r="A93" s="48"/>
      <c r="B93" s="55" t="n">
        <f aca="false">IF($C93="","",COUNTA($C$5:C93))</f>
        <v>89</v>
      </c>
      <c r="C93" s="56" t="s">
        <v>624</v>
      </c>
      <c r="D93" s="56" t="s">
        <v>167</v>
      </c>
      <c r="E93" s="56" t="s">
        <v>608</v>
      </c>
      <c r="F93" s="56" t="s">
        <v>214</v>
      </c>
      <c r="G93" s="56" t="s">
        <v>96</v>
      </c>
      <c r="H93" s="56" t="n">
        <v>0</v>
      </c>
      <c r="I93" s="56" t="s">
        <v>97</v>
      </c>
      <c r="J93" s="57" t="n">
        <v>8750</v>
      </c>
      <c r="K93" s="57" t="n">
        <v>3000</v>
      </c>
      <c r="L93" s="57" t="n">
        <f aca="false">IF($C93="","",ROUND($J93*0.17,0))</f>
        <v>1488</v>
      </c>
      <c r="M93" s="57" t="n">
        <v>6000</v>
      </c>
      <c r="N93" s="57" t="n">
        <v>2500</v>
      </c>
      <c r="O93" s="57" t="n">
        <v>1200</v>
      </c>
      <c r="P93" s="57" t="n">
        <v>1200</v>
      </c>
      <c r="Q93" s="57" t="n">
        <v>9000</v>
      </c>
      <c r="R93" s="57" t="n">
        <v>4050</v>
      </c>
      <c r="S93" s="57" t="n">
        <f aca="false">IF($C93="","",ROUND($J93*2.2,0))</f>
        <v>19250</v>
      </c>
      <c r="T93" s="57" t="n">
        <v>2200</v>
      </c>
      <c r="U93" s="57" t="n">
        <v>1925</v>
      </c>
      <c r="V93" s="57" t="n">
        <v>1155</v>
      </c>
      <c r="W93" s="57" t="n">
        <v>2400</v>
      </c>
      <c r="X93" s="56" t="s">
        <v>265</v>
      </c>
      <c r="Y93" s="58" t="n">
        <v>0.3</v>
      </c>
      <c r="Z93" s="58" t="n">
        <v>1</v>
      </c>
      <c r="AA93" s="56" t="s">
        <v>625</v>
      </c>
      <c r="AB93" s="56"/>
      <c r="AC93" s="56"/>
      <c r="AD93" s="56"/>
      <c r="AE93" s="56"/>
      <c r="AF93" s="56"/>
      <c r="AG93" s="56"/>
      <c r="AH93" s="56"/>
      <c r="AI93" s="56"/>
      <c r="AJ93" s="56"/>
      <c r="AK93" s="56" t="s">
        <v>626</v>
      </c>
      <c r="AL93" s="56" t="s">
        <v>627</v>
      </c>
      <c r="AM93" s="49"/>
      <c r="AN93" s="48"/>
    </row>
    <row r="94" customFormat="false" ht="16.5" hidden="false" customHeight="true" outlineLevel="0" collapsed="false">
      <c r="A94" s="48"/>
      <c r="B94" s="55" t="n">
        <f aca="false">IF($C94="","",COUNTA($C$5:C94))</f>
        <v>90</v>
      </c>
      <c r="C94" s="56" t="s">
        <v>628</v>
      </c>
      <c r="D94" s="56" t="s">
        <v>167</v>
      </c>
      <c r="E94" s="56" t="s">
        <v>608</v>
      </c>
      <c r="F94" s="56" t="s">
        <v>214</v>
      </c>
      <c r="G94" s="56" t="s">
        <v>96</v>
      </c>
      <c r="H94" s="56" t="n">
        <v>1</v>
      </c>
      <c r="I94" s="56" t="s">
        <v>97</v>
      </c>
      <c r="J94" s="57" t="n">
        <v>5700</v>
      </c>
      <c r="K94" s="57" t="n">
        <v>2400</v>
      </c>
      <c r="L94" s="57" t="n">
        <f aca="false">IF($C94="","",ROUND($J94*0.17,0))</f>
        <v>969</v>
      </c>
      <c r="M94" s="57" t="n">
        <v>4450</v>
      </c>
      <c r="N94" s="57" t="n">
        <v>1850</v>
      </c>
      <c r="O94" s="57" t="n">
        <v>1150</v>
      </c>
      <c r="P94" s="57" t="n">
        <v>1150</v>
      </c>
      <c r="Q94" s="57" t="n">
        <v>8300</v>
      </c>
      <c r="R94" s="57" t="n">
        <v>3700</v>
      </c>
      <c r="S94" s="57" t="n">
        <f aca="false">IF($C94="","",ROUND($J94*2.2,0))</f>
        <v>12540</v>
      </c>
      <c r="T94" s="57" t="n">
        <v>2000</v>
      </c>
      <c r="U94" s="57" t="n">
        <v>1700</v>
      </c>
      <c r="V94" s="57" t="n">
        <v>1050</v>
      </c>
      <c r="W94" s="57" t="n">
        <v>2400</v>
      </c>
      <c r="X94" s="56" t="s">
        <v>198</v>
      </c>
      <c r="Y94" s="58" t="n">
        <v>0.3</v>
      </c>
      <c r="Z94" s="58" t="n">
        <v>1</v>
      </c>
      <c r="AA94" s="56" t="s">
        <v>629</v>
      </c>
      <c r="AB94" s="56"/>
      <c r="AC94" s="56" t="s">
        <v>630</v>
      </c>
      <c r="AD94" s="56"/>
      <c r="AE94" s="56"/>
      <c r="AF94" s="56"/>
      <c r="AG94" s="56"/>
      <c r="AH94" s="56"/>
      <c r="AI94" s="56"/>
      <c r="AJ94" s="56"/>
      <c r="AK94" s="60" t="n">
        <v>37682</v>
      </c>
      <c r="AL94" s="56" t="s">
        <v>631</v>
      </c>
      <c r="AM94" s="49"/>
      <c r="AN94" s="48"/>
    </row>
    <row r="95" customFormat="false" ht="16.5" hidden="false" customHeight="true" outlineLevel="0" collapsed="false">
      <c r="A95" s="48"/>
      <c r="B95" s="55" t="n">
        <f aca="false">IF($C95="","",COUNTA($C$5:C95))</f>
        <v>91</v>
      </c>
      <c r="C95" s="56" t="s">
        <v>632</v>
      </c>
      <c r="D95" s="56" t="s">
        <v>167</v>
      </c>
      <c r="E95" s="56" t="s">
        <v>608</v>
      </c>
      <c r="F95" s="56" t="s">
        <v>214</v>
      </c>
      <c r="G95" s="56" t="s">
        <v>96</v>
      </c>
      <c r="H95" s="56" t="n">
        <v>0</v>
      </c>
      <c r="I95" s="56" t="s">
        <v>97</v>
      </c>
      <c r="J95" s="57" t="n">
        <v>5700</v>
      </c>
      <c r="K95" s="57" t="n">
        <v>2400</v>
      </c>
      <c r="L95" s="57" t="n">
        <f aca="false">IF($C95="","",ROUND($J95*0.17,0))</f>
        <v>969</v>
      </c>
      <c r="M95" s="57" t="n">
        <v>4450</v>
      </c>
      <c r="N95" s="57" t="n">
        <v>1850</v>
      </c>
      <c r="O95" s="57" t="n">
        <v>1150</v>
      </c>
      <c r="P95" s="57" t="n">
        <v>1150</v>
      </c>
      <c r="Q95" s="57" t="n">
        <v>8300</v>
      </c>
      <c r="R95" s="57" t="n">
        <v>3700</v>
      </c>
      <c r="S95" s="57" t="n">
        <f aca="false">IF($C95="","",ROUND($J95*2.2,0))</f>
        <v>12540</v>
      </c>
      <c r="T95" s="57" t="n">
        <v>2000</v>
      </c>
      <c r="U95" s="57" t="n">
        <v>1700</v>
      </c>
      <c r="V95" s="57" t="n">
        <v>1050</v>
      </c>
      <c r="W95" s="57" t="n">
        <v>2400</v>
      </c>
      <c r="X95" s="56" t="s">
        <v>265</v>
      </c>
      <c r="Y95" s="58" t="n">
        <v>0.3</v>
      </c>
      <c r="Z95" s="58" t="n">
        <v>1</v>
      </c>
      <c r="AA95" s="56" t="s">
        <v>633</v>
      </c>
      <c r="AB95" s="56"/>
      <c r="AC95" s="56"/>
      <c r="AD95" s="56"/>
      <c r="AE95" s="56"/>
      <c r="AF95" s="56"/>
      <c r="AG95" s="56"/>
      <c r="AH95" s="56"/>
      <c r="AI95" s="56"/>
      <c r="AJ95" s="56"/>
      <c r="AK95" s="56" t="s">
        <v>634</v>
      </c>
      <c r="AL95" s="56" t="s">
        <v>613</v>
      </c>
      <c r="AM95" s="49"/>
      <c r="AN95" s="48"/>
    </row>
    <row r="96" customFormat="false" ht="16.5" hidden="false" customHeight="true" outlineLevel="0" collapsed="false">
      <c r="A96" s="48"/>
      <c r="B96" s="55" t="n">
        <f aca="false">IF($C96="","",COUNTA($C$5:C96))</f>
        <v>92</v>
      </c>
      <c r="C96" s="56" t="s">
        <v>635</v>
      </c>
      <c r="D96" s="56" t="s">
        <v>167</v>
      </c>
      <c r="E96" s="56" t="s">
        <v>608</v>
      </c>
      <c r="F96" s="56" t="s">
        <v>214</v>
      </c>
      <c r="G96" s="56" t="s">
        <v>96</v>
      </c>
      <c r="H96" s="56" t="n">
        <v>0</v>
      </c>
      <c r="I96" s="56" t="s">
        <v>97</v>
      </c>
      <c r="J96" s="57" t="n">
        <v>5700</v>
      </c>
      <c r="K96" s="57" t="n">
        <v>2400</v>
      </c>
      <c r="L96" s="57" t="n">
        <f aca="false">IF($C96="","",ROUND($J96*0.17,0))</f>
        <v>969</v>
      </c>
      <c r="M96" s="57" t="n">
        <v>4450</v>
      </c>
      <c r="N96" s="57" t="n">
        <v>1850</v>
      </c>
      <c r="O96" s="57" t="n">
        <v>1150</v>
      </c>
      <c r="P96" s="57" t="n">
        <v>1150</v>
      </c>
      <c r="Q96" s="57" t="n">
        <v>8300</v>
      </c>
      <c r="R96" s="57" t="n">
        <v>3700</v>
      </c>
      <c r="S96" s="57" t="n">
        <f aca="false">IF($C96="","",ROUND($J96*2.2,0))</f>
        <v>12540</v>
      </c>
      <c r="T96" s="57" t="n">
        <v>2000</v>
      </c>
      <c r="U96" s="57" t="n">
        <v>1700</v>
      </c>
      <c r="V96" s="57" t="n">
        <v>1050</v>
      </c>
      <c r="W96" s="57" t="n">
        <v>2400</v>
      </c>
      <c r="X96" s="56" t="s">
        <v>265</v>
      </c>
      <c r="Y96" s="58" t="n">
        <v>0.3</v>
      </c>
      <c r="Z96" s="58" t="n">
        <v>1</v>
      </c>
      <c r="AA96" s="56" t="s">
        <v>636</v>
      </c>
      <c r="AB96" s="56"/>
      <c r="AC96" s="56"/>
      <c r="AD96" s="56"/>
      <c r="AE96" s="56"/>
      <c r="AF96" s="56"/>
      <c r="AG96" s="56"/>
      <c r="AH96" s="56"/>
      <c r="AI96" s="56"/>
      <c r="AJ96" s="56"/>
      <c r="AK96" s="56" t="s">
        <v>637</v>
      </c>
      <c r="AL96" s="56" t="s">
        <v>638</v>
      </c>
      <c r="AM96" s="49"/>
      <c r="AN96" s="48"/>
    </row>
    <row r="97" customFormat="false" ht="16.5" hidden="false" customHeight="true" outlineLevel="0" collapsed="false">
      <c r="A97" s="48"/>
      <c r="B97" s="55" t="n">
        <f aca="false">IF($C97="","",COUNTA($C$5:C97))</f>
        <v>93</v>
      </c>
      <c r="C97" s="56" t="s">
        <v>639</v>
      </c>
      <c r="D97" s="56" t="s">
        <v>167</v>
      </c>
      <c r="E97" s="56" t="s">
        <v>608</v>
      </c>
      <c r="F97" s="56" t="s">
        <v>640</v>
      </c>
      <c r="G97" s="56" t="s">
        <v>609</v>
      </c>
      <c r="H97" s="56" t="n">
        <v>4</v>
      </c>
      <c r="I97" s="56" t="s">
        <v>219</v>
      </c>
      <c r="J97" s="57" t="n">
        <v>11000</v>
      </c>
      <c r="K97" s="57" t="n">
        <v>4600</v>
      </c>
      <c r="L97" s="57" t="n">
        <f aca="false">IF($C97="","",ROUND($J97*0.17,0))</f>
        <v>1870</v>
      </c>
      <c r="M97" s="57" t="n">
        <v>8600</v>
      </c>
      <c r="N97" s="57" t="n">
        <v>3500</v>
      </c>
      <c r="O97" s="57" t="n">
        <v>2200</v>
      </c>
      <c r="P97" s="57" t="n">
        <v>2200</v>
      </c>
      <c r="Q97" s="57" t="n">
        <v>15950</v>
      </c>
      <c r="R97" s="57" t="n">
        <v>7150</v>
      </c>
      <c r="S97" s="57" t="n">
        <f aca="false">IF($C97="","",ROUND($J97*2.2,0))</f>
        <v>24200</v>
      </c>
      <c r="T97" s="57" t="n">
        <v>3850</v>
      </c>
      <c r="U97" s="57" t="n">
        <v>3300</v>
      </c>
      <c r="V97" s="57" t="n">
        <v>2000</v>
      </c>
      <c r="W97" s="57" t="n">
        <v>2400</v>
      </c>
      <c r="X97" s="56" t="s">
        <v>109</v>
      </c>
      <c r="Y97" s="58" t="n">
        <v>0.3</v>
      </c>
      <c r="Z97" s="58" t="n">
        <v>1</v>
      </c>
      <c r="AA97" s="56" t="s">
        <v>641</v>
      </c>
      <c r="AB97" s="56" t="s">
        <v>642</v>
      </c>
      <c r="AC97" s="56" t="s">
        <v>643</v>
      </c>
      <c r="AD97" s="56"/>
      <c r="AE97" s="56"/>
      <c r="AF97" s="56" t="s">
        <v>644</v>
      </c>
      <c r="AG97" s="56"/>
      <c r="AH97" s="56" t="s">
        <v>645</v>
      </c>
      <c r="AI97" s="56"/>
      <c r="AJ97" s="56"/>
      <c r="AK97" s="56" t="s">
        <v>646</v>
      </c>
      <c r="AL97" s="56" t="s">
        <v>638</v>
      </c>
      <c r="AM97" s="49"/>
      <c r="AN97" s="48"/>
    </row>
    <row r="98" customFormat="false" ht="16.5" hidden="false" customHeight="true" outlineLevel="0" collapsed="false">
      <c r="A98" s="48"/>
      <c r="B98" s="55" t="n">
        <f aca="false">IF($C98="","",COUNTA($C$5:C98))</f>
        <v>94</v>
      </c>
      <c r="C98" s="56" t="s">
        <v>647</v>
      </c>
      <c r="D98" s="56" t="s">
        <v>167</v>
      </c>
      <c r="E98" s="56" t="s">
        <v>608</v>
      </c>
      <c r="F98" s="56" t="s">
        <v>640</v>
      </c>
      <c r="G98" s="56" t="s">
        <v>609</v>
      </c>
      <c r="H98" s="56" t="n">
        <v>3</v>
      </c>
      <c r="I98" s="56" t="s">
        <v>151</v>
      </c>
      <c r="J98" s="57" t="n">
        <v>18000</v>
      </c>
      <c r="K98" s="57" t="n">
        <v>7550</v>
      </c>
      <c r="L98" s="57" t="n">
        <f aca="false">IF($C98="","",ROUND($J98*0.17,0))</f>
        <v>3060</v>
      </c>
      <c r="M98" s="57" t="n">
        <v>14050</v>
      </c>
      <c r="N98" s="57" t="n">
        <v>5750</v>
      </c>
      <c r="O98" s="57" t="n">
        <v>3600</v>
      </c>
      <c r="P98" s="57" t="n">
        <v>3600</v>
      </c>
      <c r="Q98" s="57" t="n">
        <v>26100</v>
      </c>
      <c r="R98" s="57" t="n">
        <v>11700</v>
      </c>
      <c r="S98" s="57" t="n">
        <f aca="false">IF($C98="","",ROUND($J98*2.2,0))</f>
        <v>39600</v>
      </c>
      <c r="T98" s="57" t="n">
        <v>6300</v>
      </c>
      <c r="U98" s="57" t="n">
        <v>5400</v>
      </c>
      <c r="V98" s="57" t="n">
        <v>3250</v>
      </c>
      <c r="W98" s="57" t="n">
        <v>2400</v>
      </c>
      <c r="X98" s="56" t="s">
        <v>123</v>
      </c>
      <c r="Y98" s="58" t="n">
        <v>0.3</v>
      </c>
      <c r="Z98" s="58" t="n">
        <v>1</v>
      </c>
      <c r="AA98" s="56" t="s">
        <v>648</v>
      </c>
      <c r="AB98" s="56"/>
      <c r="AC98" s="56" t="s">
        <v>649</v>
      </c>
      <c r="AD98" s="56"/>
      <c r="AE98" s="56"/>
      <c r="AF98" s="56" t="s">
        <v>649</v>
      </c>
      <c r="AG98" s="56"/>
      <c r="AH98" s="56" t="s">
        <v>650</v>
      </c>
      <c r="AI98" s="56"/>
      <c r="AJ98" s="56"/>
      <c r="AK98" s="60" t="n">
        <v>36687</v>
      </c>
      <c r="AL98" s="56" t="s">
        <v>627</v>
      </c>
      <c r="AM98" s="49"/>
      <c r="AN98" s="48"/>
    </row>
    <row r="99" customFormat="false" ht="16.5" hidden="false" customHeight="true" outlineLevel="0" collapsed="false">
      <c r="A99" s="48"/>
      <c r="B99" s="55" t="n">
        <f aca="false">IF($C99="","",COUNTA($C$5:C99))</f>
        <v>95</v>
      </c>
      <c r="C99" s="56" t="s">
        <v>651</v>
      </c>
      <c r="D99" s="56" t="s">
        <v>167</v>
      </c>
      <c r="E99" s="56" t="s">
        <v>608</v>
      </c>
      <c r="F99" s="56" t="s">
        <v>640</v>
      </c>
      <c r="G99" s="56" t="s">
        <v>609</v>
      </c>
      <c r="H99" s="56" t="n">
        <v>3</v>
      </c>
      <c r="I99" s="56" t="s">
        <v>151</v>
      </c>
      <c r="J99" s="57" t="n">
        <v>11000</v>
      </c>
      <c r="K99" s="57" t="n">
        <v>4600</v>
      </c>
      <c r="L99" s="57" t="n">
        <f aca="false">IF($C99="","",ROUND($J99*0.17,0))</f>
        <v>1870</v>
      </c>
      <c r="M99" s="57" t="n">
        <v>8600</v>
      </c>
      <c r="N99" s="57" t="n">
        <v>3500</v>
      </c>
      <c r="O99" s="57" t="n">
        <v>2200</v>
      </c>
      <c r="P99" s="57" t="n">
        <v>2200</v>
      </c>
      <c r="Q99" s="57" t="n">
        <v>15950</v>
      </c>
      <c r="R99" s="57" t="n">
        <v>7150</v>
      </c>
      <c r="S99" s="57" t="n">
        <f aca="false">IF($C99="","",ROUND($J99*2.2,0))</f>
        <v>24200</v>
      </c>
      <c r="T99" s="57" t="n">
        <v>3850</v>
      </c>
      <c r="U99" s="57" t="n">
        <v>3300</v>
      </c>
      <c r="V99" s="57" t="n">
        <v>2000</v>
      </c>
      <c r="W99" s="57" t="n">
        <v>2400</v>
      </c>
      <c r="X99" s="56" t="s">
        <v>123</v>
      </c>
      <c r="Y99" s="58" t="n">
        <v>0.3</v>
      </c>
      <c r="Z99" s="58" t="n">
        <v>1</v>
      </c>
      <c r="AA99" s="56" t="s">
        <v>652</v>
      </c>
      <c r="AB99" s="56"/>
      <c r="AC99" s="56" t="s">
        <v>653</v>
      </c>
      <c r="AD99" s="56"/>
      <c r="AE99" s="56"/>
      <c r="AF99" s="56" t="s">
        <v>654</v>
      </c>
      <c r="AG99" s="56"/>
      <c r="AH99" s="56" t="s">
        <v>655</v>
      </c>
      <c r="AI99" s="56"/>
      <c r="AJ99" s="56"/>
      <c r="AK99" s="56" t="s">
        <v>656</v>
      </c>
      <c r="AL99" s="56" t="s">
        <v>618</v>
      </c>
      <c r="AM99" s="49"/>
      <c r="AN99" s="48"/>
    </row>
    <row r="100" customFormat="false" ht="16.5" hidden="false" customHeight="true" outlineLevel="0" collapsed="false">
      <c r="A100" s="46"/>
      <c r="B100" s="66" t="n">
        <f aca="false">IF($C100="","",COUNTA($C$5:C100))</f>
        <v>96</v>
      </c>
      <c r="C100" s="67" t="s">
        <v>657</v>
      </c>
      <c r="D100" s="67" t="s">
        <v>311</v>
      </c>
      <c r="E100" s="67" t="s">
        <v>608</v>
      </c>
      <c r="F100" s="67" t="s">
        <v>640</v>
      </c>
      <c r="G100" s="67" t="s">
        <v>609</v>
      </c>
      <c r="H100" s="67" t="n">
        <v>3</v>
      </c>
      <c r="I100" s="67" t="s">
        <v>151</v>
      </c>
      <c r="J100" s="67" t="n">
        <v>0</v>
      </c>
      <c r="K100" s="67" t="n">
        <v>0</v>
      </c>
      <c r="L100" s="68" t="n">
        <f aca="false">IF($C100="","",ROUND($J100*0.17,0))</f>
        <v>0</v>
      </c>
      <c r="M100" s="67" t="n">
        <v>0</v>
      </c>
      <c r="N100" s="67" t="n">
        <v>0</v>
      </c>
      <c r="O100" s="67" t="n">
        <v>0</v>
      </c>
      <c r="P100" s="67" t="n">
        <v>0</v>
      </c>
      <c r="Q100" s="67" t="n">
        <v>0</v>
      </c>
      <c r="R100" s="67" t="n">
        <v>0</v>
      </c>
      <c r="S100" s="68" t="n">
        <f aca="false">IF($C100="","",ROUND($J100*2.2,0))</f>
        <v>0</v>
      </c>
      <c r="T100" s="67" t="n">
        <v>0</v>
      </c>
      <c r="U100" s="67" t="n">
        <v>0</v>
      </c>
      <c r="V100" s="67" t="n">
        <v>1200</v>
      </c>
      <c r="W100" s="67" t="n">
        <v>0</v>
      </c>
      <c r="X100" s="67" t="s">
        <v>123</v>
      </c>
      <c r="Y100" s="69" t="n">
        <v>0.3</v>
      </c>
      <c r="Z100" s="69" t="n">
        <v>1</v>
      </c>
      <c r="AA100" s="67" t="s">
        <v>658</v>
      </c>
      <c r="AB100" s="67"/>
      <c r="AC100" s="67" t="s">
        <v>659</v>
      </c>
      <c r="AD100" s="67"/>
      <c r="AE100" s="67"/>
      <c r="AF100" s="67" t="s">
        <v>660</v>
      </c>
      <c r="AG100" s="67"/>
      <c r="AH100" s="67" t="s">
        <v>661</v>
      </c>
      <c r="AI100" s="67"/>
      <c r="AJ100" s="67"/>
      <c r="AK100" s="67" t="s">
        <v>662</v>
      </c>
      <c r="AL100" s="67"/>
      <c r="AM100" s="47"/>
      <c r="AN100" s="46"/>
    </row>
    <row r="101" customFormat="false" ht="16.5" hidden="false" customHeight="true" outlineLevel="0" collapsed="false">
      <c r="A101" s="50"/>
      <c r="B101" s="72" t="n">
        <f aca="false">IF($C101="","",COUNTA($C$5:C101))</f>
        <v>97</v>
      </c>
      <c r="C101" s="73" t="s">
        <v>663</v>
      </c>
      <c r="D101" s="73" t="s">
        <v>45</v>
      </c>
      <c r="E101" s="73" t="s">
        <v>608</v>
      </c>
      <c r="F101" s="73" t="s">
        <v>640</v>
      </c>
      <c r="G101" s="73" t="s">
        <v>609</v>
      </c>
      <c r="H101" s="73" t="n">
        <v>3</v>
      </c>
      <c r="I101" s="73" t="s">
        <v>151</v>
      </c>
      <c r="J101" s="73" t="n">
        <v>0</v>
      </c>
      <c r="K101" s="73" t="n">
        <v>0</v>
      </c>
      <c r="L101" s="73" t="n">
        <f aca="false">IF($C101="","",ROUND($J101*0.17,0))</f>
        <v>0</v>
      </c>
      <c r="M101" s="73" t="n">
        <v>0</v>
      </c>
      <c r="N101" s="73" t="n">
        <v>0</v>
      </c>
      <c r="O101" s="73" t="n">
        <v>0</v>
      </c>
      <c r="P101" s="73" t="n">
        <v>0</v>
      </c>
      <c r="Q101" s="73" t="n">
        <v>0</v>
      </c>
      <c r="R101" s="73" t="n">
        <v>0</v>
      </c>
      <c r="S101" s="74" t="n">
        <f aca="false">IF($C101="","",ROUND($J101*2.2,0))</f>
        <v>0</v>
      </c>
      <c r="T101" s="73" t="n">
        <v>0</v>
      </c>
      <c r="U101" s="73" t="n">
        <v>0</v>
      </c>
      <c r="V101" s="73" t="n">
        <v>1200</v>
      </c>
      <c r="W101" s="73" t="n">
        <v>0</v>
      </c>
      <c r="X101" s="73" t="s">
        <v>123</v>
      </c>
      <c r="Y101" s="75" t="n">
        <v>0.3</v>
      </c>
      <c r="Z101" s="75" t="n">
        <v>1</v>
      </c>
      <c r="AA101" s="73" t="s">
        <v>664</v>
      </c>
      <c r="AB101" s="73"/>
      <c r="AC101" s="73" t="s">
        <v>665</v>
      </c>
      <c r="AD101" s="73"/>
      <c r="AE101" s="73"/>
      <c r="AF101" s="73" t="s">
        <v>666</v>
      </c>
      <c r="AG101" s="73"/>
      <c r="AH101" s="73" t="s">
        <v>667</v>
      </c>
      <c r="AI101" s="73"/>
      <c r="AJ101" s="73"/>
      <c r="AK101" s="73" t="s">
        <v>668</v>
      </c>
      <c r="AL101" s="73"/>
      <c r="AM101" s="51"/>
      <c r="AN101" s="50"/>
    </row>
    <row r="102" customFormat="false" ht="16.5" hidden="false" customHeight="true" outlineLevel="0" collapsed="false">
      <c r="A102" s="48"/>
      <c r="B102" s="55" t="n">
        <f aca="false">IF($C102="","",COUNTA($C$5:C102))</f>
        <v>98</v>
      </c>
      <c r="C102" s="56" t="s">
        <v>669</v>
      </c>
      <c r="D102" s="56" t="s">
        <v>167</v>
      </c>
      <c r="E102" s="56" t="s">
        <v>608</v>
      </c>
      <c r="F102" s="56" t="s">
        <v>623</v>
      </c>
      <c r="G102" s="56" t="s">
        <v>620</v>
      </c>
      <c r="H102" s="56" t="n">
        <v>1</v>
      </c>
      <c r="I102" s="56" t="s">
        <v>97</v>
      </c>
      <c r="J102" s="57" t="n">
        <v>8750</v>
      </c>
      <c r="K102" s="57" t="n">
        <v>3000</v>
      </c>
      <c r="L102" s="57" t="n">
        <f aca="false">IF($C102="","",ROUND($J102*0.17,0))</f>
        <v>1488</v>
      </c>
      <c r="M102" s="57" t="n">
        <v>6000</v>
      </c>
      <c r="N102" s="57" t="n">
        <v>2500</v>
      </c>
      <c r="O102" s="57" t="n">
        <v>1200</v>
      </c>
      <c r="P102" s="57" t="n">
        <v>1200</v>
      </c>
      <c r="Q102" s="57" t="n">
        <v>9000</v>
      </c>
      <c r="R102" s="57" t="n">
        <v>4050</v>
      </c>
      <c r="S102" s="57" t="n">
        <f aca="false">IF($C102="","",ROUND($J102*2.2,0))</f>
        <v>19250</v>
      </c>
      <c r="T102" s="57" t="n">
        <v>2200</v>
      </c>
      <c r="U102" s="57" t="n">
        <v>1925</v>
      </c>
      <c r="V102" s="57" t="n">
        <v>1155</v>
      </c>
      <c r="W102" s="57" t="n">
        <v>2400</v>
      </c>
      <c r="X102" s="56" t="s">
        <v>198</v>
      </c>
      <c r="Y102" s="58" t="n">
        <v>0.3</v>
      </c>
      <c r="Z102" s="58" t="n">
        <v>1</v>
      </c>
      <c r="AA102" s="56" t="s">
        <v>670</v>
      </c>
      <c r="AB102" s="56"/>
      <c r="AC102" s="56" t="s">
        <v>671</v>
      </c>
      <c r="AD102" s="56"/>
      <c r="AE102" s="56"/>
      <c r="AF102" s="56"/>
      <c r="AG102" s="56"/>
      <c r="AH102" s="56"/>
      <c r="AI102" s="56"/>
      <c r="AJ102" s="56"/>
      <c r="AK102" s="56" t="s">
        <v>672</v>
      </c>
      <c r="AL102" s="56" t="s">
        <v>638</v>
      </c>
      <c r="AM102" s="49"/>
      <c r="AN102" s="48"/>
    </row>
    <row r="103" customFormat="false" ht="16.5" hidden="false" customHeight="true" outlineLevel="0" collapsed="false">
      <c r="A103" s="46"/>
      <c r="B103" s="66" t="n">
        <f aca="false">IF($C103="","",COUNTA($C$5:C103))</f>
        <v>99</v>
      </c>
      <c r="C103" s="67" t="s">
        <v>673</v>
      </c>
      <c r="D103" s="67" t="s">
        <v>317</v>
      </c>
      <c r="E103" s="67" t="s">
        <v>608</v>
      </c>
      <c r="F103" s="67" t="s">
        <v>623</v>
      </c>
      <c r="G103" s="67" t="s">
        <v>620</v>
      </c>
      <c r="H103" s="67" t="n">
        <v>1</v>
      </c>
      <c r="I103" s="67" t="s">
        <v>97</v>
      </c>
      <c r="J103" s="67" t="n">
        <v>5700</v>
      </c>
      <c r="K103" s="67" t="n">
        <v>2400</v>
      </c>
      <c r="L103" s="68" t="n">
        <f aca="false">IF($C103="","",ROUND($J103*0.17,0))</f>
        <v>969</v>
      </c>
      <c r="M103" s="67" t="n">
        <v>4450</v>
      </c>
      <c r="N103" s="67" t="n">
        <v>1850</v>
      </c>
      <c r="O103" s="67" t="n">
        <v>1150</v>
      </c>
      <c r="P103" s="67" t="n">
        <v>0</v>
      </c>
      <c r="Q103" s="67" t="n">
        <v>8300</v>
      </c>
      <c r="R103" s="67" t="n">
        <v>3700</v>
      </c>
      <c r="S103" s="68" t="n">
        <f aca="false">IF($C103="","",ROUND($J103*2.2,0))</f>
        <v>12540</v>
      </c>
      <c r="T103" s="67" t="n">
        <v>2000</v>
      </c>
      <c r="U103" s="67" t="n">
        <v>1700</v>
      </c>
      <c r="V103" s="67" t="n">
        <v>1050</v>
      </c>
      <c r="W103" s="67" t="n">
        <v>0</v>
      </c>
      <c r="X103" s="67" t="s">
        <v>198</v>
      </c>
      <c r="Y103" s="69" t="n">
        <v>0.3</v>
      </c>
      <c r="Z103" s="69" t="n">
        <v>1</v>
      </c>
      <c r="AA103" s="67" t="s">
        <v>674</v>
      </c>
      <c r="AB103" s="67"/>
      <c r="AC103" s="67" t="s">
        <v>675</v>
      </c>
      <c r="AD103" s="67"/>
      <c r="AE103" s="67"/>
      <c r="AF103" s="67"/>
      <c r="AG103" s="67"/>
      <c r="AH103" s="67"/>
      <c r="AI103" s="67"/>
      <c r="AJ103" s="67"/>
      <c r="AK103" s="70" t="n">
        <v>38117</v>
      </c>
      <c r="AL103" s="67"/>
      <c r="AM103" s="47"/>
      <c r="AN103" s="46"/>
    </row>
    <row r="104" customFormat="false" ht="16.5" hidden="false" customHeight="true" outlineLevel="0" collapsed="false">
      <c r="A104" s="48"/>
      <c r="B104" s="55" t="n">
        <f aca="false">IF($C104="","",COUNTA($C$5:C104))</f>
        <v>100</v>
      </c>
      <c r="C104" s="56" t="s">
        <v>676</v>
      </c>
      <c r="D104" s="56" t="s">
        <v>167</v>
      </c>
      <c r="E104" s="56" t="s">
        <v>608</v>
      </c>
      <c r="F104" s="56" t="s">
        <v>623</v>
      </c>
      <c r="G104" s="56" t="s">
        <v>620</v>
      </c>
      <c r="H104" s="56" t="n">
        <v>2</v>
      </c>
      <c r="I104" s="56" t="s">
        <v>151</v>
      </c>
      <c r="J104" s="57" t="n">
        <v>11250</v>
      </c>
      <c r="K104" s="57" t="n">
        <v>4500</v>
      </c>
      <c r="L104" s="57" t="n">
        <f aca="false">IF($C104="","",ROUND($J104*0.17,0))</f>
        <v>1913</v>
      </c>
      <c r="M104" s="57" t="n">
        <v>8000</v>
      </c>
      <c r="N104" s="57" t="n">
        <v>3500</v>
      </c>
      <c r="O104" s="57" t="n">
        <v>2000</v>
      </c>
      <c r="P104" s="57" t="n">
        <v>2000</v>
      </c>
      <c r="Q104" s="57" t="n">
        <v>13500</v>
      </c>
      <c r="R104" s="57" t="n">
        <v>6075</v>
      </c>
      <c r="S104" s="57" t="n">
        <f aca="false">IF($C104="","",ROUND($J104*2.2,0))</f>
        <v>24750</v>
      </c>
      <c r="T104" s="57" t="n">
        <v>4638</v>
      </c>
      <c r="U104" s="57" t="n">
        <v>4063</v>
      </c>
      <c r="V104" s="57" t="n">
        <v>2438</v>
      </c>
      <c r="W104" s="57" t="n">
        <v>2400</v>
      </c>
      <c r="X104" s="56" t="s">
        <v>178</v>
      </c>
      <c r="Y104" s="58" t="n">
        <v>0.3</v>
      </c>
      <c r="Z104" s="58" t="n">
        <v>1</v>
      </c>
      <c r="AA104" s="56" t="s">
        <v>677</v>
      </c>
      <c r="AB104" s="56"/>
      <c r="AC104" s="56" t="s">
        <v>678</v>
      </c>
      <c r="AD104" s="56"/>
      <c r="AE104" s="56"/>
      <c r="AF104" s="56" t="s">
        <v>679</v>
      </c>
      <c r="AG104" s="56"/>
      <c r="AH104" s="56"/>
      <c r="AI104" s="56"/>
      <c r="AJ104" s="56"/>
      <c r="AK104" s="60" t="n">
        <v>37145</v>
      </c>
      <c r="AL104" s="56" t="s">
        <v>627</v>
      </c>
      <c r="AM104" s="49"/>
      <c r="AN104" s="48"/>
    </row>
    <row r="105" customFormat="false" ht="16.5" hidden="false" customHeight="true" outlineLevel="0" collapsed="false">
      <c r="A105" s="48"/>
      <c r="B105" s="55" t="n">
        <f aca="false">IF($C105="","",COUNTA($C$5:C105))</f>
        <v>101</v>
      </c>
      <c r="C105" s="56" t="s">
        <v>680</v>
      </c>
      <c r="D105" s="56" t="s">
        <v>167</v>
      </c>
      <c r="E105" s="56" t="s">
        <v>608</v>
      </c>
      <c r="F105" s="56" t="s">
        <v>623</v>
      </c>
      <c r="G105" s="56" t="s">
        <v>620</v>
      </c>
      <c r="H105" s="56" t="n">
        <v>1</v>
      </c>
      <c r="I105" s="56" t="s">
        <v>97</v>
      </c>
      <c r="J105" s="57" t="n">
        <v>12100</v>
      </c>
      <c r="K105" s="57" t="n">
        <v>5100</v>
      </c>
      <c r="L105" s="57" t="n">
        <f aca="false">IF($C105="","",ROUND($J105*0.17,0))</f>
        <v>2057</v>
      </c>
      <c r="M105" s="57" t="n">
        <v>9450</v>
      </c>
      <c r="N105" s="57" t="n">
        <v>3850</v>
      </c>
      <c r="O105" s="57" t="n">
        <v>2400</v>
      </c>
      <c r="P105" s="57" t="n">
        <v>2400</v>
      </c>
      <c r="Q105" s="57" t="n">
        <v>17550</v>
      </c>
      <c r="R105" s="57" t="n">
        <v>7850</v>
      </c>
      <c r="S105" s="57" t="n">
        <f aca="false">IF($C105="","",ROUND($J105*2.2,0))</f>
        <v>26620</v>
      </c>
      <c r="T105" s="57" t="n">
        <v>4250</v>
      </c>
      <c r="U105" s="57" t="n">
        <v>3650</v>
      </c>
      <c r="V105" s="57" t="n">
        <v>2200</v>
      </c>
      <c r="W105" s="57" t="n">
        <v>2400</v>
      </c>
      <c r="X105" s="56" t="s">
        <v>198</v>
      </c>
      <c r="Y105" s="58" t="n">
        <v>0.3</v>
      </c>
      <c r="Z105" s="58" t="n">
        <v>1</v>
      </c>
      <c r="AA105" s="56" t="s">
        <v>681</v>
      </c>
      <c r="AB105" s="56"/>
      <c r="AC105" s="56" t="s">
        <v>682</v>
      </c>
      <c r="AD105" s="56"/>
      <c r="AE105" s="56"/>
      <c r="AF105" s="56"/>
      <c r="AG105" s="56"/>
      <c r="AH105" s="56"/>
      <c r="AI105" s="56"/>
      <c r="AJ105" s="56"/>
      <c r="AK105" s="60" t="n">
        <v>36101</v>
      </c>
      <c r="AL105" s="56" t="s">
        <v>638</v>
      </c>
      <c r="AM105" s="49"/>
      <c r="AN105" s="48"/>
    </row>
    <row r="106" customFormat="false" ht="16.5" hidden="false" customHeight="true" outlineLevel="0" collapsed="false">
      <c r="A106" s="48"/>
      <c r="B106" s="55" t="n">
        <f aca="false">IF($C106="","",COUNTA($C$5:C106))</f>
        <v>102</v>
      </c>
      <c r="C106" s="56" t="s">
        <v>683</v>
      </c>
      <c r="D106" s="56" t="s">
        <v>167</v>
      </c>
      <c r="E106" s="56" t="s">
        <v>608</v>
      </c>
      <c r="F106" s="56" t="s">
        <v>623</v>
      </c>
      <c r="G106" s="56" t="s">
        <v>620</v>
      </c>
      <c r="H106" s="56" t="n">
        <v>0</v>
      </c>
      <c r="I106" s="56" t="s">
        <v>97</v>
      </c>
      <c r="J106" s="57" t="n">
        <v>5700</v>
      </c>
      <c r="K106" s="57" t="n">
        <v>2400</v>
      </c>
      <c r="L106" s="57" t="n">
        <f aca="false">IF($C106="","",ROUND($J106*0.17,0))</f>
        <v>969</v>
      </c>
      <c r="M106" s="57" t="n">
        <v>4450</v>
      </c>
      <c r="N106" s="57" t="n">
        <v>1850</v>
      </c>
      <c r="O106" s="57" t="n">
        <v>1150</v>
      </c>
      <c r="P106" s="57" t="n">
        <v>1150</v>
      </c>
      <c r="Q106" s="57" t="n">
        <v>8300</v>
      </c>
      <c r="R106" s="57" t="n">
        <v>3700</v>
      </c>
      <c r="S106" s="57" t="n">
        <f aca="false">IF($C106="","",ROUND($J106*2.2,0))</f>
        <v>12540</v>
      </c>
      <c r="T106" s="57" t="n">
        <v>2000</v>
      </c>
      <c r="U106" s="57" t="n">
        <v>1700</v>
      </c>
      <c r="V106" s="57" t="n">
        <v>1050</v>
      </c>
      <c r="W106" s="57" t="n">
        <v>2400</v>
      </c>
      <c r="X106" s="56" t="s">
        <v>265</v>
      </c>
      <c r="Y106" s="58" t="n">
        <v>0.3</v>
      </c>
      <c r="Z106" s="58" t="n">
        <v>1</v>
      </c>
      <c r="AA106" s="56" t="s">
        <v>684</v>
      </c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 t="s">
        <v>613</v>
      </c>
      <c r="AM106" s="49"/>
      <c r="AN106" s="48"/>
    </row>
    <row r="107" customFormat="false" ht="16.5" hidden="false" customHeight="true" outlineLevel="0" collapsed="false">
      <c r="A107" s="48"/>
      <c r="B107" s="55" t="n">
        <f aca="false">IF($C107="","",COUNTA($C$5:C107))</f>
        <v>103</v>
      </c>
      <c r="C107" s="56" t="s">
        <v>685</v>
      </c>
      <c r="D107" s="56" t="s">
        <v>167</v>
      </c>
      <c r="E107" s="56" t="s">
        <v>608</v>
      </c>
      <c r="F107" s="56" t="s">
        <v>623</v>
      </c>
      <c r="G107" s="56" t="s">
        <v>620</v>
      </c>
      <c r="H107" s="56" t="n">
        <v>1</v>
      </c>
      <c r="I107" s="56" t="s">
        <v>97</v>
      </c>
      <c r="J107" s="57" t="n">
        <v>5700</v>
      </c>
      <c r="K107" s="57" t="n">
        <v>2400</v>
      </c>
      <c r="L107" s="57" t="n">
        <f aca="false">IF($C107="","",ROUND($J107*0.17,0))</f>
        <v>969</v>
      </c>
      <c r="M107" s="57" t="n">
        <v>4450</v>
      </c>
      <c r="N107" s="57" t="n">
        <v>1850</v>
      </c>
      <c r="O107" s="57" t="n">
        <v>1150</v>
      </c>
      <c r="P107" s="57" t="n">
        <v>1150</v>
      </c>
      <c r="Q107" s="57" t="n">
        <v>8300</v>
      </c>
      <c r="R107" s="57" t="n">
        <v>3700</v>
      </c>
      <c r="S107" s="57" t="n">
        <f aca="false">IF($C107="","",ROUND($J107*2.2,0))</f>
        <v>12540</v>
      </c>
      <c r="T107" s="57" t="n">
        <v>2000</v>
      </c>
      <c r="U107" s="57" t="n">
        <v>1700</v>
      </c>
      <c r="V107" s="57" t="n">
        <v>1050</v>
      </c>
      <c r="W107" s="57" t="n">
        <v>2400</v>
      </c>
      <c r="X107" s="56" t="s">
        <v>198</v>
      </c>
      <c r="Y107" s="58" t="n">
        <v>0.3</v>
      </c>
      <c r="Z107" s="58" t="n">
        <v>1</v>
      </c>
      <c r="AA107" s="56" t="s">
        <v>686</v>
      </c>
      <c r="AB107" s="56"/>
      <c r="AC107" s="56" t="s">
        <v>687</v>
      </c>
      <c r="AD107" s="56"/>
      <c r="AE107" s="56"/>
      <c r="AF107" s="56"/>
      <c r="AG107" s="56"/>
      <c r="AH107" s="56"/>
      <c r="AI107" s="56"/>
      <c r="AJ107" s="56"/>
      <c r="AK107" s="56" t="s">
        <v>688</v>
      </c>
      <c r="AL107" s="56" t="s">
        <v>631</v>
      </c>
      <c r="AM107" s="49"/>
      <c r="AN107" s="48"/>
    </row>
    <row r="108" customFormat="false" ht="16.5" hidden="false" customHeight="true" outlineLevel="0" collapsed="false">
      <c r="A108" s="48"/>
      <c r="B108" s="55" t="n">
        <f aca="false">IF($C108="","",COUNTA($C$5:C108))</f>
        <v>104</v>
      </c>
      <c r="C108" s="56" t="s">
        <v>689</v>
      </c>
      <c r="D108" s="56" t="s">
        <v>167</v>
      </c>
      <c r="E108" s="56" t="s">
        <v>608</v>
      </c>
      <c r="F108" s="56" t="s">
        <v>690</v>
      </c>
      <c r="G108" s="56" t="s">
        <v>691</v>
      </c>
      <c r="H108" s="56" t="n">
        <v>3</v>
      </c>
      <c r="I108" s="56" t="s">
        <v>151</v>
      </c>
      <c r="J108" s="57" t="n">
        <v>5700</v>
      </c>
      <c r="K108" s="57" t="n">
        <v>2400</v>
      </c>
      <c r="L108" s="57" t="n">
        <f aca="false">IF($C108="","",ROUND($J108*0.17,0))</f>
        <v>969</v>
      </c>
      <c r="M108" s="57" t="n">
        <v>4450</v>
      </c>
      <c r="N108" s="57" t="n">
        <v>1850</v>
      </c>
      <c r="O108" s="57" t="n">
        <v>1150</v>
      </c>
      <c r="P108" s="57" t="n">
        <v>1150</v>
      </c>
      <c r="Q108" s="57" t="n">
        <v>8300</v>
      </c>
      <c r="R108" s="57" t="n">
        <v>3700</v>
      </c>
      <c r="S108" s="57" t="n">
        <f aca="false">IF($C108="","",ROUND($J108*2.2,0))</f>
        <v>12540</v>
      </c>
      <c r="T108" s="57" t="n">
        <v>2000</v>
      </c>
      <c r="U108" s="57" t="n">
        <v>1700</v>
      </c>
      <c r="V108" s="57" t="n">
        <v>1050</v>
      </c>
      <c r="W108" s="57" t="n">
        <v>2400</v>
      </c>
      <c r="X108" s="56" t="s">
        <v>123</v>
      </c>
      <c r="Y108" s="58" t="n">
        <v>0.3</v>
      </c>
      <c r="Z108" s="58" t="n">
        <v>1</v>
      </c>
      <c r="AA108" s="56" t="s">
        <v>692</v>
      </c>
      <c r="AB108" s="56"/>
      <c r="AC108" s="56" t="s">
        <v>693</v>
      </c>
      <c r="AD108" s="56"/>
      <c r="AE108" s="56" t="s">
        <v>694</v>
      </c>
      <c r="AF108" s="56" t="s">
        <v>695</v>
      </c>
      <c r="AG108" s="56"/>
      <c r="AH108" s="56"/>
      <c r="AI108" s="56"/>
      <c r="AJ108" s="56"/>
      <c r="AK108" s="56" t="s">
        <v>696</v>
      </c>
      <c r="AL108" s="56" t="s">
        <v>631</v>
      </c>
      <c r="AM108" s="49"/>
      <c r="AN108" s="48"/>
    </row>
    <row r="109" customFormat="false" ht="16.5" hidden="false" customHeight="true" outlineLevel="0" collapsed="false">
      <c r="A109" s="48"/>
      <c r="B109" s="55" t="n">
        <f aca="false">IF($C109="","",COUNTA($C$5:C109))</f>
        <v>105</v>
      </c>
      <c r="C109" s="56" t="s">
        <v>697</v>
      </c>
      <c r="D109" s="56" t="s">
        <v>167</v>
      </c>
      <c r="E109" s="56" t="s">
        <v>608</v>
      </c>
      <c r="F109" s="56" t="s">
        <v>690</v>
      </c>
      <c r="G109" s="56" t="s">
        <v>691</v>
      </c>
      <c r="H109" s="56" t="n">
        <v>2</v>
      </c>
      <c r="I109" s="56" t="s">
        <v>151</v>
      </c>
      <c r="J109" s="57" t="n">
        <v>11000</v>
      </c>
      <c r="K109" s="57" t="n">
        <v>4600</v>
      </c>
      <c r="L109" s="57" t="n">
        <f aca="false">IF($C109="","",ROUND($J109*0.17,0))</f>
        <v>1870</v>
      </c>
      <c r="M109" s="57" t="n">
        <v>8600</v>
      </c>
      <c r="N109" s="57" t="n">
        <v>3500</v>
      </c>
      <c r="O109" s="57" t="n">
        <v>2200</v>
      </c>
      <c r="P109" s="57" t="n">
        <v>2200</v>
      </c>
      <c r="Q109" s="57" t="n">
        <v>15950</v>
      </c>
      <c r="R109" s="57" t="n">
        <v>7150</v>
      </c>
      <c r="S109" s="57" t="n">
        <f aca="false">IF($C109="","",ROUND($J109*2.2,0))</f>
        <v>24200</v>
      </c>
      <c r="T109" s="57" t="n">
        <v>3850</v>
      </c>
      <c r="U109" s="57" t="n">
        <v>3300</v>
      </c>
      <c r="V109" s="57" t="n">
        <v>2000</v>
      </c>
      <c r="W109" s="57" t="n">
        <v>2400</v>
      </c>
      <c r="X109" s="56" t="s">
        <v>178</v>
      </c>
      <c r="Y109" s="58" t="n">
        <v>0.3</v>
      </c>
      <c r="Z109" s="58" t="n">
        <v>1</v>
      </c>
      <c r="AA109" s="56" t="s">
        <v>698</v>
      </c>
      <c r="AB109" s="56"/>
      <c r="AC109" s="56" t="s">
        <v>699</v>
      </c>
      <c r="AD109" s="56"/>
      <c r="AE109" s="56"/>
      <c r="AF109" s="56" t="s">
        <v>700</v>
      </c>
      <c r="AG109" s="56"/>
      <c r="AH109" s="56"/>
      <c r="AI109" s="56"/>
      <c r="AJ109" s="56"/>
      <c r="AK109" s="56" t="s">
        <v>701</v>
      </c>
      <c r="AL109" s="56" t="s">
        <v>613</v>
      </c>
      <c r="AM109" s="49"/>
      <c r="AN109" s="48"/>
    </row>
    <row r="110" customFormat="false" ht="16.5" hidden="false" customHeight="true" outlineLevel="0" collapsed="false">
      <c r="A110" s="48"/>
      <c r="B110" s="55" t="n">
        <f aca="false">IF($C110="","",COUNTA($C$5:C110))</f>
        <v>106</v>
      </c>
      <c r="C110" s="56" t="s">
        <v>702</v>
      </c>
      <c r="D110" s="56" t="s">
        <v>167</v>
      </c>
      <c r="E110" s="56" t="s">
        <v>608</v>
      </c>
      <c r="F110" s="56" t="s">
        <v>690</v>
      </c>
      <c r="G110" s="56" t="s">
        <v>691</v>
      </c>
      <c r="H110" s="56" t="n">
        <v>3</v>
      </c>
      <c r="I110" s="56" t="s">
        <v>151</v>
      </c>
      <c r="J110" s="57" t="n">
        <v>11000</v>
      </c>
      <c r="K110" s="57" t="n">
        <v>4600</v>
      </c>
      <c r="L110" s="57" t="n">
        <f aca="false">IF($C110="","",ROUND($J110*0.17,0))</f>
        <v>1870</v>
      </c>
      <c r="M110" s="57" t="n">
        <v>8600</v>
      </c>
      <c r="N110" s="57" t="n">
        <v>3500</v>
      </c>
      <c r="O110" s="57" t="n">
        <v>2200</v>
      </c>
      <c r="P110" s="57" t="n">
        <v>2200</v>
      </c>
      <c r="Q110" s="57" t="n">
        <v>15950</v>
      </c>
      <c r="R110" s="57" t="n">
        <v>7150</v>
      </c>
      <c r="S110" s="57" t="n">
        <f aca="false">IF($C110="","",ROUND($J110*2.2,0))</f>
        <v>24200</v>
      </c>
      <c r="T110" s="57" t="n">
        <v>3850</v>
      </c>
      <c r="U110" s="57" t="n">
        <v>3300</v>
      </c>
      <c r="V110" s="57" t="n">
        <v>2000</v>
      </c>
      <c r="W110" s="57" t="n">
        <v>2400</v>
      </c>
      <c r="X110" s="56" t="s">
        <v>123</v>
      </c>
      <c r="Y110" s="58" t="n">
        <v>0.3</v>
      </c>
      <c r="Z110" s="58" t="n">
        <v>1</v>
      </c>
      <c r="AA110" s="56" t="s">
        <v>703</v>
      </c>
      <c r="AB110" s="56"/>
      <c r="AC110" s="56" t="s">
        <v>704</v>
      </c>
      <c r="AD110" s="56"/>
      <c r="AE110" s="56" t="s">
        <v>705</v>
      </c>
      <c r="AF110" s="56" t="s">
        <v>706</v>
      </c>
      <c r="AG110" s="56"/>
      <c r="AH110" s="56"/>
      <c r="AI110" s="56"/>
      <c r="AJ110" s="56"/>
      <c r="AK110" s="60" t="n">
        <v>34794</v>
      </c>
      <c r="AL110" s="56" t="s">
        <v>618</v>
      </c>
      <c r="AM110" s="49"/>
      <c r="AN110" s="48"/>
    </row>
    <row r="111" customFormat="false" ht="16.5" hidden="false" customHeight="true" outlineLevel="0" collapsed="false">
      <c r="A111" s="48"/>
      <c r="B111" s="55" t="n">
        <f aca="false">IF($C111="","",COUNTA($C$5:C111))</f>
        <v>107</v>
      </c>
      <c r="C111" s="56" t="s">
        <v>707</v>
      </c>
      <c r="D111" s="56" t="s">
        <v>167</v>
      </c>
      <c r="E111" s="56" t="s">
        <v>608</v>
      </c>
      <c r="F111" s="56" t="s">
        <v>690</v>
      </c>
      <c r="G111" s="56" t="s">
        <v>691</v>
      </c>
      <c r="H111" s="56" t="n">
        <v>2</v>
      </c>
      <c r="I111" s="56" t="s">
        <v>151</v>
      </c>
      <c r="J111" s="57" t="n">
        <v>11000</v>
      </c>
      <c r="K111" s="57" t="n">
        <v>4600</v>
      </c>
      <c r="L111" s="57" t="n">
        <f aca="false">IF($C111="","",ROUND($J111*0.17,0))</f>
        <v>1870</v>
      </c>
      <c r="M111" s="57" t="n">
        <v>8600</v>
      </c>
      <c r="N111" s="57" t="n">
        <v>3500</v>
      </c>
      <c r="O111" s="57" t="n">
        <v>2200</v>
      </c>
      <c r="P111" s="57" t="n">
        <v>2200</v>
      </c>
      <c r="Q111" s="57" t="n">
        <v>15950</v>
      </c>
      <c r="R111" s="57" t="n">
        <v>7150</v>
      </c>
      <c r="S111" s="57" t="n">
        <f aca="false">IF($C111="","",ROUND($J111*2.2,0))</f>
        <v>24200</v>
      </c>
      <c r="T111" s="57" t="n">
        <v>3850</v>
      </c>
      <c r="U111" s="57" t="n">
        <v>3300</v>
      </c>
      <c r="V111" s="57" t="n">
        <v>2000</v>
      </c>
      <c r="W111" s="57" t="n">
        <v>2400</v>
      </c>
      <c r="X111" s="56" t="s">
        <v>178</v>
      </c>
      <c r="Y111" s="58" t="n">
        <v>0.3</v>
      </c>
      <c r="Z111" s="58" t="n">
        <v>1</v>
      </c>
      <c r="AA111" s="56" t="s">
        <v>708</v>
      </c>
      <c r="AB111" s="56"/>
      <c r="AC111" s="56" t="s">
        <v>709</v>
      </c>
      <c r="AD111" s="56"/>
      <c r="AE111" s="56"/>
      <c r="AF111" s="56" t="s">
        <v>710</v>
      </c>
      <c r="AG111" s="56"/>
      <c r="AH111" s="56"/>
      <c r="AI111" s="56"/>
      <c r="AJ111" s="56"/>
      <c r="AK111" s="60" t="n">
        <v>37234</v>
      </c>
      <c r="AL111" s="56" t="s">
        <v>627</v>
      </c>
      <c r="AM111" s="49"/>
      <c r="AN111" s="48"/>
    </row>
    <row r="112" customFormat="false" ht="16.5" hidden="false" customHeight="true" outlineLevel="0" collapsed="false">
      <c r="A112" s="48"/>
      <c r="B112" s="55" t="n">
        <f aca="false">IF($C112="","",COUNTA($C$5:C112))</f>
        <v>108</v>
      </c>
      <c r="C112" s="56" t="s">
        <v>711</v>
      </c>
      <c r="D112" s="56" t="s">
        <v>167</v>
      </c>
      <c r="E112" s="56" t="s">
        <v>608</v>
      </c>
      <c r="F112" s="56" t="s">
        <v>690</v>
      </c>
      <c r="G112" s="56" t="s">
        <v>691</v>
      </c>
      <c r="H112" s="56" t="n">
        <v>3</v>
      </c>
      <c r="I112" s="56" t="s">
        <v>151</v>
      </c>
      <c r="J112" s="57" t="n">
        <v>11000</v>
      </c>
      <c r="K112" s="57" t="n">
        <v>4600</v>
      </c>
      <c r="L112" s="57" t="n">
        <f aca="false">IF($C112="","",ROUND($J112*0.17,0))</f>
        <v>1870</v>
      </c>
      <c r="M112" s="57" t="n">
        <v>8600</v>
      </c>
      <c r="N112" s="57" t="n">
        <v>3500</v>
      </c>
      <c r="O112" s="57" t="n">
        <v>2200</v>
      </c>
      <c r="P112" s="57" t="n">
        <v>2200</v>
      </c>
      <c r="Q112" s="57" t="n">
        <v>15950</v>
      </c>
      <c r="R112" s="57" t="n">
        <v>7150</v>
      </c>
      <c r="S112" s="57" t="n">
        <f aca="false">IF($C112="","",ROUND($J112*2.2,0))</f>
        <v>24200</v>
      </c>
      <c r="T112" s="57" t="n">
        <v>3850</v>
      </c>
      <c r="U112" s="57" t="n">
        <v>3300</v>
      </c>
      <c r="V112" s="57" t="n">
        <v>2000</v>
      </c>
      <c r="W112" s="57" t="n">
        <v>2400</v>
      </c>
      <c r="X112" s="56" t="s">
        <v>123</v>
      </c>
      <c r="Y112" s="58" t="n">
        <v>0.3</v>
      </c>
      <c r="Z112" s="58" t="n">
        <v>1</v>
      </c>
      <c r="AA112" s="56" t="s">
        <v>712</v>
      </c>
      <c r="AB112" s="56"/>
      <c r="AC112" s="56" t="s">
        <v>713</v>
      </c>
      <c r="AD112" s="56"/>
      <c r="AE112" s="56" t="s">
        <v>714</v>
      </c>
      <c r="AF112" s="56" t="s">
        <v>715</v>
      </c>
      <c r="AG112" s="56"/>
      <c r="AH112" s="56"/>
      <c r="AI112" s="56"/>
      <c r="AJ112" s="56"/>
      <c r="AK112" s="60" t="n">
        <v>36832</v>
      </c>
      <c r="AL112" s="56" t="s">
        <v>638</v>
      </c>
      <c r="AM112" s="49"/>
      <c r="AN112" s="48"/>
    </row>
    <row r="113" customFormat="false" ht="16.5" hidden="false" customHeight="true" outlineLevel="0" collapsed="false">
      <c r="A113" s="48"/>
      <c r="B113" s="55" t="n">
        <f aca="false">IF($C113="","",COUNTA($C$5:C113))</f>
        <v>109</v>
      </c>
      <c r="C113" s="56" t="s">
        <v>716</v>
      </c>
      <c r="D113" s="56" t="s">
        <v>167</v>
      </c>
      <c r="E113" s="56" t="s">
        <v>608</v>
      </c>
      <c r="F113" s="56" t="s">
        <v>690</v>
      </c>
      <c r="G113" s="56" t="s">
        <v>691</v>
      </c>
      <c r="H113" s="56" t="n">
        <v>2</v>
      </c>
      <c r="I113" s="56" t="s">
        <v>151</v>
      </c>
      <c r="J113" s="57" t="n">
        <v>11000</v>
      </c>
      <c r="K113" s="57" t="n">
        <v>4600</v>
      </c>
      <c r="L113" s="57" t="n">
        <f aca="false">IF($C113="","",ROUND($J113*0.17,0))</f>
        <v>1870</v>
      </c>
      <c r="M113" s="57" t="n">
        <v>8600</v>
      </c>
      <c r="N113" s="57" t="n">
        <v>3500</v>
      </c>
      <c r="O113" s="57" t="n">
        <v>2200</v>
      </c>
      <c r="P113" s="57" t="n">
        <v>2200</v>
      </c>
      <c r="Q113" s="57" t="n">
        <v>15950</v>
      </c>
      <c r="R113" s="57" t="n">
        <v>7150</v>
      </c>
      <c r="S113" s="57" t="n">
        <f aca="false">IF($C113="","",ROUND($J113*2.2,0))</f>
        <v>24200</v>
      </c>
      <c r="T113" s="57" t="n">
        <v>3850</v>
      </c>
      <c r="U113" s="57" t="n">
        <v>3300</v>
      </c>
      <c r="V113" s="57" t="n">
        <v>2000</v>
      </c>
      <c r="W113" s="57" t="n">
        <v>2400</v>
      </c>
      <c r="X113" s="56" t="s">
        <v>178</v>
      </c>
      <c r="Y113" s="58" t="n">
        <v>0.3</v>
      </c>
      <c r="Z113" s="58" t="n">
        <v>1</v>
      </c>
      <c r="AA113" s="56" t="s">
        <v>717</v>
      </c>
      <c r="AB113" s="56"/>
      <c r="AC113" s="56" t="s">
        <v>718</v>
      </c>
      <c r="AD113" s="56"/>
      <c r="AE113" s="56"/>
      <c r="AF113" s="56" t="s">
        <v>719</v>
      </c>
      <c r="AG113" s="56"/>
      <c r="AH113" s="56"/>
      <c r="AI113" s="56"/>
      <c r="AJ113" s="56"/>
      <c r="AK113" s="56" t="s">
        <v>720</v>
      </c>
      <c r="AL113" s="56" t="s">
        <v>618</v>
      </c>
      <c r="AM113" s="49"/>
      <c r="AN113" s="48"/>
    </row>
    <row r="114" customFormat="false" ht="16.5" hidden="false" customHeight="true" outlineLevel="0" collapsed="false">
      <c r="A114" s="46"/>
      <c r="B114" s="66" t="n">
        <f aca="false">IF($C114="","",COUNTA($C$5:C114))</f>
        <v>110</v>
      </c>
      <c r="C114" s="67" t="s">
        <v>721</v>
      </c>
      <c r="D114" s="67" t="s">
        <v>317</v>
      </c>
      <c r="E114" s="67" t="s">
        <v>608</v>
      </c>
      <c r="F114" s="67" t="s">
        <v>690</v>
      </c>
      <c r="G114" s="67" t="s">
        <v>691</v>
      </c>
      <c r="H114" s="67" t="n">
        <v>2</v>
      </c>
      <c r="I114" s="67" t="s">
        <v>151</v>
      </c>
      <c r="J114" s="67" t="n">
        <v>11000</v>
      </c>
      <c r="K114" s="67" t="n">
        <v>4600</v>
      </c>
      <c r="L114" s="68" t="n">
        <f aca="false">IF($C114="","",ROUND($J114*0.17,0))</f>
        <v>1870</v>
      </c>
      <c r="M114" s="67" t="n">
        <v>8600</v>
      </c>
      <c r="N114" s="67" t="n">
        <v>3500</v>
      </c>
      <c r="O114" s="67" t="n">
        <v>2200</v>
      </c>
      <c r="P114" s="67" t="n">
        <v>0</v>
      </c>
      <c r="Q114" s="67" t="n">
        <v>15950</v>
      </c>
      <c r="R114" s="67" t="n">
        <v>7150</v>
      </c>
      <c r="S114" s="68" t="n">
        <f aca="false">IF($C114="","",ROUND($J114*2.2,0))</f>
        <v>24200</v>
      </c>
      <c r="T114" s="67" t="n">
        <v>3850</v>
      </c>
      <c r="U114" s="67" t="n">
        <v>3300</v>
      </c>
      <c r="V114" s="67" t="n">
        <v>2000</v>
      </c>
      <c r="W114" s="67" t="n">
        <v>0</v>
      </c>
      <c r="X114" s="67" t="s">
        <v>178</v>
      </c>
      <c r="Y114" s="69" t="n">
        <v>0.3</v>
      </c>
      <c r="Z114" s="69" t="n">
        <v>1</v>
      </c>
      <c r="AA114" s="67" t="s">
        <v>722</v>
      </c>
      <c r="AB114" s="67"/>
      <c r="AC114" s="67" t="s">
        <v>723</v>
      </c>
      <c r="AD114" s="67"/>
      <c r="AE114" s="67"/>
      <c r="AF114" s="67" t="s">
        <v>724</v>
      </c>
      <c r="AG114" s="67"/>
      <c r="AH114" s="67"/>
      <c r="AI114" s="67"/>
      <c r="AJ114" s="67"/>
      <c r="AK114" s="67" t="s">
        <v>725</v>
      </c>
      <c r="AL114" s="67"/>
      <c r="AM114" s="47"/>
      <c r="AN114" s="46"/>
    </row>
    <row r="115" customFormat="false" ht="16.5" hidden="false" customHeight="true" outlineLevel="0" collapsed="false">
      <c r="A115" s="50"/>
      <c r="B115" s="72" t="n">
        <f aca="false">IF($C115="","",COUNTA($C$5:C115))</f>
        <v>111</v>
      </c>
      <c r="C115" s="73" t="s">
        <v>726</v>
      </c>
      <c r="D115" s="73" t="s">
        <v>45</v>
      </c>
      <c r="E115" s="73" t="s">
        <v>608</v>
      </c>
      <c r="F115" s="73" t="s">
        <v>690</v>
      </c>
      <c r="G115" s="73" t="s">
        <v>691</v>
      </c>
      <c r="H115" s="73" t="n">
        <v>3</v>
      </c>
      <c r="I115" s="73" t="s">
        <v>151</v>
      </c>
      <c r="J115" s="73" t="n">
        <v>0</v>
      </c>
      <c r="K115" s="73" t="n">
        <v>0</v>
      </c>
      <c r="L115" s="74" t="n">
        <f aca="false">IF($C115="","",ROUND($J115*0.17,0))</f>
        <v>0</v>
      </c>
      <c r="M115" s="73" t="n">
        <v>0</v>
      </c>
      <c r="N115" s="73" t="n">
        <v>0</v>
      </c>
      <c r="O115" s="73" t="n">
        <v>0</v>
      </c>
      <c r="P115" s="73" t="n">
        <v>0</v>
      </c>
      <c r="Q115" s="73" t="n">
        <v>0</v>
      </c>
      <c r="R115" s="73" t="n">
        <v>0</v>
      </c>
      <c r="S115" s="74" t="n">
        <f aca="false">IF($C115="","",ROUND($J115*2.2,0))</f>
        <v>0</v>
      </c>
      <c r="T115" s="73" t="n">
        <v>0</v>
      </c>
      <c r="U115" s="73" t="n">
        <v>0</v>
      </c>
      <c r="V115" s="73" t="n">
        <v>1200</v>
      </c>
      <c r="W115" s="73" t="n">
        <v>0</v>
      </c>
      <c r="X115" s="73" t="s">
        <v>123</v>
      </c>
      <c r="Y115" s="75" t="n">
        <v>0.3</v>
      </c>
      <c r="Z115" s="75" t="n">
        <v>1</v>
      </c>
      <c r="AA115" s="73" t="s">
        <v>727</v>
      </c>
      <c r="AB115" s="73"/>
      <c r="AC115" s="73" t="s">
        <v>728</v>
      </c>
      <c r="AD115" s="73"/>
      <c r="AE115" s="73" t="s">
        <v>729</v>
      </c>
      <c r="AF115" s="73" t="s">
        <v>730</v>
      </c>
      <c r="AG115" s="73"/>
      <c r="AH115" s="73"/>
      <c r="AI115" s="73"/>
      <c r="AJ115" s="73"/>
      <c r="AK115" s="76" t="n">
        <v>35343</v>
      </c>
      <c r="AL115" s="73"/>
      <c r="AM115" s="51"/>
      <c r="AN115" s="50"/>
    </row>
    <row r="116" customFormat="false" ht="16.5" hidden="false" customHeight="true" outlineLevel="0" collapsed="false">
      <c r="A116" s="40"/>
      <c r="B116" s="61" t="n">
        <f aca="false">IF($C116="","",COUNTA($C$5:C116))</f>
        <v>112</v>
      </c>
      <c r="C116" s="62" t="s">
        <v>731</v>
      </c>
      <c r="D116" s="62" t="s">
        <v>43</v>
      </c>
      <c r="E116" s="62" t="s">
        <v>608</v>
      </c>
      <c r="F116" s="62" t="s">
        <v>640</v>
      </c>
      <c r="G116" s="62" t="s">
        <v>609</v>
      </c>
      <c r="H116" s="62" t="n">
        <v>0</v>
      </c>
      <c r="I116" s="62" t="s">
        <v>97</v>
      </c>
      <c r="J116" s="62" t="n">
        <v>0</v>
      </c>
      <c r="K116" s="62" t="n">
        <v>0</v>
      </c>
      <c r="L116" s="62" t="n">
        <f aca="false">IF($C116="","",ROUND($J116*0.17,0))</f>
        <v>0</v>
      </c>
      <c r="M116" s="62" t="n">
        <v>0</v>
      </c>
      <c r="N116" s="62" t="n">
        <v>0</v>
      </c>
      <c r="O116" s="62" t="n">
        <v>0</v>
      </c>
      <c r="P116" s="62" t="n">
        <v>0</v>
      </c>
      <c r="Q116" s="62" t="n">
        <v>0</v>
      </c>
      <c r="R116" s="62" t="n">
        <v>0</v>
      </c>
      <c r="S116" s="63" t="n">
        <f aca="false">IF($C116="","",ROUND($J116*2.2,0))</f>
        <v>0</v>
      </c>
      <c r="T116" s="62" t="n">
        <v>0</v>
      </c>
      <c r="U116" s="62" t="n">
        <v>0</v>
      </c>
      <c r="V116" s="62" t="n">
        <v>600</v>
      </c>
      <c r="W116" s="62" t="n">
        <v>0</v>
      </c>
      <c r="X116" s="62" t="s">
        <v>265</v>
      </c>
      <c r="Y116" s="64" t="n">
        <v>0.3</v>
      </c>
      <c r="Z116" s="64" t="n">
        <v>1</v>
      </c>
      <c r="AA116" s="62" t="s">
        <v>732</v>
      </c>
      <c r="AB116" s="62"/>
      <c r="AC116" s="62"/>
      <c r="AD116" s="62"/>
      <c r="AE116" s="62"/>
      <c r="AF116" s="62"/>
      <c r="AG116" s="62"/>
      <c r="AH116" s="62"/>
      <c r="AI116" s="62"/>
      <c r="AJ116" s="62"/>
      <c r="AK116" s="71" t="n">
        <v>32548</v>
      </c>
      <c r="AL116" s="62"/>
      <c r="AM116" s="65"/>
      <c r="AN116" s="40"/>
    </row>
    <row r="117" customFormat="false" ht="16.5" hidden="false" customHeight="true" outlineLevel="0" collapsed="false">
      <c r="A117" s="40"/>
      <c r="B117" s="61" t="n">
        <f aca="false">IF($C117="","",COUNTA($C$5:C117))</f>
        <v>113</v>
      </c>
      <c r="C117" s="62" t="s">
        <v>733</v>
      </c>
      <c r="D117" s="62" t="s">
        <v>43</v>
      </c>
      <c r="E117" s="62" t="s">
        <v>608</v>
      </c>
      <c r="F117" s="62" t="s">
        <v>690</v>
      </c>
      <c r="G117" s="62" t="s">
        <v>691</v>
      </c>
      <c r="H117" s="62" t="n">
        <v>5</v>
      </c>
      <c r="I117" s="62" t="s">
        <v>219</v>
      </c>
      <c r="J117" s="62" t="n">
        <v>0</v>
      </c>
      <c r="K117" s="62" t="n">
        <v>0</v>
      </c>
      <c r="L117" s="62" t="n">
        <f aca="false">IF($C117="","",ROUND($J117*0.17,0))</f>
        <v>0</v>
      </c>
      <c r="M117" s="62" t="n">
        <v>0</v>
      </c>
      <c r="N117" s="62" t="n">
        <v>0</v>
      </c>
      <c r="O117" s="62" t="n">
        <v>0</v>
      </c>
      <c r="P117" s="62" t="n">
        <v>0</v>
      </c>
      <c r="Q117" s="62" t="n">
        <v>0</v>
      </c>
      <c r="R117" s="62" t="n">
        <v>0</v>
      </c>
      <c r="S117" s="63" t="n">
        <f aca="false">IF($C117="","",ROUND($J117*2.2,0))</f>
        <v>0</v>
      </c>
      <c r="T117" s="62" t="n">
        <v>0</v>
      </c>
      <c r="U117" s="62" t="n">
        <v>0</v>
      </c>
      <c r="V117" s="62" t="n">
        <v>2000</v>
      </c>
      <c r="W117" s="62" t="n">
        <v>0</v>
      </c>
      <c r="X117" s="62" t="s">
        <v>133</v>
      </c>
      <c r="Y117" s="64" t="n">
        <v>0.3</v>
      </c>
      <c r="Z117" s="64" t="n">
        <v>1</v>
      </c>
      <c r="AA117" s="62" t="s">
        <v>734</v>
      </c>
      <c r="AB117" s="62" t="s">
        <v>735</v>
      </c>
      <c r="AC117" s="62" t="s">
        <v>736</v>
      </c>
      <c r="AD117" s="62"/>
      <c r="AE117" s="62" t="s">
        <v>737</v>
      </c>
      <c r="AF117" s="62" t="s">
        <v>738</v>
      </c>
      <c r="AG117" s="62"/>
      <c r="AH117" s="62" t="s">
        <v>739</v>
      </c>
      <c r="AI117" s="62"/>
      <c r="AJ117" s="62"/>
      <c r="AK117" s="62" t="s">
        <v>740</v>
      </c>
      <c r="AL117" s="62"/>
      <c r="AM117" s="65"/>
      <c r="AN117" s="40"/>
    </row>
    <row r="118" customFormat="false" ht="16.5" hidden="false" customHeight="true" outlineLevel="0" collapsed="false">
      <c r="A118" s="48"/>
      <c r="B118" s="55" t="n">
        <f aca="false">IF($C118="","",COUNTA($C$5:C118))</f>
        <v>114</v>
      </c>
      <c r="C118" s="56" t="s">
        <v>741</v>
      </c>
      <c r="D118" s="56" t="s">
        <v>167</v>
      </c>
      <c r="E118" s="56" t="s">
        <v>742</v>
      </c>
      <c r="F118" s="56" t="s">
        <v>226</v>
      </c>
      <c r="G118" s="56" t="s">
        <v>495</v>
      </c>
      <c r="H118" s="56" t="n">
        <v>2</v>
      </c>
      <c r="I118" s="56" t="s">
        <v>151</v>
      </c>
      <c r="J118" s="57" t="n">
        <v>11250</v>
      </c>
      <c r="K118" s="57" t="n">
        <v>4500</v>
      </c>
      <c r="L118" s="57" t="n">
        <f aca="false">IF($C118="","",ROUND($J118*0.17,0))</f>
        <v>1913</v>
      </c>
      <c r="M118" s="57" t="n">
        <v>8000</v>
      </c>
      <c r="N118" s="57" t="n">
        <v>3500</v>
      </c>
      <c r="O118" s="57" t="n">
        <v>2000</v>
      </c>
      <c r="P118" s="57" t="n">
        <v>2000</v>
      </c>
      <c r="Q118" s="57" t="n">
        <v>13500</v>
      </c>
      <c r="R118" s="57" t="n">
        <v>6075</v>
      </c>
      <c r="S118" s="57" t="n">
        <f aca="false">IF($C118="","",ROUND($J118*2.2,0))</f>
        <v>24750</v>
      </c>
      <c r="T118" s="57" t="n">
        <v>4638</v>
      </c>
      <c r="U118" s="57" t="n">
        <v>4063</v>
      </c>
      <c r="V118" s="57" t="n">
        <v>2438</v>
      </c>
      <c r="W118" s="57" t="n">
        <v>2400</v>
      </c>
      <c r="X118" s="56" t="s">
        <v>178</v>
      </c>
      <c r="Y118" s="58" t="n">
        <v>0.75</v>
      </c>
      <c r="Z118" s="58" t="n">
        <v>1</v>
      </c>
      <c r="AA118" s="56" t="s">
        <v>743</v>
      </c>
      <c r="AB118" s="56" t="s">
        <v>744</v>
      </c>
      <c r="AC118" s="56"/>
      <c r="AD118" s="56" t="s">
        <v>745</v>
      </c>
      <c r="AE118" s="56"/>
      <c r="AF118" s="56"/>
      <c r="AG118" s="56"/>
      <c r="AH118" s="56"/>
      <c r="AI118" s="56"/>
      <c r="AJ118" s="56"/>
      <c r="AK118" s="60" t="n">
        <v>37842</v>
      </c>
      <c r="AL118" s="56" t="s">
        <v>746</v>
      </c>
      <c r="AM118" s="49"/>
      <c r="AN118" s="48"/>
    </row>
    <row r="119" customFormat="false" ht="16.5" hidden="false" customHeight="true" outlineLevel="0" collapsed="false">
      <c r="A119" s="48"/>
      <c r="B119" s="55" t="n">
        <f aca="false">IF($C119="","",COUNTA($C$5:C119))</f>
        <v>115</v>
      </c>
      <c r="C119" s="56" t="s">
        <v>747</v>
      </c>
      <c r="D119" s="56" t="s">
        <v>167</v>
      </c>
      <c r="E119" s="56" t="s">
        <v>742</v>
      </c>
      <c r="F119" s="56" t="s">
        <v>226</v>
      </c>
      <c r="G119" s="56" t="s">
        <v>495</v>
      </c>
      <c r="H119" s="56" t="n">
        <v>3</v>
      </c>
      <c r="I119" s="56" t="s">
        <v>151</v>
      </c>
      <c r="J119" s="57" t="n">
        <v>11000</v>
      </c>
      <c r="K119" s="57" t="n">
        <v>4600</v>
      </c>
      <c r="L119" s="57" t="n">
        <f aca="false">IF($C119="","",ROUND($J119*0.17,0))</f>
        <v>1870</v>
      </c>
      <c r="M119" s="57" t="n">
        <v>8600</v>
      </c>
      <c r="N119" s="57" t="n">
        <v>3500</v>
      </c>
      <c r="O119" s="57" t="n">
        <v>2200</v>
      </c>
      <c r="P119" s="57" t="n">
        <v>2200</v>
      </c>
      <c r="Q119" s="57" t="n">
        <v>15950</v>
      </c>
      <c r="R119" s="57" t="n">
        <v>7150</v>
      </c>
      <c r="S119" s="57" t="n">
        <f aca="false">IF($C119="","",ROUND($J119*2.2,0))</f>
        <v>24200</v>
      </c>
      <c r="T119" s="57" t="n">
        <v>3850</v>
      </c>
      <c r="U119" s="57" t="n">
        <v>3300</v>
      </c>
      <c r="V119" s="57" t="n">
        <v>2000</v>
      </c>
      <c r="W119" s="57" t="n">
        <v>2400</v>
      </c>
      <c r="X119" s="56" t="s">
        <v>123</v>
      </c>
      <c r="Y119" s="58" t="n">
        <v>0.75</v>
      </c>
      <c r="Z119" s="58" t="n">
        <v>1</v>
      </c>
      <c r="AA119" s="56" t="s">
        <v>748</v>
      </c>
      <c r="AB119" s="56" t="s">
        <v>749</v>
      </c>
      <c r="AC119" s="56"/>
      <c r="AD119" s="56" t="s">
        <v>750</v>
      </c>
      <c r="AE119" s="56" t="s">
        <v>751</v>
      </c>
      <c r="AF119" s="56"/>
      <c r="AG119" s="56"/>
      <c r="AH119" s="56"/>
      <c r="AI119" s="56"/>
      <c r="AJ119" s="56"/>
      <c r="AK119" s="56" t="s">
        <v>752</v>
      </c>
      <c r="AL119" s="56" t="s">
        <v>746</v>
      </c>
      <c r="AM119" s="49"/>
      <c r="AN119" s="48"/>
    </row>
    <row r="120" customFormat="false" ht="16.5" hidden="false" customHeight="true" outlineLevel="0" collapsed="false">
      <c r="A120" s="48"/>
      <c r="B120" s="55" t="n">
        <f aca="false">IF($C120="","",COUNTA($C$5:C120))</f>
        <v>116</v>
      </c>
      <c r="C120" s="56" t="s">
        <v>753</v>
      </c>
      <c r="D120" s="56" t="s">
        <v>167</v>
      </c>
      <c r="E120" s="56" t="s">
        <v>742</v>
      </c>
      <c r="F120" s="56" t="s">
        <v>226</v>
      </c>
      <c r="G120" s="56" t="s">
        <v>495</v>
      </c>
      <c r="H120" s="56" t="n">
        <v>2</v>
      </c>
      <c r="I120" s="56" t="s">
        <v>151</v>
      </c>
      <c r="J120" s="57" t="n">
        <v>11000</v>
      </c>
      <c r="K120" s="57" t="n">
        <v>4600</v>
      </c>
      <c r="L120" s="57" t="n">
        <f aca="false">IF($C120="","",ROUND($J120*0.17,0))</f>
        <v>1870</v>
      </c>
      <c r="M120" s="57" t="n">
        <v>8600</v>
      </c>
      <c r="N120" s="57" t="n">
        <v>3500</v>
      </c>
      <c r="O120" s="57" t="n">
        <v>2200</v>
      </c>
      <c r="P120" s="57" t="n">
        <v>2200</v>
      </c>
      <c r="Q120" s="57" t="n">
        <v>15950</v>
      </c>
      <c r="R120" s="57" t="n">
        <v>7150</v>
      </c>
      <c r="S120" s="57" t="n">
        <f aca="false">IF($C120="","",ROUND($J120*2.2,0))</f>
        <v>24200</v>
      </c>
      <c r="T120" s="57" t="n">
        <v>3850</v>
      </c>
      <c r="U120" s="57" t="n">
        <v>3300</v>
      </c>
      <c r="V120" s="57" t="n">
        <v>2000</v>
      </c>
      <c r="W120" s="57" t="n">
        <v>2400</v>
      </c>
      <c r="X120" s="56" t="s">
        <v>178</v>
      </c>
      <c r="Y120" s="58" t="n">
        <v>0.75</v>
      </c>
      <c r="Z120" s="58" t="n">
        <v>1</v>
      </c>
      <c r="AA120" s="56" t="s">
        <v>754</v>
      </c>
      <c r="AB120" s="56" t="s">
        <v>755</v>
      </c>
      <c r="AC120" s="56"/>
      <c r="AD120" s="56" t="s">
        <v>756</v>
      </c>
      <c r="AE120" s="56"/>
      <c r="AF120" s="56"/>
      <c r="AG120" s="56"/>
      <c r="AH120" s="56"/>
      <c r="AI120" s="56"/>
      <c r="AJ120" s="56"/>
      <c r="AK120" s="56" t="s">
        <v>757</v>
      </c>
      <c r="AL120" s="56" t="s">
        <v>758</v>
      </c>
      <c r="AM120" s="49"/>
      <c r="AN120" s="48"/>
    </row>
    <row r="121" customFormat="false" ht="16.5" hidden="false" customHeight="true" outlineLevel="0" collapsed="false">
      <c r="A121" s="40"/>
      <c r="B121" s="61" t="n">
        <f aca="false">IF($C121="","",COUNTA($C$5:C121))</f>
        <v>117</v>
      </c>
      <c r="C121" s="62" t="s">
        <v>759</v>
      </c>
      <c r="D121" s="62" t="s">
        <v>43</v>
      </c>
      <c r="E121" s="62" t="s">
        <v>742</v>
      </c>
      <c r="F121" s="62" t="s">
        <v>226</v>
      </c>
      <c r="G121" s="62" t="s">
        <v>495</v>
      </c>
      <c r="H121" s="62" t="n">
        <v>2</v>
      </c>
      <c r="I121" s="62" t="s">
        <v>151</v>
      </c>
      <c r="J121" s="62" t="n">
        <v>11000</v>
      </c>
      <c r="K121" s="62" t="n">
        <v>4600</v>
      </c>
      <c r="L121" s="63" t="n">
        <f aca="false">IF($C121="","",ROUND($J121*0.17,0))</f>
        <v>1870</v>
      </c>
      <c r="M121" s="62" t="n">
        <v>8600</v>
      </c>
      <c r="N121" s="62" t="n">
        <v>3500</v>
      </c>
      <c r="O121" s="62" t="n">
        <v>2200</v>
      </c>
      <c r="P121" s="62" t="n">
        <v>0</v>
      </c>
      <c r="Q121" s="62" t="n">
        <v>15950</v>
      </c>
      <c r="R121" s="62" t="n">
        <v>7150</v>
      </c>
      <c r="S121" s="63" t="n">
        <f aca="false">IF($C121="","",ROUND($J121*2.2,0))</f>
        <v>24200</v>
      </c>
      <c r="T121" s="62" t="n">
        <v>3850</v>
      </c>
      <c r="U121" s="62" t="n">
        <v>3300</v>
      </c>
      <c r="V121" s="62" t="n">
        <v>2000</v>
      </c>
      <c r="W121" s="62" t="n">
        <v>0</v>
      </c>
      <c r="X121" s="62" t="s">
        <v>178</v>
      </c>
      <c r="Y121" s="64" t="n">
        <v>0.3</v>
      </c>
      <c r="Z121" s="64" t="n">
        <v>1</v>
      </c>
      <c r="AA121" s="62" t="s">
        <v>760</v>
      </c>
      <c r="AB121" s="62" t="s">
        <v>761</v>
      </c>
      <c r="AC121" s="62" t="s">
        <v>762</v>
      </c>
      <c r="AD121" s="62"/>
      <c r="AE121" s="62"/>
      <c r="AF121" s="62"/>
      <c r="AG121" s="62"/>
      <c r="AH121" s="62"/>
      <c r="AI121" s="62"/>
      <c r="AJ121" s="62"/>
      <c r="AK121" s="62" t="s">
        <v>763</v>
      </c>
      <c r="AL121" s="62"/>
      <c r="AM121" s="65"/>
      <c r="AN121" s="40"/>
    </row>
    <row r="122" customFormat="false" ht="16.5" hidden="false" customHeight="true" outlineLevel="0" collapsed="false">
      <c r="A122" s="48"/>
      <c r="B122" s="55" t="n">
        <f aca="false">IF($C122="","",COUNTA($C$5:C122))</f>
        <v>118</v>
      </c>
      <c r="C122" s="56" t="s">
        <v>764</v>
      </c>
      <c r="D122" s="56" t="s">
        <v>167</v>
      </c>
      <c r="E122" s="56" t="s">
        <v>742</v>
      </c>
      <c r="F122" s="56" t="s">
        <v>226</v>
      </c>
      <c r="G122" s="56" t="s">
        <v>495</v>
      </c>
      <c r="H122" s="56" t="n">
        <v>3</v>
      </c>
      <c r="I122" s="56" t="s">
        <v>151</v>
      </c>
      <c r="J122" s="57" t="n">
        <v>11250</v>
      </c>
      <c r="K122" s="57" t="n">
        <v>4500</v>
      </c>
      <c r="L122" s="57" t="n">
        <f aca="false">IF($C122="","",ROUND($J122*0.17,0))</f>
        <v>1913</v>
      </c>
      <c r="M122" s="57" t="n">
        <v>8000</v>
      </c>
      <c r="N122" s="57" t="n">
        <v>3500</v>
      </c>
      <c r="O122" s="57" t="n">
        <v>2000</v>
      </c>
      <c r="P122" s="57" t="n">
        <v>2000</v>
      </c>
      <c r="Q122" s="57" t="n">
        <v>13500</v>
      </c>
      <c r="R122" s="57" t="n">
        <v>6075</v>
      </c>
      <c r="S122" s="57" t="n">
        <f aca="false">IF($C122="","",ROUND($J122*2.2,0))</f>
        <v>24750</v>
      </c>
      <c r="T122" s="57" t="n">
        <v>4638</v>
      </c>
      <c r="U122" s="57" t="n">
        <v>4063</v>
      </c>
      <c r="V122" s="57" t="n">
        <v>2438</v>
      </c>
      <c r="W122" s="57" t="n">
        <v>2400</v>
      </c>
      <c r="X122" s="56" t="s">
        <v>123</v>
      </c>
      <c r="Y122" s="58" t="n">
        <v>0.75</v>
      </c>
      <c r="Z122" s="58" t="n">
        <v>1</v>
      </c>
      <c r="AA122" s="56" t="s">
        <v>765</v>
      </c>
      <c r="AB122" s="56" t="s">
        <v>766</v>
      </c>
      <c r="AC122" s="56" t="s">
        <v>767</v>
      </c>
      <c r="AD122" s="56" t="s">
        <v>768</v>
      </c>
      <c r="AE122" s="56"/>
      <c r="AF122" s="56"/>
      <c r="AG122" s="56"/>
      <c r="AH122" s="56"/>
      <c r="AI122" s="56"/>
      <c r="AJ122" s="56"/>
      <c r="AK122" s="56" t="s">
        <v>769</v>
      </c>
      <c r="AL122" s="56" t="s">
        <v>770</v>
      </c>
      <c r="AM122" s="49"/>
      <c r="AN122" s="48"/>
    </row>
    <row r="123" customFormat="false" ht="16.5" hidden="false" customHeight="true" outlineLevel="0" collapsed="false">
      <c r="A123" s="46"/>
      <c r="B123" s="66" t="n">
        <f aca="false">IF($C123="","",COUNTA($C$5:C123))</f>
        <v>119</v>
      </c>
      <c r="C123" s="67" t="s">
        <v>771</v>
      </c>
      <c r="D123" s="67" t="s">
        <v>317</v>
      </c>
      <c r="E123" s="67" t="s">
        <v>742</v>
      </c>
      <c r="F123" s="67" t="s">
        <v>226</v>
      </c>
      <c r="G123" s="67" t="s">
        <v>495</v>
      </c>
      <c r="H123" s="67" t="n">
        <v>2</v>
      </c>
      <c r="I123" s="67" t="s">
        <v>151</v>
      </c>
      <c r="J123" s="67" t="n">
        <v>11000</v>
      </c>
      <c r="K123" s="67" t="n">
        <v>4600</v>
      </c>
      <c r="L123" s="68" t="n">
        <f aca="false">IF($C123="","",ROUND($J123*0.17,0))</f>
        <v>1870</v>
      </c>
      <c r="M123" s="67" t="n">
        <v>8600</v>
      </c>
      <c r="N123" s="67" t="n">
        <v>3500</v>
      </c>
      <c r="O123" s="67" t="n">
        <v>2200</v>
      </c>
      <c r="P123" s="67" t="n">
        <v>0</v>
      </c>
      <c r="Q123" s="67" t="n">
        <v>15950</v>
      </c>
      <c r="R123" s="67" t="n">
        <v>7150</v>
      </c>
      <c r="S123" s="68" t="n">
        <f aca="false">IF($C123="","",ROUND($J123*2.2,0))</f>
        <v>24200</v>
      </c>
      <c r="T123" s="67" t="n">
        <v>3850</v>
      </c>
      <c r="U123" s="67" t="n">
        <v>3300</v>
      </c>
      <c r="V123" s="67" t="n">
        <v>2000</v>
      </c>
      <c r="W123" s="67" t="n">
        <v>0</v>
      </c>
      <c r="X123" s="67" t="s">
        <v>178</v>
      </c>
      <c r="Y123" s="69" t="n">
        <v>0.3</v>
      </c>
      <c r="Z123" s="69" t="n">
        <v>1</v>
      </c>
      <c r="AA123" s="67" t="s">
        <v>772</v>
      </c>
      <c r="AB123" s="67" t="s">
        <v>773</v>
      </c>
      <c r="AC123" s="67"/>
      <c r="AD123" s="67"/>
      <c r="AE123" s="67" t="s">
        <v>774</v>
      </c>
      <c r="AF123" s="67"/>
      <c r="AG123" s="67"/>
      <c r="AH123" s="67"/>
      <c r="AI123" s="67"/>
      <c r="AJ123" s="67"/>
      <c r="AK123" s="70" t="n">
        <v>32425</v>
      </c>
      <c r="AL123" s="67"/>
      <c r="AM123" s="47"/>
      <c r="AN123" s="46"/>
    </row>
    <row r="124" customFormat="false" ht="16.5" hidden="false" customHeight="true" outlineLevel="0" collapsed="false">
      <c r="A124" s="48"/>
      <c r="B124" s="55" t="n">
        <f aca="false">IF($C124="","",COUNTA($C$5:C124))</f>
        <v>120</v>
      </c>
      <c r="C124" s="56" t="s">
        <v>775</v>
      </c>
      <c r="D124" s="56" t="s">
        <v>167</v>
      </c>
      <c r="E124" s="56" t="s">
        <v>742</v>
      </c>
      <c r="F124" s="56" t="s">
        <v>226</v>
      </c>
      <c r="G124" s="56" t="s">
        <v>495</v>
      </c>
      <c r="H124" s="56" t="n">
        <v>3</v>
      </c>
      <c r="I124" s="56" t="s">
        <v>151</v>
      </c>
      <c r="J124" s="57" t="n">
        <v>22750</v>
      </c>
      <c r="K124" s="57" t="n">
        <v>9550</v>
      </c>
      <c r="L124" s="57" t="n">
        <f aca="false">IF($C124="","",ROUND($J124*0.17,0))</f>
        <v>3868</v>
      </c>
      <c r="M124" s="57" t="n">
        <v>17750</v>
      </c>
      <c r="N124" s="57" t="n">
        <v>7300</v>
      </c>
      <c r="O124" s="57" t="n">
        <v>4550</v>
      </c>
      <c r="P124" s="57" t="n">
        <v>4550</v>
      </c>
      <c r="Q124" s="57" t="n">
        <v>33000</v>
      </c>
      <c r="R124" s="57" t="n">
        <v>14800</v>
      </c>
      <c r="S124" s="57" t="n">
        <f aca="false">IF($C124="","",ROUND($J124*2.2,0))</f>
        <v>50050</v>
      </c>
      <c r="T124" s="57" t="n">
        <v>7950</v>
      </c>
      <c r="U124" s="57" t="n">
        <v>6850</v>
      </c>
      <c r="V124" s="57" t="n">
        <v>4100</v>
      </c>
      <c r="W124" s="57" t="n">
        <v>2400</v>
      </c>
      <c r="X124" s="56" t="s">
        <v>123</v>
      </c>
      <c r="Y124" s="58" t="n">
        <v>0.75</v>
      </c>
      <c r="Z124" s="58" t="n">
        <v>1</v>
      </c>
      <c r="AA124" s="56" t="s">
        <v>776</v>
      </c>
      <c r="AB124" s="56" t="s">
        <v>777</v>
      </c>
      <c r="AC124" s="56" t="s">
        <v>778</v>
      </c>
      <c r="AD124" s="56" t="s">
        <v>779</v>
      </c>
      <c r="AE124" s="56"/>
      <c r="AF124" s="56"/>
      <c r="AG124" s="56"/>
      <c r="AH124" s="56"/>
      <c r="AI124" s="56"/>
      <c r="AJ124" s="56"/>
      <c r="AK124" s="56" t="s">
        <v>780</v>
      </c>
      <c r="AL124" s="56" t="s">
        <v>758</v>
      </c>
      <c r="AM124" s="49"/>
      <c r="AN124" s="48"/>
    </row>
    <row r="125" customFormat="false" ht="16.5" hidden="false" customHeight="true" outlineLevel="0" collapsed="false">
      <c r="A125" s="46"/>
      <c r="B125" s="66" t="n">
        <f aca="false">IF($C125="","",COUNTA($C$5:C125))</f>
        <v>121</v>
      </c>
      <c r="C125" s="67" t="s">
        <v>781</v>
      </c>
      <c r="D125" s="67" t="s">
        <v>415</v>
      </c>
      <c r="E125" s="67" t="s">
        <v>742</v>
      </c>
      <c r="F125" s="67" t="s">
        <v>226</v>
      </c>
      <c r="G125" s="67" t="s">
        <v>495</v>
      </c>
      <c r="H125" s="67" t="n">
        <v>4</v>
      </c>
      <c r="I125" s="67" t="s">
        <v>219</v>
      </c>
      <c r="J125" s="67" t="n">
        <v>11000</v>
      </c>
      <c r="K125" s="67" t="n">
        <v>4600</v>
      </c>
      <c r="L125" s="68" t="n">
        <f aca="false">IF($C125="","",ROUND($J125*0.17,0))</f>
        <v>1870</v>
      </c>
      <c r="M125" s="67" t="n">
        <v>8600</v>
      </c>
      <c r="N125" s="67" t="n">
        <v>3500</v>
      </c>
      <c r="O125" s="67" t="n">
        <v>2200</v>
      </c>
      <c r="P125" s="67" t="n">
        <v>0</v>
      </c>
      <c r="Q125" s="67" t="n">
        <v>15950</v>
      </c>
      <c r="R125" s="67" t="n">
        <v>7150</v>
      </c>
      <c r="S125" s="68" t="n">
        <f aca="false">IF($C125="","",ROUND($J125*2.2,0))</f>
        <v>24200</v>
      </c>
      <c r="T125" s="67" t="n">
        <v>3850</v>
      </c>
      <c r="U125" s="67" t="n">
        <v>3300</v>
      </c>
      <c r="V125" s="67" t="n">
        <v>2000</v>
      </c>
      <c r="W125" s="67" t="n">
        <v>0</v>
      </c>
      <c r="X125" s="67" t="s">
        <v>109</v>
      </c>
      <c r="Y125" s="69" t="n">
        <v>0.3</v>
      </c>
      <c r="Z125" s="69" t="n">
        <v>1</v>
      </c>
      <c r="AA125" s="67" t="s">
        <v>782</v>
      </c>
      <c r="AB125" s="67" t="s">
        <v>783</v>
      </c>
      <c r="AC125" s="67" t="s">
        <v>784</v>
      </c>
      <c r="AD125" s="67" t="s">
        <v>785</v>
      </c>
      <c r="AE125" s="67" t="s">
        <v>786</v>
      </c>
      <c r="AF125" s="67"/>
      <c r="AG125" s="67"/>
      <c r="AH125" s="67"/>
      <c r="AI125" s="67"/>
      <c r="AJ125" s="67"/>
      <c r="AK125" s="67" t="s">
        <v>787</v>
      </c>
      <c r="AL125" s="67"/>
      <c r="AM125" s="47"/>
      <c r="AN125" s="46"/>
    </row>
    <row r="126" customFormat="false" ht="16.5" hidden="false" customHeight="true" outlineLevel="0" collapsed="false">
      <c r="A126" s="46"/>
      <c r="B126" s="66" t="n">
        <f aca="false">IF($C126="","",COUNTA($C$5:C126))</f>
        <v>122</v>
      </c>
      <c r="C126" s="67" t="s">
        <v>788</v>
      </c>
      <c r="D126" s="67" t="s">
        <v>317</v>
      </c>
      <c r="E126" s="67" t="s">
        <v>789</v>
      </c>
      <c r="F126" s="67" t="s">
        <v>226</v>
      </c>
      <c r="G126" s="67" t="s">
        <v>170</v>
      </c>
      <c r="H126" s="67" t="n">
        <v>3</v>
      </c>
      <c r="I126" s="67" t="s">
        <v>151</v>
      </c>
      <c r="J126" s="67" t="n">
        <v>11000</v>
      </c>
      <c r="K126" s="67" t="n">
        <v>4600</v>
      </c>
      <c r="L126" s="68" t="n">
        <f aca="false">IF($C126="","",ROUND($J126*0.17,0))</f>
        <v>1870</v>
      </c>
      <c r="M126" s="67" t="n">
        <v>8600</v>
      </c>
      <c r="N126" s="67" t="n">
        <v>3500</v>
      </c>
      <c r="O126" s="67" t="n">
        <v>2200</v>
      </c>
      <c r="P126" s="67" t="n">
        <v>0</v>
      </c>
      <c r="Q126" s="67" t="n">
        <v>15950</v>
      </c>
      <c r="R126" s="67" t="n">
        <v>7150</v>
      </c>
      <c r="S126" s="68" t="n">
        <f aca="false">IF($C126="","",ROUND($J126*2.2,0))</f>
        <v>24200</v>
      </c>
      <c r="T126" s="67" t="n">
        <v>3850</v>
      </c>
      <c r="U126" s="67" t="n">
        <v>3300</v>
      </c>
      <c r="V126" s="67" t="n">
        <v>2000</v>
      </c>
      <c r="W126" s="67" t="n">
        <v>0</v>
      </c>
      <c r="X126" s="67" t="s">
        <v>123</v>
      </c>
      <c r="Y126" s="69" t="n">
        <v>0.3</v>
      </c>
      <c r="Z126" s="69" t="n">
        <v>1</v>
      </c>
      <c r="AA126" s="67" t="s">
        <v>790</v>
      </c>
      <c r="AB126" s="67" t="s">
        <v>791</v>
      </c>
      <c r="AC126" s="67" t="s">
        <v>792</v>
      </c>
      <c r="AD126" s="67" t="s">
        <v>793</v>
      </c>
      <c r="AE126" s="67"/>
      <c r="AF126" s="67"/>
      <c r="AG126" s="67"/>
      <c r="AH126" s="67"/>
      <c r="AI126" s="67"/>
      <c r="AJ126" s="67"/>
      <c r="AK126" s="67" t="s">
        <v>794</v>
      </c>
      <c r="AL126" s="67"/>
      <c r="AM126" s="47"/>
      <c r="AN126" s="46"/>
    </row>
    <row r="127" customFormat="false" ht="16.5" hidden="false" customHeight="true" outlineLevel="0" collapsed="false">
      <c r="A127" s="48"/>
      <c r="B127" s="55" t="n">
        <f aca="false">IF($C127="","",COUNTA($C$5:C127))</f>
        <v>123</v>
      </c>
      <c r="C127" s="56" t="s">
        <v>795</v>
      </c>
      <c r="D127" s="56" t="s">
        <v>167</v>
      </c>
      <c r="E127" s="56" t="s">
        <v>789</v>
      </c>
      <c r="F127" s="56" t="s">
        <v>226</v>
      </c>
      <c r="G127" s="56" t="s">
        <v>170</v>
      </c>
      <c r="H127" s="56" t="n">
        <v>4</v>
      </c>
      <c r="I127" s="56" t="s">
        <v>219</v>
      </c>
      <c r="J127" s="57" t="n">
        <v>15000</v>
      </c>
      <c r="K127" s="57" t="n">
        <v>6750</v>
      </c>
      <c r="L127" s="57" t="n">
        <f aca="false">IF($C127="","",ROUND($J127*0.17,0))</f>
        <v>2550</v>
      </c>
      <c r="M127" s="57" t="n">
        <v>11000</v>
      </c>
      <c r="N127" s="57" t="n">
        <v>5000</v>
      </c>
      <c r="O127" s="57" t="n">
        <v>3200</v>
      </c>
      <c r="P127" s="57" t="n">
        <v>3200</v>
      </c>
      <c r="Q127" s="57" t="n">
        <v>19500</v>
      </c>
      <c r="R127" s="57" t="n">
        <v>8775</v>
      </c>
      <c r="S127" s="57" t="n">
        <f aca="false">IF($C127="","",ROUND($J127*2.2,0))</f>
        <v>33000</v>
      </c>
      <c r="T127" s="57" t="n">
        <v>6800</v>
      </c>
      <c r="U127" s="57" t="n">
        <v>5950</v>
      </c>
      <c r="V127" s="57" t="n">
        <v>3570</v>
      </c>
      <c r="W127" s="57" t="n">
        <v>2400</v>
      </c>
      <c r="X127" s="56" t="s">
        <v>109</v>
      </c>
      <c r="Y127" s="58" t="n">
        <v>0.3</v>
      </c>
      <c r="Z127" s="58" t="n">
        <v>1</v>
      </c>
      <c r="AA127" s="56" t="s">
        <v>796</v>
      </c>
      <c r="AB127" s="56" t="s">
        <v>797</v>
      </c>
      <c r="AC127" s="56" t="s">
        <v>798</v>
      </c>
      <c r="AD127" s="56" t="s">
        <v>799</v>
      </c>
      <c r="AE127" s="56" t="s">
        <v>800</v>
      </c>
      <c r="AF127" s="56"/>
      <c r="AG127" s="56"/>
      <c r="AH127" s="56"/>
      <c r="AI127" s="56"/>
      <c r="AJ127" s="56"/>
      <c r="AK127" s="56" t="s">
        <v>801</v>
      </c>
      <c r="AL127" s="56"/>
      <c r="AM127" s="49"/>
      <c r="AN127" s="48"/>
    </row>
    <row r="128" customFormat="false" ht="16.5" hidden="false" customHeight="true" outlineLevel="0" collapsed="false">
      <c r="A128" s="48"/>
      <c r="B128" s="55" t="n">
        <f aca="false">IF($C128="","",COUNTA($C$5:C128))</f>
        <v>124</v>
      </c>
      <c r="C128" s="56" t="s">
        <v>802</v>
      </c>
      <c r="D128" s="56" t="s">
        <v>167</v>
      </c>
      <c r="E128" s="56" t="s">
        <v>789</v>
      </c>
      <c r="F128" s="56" t="s">
        <v>226</v>
      </c>
      <c r="G128" s="56" t="s">
        <v>170</v>
      </c>
      <c r="H128" s="56" t="n">
        <v>4</v>
      </c>
      <c r="I128" s="56" t="s">
        <v>219</v>
      </c>
      <c r="J128" s="57" t="n">
        <v>20700</v>
      </c>
      <c r="K128" s="57" t="n">
        <v>8700</v>
      </c>
      <c r="L128" s="57" t="n">
        <f aca="false">IF($C128="","",ROUND($J128*0.17,0))</f>
        <v>3519</v>
      </c>
      <c r="M128" s="57" t="n">
        <v>16150</v>
      </c>
      <c r="N128" s="57" t="n">
        <v>6600</v>
      </c>
      <c r="O128" s="57" t="n">
        <v>4150</v>
      </c>
      <c r="P128" s="57" t="n">
        <v>4150</v>
      </c>
      <c r="Q128" s="57" t="n">
        <v>30000</v>
      </c>
      <c r="R128" s="57" t="n">
        <v>13450</v>
      </c>
      <c r="S128" s="57" t="n">
        <f aca="false">IF($C128="","",ROUND($J128*2.2,0))</f>
        <v>45540</v>
      </c>
      <c r="T128" s="57" t="n">
        <v>7250</v>
      </c>
      <c r="U128" s="57" t="n">
        <v>6200</v>
      </c>
      <c r="V128" s="57" t="n">
        <v>3750</v>
      </c>
      <c r="W128" s="57" t="n">
        <v>2400</v>
      </c>
      <c r="X128" s="56" t="s">
        <v>109</v>
      </c>
      <c r="Y128" s="58" t="n">
        <v>0.3</v>
      </c>
      <c r="Z128" s="58" t="n">
        <v>1</v>
      </c>
      <c r="AA128" s="56" t="s">
        <v>803</v>
      </c>
      <c r="AB128" s="56" t="s">
        <v>804</v>
      </c>
      <c r="AC128" s="56" t="s">
        <v>805</v>
      </c>
      <c r="AD128" s="56" t="s">
        <v>806</v>
      </c>
      <c r="AE128" s="56" t="s">
        <v>807</v>
      </c>
      <c r="AF128" s="56"/>
      <c r="AG128" s="56"/>
      <c r="AH128" s="56"/>
      <c r="AI128" s="56"/>
      <c r="AJ128" s="56"/>
      <c r="AK128" s="56" t="s">
        <v>808</v>
      </c>
      <c r="AL128" s="56"/>
      <c r="AM128" s="49"/>
      <c r="AN128" s="48"/>
    </row>
    <row r="129" customFormat="false" ht="16.5" hidden="false" customHeight="true" outlineLevel="0" collapsed="false">
      <c r="A129" s="48"/>
      <c r="B129" s="55" t="n">
        <f aca="false">IF($C129="","",COUNTA($C$5:C129))</f>
        <v>125</v>
      </c>
      <c r="C129" s="56" t="s">
        <v>809</v>
      </c>
      <c r="D129" s="56" t="s">
        <v>167</v>
      </c>
      <c r="E129" s="56" t="s">
        <v>789</v>
      </c>
      <c r="F129" s="56" t="s">
        <v>226</v>
      </c>
      <c r="G129" s="56" t="s">
        <v>170</v>
      </c>
      <c r="H129" s="56" t="n">
        <v>4</v>
      </c>
      <c r="I129" s="56" t="s">
        <v>219</v>
      </c>
      <c r="J129" s="57" t="n">
        <v>20700</v>
      </c>
      <c r="K129" s="57" t="n">
        <v>8700</v>
      </c>
      <c r="L129" s="57" t="n">
        <f aca="false">IF($C129="","",ROUND($J129*0.17,0))</f>
        <v>3519</v>
      </c>
      <c r="M129" s="57" t="n">
        <v>16150</v>
      </c>
      <c r="N129" s="57" t="n">
        <v>6600</v>
      </c>
      <c r="O129" s="57" t="n">
        <v>4150</v>
      </c>
      <c r="P129" s="57" t="n">
        <v>4150</v>
      </c>
      <c r="Q129" s="57" t="n">
        <v>30000</v>
      </c>
      <c r="R129" s="57" t="n">
        <v>13450</v>
      </c>
      <c r="S129" s="57" t="n">
        <f aca="false">IF($C129="","",ROUND($J129*2.2,0))</f>
        <v>45540</v>
      </c>
      <c r="T129" s="57" t="n">
        <v>7250</v>
      </c>
      <c r="U129" s="57" t="n">
        <v>6200</v>
      </c>
      <c r="V129" s="57" t="n">
        <v>3750</v>
      </c>
      <c r="W129" s="57" t="n">
        <v>2400</v>
      </c>
      <c r="X129" s="56" t="s">
        <v>109</v>
      </c>
      <c r="Y129" s="58" t="n">
        <v>0.3</v>
      </c>
      <c r="Z129" s="58" t="n">
        <v>1</v>
      </c>
      <c r="AA129" s="56" t="s">
        <v>810</v>
      </c>
      <c r="AB129" s="56" t="s">
        <v>811</v>
      </c>
      <c r="AC129" s="56" t="s">
        <v>812</v>
      </c>
      <c r="AD129" s="56" t="s">
        <v>813</v>
      </c>
      <c r="AE129" s="56" t="s">
        <v>814</v>
      </c>
      <c r="AF129" s="56"/>
      <c r="AG129" s="56"/>
      <c r="AH129" s="56"/>
      <c r="AI129" s="56"/>
      <c r="AJ129" s="56"/>
      <c r="AK129" s="56" t="s">
        <v>815</v>
      </c>
      <c r="AL129" s="56"/>
      <c r="AM129" s="49"/>
      <c r="AN129" s="48"/>
    </row>
    <row r="130" customFormat="false" ht="16.5" hidden="false" customHeight="true" outlineLevel="0" collapsed="false">
      <c r="A130" s="48"/>
      <c r="B130" s="55" t="n">
        <f aca="false">IF($C130="","",COUNTA($C$5:C130))</f>
        <v>126</v>
      </c>
      <c r="C130" s="56" t="s">
        <v>816</v>
      </c>
      <c r="D130" s="56" t="s">
        <v>167</v>
      </c>
      <c r="E130" s="56" t="s">
        <v>789</v>
      </c>
      <c r="F130" s="56" t="s">
        <v>226</v>
      </c>
      <c r="G130" s="56" t="s">
        <v>817</v>
      </c>
      <c r="H130" s="56" t="n">
        <v>5</v>
      </c>
      <c r="I130" s="56" t="s">
        <v>219</v>
      </c>
      <c r="J130" s="57" t="n">
        <v>20700</v>
      </c>
      <c r="K130" s="57" t="n">
        <v>8700</v>
      </c>
      <c r="L130" s="57" t="n">
        <f aca="false">IF($C130="","",ROUND($J130*0.17,0))</f>
        <v>3519</v>
      </c>
      <c r="M130" s="57" t="n">
        <v>16150</v>
      </c>
      <c r="N130" s="57" t="n">
        <v>6600</v>
      </c>
      <c r="O130" s="57" t="n">
        <v>4150</v>
      </c>
      <c r="P130" s="57" t="n">
        <v>4150</v>
      </c>
      <c r="Q130" s="57" t="n">
        <v>30000</v>
      </c>
      <c r="R130" s="57" t="n">
        <v>13450</v>
      </c>
      <c r="S130" s="57" t="n">
        <f aca="false">IF($C130="","",ROUND($J130*2.2,0))</f>
        <v>45540</v>
      </c>
      <c r="T130" s="57" t="n">
        <v>7250</v>
      </c>
      <c r="U130" s="57" t="n">
        <v>6200</v>
      </c>
      <c r="V130" s="57" t="n">
        <v>3750</v>
      </c>
      <c r="W130" s="57" t="n">
        <v>2400</v>
      </c>
      <c r="X130" s="56" t="s">
        <v>133</v>
      </c>
      <c r="Y130" s="58" t="n">
        <v>0.3</v>
      </c>
      <c r="Z130" s="58" t="n">
        <v>1</v>
      </c>
      <c r="AA130" s="56" t="s">
        <v>818</v>
      </c>
      <c r="AB130" s="56" t="s">
        <v>819</v>
      </c>
      <c r="AC130" s="56" t="s">
        <v>820</v>
      </c>
      <c r="AD130" s="56" t="s">
        <v>821</v>
      </c>
      <c r="AE130" s="56" t="s">
        <v>822</v>
      </c>
      <c r="AF130" s="56"/>
      <c r="AG130" s="56" t="s">
        <v>823</v>
      </c>
      <c r="AH130" s="56"/>
      <c r="AI130" s="56"/>
      <c r="AJ130" s="56"/>
      <c r="AK130" s="59" t="n">
        <v>36810</v>
      </c>
      <c r="AL130" s="56"/>
      <c r="AM130" s="49"/>
      <c r="AN130" s="48"/>
    </row>
    <row r="131" customFormat="false" ht="16.5" hidden="false" customHeight="true" outlineLevel="0" collapsed="false">
      <c r="A131" s="48"/>
      <c r="B131" s="55" t="n">
        <f aca="false">IF($C131="","",COUNTA($C$5:C131))</f>
        <v>127</v>
      </c>
      <c r="C131" s="56" t="s">
        <v>824</v>
      </c>
      <c r="D131" s="56" t="s">
        <v>167</v>
      </c>
      <c r="E131" s="56" t="s">
        <v>825</v>
      </c>
      <c r="F131" s="56" t="s">
        <v>226</v>
      </c>
      <c r="G131" s="56" t="s">
        <v>300</v>
      </c>
      <c r="H131" s="56" t="n">
        <v>3</v>
      </c>
      <c r="I131" s="56" t="s">
        <v>151</v>
      </c>
      <c r="J131" s="57" t="n">
        <v>20700</v>
      </c>
      <c r="K131" s="57" t="n">
        <v>8700</v>
      </c>
      <c r="L131" s="57" t="n">
        <f aca="false">IF($C131="","",ROUND($J131*0.17,0))</f>
        <v>3519</v>
      </c>
      <c r="M131" s="57" t="n">
        <v>16150</v>
      </c>
      <c r="N131" s="57" t="n">
        <v>6600</v>
      </c>
      <c r="O131" s="57" t="n">
        <v>4150</v>
      </c>
      <c r="P131" s="57" t="n">
        <v>4150</v>
      </c>
      <c r="Q131" s="57" t="n">
        <v>30000</v>
      </c>
      <c r="R131" s="57" t="n">
        <v>13450</v>
      </c>
      <c r="S131" s="57" t="n">
        <f aca="false">IF($C131="","",ROUND($J131*2.2,0))</f>
        <v>45540</v>
      </c>
      <c r="T131" s="57" t="n">
        <v>7250</v>
      </c>
      <c r="U131" s="57" t="n">
        <v>6200</v>
      </c>
      <c r="V131" s="57" t="n">
        <v>3750</v>
      </c>
      <c r="W131" s="57" t="n">
        <v>2400</v>
      </c>
      <c r="X131" s="56" t="s">
        <v>123</v>
      </c>
      <c r="Y131" s="58" t="n">
        <v>0.75</v>
      </c>
      <c r="Z131" s="58" t="n">
        <v>1</v>
      </c>
      <c r="AA131" s="56" t="s">
        <v>826</v>
      </c>
      <c r="AB131" s="56" t="s">
        <v>827</v>
      </c>
      <c r="AC131" s="56" t="s">
        <v>828</v>
      </c>
      <c r="AD131" s="56" t="s">
        <v>829</v>
      </c>
      <c r="AE131" s="56"/>
      <c r="AF131" s="56"/>
      <c r="AG131" s="56"/>
      <c r="AH131" s="56"/>
      <c r="AI131" s="56"/>
      <c r="AJ131" s="56"/>
      <c r="AK131" s="56" t="s">
        <v>830</v>
      </c>
      <c r="AL131" s="56" t="s">
        <v>746</v>
      </c>
      <c r="AM131" s="49"/>
      <c r="AN131" s="48"/>
    </row>
    <row r="132" customFormat="false" ht="16.5" hidden="false" customHeight="true" outlineLevel="0" collapsed="false">
      <c r="A132" s="50"/>
      <c r="B132" s="72" t="n">
        <f aca="false">IF($C132="","",COUNTA($C$5:C132))</f>
        <v>128</v>
      </c>
      <c r="C132" s="73" t="s">
        <v>831</v>
      </c>
      <c r="D132" s="73" t="s">
        <v>45</v>
      </c>
      <c r="E132" s="73" t="s">
        <v>825</v>
      </c>
      <c r="F132" s="73" t="s">
        <v>226</v>
      </c>
      <c r="G132" s="73" t="s">
        <v>832</v>
      </c>
      <c r="H132" s="73" t="n">
        <v>1</v>
      </c>
      <c r="I132" s="73" t="s">
        <v>97</v>
      </c>
      <c r="J132" s="73" t="n">
        <v>11000</v>
      </c>
      <c r="K132" s="73" t="n">
        <v>4600</v>
      </c>
      <c r="L132" s="74" t="n">
        <f aca="false">IF($C132="","",ROUND($J132*0.17,0))</f>
        <v>1870</v>
      </c>
      <c r="M132" s="73" t="n">
        <v>8600</v>
      </c>
      <c r="N132" s="73" t="n">
        <v>3500</v>
      </c>
      <c r="O132" s="73" t="n">
        <v>2200</v>
      </c>
      <c r="P132" s="73" t="n">
        <v>0</v>
      </c>
      <c r="Q132" s="73" t="n">
        <v>15950</v>
      </c>
      <c r="R132" s="73" t="n">
        <v>7150</v>
      </c>
      <c r="S132" s="74" t="n">
        <f aca="false">IF($C132="","",ROUND($J132*2.2,0))</f>
        <v>24200</v>
      </c>
      <c r="T132" s="73" t="n">
        <v>3850</v>
      </c>
      <c r="U132" s="73" t="n">
        <v>3300</v>
      </c>
      <c r="V132" s="73" t="n">
        <v>2000</v>
      </c>
      <c r="W132" s="73" t="n">
        <v>0</v>
      </c>
      <c r="X132" s="73" t="s">
        <v>198</v>
      </c>
      <c r="Y132" s="75" t="n">
        <v>0.75</v>
      </c>
      <c r="Z132" s="75" t="n">
        <v>1</v>
      </c>
      <c r="AA132" s="73" t="s">
        <v>833</v>
      </c>
      <c r="AB132" s="73" t="s">
        <v>834</v>
      </c>
      <c r="AC132" s="73"/>
      <c r="AD132" s="73"/>
      <c r="AE132" s="73"/>
      <c r="AF132" s="73"/>
      <c r="AG132" s="73"/>
      <c r="AH132" s="73"/>
      <c r="AI132" s="73"/>
      <c r="AJ132" s="73"/>
      <c r="AK132" s="73" t="s">
        <v>835</v>
      </c>
      <c r="AL132" s="73"/>
      <c r="AM132" s="51"/>
      <c r="AN132" s="50"/>
    </row>
    <row r="133" customFormat="false" ht="16.5" hidden="false" customHeight="true" outlineLevel="0" collapsed="false">
      <c r="A133" s="40"/>
      <c r="B133" s="61" t="n">
        <f aca="false">IF($C133="","",COUNTA($C$5:C133))</f>
        <v>129</v>
      </c>
      <c r="C133" s="62" t="s">
        <v>836</v>
      </c>
      <c r="D133" s="62" t="s">
        <v>43</v>
      </c>
      <c r="E133" s="62" t="s">
        <v>825</v>
      </c>
      <c r="F133" s="62" t="s">
        <v>226</v>
      </c>
      <c r="G133" s="62" t="s">
        <v>300</v>
      </c>
      <c r="H133" s="62" t="n">
        <v>0</v>
      </c>
      <c r="I133" s="62" t="s">
        <v>219</v>
      </c>
      <c r="J133" s="62" t="n">
        <v>0</v>
      </c>
      <c r="K133" s="62" t="n">
        <v>0</v>
      </c>
      <c r="L133" s="63" t="n">
        <f aca="false">IF($C133="","",ROUND($J133*0.17,0))</f>
        <v>0</v>
      </c>
      <c r="M133" s="62" t="n">
        <v>0</v>
      </c>
      <c r="N133" s="62" t="n">
        <v>0</v>
      </c>
      <c r="O133" s="62" t="n">
        <v>0</v>
      </c>
      <c r="P133" s="62" t="n">
        <v>0</v>
      </c>
      <c r="Q133" s="62" t="n">
        <v>0</v>
      </c>
      <c r="R133" s="62" t="n">
        <v>0</v>
      </c>
      <c r="S133" s="63" t="n">
        <f aca="false">IF($C133="","",ROUND($J133*2.2,0))</f>
        <v>0</v>
      </c>
      <c r="T133" s="62" t="n">
        <v>0</v>
      </c>
      <c r="U133" s="62" t="n">
        <v>0</v>
      </c>
      <c r="V133" s="62" t="n">
        <v>2000</v>
      </c>
      <c r="W133" s="62" t="n">
        <v>0</v>
      </c>
      <c r="X133" s="62" t="s">
        <v>265</v>
      </c>
      <c r="Y133" s="64" t="n">
        <v>0.5</v>
      </c>
      <c r="Z133" s="64" t="n">
        <v>1</v>
      </c>
      <c r="AA133" s="62" t="s">
        <v>837</v>
      </c>
      <c r="AB133" s="62"/>
      <c r="AC133" s="62"/>
      <c r="AD133" s="62"/>
      <c r="AE133" s="62"/>
      <c r="AF133" s="62"/>
      <c r="AG133" s="62"/>
      <c r="AH133" s="62"/>
      <c r="AI133" s="62"/>
      <c r="AJ133" s="62"/>
      <c r="AK133" s="62" t="s">
        <v>838</v>
      </c>
      <c r="AL133" s="62"/>
      <c r="AM133" s="65"/>
      <c r="AN133" s="40"/>
    </row>
    <row r="134" customFormat="false" ht="16.5" hidden="false" customHeight="true" outlineLevel="0" collapsed="false">
      <c r="A134" s="46"/>
      <c r="B134" s="66" t="n">
        <f aca="false">IF($C134="","",COUNTA($C$5:C134))</f>
        <v>130</v>
      </c>
      <c r="C134" s="67" t="s">
        <v>839</v>
      </c>
      <c r="D134" s="67" t="s">
        <v>415</v>
      </c>
      <c r="E134" s="67" t="s">
        <v>825</v>
      </c>
      <c r="F134" s="67" t="s">
        <v>226</v>
      </c>
      <c r="G134" s="67" t="s">
        <v>840</v>
      </c>
      <c r="H134" s="67" t="n">
        <v>3</v>
      </c>
      <c r="I134" s="67" t="s">
        <v>151</v>
      </c>
      <c r="J134" s="67" t="n">
        <v>0</v>
      </c>
      <c r="K134" s="67" t="n">
        <v>0</v>
      </c>
      <c r="L134" s="67" t="n">
        <f aca="false">IF($C134="","",ROUND($J134*0.17,0))</f>
        <v>0</v>
      </c>
      <c r="M134" s="67" t="n">
        <v>0</v>
      </c>
      <c r="N134" s="67" t="n">
        <v>0</v>
      </c>
      <c r="O134" s="67" t="n">
        <v>0</v>
      </c>
      <c r="P134" s="67" t="n">
        <v>0</v>
      </c>
      <c r="Q134" s="67" t="n">
        <v>0</v>
      </c>
      <c r="R134" s="67" t="n">
        <v>0</v>
      </c>
      <c r="S134" s="68" t="n">
        <f aca="false">IF($C134="","",ROUND($J134*2.2,0))</f>
        <v>0</v>
      </c>
      <c r="T134" s="67" t="n">
        <v>0</v>
      </c>
      <c r="U134" s="67" t="n">
        <v>0</v>
      </c>
      <c r="V134" s="67" t="n">
        <v>1200</v>
      </c>
      <c r="W134" s="67" t="n">
        <v>0</v>
      </c>
      <c r="X134" s="67" t="s">
        <v>123</v>
      </c>
      <c r="Y134" s="69" t="n">
        <v>0.75</v>
      </c>
      <c r="Z134" s="69" t="n">
        <v>1</v>
      </c>
      <c r="AA134" s="67" t="s">
        <v>841</v>
      </c>
      <c r="AB134" s="67" t="s">
        <v>842</v>
      </c>
      <c r="AC134" s="67" t="s">
        <v>843</v>
      </c>
      <c r="AD134" s="67" t="s">
        <v>844</v>
      </c>
      <c r="AE134" s="67"/>
      <c r="AF134" s="67"/>
      <c r="AG134" s="67"/>
      <c r="AH134" s="67"/>
      <c r="AI134" s="67"/>
      <c r="AJ134" s="67"/>
      <c r="AK134" s="67" t="s">
        <v>845</v>
      </c>
      <c r="AL134" s="67"/>
      <c r="AM134" s="47"/>
      <c r="AN134" s="46"/>
    </row>
    <row r="135" customFormat="false" ht="16.5" hidden="false" customHeight="true" outlineLevel="0" collapsed="false">
      <c r="A135" s="48"/>
      <c r="B135" s="55" t="n">
        <f aca="false">IF($C135="","",COUNTA($C$5:C135))</f>
        <v>131</v>
      </c>
      <c r="C135" s="56" t="s">
        <v>846</v>
      </c>
      <c r="D135" s="56" t="s">
        <v>167</v>
      </c>
      <c r="E135" s="56" t="s">
        <v>825</v>
      </c>
      <c r="F135" s="56" t="s">
        <v>226</v>
      </c>
      <c r="G135" s="56" t="s">
        <v>300</v>
      </c>
      <c r="H135" s="56" t="n">
        <v>3</v>
      </c>
      <c r="I135" s="56" t="s">
        <v>151</v>
      </c>
      <c r="J135" s="57" t="n">
        <v>11250</v>
      </c>
      <c r="K135" s="57" t="n">
        <v>4500</v>
      </c>
      <c r="L135" s="57" t="n">
        <f aca="false">IF($C135="","",ROUND($J135*0.17,0))</f>
        <v>1913</v>
      </c>
      <c r="M135" s="57" t="n">
        <v>8000</v>
      </c>
      <c r="N135" s="57" t="n">
        <v>3500</v>
      </c>
      <c r="O135" s="57" t="n">
        <v>2000</v>
      </c>
      <c r="P135" s="57" t="n">
        <v>2000</v>
      </c>
      <c r="Q135" s="57" t="n">
        <v>13500</v>
      </c>
      <c r="R135" s="57" t="n">
        <v>6075</v>
      </c>
      <c r="S135" s="57" t="n">
        <f aca="false">IF($C135="","",ROUND($J135*2.2,0))</f>
        <v>24750</v>
      </c>
      <c r="T135" s="57" t="n">
        <v>4638</v>
      </c>
      <c r="U135" s="57" t="n">
        <v>4063</v>
      </c>
      <c r="V135" s="57" t="n">
        <v>2438</v>
      </c>
      <c r="W135" s="57" t="n">
        <v>2400</v>
      </c>
      <c r="X135" s="56" t="s">
        <v>123</v>
      </c>
      <c r="Y135" s="58" t="n">
        <v>0.75</v>
      </c>
      <c r="Z135" s="58" t="n">
        <v>1</v>
      </c>
      <c r="AA135" s="56" t="s">
        <v>847</v>
      </c>
      <c r="AB135" s="56" t="s">
        <v>848</v>
      </c>
      <c r="AC135" s="56" t="s">
        <v>849</v>
      </c>
      <c r="AD135" s="56" t="s">
        <v>850</v>
      </c>
      <c r="AE135" s="56"/>
      <c r="AF135" s="56"/>
      <c r="AG135" s="56"/>
      <c r="AH135" s="56"/>
      <c r="AI135" s="56"/>
      <c r="AJ135" s="56"/>
      <c r="AK135" s="60" t="n">
        <v>37778</v>
      </c>
      <c r="AL135" s="56" t="s">
        <v>282</v>
      </c>
      <c r="AM135" s="49"/>
      <c r="AN135" s="48"/>
    </row>
    <row r="136" customFormat="false" ht="16.5" hidden="false" customHeight="true" outlineLevel="0" collapsed="false">
      <c r="A136" s="48"/>
      <c r="B136" s="55" t="n">
        <f aca="false">IF($C136="","",COUNTA($C$5:C136))</f>
        <v>132</v>
      </c>
      <c r="C136" s="56" t="s">
        <v>851</v>
      </c>
      <c r="D136" s="56" t="s">
        <v>167</v>
      </c>
      <c r="E136" s="56" t="s">
        <v>825</v>
      </c>
      <c r="F136" s="56" t="s">
        <v>226</v>
      </c>
      <c r="G136" s="56" t="s">
        <v>852</v>
      </c>
      <c r="H136" s="56" t="n">
        <v>1</v>
      </c>
      <c r="I136" s="56" t="s">
        <v>151</v>
      </c>
      <c r="J136" s="57" t="n">
        <v>20700</v>
      </c>
      <c r="K136" s="57" t="n">
        <v>8700</v>
      </c>
      <c r="L136" s="57" t="n">
        <f aca="false">IF($C136="","",ROUND($J136*0.17,0))</f>
        <v>3519</v>
      </c>
      <c r="M136" s="57" t="n">
        <v>16150</v>
      </c>
      <c r="N136" s="57" t="n">
        <v>6600</v>
      </c>
      <c r="O136" s="57" t="n">
        <v>4150</v>
      </c>
      <c r="P136" s="57" t="n">
        <v>4150</v>
      </c>
      <c r="Q136" s="57" t="n">
        <v>30000</v>
      </c>
      <c r="R136" s="57" t="n">
        <v>13450</v>
      </c>
      <c r="S136" s="57" t="n">
        <f aca="false">IF($C136="","",ROUND($J136*2.2,0))</f>
        <v>45540</v>
      </c>
      <c r="T136" s="57" t="n">
        <v>7250</v>
      </c>
      <c r="U136" s="57" t="n">
        <v>6200</v>
      </c>
      <c r="V136" s="57" t="n">
        <v>3750</v>
      </c>
      <c r="W136" s="57" t="n">
        <v>2400</v>
      </c>
      <c r="X136" s="56" t="s">
        <v>198</v>
      </c>
      <c r="Y136" s="58" t="n">
        <v>0.75</v>
      </c>
      <c r="Z136" s="58" t="n">
        <v>1</v>
      </c>
      <c r="AA136" s="56" t="s">
        <v>853</v>
      </c>
      <c r="AB136" s="56" t="s">
        <v>854</v>
      </c>
      <c r="AC136" s="56"/>
      <c r="AD136" s="56"/>
      <c r="AE136" s="56"/>
      <c r="AF136" s="56"/>
      <c r="AG136" s="56"/>
      <c r="AH136" s="56"/>
      <c r="AI136" s="56"/>
      <c r="AJ136" s="56"/>
      <c r="AK136" s="56" t="s">
        <v>855</v>
      </c>
      <c r="AL136" s="56" t="s">
        <v>856</v>
      </c>
      <c r="AM136" s="49"/>
      <c r="AN136" s="48"/>
    </row>
    <row r="137" customFormat="false" ht="16.5" hidden="false" customHeight="true" outlineLevel="0" collapsed="false">
      <c r="A137" s="46"/>
      <c r="B137" s="66" t="n">
        <f aca="false">IF($C137="","",COUNTA($C$5:C137))</f>
        <v>133</v>
      </c>
      <c r="C137" s="67" t="s">
        <v>857</v>
      </c>
      <c r="D137" s="67" t="s">
        <v>317</v>
      </c>
      <c r="E137" s="67" t="s">
        <v>825</v>
      </c>
      <c r="F137" s="67" t="s">
        <v>226</v>
      </c>
      <c r="G137" s="67" t="s">
        <v>300</v>
      </c>
      <c r="H137" s="67" t="n">
        <v>1</v>
      </c>
      <c r="I137" s="67" t="s">
        <v>151</v>
      </c>
      <c r="J137" s="67" t="n">
        <v>11000</v>
      </c>
      <c r="K137" s="67" t="n">
        <v>4600</v>
      </c>
      <c r="L137" s="68" t="n">
        <f aca="false">IF($C137="","",ROUND($J137*0.17,0))</f>
        <v>1870</v>
      </c>
      <c r="M137" s="67" t="n">
        <v>8600</v>
      </c>
      <c r="N137" s="67" t="n">
        <v>3500</v>
      </c>
      <c r="O137" s="67" t="n">
        <v>2200</v>
      </c>
      <c r="P137" s="67" t="n">
        <v>0</v>
      </c>
      <c r="Q137" s="67" t="n">
        <v>15950</v>
      </c>
      <c r="R137" s="67" t="n">
        <v>7150</v>
      </c>
      <c r="S137" s="68" t="n">
        <f aca="false">IF($C137="","",ROUND($J137*2.2,0))</f>
        <v>24200</v>
      </c>
      <c r="T137" s="67" t="n">
        <v>3850</v>
      </c>
      <c r="U137" s="67" t="n">
        <v>3300</v>
      </c>
      <c r="V137" s="67" t="n">
        <v>2000</v>
      </c>
      <c r="W137" s="67" t="n">
        <v>0</v>
      </c>
      <c r="X137" s="67" t="s">
        <v>198</v>
      </c>
      <c r="Y137" s="69" t="n">
        <v>0.75</v>
      </c>
      <c r="Z137" s="69" t="n">
        <v>1</v>
      </c>
      <c r="AA137" s="67" t="s">
        <v>858</v>
      </c>
      <c r="AB137" s="67" t="s">
        <v>859</v>
      </c>
      <c r="AC137" s="67"/>
      <c r="AD137" s="67"/>
      <c r="AE137" s="67"/>
      <c r="AF137" s="67"/>
      <c r="AG137" s="67"/>
      <c r="AH137" s="67"/>
      <c r="AI137" s="67"/>
      <c r="AJ137" s="67"/>
      <c r="AK137" s="67" t="s">
        <v>860</v>
      </c>
      <c r="AL137" s="67"/>
      <c r="AM137" s="47"/>
      <c r="AN137" s="46"/>
    </row>
    <row r="138" customFormat="false" ht="16.5" hidden="false" customHeight="true" outlineLevel="0" collapsed="false">
      <c r="A138" s="48"/>
      <c r="B138" s="55" t="n">
        <f aca="false">IF($C138="","",COUNTA($C$5:C138))</f>
        <v>134</v>
      </c>
      <c r="C138" s="56" t="s">
        <v>861</v>
      </c>
      <c r="D138" s="56" t="s">
        <v>167</v>
      </c>
      <c r="E138" s="56" t="s">
        <v>825</v>
      </c>
      <c r="F138" s="56" t="s">
        <v>226</v>
      </c>
      <c r="G138" s="56" t="s">
        <v>403</v>
      </c>
      <c r="H138" s="56" t="n">
        <v>4</v>
      </c>
      <c r="I138" s="56" t="s">
        <v>219</v>
      </c>
      <c r="J138" s="57" t="n">
        <v>15000</v>
      </c>
      <c r="K138" s="57" t="n">
        <v>6750</v>
      </c>
      <c r="L138" s="57" t="n">
        <f aca="false">IF($C138="","",ROUND($J138*0.17,0))</f>
        <v>2550</v>
      </c>
      <c r="M138" s="57" t="n">
        <v>11000</v>
      </c>
      <c r="N138" s="57" t="n">
        <v>5000</v>
      </c>
      <c r="O138" s="57" t="n">
        <v>3200</v>
      </c>
      <c r="P138" s="57" t="n">
        <v>3200</v>
      </c>
      <c r="Q138" s="57" t="n">
        <v>19500</v>
      </c>
      <c r="R138" s="57" t="n">
        <v>8775</v>
      </c>
      <c r="S138" s="57" t="n">
        <f aca="false">IF($C138="","",ROUND($J138*2.2,0))</f>
        <v>33000</v>
      </c>
      <c r="T138" s="57" t="n">
        <v>6800</v>
      </c>
      <c r="U138" s="57" t="n">
        <v>5950</v>
      </c>
      <c r="V138" s="57" t="n">
        <v>3570</v>
      </c>
      <c r="W138" s="57" t="n">
        <v>2400</v>
      </c>
      <c r="X138" s="56" t="s">
        <v>109</v>
      </c>
      <c r="Y138" s="58" t="n">
        <v>0.75</v>
      </c>
      <c r="Z138" s="58" t="n">
        <v>1</v>
      </c>
      <c r="AA138" s="56" t="s">
        <v>862</v>
      </c>
      <c r="AB138" s="56" t="s">
        <v>863</v>
      </c>
      <c r="AC138" s="56" t="s">
        <v>864</v>
      </c>
      <c r="AD138" s="56" t="s">
        <v>865</v>
      </c>
      <c r="AE138" s="56" t="s">
        <v>866</v>
      </c>
      <c r="AF138" s="56"/>
      <c r="AG138" s="56"/>
      <c r="AH138" s="56"/>
      <c r="AI138" s="56"/>
      <c r="AJ138" s="56"/>
      <c r="AK138" s="56" t="s">
        <v>867</v>
      </c>
      <c r="AL138" s="56" t="s">
        <v>868</v>
      </c>
      <c r="AM138" s="49"/>
      <c r="AN138" s="48"/>
    </row>
    <row r="139" customFormat="false" ht="16.5" hidden="false" customHeight="true" outlineLevel="0" collapsed="false">
      <c r="A139" s="40"/>
      <c r="B139" s="61" t="n">
        <f aca="false">IF($C139="","",COUNTA($C$5:C139))</f>
        <v>135</v>
      </c>
      <c r="C139" s="62" t="s">
        <v>836</v>
      </c>
      <c r="D139" s="62" t="s">
        <v>43</v>
      </c>
      <c r="E139" s="62" t="s">
        <v>825</v>
      </c>
      <c r="F139" s="62" t="s">
        <v>226</v>
      </c>
      <c r="G139" s="62" t="s">
        <v>300</v>
      </c>
      <c r="H139" s="62" t="n">
        <v>0</v>
      </c>
      <c r="I139" s="62" t="s">
        <v>97</v>
      </c>
      <c r="J139" s="62" t="n">
        <v>20700</v>
      </c>
      <c r="K139" s="62" t="n">
        <v>8700</v>
      </c>
      <c r="L139" s="63" t="n">
        <f aca="false">IF($C139="","",ROUND($J139*0.17,0))</f>
        <v>3519</v>
      </c>
      <c r="M139" s="62" t="n">
        <v>16150</v>
      </c>
      <c r="N139" s="62" t="n">
        <v>6600</v>
      </c>
      <c r="O139" s="62" t="n">
        <v>4150</v>
      </c>
      <c r="P139" s="62" t="n">
        <v>0</v>
      </c>
      <c r="Q139" s="62" t="n">
        <v>30000</v>
      </c>
      <c r="R139" s="62" t="n">
        <v>13450</v>
      </c>
      <c r="S139" s="63" t="n">
        <f aca="false">IF($C139="","",ROUND($J139*2.2,0))</f>
        <v>45540</v>
      </c>
      <c r="T139" s="62" t="n">
        <v>7250</v>
      </c>
      <c r="U139" s="62" t="n">
        <v>6200</v>
      </c>
      <c r="V139" s="62" t="n">
        <v>3750</v>
      </c>
      <c r="W139" s="62" t="n">
        <v>0</v>
      </c>
      <c r="X139" s="62" t="s">
        <v>265</v>
      </c>
      <c r="Y139" s="64" t="n">
        <v>0.5</v>
      </c>
      <c r="Z139" s="64" t="n">
        <v>1</v>
      </c>
      <c r="AA139" s="62" t="s">
        <v>837</v>
      </c>
      <c r="AB139" s="62"/>
      <c r="AC139" s="62"/>
      <c r="AD139" s="62"/>
      <c r="AE139" s="62"/>
      <c r="AF139" s="62"/>
      <c r="AG139" s="62"/>
      <c r="AH139" s="62"/>
      <c r="AI139" s="62"/>
      <c r="AJ139" s="62"/>
      <c r="AK139" s="62" t="s">
        <v>838</v>
      </c>
      <c r="AL139" s="62"/>
      <c r="AM139" s="65"/>
      <c r="AN139" s="40"/>
    </row>
    <row r="140" customFormat="false" ht="16.5" hidden="false" customHeight="true" outlineLevel="0" collapsed="false">
      <c r="A140" s="40"/>
      <c r="B140" s="61" t="n">
        <f aca="false">IF($C140="","",COUNTA($C$5:C140))</f>
        <v>136</v>
      </c>
      <c r="C140" s="62" t="s">
        <v>869</v>
      </c>
      <c r="D140" s="62" t="s">
        <v>43</v>
      </c>
      <c r="E140" s="62" t="s">
        <v>870</v>
      </c>
      <c r="F140" s="62" t="s">
        <v>226</v>
      </c>
      <c r="G140" s="62" t="s">
        <v>96</v>
      </c>
      <c r="H140" s="62" t="n">
        <v>1</v>
      </c>
      <c r="I140" s="62" t="s">
        <v>97</v>
      </c>
      <c r="J140" s="62" t="n">
        <v>0</v>
      </c>
      <c r="K140" s="62" t="n">
        <v>0</v>
      </c>
      <c r="L140" s="63" t="n">
        <f aca="false">IF($C140="","",ROUND($J140*0.17,0))</f>
        <v>0</v>
      </c>
      <c r="M140" s="62" t="n">
        <v>0</v>
      </c>
      <c r="N140" s="62" t="n">
        <v>0</v>
      </c>
      <c r="O140" s="62" t="n">
        <v>0</v>
      </c>
      <c r="P140" s="62" t="n">
        <v>0</v>
      </c>
      <c r="Q140" s="62" t="n">
        <v>0</v>
      </c>
      <c r="R140" s="62" t="n">
        <v>0</v>
      </c>
      <c r="S140" s="63" t="n">
        <f aca="false">IF($C140="","",ROUND($J140*2.2,0))</f>
        <v>0</v>
      </c>
      <c r="T140" s="62" t="n">
        <v>0</v>
      </c>
      <c r="U140" s="62" t="n">
        <v>0</v>
      </c>
      <c r="V140" s="62" t="n">
        <v>600</v>
      </c>
      <c r="W140" s="62" t="n">
        <v>0</v>
      </c>
      <c r="X140" s="62" t="s">
        <v>198</v>
      </c>
      <c r="Y140" s="64" t="n">
        <v>0.3</v>
      </c>
      <c r="Z140" s="64" t="n">
        <v>1</v>
      </c>
      <c r="AA140" s="62" t="s">
        <v>871</v>
      </c>
      <c r="AB140" s="62" t="s">
        <v>872</v>
      </c>
      <c r="AC140" s="62"/>
      <c r="AD140" s="62"/>
      <c r="AE140" s="62"/>
      <c r="AF140" s="62"/>
      <c r="AG140" s="62"/>
      <c r="AH140" s="62"/>
      <c r="AI140" s="62"/>
      <c r="AJ140" s="62"/>
      <c r="AK140" s="62" t="s">
        <v>873</v>
      </c>
      <c r="AL140" s="62"/>
      <c r="AM140" s="65"/>
      <c r="AN140" s="40"/>
    </row>
    <row r="141" customFormat="false" ht="16.5" hidden="false" customHeight="true" outlineLevel="0" collapsed="false">
      <c r="A141" s="46"/>
      <c r="B141" s="66" t="n">
        <f aca="false">IF($C141="","",COUNTA($C$5:C141))</f>
        <v>137</v>
      </c>
      <c r="C141" s="67" t="s">
        <v>874</v>
      </c>
      <c r="D141" s="67" t="s">
        <v>317</v>
      </c>
      <c r="E141" s="67" t="s">
        <v>870</v>
      </c>
      <c r="F141" s="67" t="s">
        <v>226</v>
      </c>
      <c r="G141" s="67" t="s">
        <v>96</v>
      </c>
      <c r="H141" s="67" t="n">
        <v>1</v>
      </c>
      <c r="I141" s="67" t="s">
        <v>151</v>
      </c>
      <c r="J141" s="67" t="n">
        <v>0</v>
      </c>
      <c r="K141" s="67" t="n">
        <v>0</v>
      </c>
      <c r="L141" s="67" t="n">
        <f aca="false">IF($C141="","",ROUND($J141*0.17,0))</f>
        <v>0</v>
      </c>
      <c r="M141" s="67" t="n">
        <v>0</v>
      </c>
      <c r="N141" s="67" t="n">
        <v>0</v>
      </c>
      <c r="O141" s="67" t="n">
        <v>0</v>
      </c>
      <c r="P141" s="67" t="n">
        <v>0</v>
      </c>
      <c r="Q141" s="67" t="n">
        <v>0</v>
      </c>
      <c r="R141" s="67" t="n">
        <v>0</v>
      </c>
      <c r="S141" s="68" t="n">
        <f aca="false">IF($C141="","",ROUND($J141*2.2,0))</f>
        <v>0</v>
      </c>
      <c r="T141" s="67" t="n">
        <v>0</v>
      </c>
      <c r="U141" s="67" t="n">
        <v>0</v>
      </c>
      <c r="V141" s="67" t="n">
        <v>1200</v>
      </c>
      <c r="W141" s="67" t="n">
        <v>0</v>
      </c>
      <c r="X141" s="67" t="s">
        <v>198</v>
      </c>
      <c r="Y141" s="69" t="n">
        <v>0.3</v>
      </c>
      <c r="Z141" s="69" t="n">
        <v>1</v>
      </c>
      <c r="AA141" s="67" t="s">
        <v>875</v>
      </c>
      <c r="AB141" s="67" t="s">
        <v>876</v>
      </c>
      <c r="AC141" s="67" t="s">
        <v>877</v>
      </c>
      <c r="AD141" s="67"/>
      <c r="AE141" s="67"/>
      <c r="AF141" s="67"/>
      <c r="AG141" s="67"/>
      <c r="AH141" s="67"/>
      <c r="AI141" s="67"/>
      <c r="AJ141" s="67"/>
      <c r="AK141" s="70" t="n">
        <v>37688</v>
      </c>
      <c r="AL141" s="67"/>
      <c r="AM141" s="47"/>
      <c r="AN141" s="46"/>
    </row>
    <row r="142" customFormat="false" ht="16.5" hidden="false" customHeight="true" outlineLevel="0" collapsed="false">
      <c r="A142" s="48"/>
      <c r="B142" s="55" t="n">
        <f aca="false">IF($C142="","",COUNTA($C$5:C142))</f>
        <v>138</v>
      </c>
      <c r="C142" s="56" t="s">
        <v>878</v>
      </c>
      <c r="D142" s="56" t="s">
        <v>167</v>
      </c>
      <c r="E142" s="56" t="s">
        <v>870</v>
      </c>
      <c r="F142" s="56" t="s">
        <v>226</v>
      </c>
      <c r="G142" s="56" t="s">
        <v>879</v>
      </c>
      <c r="H142" s="56" t="n">
        <v>2</v>
      </c>
      <c r="I142" s="56" t="s">
        <v>151</v>
      </c>
      <c r="J142" s="57" t="n">
        <v>11250</v>
      </c>
      <c r="K142" s="57" t="n">
        <v>4500</v>
      </c>
      <c r="L142" s="57" t="n">
        <f aca="false">IF($C142="","",ROUND($J142*0.17,0))</f>
        <v>1913</v>
      </c>
      <c r="M142" s="57" t="n">
        <v>8000</v>
      </c>
      <c r="N142" s="57" t="n">
        <v>3500</v>
      </c>
      <c r="O142" s="57" t="n">
        <v>2000</v>
      </c>
      <c r="P142" s="57" t="n">
        <v>2000</v>
      </c>
      <c r="Q142" s="57" t="n">
        <v>13500</v>
      </c>
      <c r="R142" s="57" t="n">
        <v>6075</v>
      </c>
      <c r="S142" s="57" t="n">
        <f aca="false">IF($C142="","",ROUND($J142*2.2,0))</f>
        <v>24750</v>
      </c>
      <c r="T142" s="57" t="n">
        <v>4638</v>
      </c>
      <c r="U142" s="57" t="n">
        <v>4063</v>
      </c>
      <c r="V142" s="57" t="n">
        <v>2438</v>
      </c>
      <c r="W142" s="57" t="n">
        <v>2400</v>
      </c>
      <c r="X142" s="56" t="s">
        <v>178</v>
      </c>
      <c r="Y142" s="58" t="n">
        <v>0.3</v>
      </c>
      <c r="Z142" s="58" t="n">
        <v>1</v>
      </c>
      <c r="AA142" s="56" t="s">
        <v>880</v>
      </c>
      <c r="AB142" s="56" t="s">
        <v>881</v>
      </c>
      <c r="AC142" s="56"/>
      <c r="AD142" s="56" t="s">
        <v>882</v>
      </c>
      <c r="AE142" s="56"/>
      <c r="AF142" s="56"/>
      <c r="AG142" s="56"/>
      <c r="AH142" s="56"/>
      <c r="AI142" s="56"/>
      <c r="AJ142" s="56"/>
      <c r="AK142" s="60" t="n">
        <v>39243</v>
      </c>
      <c r="AL142" s="56"/>
      <c r="AM142" s="49"/>
      <c r="AN142" s="48"/>
    </row>
    <row r="143" customFormat="false" ht="16.5" hidden="false" customHeight="true" outlineLevel="0" collapsed="false">
      <c r="A143" s="48"/>
      <c r="B143" s="55" t="n">
        <f aca="false">IF($C143="","",COUNTA($C$5:C143))</f>
        <v>139</v>
      </c>
      <c r="C143" s="56" t="s">
        <v>883</v>
      </c>
      <c r="D143" s="56" t="s">
        <v>167</v>
      </c>
      <c r="E143" s="56" t="s">
        <v>870</v>
      </c>
      <c r="F143" s="56" t="s">
        <v>226</v>
      </c>
      <c r="G143" s="56" t="s">
        <v>96</v>
      </c>
      <c r="H143" s="56" t="n">
        <v>2</v>
      </c>
      <c r="I143" s="56" t="s">
        <v>151</v>
      </c>
      <c r="J143" s="57" t="n">
        <v>11000</v>
      </c>
      <c r="K143" s="57" t="n">
        <v>4600</v>
      </c>
      <c r="L143" s="57" t="n">
        <f aca="false">IF($C143="","",ROUND($J143*0.17,0))</f>
        <v>1870</v>
      </c>
      <c r="M143" s="57" t="n">
        <v>8600</v>
      </c>
      <c r="N143" s="57" t="n">
        <v>3500</v>
      </c>
      <c r="O143" s="57" t="n">
        <v>2200</v>
      </c>
      <c r="P143" s="57" t="n">
        <v>2200</v>
      </c>
      <c r="Q143" s="57" t="n">
        <v>15950</v>
      </c>
      <c r="R143" s="57" t="n">
        <v>7150</v>
      </c>
      <c r="S143" s="57" t="n">
        <f aca="false">IF($C143="","",ROUND($J143*2.2,0))</f>
        <v>24200</v>
      </c>
      <c r="T143" s="57" t="n">
        <v>3850</v>
      </c>
      <c r="U143" s="57" t="n">
        <v>3300</v>
      </c>
      <c r="V143" s="57" t="n">
        <v>2000</v>
      </c>
      <c r="W143" s="57" t="n">
        <v>2400</v>
      </c>
      <c r="X143" s="56" t="s">
        <v>178</v>
      </c>
      <c r="Y143" s="58" t="n">
        <v>0.3</v>
      </c>
      <c r="Z143" s="58" t="n">
        <v>1</v>
      </c>
      <c r="AA143" s="56" t="s">
        <v>884</v>
      </c>
      <c r="AB143" s="56" t="s">
        <v>885</v>
      </c>
      <c r="AC143" s="56" t="s">
        <v>886</v>
      </c>
      <c r="AD143" s="56" t="s">
        <v>887</v>
      </c>
      <c r="AE143" s="56"/>
      <c r="AF143" s="56"/>
      <c r="AG143" s="56"/>
      <c r="AH143" s="56"/>
      <c r="AI143" s="56"/>
      <c r="AJ143" s="56"/>
      <c r="AK143" s="60" t="n">
        <v>39361</v>
      </c>
      <c r="AL143" s="56"/>
      <c r="AM143" s="49"/>
      <c r="AN143" s="48"/>
    </row>
    <row r="144" customFormat="false" ht="16.5" hidden="false" customHeight="true" outlineLevel="0" collapsed="false">
      <c r="A144" s="48"/>
      <c r="B144" s="55" t="n">
        <f aca="false">IF($C144="","",COUNTA($C$5:C144))</f>
        <v>140</v>
      </c>
      <c r="C144" s="56" t="s">
        <v>888</v>
      </c>
      <c r="D144" s="56" t="s">
        <v>167</v>
      </c>
      <c r="E144" s="56" t="s">
        <v>870</v>
      </c>
      <c r="F144" s="56" t="s">
        <v>226</v>
      </c>
      <c r="G144" s="56" t="s">
        <v>96</v>
      </c>
      <c r="H144" s="56" t="n">
        <v>2</v>
      </c>
      <c r="I144" s="56" t="s">
        <v>151</v>
      </c>
      <c r="J144" s="57" t="n">
        <v>12100</v>
      </c>
      <c r="K144" s="57" t="n">
        <v>5100</v>
      </c>
      <c r="L144" s="57" t="n">
        <f aca="false">IF($C144="","",ROUND($J144*0.17,0))</f>
        <v>2057</v>
      </c>
      <c r="M144" s="57" t="n">
        <v>9450</v>
      </c>
      <c r="N144" s="57" t="n">
        <v>3850</v>
      </c>
      <c r="O144" s="57" t="n">
        <v>2400</v>
      </c>
      <c r="P144" s="57" t="n">
        <v>2400</v>
      </c>
      <c r="Q144" s="57" t="n">
        <v>17550</v>
      </c>
      <c r="R144" s="57" t="n">
        <v>7850</v>
      </c>
      <c r="S144" s="57" t="n">
        <f aca="false">IF($C144="","",ROUND($J144*2.2,0))</f>
        <v>26620</v>
      </c>
      <c r="T144" s="57" t="n">
        <v>4250</v>
      </c>
      <c r="U144" s="57" t="n">
        <v>3650</v>
      </c>
      <c r="V144" s="57" t="n">
        <v>2200</v>
      </c>
      <c r="W144" s="57" t="n">
        <v>2400</v>
      </c>
      <c r="X144" s="56" t="s">
        <v>178</v>
      </c>
      <c r="Y144" s="58" t="n">
        <v>0.3</v>
      </c>
      <c r="Z144" s="58" t="n">
        <v>1</v>
      </c>
      <c r="AA144" s="56" t="s">
        <v>889</v>
      </c>
      <c r="AB144" s="56" t="s">
        <v>890</v>
      </c>
      <c r="AC144" s="56"/>
      <c r="AD144" s="56" t="s">
        <v>891</v>
      </c>
      <c r="AE144" s="56"/>
      <c r="AF144" s="56"/>
      <c r="AG144" s="56"/>
      <c r="AH144" s="56"/>
      <c r="AI144" s="56"/>
      <c r="AJ144" s="56"/>
      <c r="AK144" s="60" t="n">
        <v>39361</v>
      </c>
      <c r="AL144" s="56"/>
      <c r="AM144" s="49"/>
      <c r="AN144" s="48"/>
    </row>
    <row r="145" customFormat="false" ht="16.5" hidden="false" customHeight="true" outlineLevel="0" collapsed="false">
      <c r="A145" s="48"/>
      <c r="B145" s="55" t="n">
        <f aca="false">IF($C145="","",COUNTA($C$5:C145))</f>
        <v>141</v>
      </c>
      <c r="C145" s="56" t="s">
        <v>892</v>
      </c>
      <c r="D145" s="56" t="s">
        <v>167</v>
      </c>
      <c r="E145" s="56" t="s">
        <v>893</v>
      </c>
      <c r="F145" s="56" t="s">
        <v>893</v>
      </c>
      <c r="G145" s="56" t="s">
        <v>894</v>
      </c>
      <c r="H145" s="56" t="n">
        <v>2</v>
      </c>
      <c r="I145" s="56" t="s">
        <v>151</v>
      </c>
      <c r="J145" s="57" t="n">
        <v>12100</v>
      </c>
      <c r="K145" s="57" t="n">
        <v>5100</v>
      </c>
      <c r="L145" s="57" t="n">
        <f aca="false">IF($C145="","",ROUND($J145*0.17,0))</f>
        <v>2057</v>
      </c>
      <c r="M145" s="57" t="n">
        <v>9450</v>
      </c>
      <c r="N145" s="57" t="n">
        <v>3850</v>
      </c>
      <c r="O145" s="57" t="n">
        <v>2400</v>
      </c>
      <c r="P145" s="57" t="n">
        <v>2400</v>
      </c>
      <c r="Q145" s="57" t="n">
        <v>17550</v>
      </c>
      <c r="R145" s="57" t="n">
        <v>7850</v>
      </c>
      <c r="S145" s="57" t="n">
        <f aca="false">IF($C145="","",ROUND($J145*2.2,0))</f>
        <v>26620</v>
      </c>
      <c r="T145" s="57" t="n">
        <v>4250</v>
      </c>
      <c r="U145" s="57" t="n">
        <v>3650</v>
      </c>
      <c r="V145" s="57" t="n">
        <v>2200</v>
      </c>
      <c r="W145" s="57" t="n">
        <v>2400</v>
      </c>
      <c r="X145" s="56" t="s">
        <v>178</v>
      </c>
      <c r="Y145" s="58" t="n">
        <v>0.3</v>
      </c>
      <c r="Z145" s="58" t="n">
        <v>1</v>
      </c>
      <c r="AA145" s="56" t="s">
        <v>895</v>
      </c>
      <c r="AB145" s="56" t="s">
        <v>896</v>
      </c>
      <c r="AC145" s="56" t="s">
        <v>897</v>
      </c>
      <c r="AD145" s="56"/>
      <c r="AE145" s="56"/>
      <c r="AF145" s="56"/>
      <c r="AG145" s="56"/>
      <c r="AH145" s="56"/>
      <c r="AI145" s="56"/>
      <c r="AJ145" s="56"/>
      <c r="AK145" s="60" t="n">
        <v>35012</v>
      </c>
      <c r="AL145" s="56"/>
      <c r="AM145" s="49"/>
      <c r="AN145" s="48"/>
    </row>
    <row r="146" customFormat="false" ht="16.5" hidden="false" customHeight="true" outlineLevel="0" collapsed="false">
      <c r="A146" s="48"/>
      <c r="B146" s="55" t="n">
        <f aca="false">IF($C146="","",COUNTA($C$5:C146))</f>
        <v>142</v>
      </c>
      <c r="C146" s="56" t="s">
        <v>898</v>
      </c>
      <c r="D146" s="56" t="s">
        <v>167</v>
      </c>
      <c r="E146" s="56" t="s">
        <v>893</v>
      </c>
      <c r="F146" s="56" t="s">
        <v>893</v>
      </c>
      <c r="G146" s="56" t="s">
        <v>894</v>
      </c>
      <c r="H146" s="56" t="n">
        <v>1</v>
      </c>
      <c r="I146" s="56" t="s">
        <v>97</v>
      </c>
      <c r="J146" s="57" t="n">
        <v>11000</v>
      </c>
      <c r="K146" s="57" t="n">
        <v>4600</v>
      </c>
      <c r="L146" s="57" t="n">
        <f aca="false">IF($C146="","",ROUND($J146*0.17,0))</f>
        <v>1870</v>
      </c>
      <c r="M146" s="57" t="n">
        <v>8600</v>
      </c>
      <c r="N146" s="57" t="n">
        <v>3500</v>
      </c>
      <c r="O146" s="57" t="n">
        <v>2200</v>
      </c>
      <c r="P146" s="57" t="n">
        <v>2200</v>
      </c>
      <c r="Q146" s="57" t="n">
        <v>15950</v>
      </c>
      <c r="R146" s="57" t="n">
        <v>7150</v>
      </c>
      <c r="S146" s="57" t="n">
        <f aca="false">IF($C146="","",ROUND($J146*2.2,0))</f>
        <v>24200</v>
      </c>
      <c r="T146" s="57" t="n">
        <v>3850</v>
      </c>
      <c r="U146" s="57" t="n">
        <v>3300</v>
      </c>
      <c r="V146" s="57" t="n">
        <v>2000</v>
      </c>
      <c r="W146" s="57" t="n">
        <v>2400</v>
      </c>
      <c r="X146" s="56" t="s">
        <v>198</v>
      </c>
      <c r="Y146" s="58" t="n">
        <v>0.3</v>
      </c>
      <c r="Z146" s="58" t="n">
        <v>1</v>
      </c>
      <c r="AA146" s="56" t="s">
        <v>899</v>
      </c>
      <c r="AB146" s="56"/>
      <c r="AC146" s="56" t="s">
        <v>900</v>
      </c>
      <c r="AD146" s="56"/>
      <c r="AE146" s="56"/>
      <c r="AF146" s="56"/>
      <c r="AG146" s="56"/>
      <c r="AH146" s="56"/>
      <c r="AI146" s="56"/>
      <c r="AJ146" s="56"/>
      <c r="AK146" s="56" t="s">
        <v>901</v>
      </c>
      <c r="AL146" s="56"/>
      <c r="AM146" s="49"/>
      <c r="AN146" s="48"/>
    </row>
    <row r="147" customFormat="false" ht="16.5" hidden="false" customHeight="true" outlineLevel="0" collapsed="false">
      <c r="A147" s="48"/>
      <c r="B147" s="55" t="n">
        <f aca="false">IF($C147="","",COUNTA($C$5:C147))</f>
        <v>143</v>
      </c>
      <c r="C147" s="56" t="s">
        <v>902</v>
      </c>
      <c r="D147" s="56" t="s">
        <v>167</v>
      </c>
      <c r="E147" s="56" t="s">
        <v>893</v>
      </c>
      <c r="F147" s="56" t="s">
        <v>893</v>
      </c>
      <c r="G147" s="56" t="s">
        <v>894</v>
      </c>
      <c r="H147" s="56" t="n">
        <v>3</v>
      </c>
      <c r="I147" s="56" t="s">
        <v>151</v>
      </c>
      <c r="J147" s="57" t="n">
        <v>5200</v>
      </c>
      <c r="K147" s="57" t="n">
        <v>2200</v>
      </c>
      <c r="L147" s="57" t="n">
        <f aca="false">IF($C147="","",ROUND($J147*0.17,0))</f>
        <v>884</v>
      </c>
      <c r="M147" s="57" t="n">
        <v>4050</v>
      </c>
      <c r="N147" s="57" t="n">
        <v>1650</v>
      </c>
      <c r="O147" s="57" t="n">
        <v>1050</v>
      </c>
      <c r="P147" s="57" t="n">
        <v>1050</v>
      </c>
      <c r="Q147" s="57" t="n">
        <v>7550</v>
      </c>
      <c r="R147" s="57" t="n">
        <v>3400</v>
      </c>
      <c r="S147" s="57" t="n">
        <f aca="false">IF($C147="","",ROUND($J147*2.2,0))</f>
        <v>11440</v>
      </c>
      <c r="T147" s="57" t="n">
        <v>1800</v>
      </c>
      <c r="U147" s="57" t="n">
        <v>1550</v>
      </c>
      <c r="V147" s="57" t="n">
        <v>950</v>
      </c>
      <c r="W147" s="57" t="n">
        <v>2400</v>
      </c>
      <c r="X147" s="56" t="s">
        <v>123</v>
      </c>
      <c r="Y147" s="58" t="n">
        <v>0.3</v>
      </c>
      <c r="Z147" s="58" t="n">
        <v>1</v>
      </c>
      <c r="AA147" s="56" t="s">
        <v>903</v>
      </c>
      <c r="AB147" s="56" t="s">
        <v>904</v>
      </c>
      <c r="AC147" s="56" t="s">
        <v>905</v>
      </c>
      <c r="AD147" s="56" t="s">
        <v>906</v>
      </c>
      <c r="AE147" s="56"/>
      <c r="AF147" s="56"/>
      <c r="AG147" s="56"/>
      <c r="AH147" s="56"/>
      <c r="AI147" s="56"/>
      <c r="AJ147" s="56"/>
      <c r="AK147" s="60" t="n">
        <v>35313</v>
      </c>
      <c r="AL147" s="56"/>
      <c r="AM147" s="49"/>
      <c r="AN147" s="48"/>
    </row>
    <row r="148" customFormat="false" ht="16.5" hidden="false" customHeight="true" outlineLevel="0" collapsed="false">
      <c r="A148" s="48"/>
      <c r="B148" s="55" t="n">
        <f aca="false">IF($C148="","",COUNTA($C$5:C148))</f>
        <v>144</v>
      </c>
      <c r="C148" s="56" t="s">
        <v>907</v>
      </c>
      <c r="D148" s="56" t="s">
        <v>167</v>
      </c>
      <c r="E148" s="56" t="s">
        <v>908</v>
      </c>
      <c r="F148" s="56" t="s">
        <v>908</v>
      </c>
      <c r="G148" s="56" t="s">
        <v>909</v>
      </c>
      <c r="H148" s="56" t="n">
        <v>1</v>
      </c>
      <c r="I148" s="56" t="s">
        <v>97</v>
      </c>
      <c r="J148" s="57" t="n">
        <v>11000</v>
      </c>
      <c r="K148" s="57" t="n">
        <v>4600</v>
      </c>
      <c r="L148" s="57" t="n">
        <f aca="false">IF($C148="","",ROUND($J148*0.17,0))</f>
        <v>1870</v>
      </c>
      <c r="M148" s="57" t="n">
        <v>8600</v>
      </c>
      <c r="N148" s="57" t="n">
        <v>3500</v>
      </c>
      <c r="O148" s="57" t="n">
        <v>2200</v>
      </c>
      <c r="P148" s="57" t="n">
        <v>2200</v>
      </c>
      <c r="Q148" s="57" t="n">
        <v>15950</v>
      </c>
      <c r="R148" s="57" t="n">
        <v>7150</v>
      </c>
      <c r="S148" s="57" t="n">
        <f aca="false">IF($C148="","",ROUND($J148*2.2,0))</f>
        <v>24200</v>
      </c>
      <c r="T148" s="57" t="n">
        <v>3850</v>
      </c>
      <c r="U148" s="57" t="n">
        <v>3300</v>
      </c>
      <c r="V148" s="57" t="n">
        <v>2000</v>
      </c>
      <c r="W148" s="57" t="n">
        <v>2400</v>
      </c>
      <c r="X148" s="56" t="s">
        <v>198</v>
      </c>
      <c r="Y148" s="58" t="n">
        <v>0.75</v>
      </c>
      <c r="Z148" s="58" t="n">
        <v>1</v>
      </c>
      <c r="AA148" s="56" t="s">
        <v>910</v>
      </c>
      <c r="AB148" s="56" t="s">
        <v>911</v>
      </c>
      <c r="AC148" s="56"/>
      <c r="AD148" s="56"/>
      <c r="AE148" s="56"/>
      <c r="AF148" s="56"/>
      <c r="AG148" s="56"/>
      <c r="AH148" s="56"/>
      <c r="AI148" s="56"/>
      <c r="AJ148" s="56"/>
      <c r="AK148" s="60" t="n">
        <v>40760</v>
      </c>
      <c r="AL148" s="56"/>
      <c r="AM148" s="49"/>
      <c r="AN148" s="48"/>
    </row>
    <row r="149" customFormat="false" ht="16.5" hidden="false" customHeight="true" outlineLevel="0" collapsed="false">
      <c r="A149" s="48"/>
      <c r="B149" s="55" t="n">
        <f aca="false">IF($C149="","",COUNTA($C$5:C149))</f>
        <v>145</v>
      </c>
      <c r="C149" s="56" t="s">
        <v>912</v>
      </c>
      <c r="D149" s="56" t="s">
        <v>167</v>
      </c>
      <c r="E149" s="56" t="s">
        <v>908</v>
      </c>
      <c r="F149" s="56" t="s">
        <v>908</v>
      </c>
      <c r="G149" s="56" t="s">
        <v>300</v>
      </c>
      <c r="H149" s="56" t="n">
        <v>2</v>
      </c>
      <c r="I149" s="56" t="s">
        <v>151</v>
      </c>
      <c r="J149" s="57" t="n">
        <v>5200</v>
      </c>
      <c r="K149" s="57" t="n">
        <v>2200</v>
      </c>
      <c r="L149" s="57" t="n">
        <f aca="false">IF($C149="","",ROUND($J149*0.17,0))</f>
        <v>884</v>
      </c>
      <c r="M149" s="57" t="n">
        <v>4050</v>
      </c>
      <c r="N149" s="57" t="n">
        <v>1650</v>
      </c>
      <c r="O149" s="57" t="n">
        <v>1050</v>
      </c>
      <c r="P149" s="57" t="n">
        <v>1050</v>
      </c>
      <c r="Q149" s="57" t="n">
        <v>7550</v>
      </c>
      <c r="R149" s="57" t="n">
        <v>3400</v>
      </c>
      <c r="S149" s="57" t="n">
        <f aca="false">IF($C149="","",ROUND($J149*2.2,0))</f>
        <v>11440</v>
      </c>
      <c r="T149" s="57" t="n">
        <v>1800</v>
      </c>
      <c r="U149" s="57" t="n">
        <v>1550</v>
      </c>
      <c r="V149" s="57" t="n">
        <v>950</v>
      </c>
      <c r="W149" s="57" t="n">
        <v>2400</v>
      </c>
      <c r="X149" s="56" t="s">
        <v>178</v>
      </c>
      <c r="Y149" s="58" t="n">
        <v>0.5</v>
      </c>
      <c r="Z149" s="58" t="n">
        <v>1</v>
      </c>
      <c r="AA149" s="56" t="s">
        <v>913</v>
      </c>
      <c r="AB149" s="56" t="s">
        <v>914</v>
      </c>
      <c r="AC149" s="56"/>
      <c r="AD149" s="56" t="s">
        <v>915</v>
      </c>
      <c r="AE149" s="56"/>
      <c r="AF149" s="56"/>
      <c r="AG149" s="56"/>
      <c r="AH149" s="56"/>
      <c r="AI149" s="56"/>
      <c r="AJ149" s="56"/>
      <c r="AK149" s="56" t="s">
        <v>916</v>
      </c>
      <c r="AL149" s="56"/>
      <c r="AM149" s="49"/>
      <c r="AN149" s="48"/>
    </row>
    <row r="150" customFormat="false" ht="16.5" hidden="false" customHeight="true" outlineLevel="0" collapsed="false">
      <c r="A150" s="48"/>
      <c r="B150" s="55" t="n">
        <f aca="false">IF($C150="","",COUNTA($C$5:C150))</f>
        <v>146</v>
      </c>
      <c r="C150" s="56" t="s">
        <v>917</v>
      </c>
      <c r="D150" s="56" t="s">
        <v>167</v>
      </c>
      <c r="E150" s="56" t="s">
        <v>908</v>
      </c>
      <c r="F150" s="56" t="s">
        <v>908</v>
      </c>
      <c r="G150" s="56" t="s">
        <v>894</v>
      </c>
      <c r="H150" s="56" t="n">
        <v>3</v>
      </c>
      <c r="I150" s="56" t="s">
        <v>151</v>
      </c>
      <c r="J150" s="57" t="n">
        <v>11000</v>
      </c>
      <c r="K150" s="57" t="n">
        <v>4600</v>
      </c>
      <c r="L150" s="57" t="n">
        <f aca="false">IF($C150="","",ROUND($J150*0.17,0))</f>
        <v>1870</v>
      </c>
      <c r="M150" s="57" t="n">
        <v>8600</v>
      </c>
      <c r="N150" s="57" t="n">
        <v>3500</v>
      </c>
      <c r="O150" s="57" t="n">
        <v>2200</v>
      </c>
      <c r="P150" s="57" t="n">
        <v>2200</v>
      </c>
      <c r="Q150" s="57" t="n">
        <v>15950</v>
      </c>
      <c r="R150" s="57" t="n">
        <v>7150</v>
      </c>
      <c r="S150" s="57" t="n">
        <f aca="false">IF($C150="","",ROUND($J150*2.2,0))</f>
        <v>24200</v>
      </c>
      <c r="T150" s="57" t="n">
        <v>3850</v>
      </c>
      <c r="U150" s="57" t="n">
        <v>3300</v>
      </c>
      <c r="V150" s="57" t="n">
        <v>2000</v>
      </c>
      <c r="W150" s="57" t="n">
        <v>2400</v>
      </c>
      <c r="X150" s="56" t="s">
        <v>123</v>
      </c>
      <c r="Y150" s="58" t="n">
        <v>0.75</v>
      </c>
      <c r="Z150" s="58" t="n">
        <v>1</v>
      </c>
      <c r="AA150" s="56" t="s">
        <v>918</v>
      </c>
      <c r="AB150" s="56" t="s">
        <v>919</v>
      </c>
      <c r="AC150" s="56"/>
      <c r="AD150" s="56" t="s">
        <v>920</v>
      </c>
      <c r="AE150" s="56" t="s">
        <v>921</v>
      </c>
      <c r="AF150" s="56"/>
      <c r="AG150" s="56"/>
      <c r="AH150" s="56"/>
      <c r="AI150" s="56"/>
      <c r="AJ150" s="56"/>
      <c r="AK150" s="56" t="s">
        <v>922</v>
      </c>
      <c r="AL150" s="56"/>
      <c r="AM150" s="49"/>
      <c r="AN150" s="48"/>
    </row>
    <row r="151" customFormat="false" ht="16.5" hidden="false" customHeight="true" outlineLevel="0" collapsed="false">
      <c r="A151" s="48"/>
      <c r="B151" s="55" t="n">
        <f aca="false">IF($C151="","",COUNTA($C$5:C151))</f>
        <v>147</v>
      </c>
      <c r="C151" s="56" t="s">
        <v>499</v>
      </c>
      <c r="D151" s="56" t="s">
        <v>167</v>
      </c>
      <c r="E151" s="56" t="s">
        <v>908</v>
      </c>
      <c r="F151" s="56" t="s">
        <v>908</v>
      </c>
      <c r="G151" s="56" t="s">
        <v>500</v>
      </c>
      <c r="H151" s="56" t="n">
        <v>1</v>
      </c>
      <c r="I151" s="56" t="s">
        <v>97</v>
      </c>
      <c r="J151" s="57" t="n">
        <v>11000</v>
      </c>
      <c r="K151" s="57" t="n">
        <v>4600</v>
      </c>
      <c r="L151" s="57" t="n">
        <f aca="false">IF($C151="","",ROUND($J151*0.17,0))</f>
        <v>1870</v>
      </c>
      <c r="M151" s="57" t="n">
        <v>8600</v>
      </c>
      <c r="N151" s="57" t="n">
        <v>3500</v>
      </c>
      <c r="O151" s="57" t="n">
        <v>2200</v>
      </c>
      <c r="P151" s="57" t="n">
        <v>2200</v>
      </c>
      <c r="Q151" s="57" t="n">
        <v>15950</v>
      </c>
      <c r="R151" s="57" t="n">
        <v>7150</v>
      </c>
      <c r="S151" s="57" t="n">
        <f aca="false">IF($C151="","",ROUND($J151*2.2,0))</f>
        <v>24200</v>
      </c>
      <c r="T151" s="57" t="n">
        <v>3850</v>
      </c>
      <c r="U151" s="57" t="n">
        <v>3300</v>
      </c>
      <c r="V151" s="57" t="n">
        <v>2000</v>
      </c>
      <c r="W151" s="57" t="n">
        <v>2400</v>
      </c>
      <c r="X151" s="56" t="s">
        <v>198</v>
      </c>
      <c r="Y151" s="58" t="n">
        <v>0.1</v>
      </c>
      <c r="Z151" s="58" t="n">
        <v>1</v>
      </c>
      <c r="AA151" s="56" t="s">
        <v>501</v>
      </c>
      <c r="AB151" s="56" t="s">
        <v>502</v>
      </c>
      <c r="AC151" s="56"/>
      <c r="AD151" s="56"/>
      <c r="AE151" s="56"/>
      <c r="AF151" s="56"/>
      <c r="AG151" s="56"/>
      <c r="AH151" s="56"/>
      <c r="AI151" s="56"/>
      <c r="AJ151" s="56"/>
      <c r="AK151" s="56" t="s">
        <v>503</v>
      </c>
      <c r="AL151" s="56"/>
      <c r="AM151" s="49"/>
      <c r="AN151" s="48"/>
    </row>
    <row r="152" customFormat="false" ht="16.5" hidden="false" customHeight="true" outlineLevel="0" collapsed="false">
      <c r="A152" s="40"/>
      <c r="B152" s="61" t="n">
        <f aca="false">IF($C152="","",COUNTA($C$5:C152))</f>
        <v>148</v>
      </c>
      <c r="C152" s="62" t="s">
        <v>463</v>
      </c>
      <c r="D152" s="62" t="s">
        <v>43</v>
      </c>
      <c r="E152" s="62" t="s">
        <v>908</v>
      </c>
      <c r="F152" s="62" t="s">
        <v>908</v>
      </c>
      <c r="G152" s="62" t="s">
        <v>464</v>
      </c>
      <c r="H152" s="62" t="n">
        <v>1</v>
      </c>
      <c r="I152" s="62" t="s">
        <v>97</v>
      </c>
      <c r="J152" s="62" t="n">
        <v>5200</v>
      </c>
      <c r="K152" s="62" t="n">
        <v>2200</v>
      </c>
      <c r="L152" s="63" t="n">
        <f aca="false">IF($C152="","",ROUND($J152*0.17,0))</f>
        <v>884</v>
      </c>
      <c r="M152" s="62" t="n">
        <v>4050</v>
      </c>
      <c r="N152" s="62" t="n">
        <v>1650</v>
      </c>
      <c r="O152" s="62" t="n">
        <v>1050</v>
      </c>
      <c r="P152" s="62" t="n">
        <v>0</v>
      </c>
      <c r="Q152" s="62" t="n">
        <v>7550</v>
      </c>
      <c r="R152" s="62" t="n">
        <v>3400</v>
      </c>
      <c r="S152" s="63" t="n">
        <f aca="false">IF($C152="","",ROUND($J152*2.2,0))</f>
        <v>11440</v>
      </c>
      <c r="T152" s="62" t="n">
        <v>1800</v>
      </c>
      <c r="U152" s="62" t="n">
        <v>1550</v>
      </c>
      <c r="V152" s="62" t="n">
        <v>950</v>
      </c>
      <c r="W152" s="62" t="n">
        <v>0</v>
      </c>
      <c r="X152" s="62" t="s">
        <v>198</v>
      </c>
      <c r="Y152" s="64" t="n">
        <v>0.25</v>
      </c>
      <c r="Z152" s="64" t="n">
        <v>1</v>
      </c>
      <c r="AA152" s="62" t="s">
        <v>465</v>
      </c>
      <c r="AB152" s="62" t="s">
        <v>466</v>
      </c>
      <c r="AC152" s="62"/>
      <c r="AD152" s="62"/>
      <c r="AE152" s="62"/>
      <c r="AF152" s="62"/>
      <c r="AG152" s="62"/>
      <c r="AH152" s="62"/>
      <c r="AI152" s="62"/>
      <c r="AJ152" s="62"/>
      <c r="AK152" s="62" t="s">
        <v>467</v>
      </c>
      <c r="AL152" s="62"/>
      <c r="AM152" s="65"/>
      <c r="AN152" s="40"/>
    </row>
    <row r="153" customFormat="false" ht="16.5" hidden="false" customHeight="true" outlineLevel="0" collapsed="false">
      <c r="A153" s="48"/>
      <c r="B153" s="55" t="n">
        <f aca="false">IF($C153="","",COUNTA($C$5:C153))</f>
        <v>149</v>
      </c>
      <c r="C153" s="56" t="s">
        <v>923</v>
      </c>
      <c r="D153" s="56" t="s">
        <v>167</v>
      </c>
      <c r="E153" s="56" t="s">
        <v>924</v>
      </c>
      <c r="F153" s="56" t="s">
        <v>924</v>
      </c>
      <c r="G153" s="56" t="s">
        <v>96</v>
      </c>
      <c r="H153" s="56" t="n">
        <v>2</v>
      </c>
      <c r="I153" s="56" t="s">
        <v>151</v>
      </c>
      <c r="J153" s="57" t="n">
        <v>11250</v>
      </c>
      <c r="K153" s="57" t="n">
        <v>4500</v>
      </c>
      <c r="L153" s="57" t="n">
        <f aca="false">IF($C153="","",ROUND($J153*0.17,0))</f>
        <v>1913</v>
      </c>
      <c r="M153" s="57" t="n">
        <v>8000</v>
      </c>
      <c r="N153" s="57" t="n">
        <v>3500</v>
      </c>
      <c r="O153" s="57" t="n">
        <v>2000</v>
      </c>
      <c r="P153" s="57" t="n">
        <v>2000</v>
      </c>
      <c r="Q153" s="57" t="n">
        <v>13500</v>
      </c>
      <c r="R153" s="57" t="n">
        <v>6075</v>
      </c>
      <c r="S153" s="57" t="n">
        <f aca="false">IF($C153="","",ROUND($J153*2.2,0))</f>
        <v>24750</v>
      </c>
      <c r="T153" s="57" t="n">
        <v>4638</v>
      </c>
      <c r="U153" s="57" t="n">
        <v>4063</v>
      </c>
      <c r="V153" s="57" t="n">
        <v>2438</v>
      </c>
      <c r="W153" s="57" t="n">
        <v>2400</v>
      </c>
      <c r="X153" s="56" t="s">
        <v>178</v>
      </c>
      <c r="Y153" s="58" t="n">
        <v>0.3</v>
      </c>
      <c r="Z153" s="58" t="n">
        <v>1</v>
      </c>
      <c r="AA153" s="56" t="s">
        <v>925</v>
      </c>
      <c r="AB153" s="56" t="s">
        <v>926</v>
      </c>
      <c r="AC153" s="56"/>
      <c r="AD153" s="56" t="s">
        <v>927</v>
      </c>
      <c r="AE153" s="56"/>
      <c r="AF153" s="56"/>
      <c r="AG153" s="56"/>
      <c r="AH153" s="56"/>
      <c r="AI153" s="56"/>
      <c r="AJ153" s="56"/>
      <c r="AK153" s="56" t="s">
        <v>928</v>
      </c>
      <c r="AL153" s="56"/>
      <c r="AM153" s="49"/>
      <c r="AN153" s="48"/>
    </row>
    <row r="154" customFormat="false" ht="16.5" hidden="false" customHeight="true" outlineLevel="0" collapsed="false">
      <c r="A154" s="48"/>
      <c r="B154" s="55" t="n">
        <f aca="false">IF($C154="","",COUNTA($C$5:C154))</f>
        <v>150</v>
      </c>
      <c r="C154" s="56" t="s">
        <v>929</v>
      </c>
      <c r="D154" s="56" t="s">
        <v>167</v>
      </c>
      <c r="E154" s="56" t="s">
        <v>924</v>
      </c>
      <c r="F154" s="56" t="s">
        <v>924</v>
      </c>
      <c r="G154" s="56" t="s">
        <v>930</v>
      </c>
      <c r="H154" s="56" t="n">
        <v>1</v>
      </c>
      <c r="I154" s="56" t="s">
        <v>97</v>
      </c>
      <c r="J154" s="57" t="n">
        <v>12100</v>
      </c>
      <c r="K154" s="57" t="n">
        <v>5100</v>
      </c>
      <c r="L154" s="57" t="n">
        <f aca="false">IF($C154="","",ROUND($J154*0.17,0))</f>
        <v>2057</v>
      </c>
      <c r="M154" s="57" t="n">
        <v>9450</v>
      </c>
      <c r="N154" s="57" t="n">
        <v>3850</v>
      </c>
      <c r="O154" s="57" t="n">
        <v>2400</v>
      </c>
      <c r="P154" s="57" t="n">
        <v>2400</v>
      </c>
      <c r="Q154" s="57" t="n">
        <v>17550</v>
      </c>
      <c r="R154" s="57" t="n">
        <v>7850</v>
      </c>
      <c r="S154" s="57" t="n">
        <f aca="false">IF($C154="","",ROUND($J154*2.2,0))</f>
        <v>26620</v>
      </c>
      <c r="T154" s="57" t="n">
        <v>4250</v>
      </c>
      <c r="U154" s="57" t="n">
        <v>3650</v>
      </c>
      <c r="V154" s="57" t="n">
        <v>2200</v>
      </c>
      <c r="W154" s="57" t="n">
        <v>2400</v>
      </c>
      <c r="X154" s="56" t="s">
        <v>198</v>
      </c>
      <c r="Y154" s="58" t="n">
        <v>0.5</v>
      </c>
      <c r="Z154" s="58" t="n">
        <v>1</v>
      </c>
      <c r="AA154" s="56" t="s">
        <v>931</v>
      </c>
      <c r="AB154" s="56" t="s">
        <v>932</v>
      </c>
      <c r="AC154" s="56"/>
      <c r="AD154" s="56"/>
      <c r="AE154" s="56"/>
      <c r="AF154" s="56"/>
      <c r="AG154" s="56"/>
      <c r="AH154" s="56"/>
      <c r="AI154" s="56"/>
      <c r="AJ154" s="56"/>
      <c r="AK154" s="60" t="n">
        <v>35528</v>
      </c>
      <c r="AL154" s="56"/>
      <c r="AM154" s="49"/>
      <c r="AN154" s="48"/>
    </row>
    <row r="155" customFormat="false" ht="16.5" hidden="false" customHeight="true" outlineLevel="0" collapsed="false">
      <c r="A155" s="48"/>
      <c r="B155" s="55" t="n">
        <f aca="false">IF($C155="","",COUNTA($C$5:C155))</f>
        <v>151</v>
      </c>
      <c r="C155" s="56" t="s">
        <v>933</v>
      </c>
      <c r="D155" s="56" t="s">
        <v>167</v>
      </c>
      <c r="E155" s="56" t="s">
        <v>924</v>
      </c>
      <c r="F155" s="56" t="s">
        <v>924</v>
      </c>
      <c r="G155" s="56" t="s">
        <v>930</v>
      </c>
      <c r="H155" s="56" t="n">
        <v>2</v>
      </c>
      <c r="I155" s="56" t="s">
        <v>151</v>
      </c>
      <c r="J155" s="57" t="n">
        <v>5200</v>
      </c>
      <c r="K155" s="57" t="n">
        <v>2200</v>
      </c>
      <c r="L155" s="57" t="n">
        <f aca="false">IF($C155="","",ROUND($J155*0.17,0))</f>
        <v>884</v>
      </c>
      <c r="M155" s="57" t="n">
        <v>4050</v>
      </c>
      <c r="N155" s="57" t="n">
        <v>1650</v>
      </c>
      <c r="O155" s="57" t="n">
        <v>1050</v>
      </c>
      <c r="P155" s="57" t="n">
        <v>1050</v>
      </c>
      <c r="Q155" s="57" t="n">
        <v>7550</v>
      </c>
      <c r="R155" s="57" t="n">
        <v>3400</v>
      </c>
      <c r="S155" s="57" t="n">
        <f aca="false">IF($C155="","",ROUND($J155*2.2,0))</f>
        <v>11440</v>
      </c>
      <c r="T155" s="57" t="n">
        <v>1800</v>
      </c>
      <c r="U155" s="57" t="n">
        <v>1550</v>
      </c>
      <c r="V155" s="57" t="n">
        <v>950</v>
      </c>
      <c r="W155" s="57" t="n">
        <v>2400</v>
      </c>
      <c r="X155" s="56" t="s">
        <v>178</v>
      </c>
      <c r="Y155" s="58" t="n">
        <v>0.75</v>
      </c>
      <c r="Z155" s="58" t="n">
        <v>1</v>
      </c>
      <c r="AA155" s="56" t="s">
        <v>934</v>
      </c>
      <c r="AB155" s="56" t="s">
        <v>935</v>
      </c>
      <c r="AC155" s="56" t="s">
        <v>936</v>
      </c>
      <c r="AD155" s="56"/>
      <c r="AE155" s="56"/>
      <c r="AF155" s="56"/>
      <c r="AG155" s="56"/>
      <c r="AH155" s="56"/>
      <c r="AI155" s="56"/>
      <c r="AJ155" s="56"/>
      <c r="AK155" s="60" t="n">
        <v>37416</v>
      </c>
      <c r="AL155" s="56"/>
      <c r="AM155" s="49"/>
      <c r="AN155" s="48"/>
    </row>
    <row r="156" customFormat="false" ht="16.5" hidden="false" customHeight="true" outlineLevel="0" collapsed="false">
      <c r="A156" s="48"/>
      <c r="B156" s="55" t="n">
        <f aca="false">IF($C156="","",COUNTA($C$5:C156))</f>
        <v>152</v>
      </c>
      <c r="C156" s="56" t="s">
        <v>937</v>
      </c>
      <c r="D156" s="56" t="s">
        <v>167</v>
      </c>
      <c r="E156" s="56" t="s">
        <v>924</v>
      </c>
      <c r="F156" s="56" t="s">
        <v>924</v>
      </c>
      <c r="G156" s="56" t="s">
        <v>930</v>
      </c>
      <c r="H156" s="56" t="n">
        <v>1</v>
      </c>
      <c r="I156" s="56" t="s">
        <v>97</v>
      </c>
      <c r="J156" s="57" t="n">
        <v>11000</v>
      </c>
      <c r="K156" s="57" t="n">
        <v>4600</v>
      </c>
      <c r="L156" s="57" t="n">
        <f aca="false">IF($C156="","",ROUND($J156*0.17,0))</f>
        <v>1870</v>
      </c>
      <c r="M156" s="57" t="n">
        <v>8600</v>
      </c>
      <c r="N156" s="57" t="n">
        <v>3500</v>
      </c>
      <c r="O156" s="57" t="n">
        <v>2200</v>
      </c>
      <c r="P156" s="57" t="n">
        <v>2200</v>
      </c>
      <c r="Q156" s="57" t="n">
        <v>15950</v>
      </c>
      <c r="R156" s="57" t="n">
        <v>7150</v>
      </c>
      <c r="S156" s="57" t="n">
        <f aca="false">IF($C156="","",ROUND($J156*2.2,0))</f>
        <v>24200</v>
      </c>
      <c r="T156" s="57" t="n">
        <v>3850</v>
      </c>
      <c r="U156" s="57" t="n">
        <v>3300</v>
      </c>
      <c r="V156" s="57" t="n">
        <v>2000</v>
      </c>
      <c r="W156" s="57" t="n">
        <v>2400</v>
      </c>
      <c r="X156" s="56" t="s">
        <v>198</v>
      </c>
      <c r="Y156" s="58" t="n">
        <v>0.75</v>
      </c>
      <c r="Z156" s="58" t="n">
        <v>1</v>
      </c>
      <c r="AA156" s="56" t="s">
        <v>938</v>
      </c>
      <c r="AB156" s="56" t="s">
        <v>939</v>
      </c>
      <c r="AC156" s="56"/>
      <c r="AD156" s="56"/>
      <c r="AE156" s="56"/>
      <c r="AF156" s="56"/>
      <c r="AG156" s="56"/>
      <c r="AH156" s="56"/>
      <c r="AI156" s="56"/>
      <c r="AJ156" s="56"/>
      <c r="AK156" s="60" t="n">
        <v>35799</v>
      </c>
      <c r="AL156" s="56"/>
      <c r="AM156" s="49"/>
      <c r="AN156" s="48"/>
    </row>
    <row r="157" customFormat="false" ht="16.5" hidden="false" customHeight="true" outlineLevel="0" collapsed="false">
      <c r="A157" s="48"/>
      <c r="B157" s="55" t="n">
        <f aca="false">IF($C157="","",COUNTA($C$5:C157))</f>
        <v>153</v>
      </c>
      <c r="C157" s="56" t="s">
        <v>940</v>
      </c>
      <c r="D157" s="56" t="s">
        <v>167</v>
      </c>
      <c r="E157" s="56" t="s">
        <v>924</v>
      </c>
      <c r="F157" s="56" t="s">
        <v>924</v>
      </c>
      <c r="G157" s="56" t="s">
        <v>930</v>
      </c>
      <c r="H157" s="56" t="n">
        <v>1</v>
      </c>
      <c r="I157" s="56" t="s">
        <v>97</v>
      </c>
      <c r="J157" s="57" t="n">
        <v>5200</v>
      </c>
      <c r="K157" s="57" t="n">
        <v>2200</v>
      </c>
      <c r="L157" s="57" t="n">
        <f aca="false">IF($C157="","",ROUND($J157*0.17,0))</f>
        <v>884</v>
      </c>
      <c r="M157" s="57" t="n">
        <v>4050</v>
      </c>
      <c r="N157" s="57" t="n">
        <v>1650</v>
      </c>
      <c r="O157" s="57" t="n">
        <v>1050</v>
      </c>
      <c r="P157" s="57" t="n">
        <v>1050</v>
      </c>
      <c r="Q157" s="57" t="n">
        <v>7550</v>
      </c>
      <c r="R157" s="57" t="n">
        <v>3400</v>
      </c>
      <c r="S157" s="57" t="n">
        <f aca="false">IF($C157="","",ROUND($J157*2.2,0))</f>
        <v>11440</v>
      </c>
      <c r="T157" s="57" t="n">
        <v>1800</v>
      </c>
      <c r="U157" s="57" t="n">
        <v>1550</v>
      </c>
      <c r="V157" s="57" t="n">
        <v>950</v>
      </c>
      <c r="W157" s="57" t="n">
        <v>2400</v>
      </c>
      <c r="X157" s="56" t="s">
        <v>198</v>
      </c>
      <c r="Y157" s="58" t="n">
        <v>0.75</v>
      </c>
      <c r="Z157" s="58" t="n">
        <v>1</v>
      </c>
      <c r="AA157" s="56" t="s">
        <v>940</v>
      </c>
      <c r="AB157" s="56" t="s">
        <v>941</v>
      </c>
      <c r="AC157" s="56"/>
      <c r="AD157" s="56"/>
      <c r="AE157" s="56"/>
      <c r="AF157" s="56"/>
      <c r="AG157" s="56"/>
      <c r="AH157" s="56"/>
      <c r="AI157" s="56"/>
      <c r="AJ157" s="56"/>
      <c r="AK157" s="60" t="n">
        <v>37628</v>
      </c>
      <c r="AL157" s="56"/>
      <c r="AM157" s="49"/>
      <c r="AN157" s="48"/>
    </row>
    <row r="158" customFormat="false" ht="16.5" hidden="false" customHeight="true" outlineLevel="0" collapsed="false">
      <c r="A158" s="40"/>
      <c r="B158" s="61" t="n">
        <f aca="false">IF($C158="","",COUNTA($C$5:C158))</f>
        <v>154</v>
      </c>
      <c r="C158" s="62" t="s">
        <v>463</v>
      </c>
      <c r="D158" s="62" t="s">
        <v>43</v>
      </c>
      <c r="E158" s="62" t="s">
        <v>924</v>
      </c>
      <c r="F158" s="62" t="s">
        <v>924</v>
      </c>
      <c r="G158" s="62" t="s">
        <v>464</v>
      </c>
      <c r="H158" s="62" t="n">
        <v>1</v>
      </c>
      <c r="I158" s="62" t="s">
        <v>97</v>
      </c>
      <c r="J158" s="62" t="n">
        <v>5200</v>
      </c>
      <c r="K158" s="62" t="n">
        <v>2200</v>
      </c>
      <c r="L158" s="63" t="n">
        <f aca="false">IF($C158="","",ROUND($J158*0.17,0))</f>
        <v>884</v>
      </c>
      <c r="M158" s="62" t="n">
        <v>4050</v>
      </c>
      <c r="N158" s="62" t="n">
        <v>1650</v>
      </c>
      <c r="O158" s="62" t="n">
        <v>1050</v>
      </c>
      <c r="P158" s="62" t="n">
        <v>0</v>
      </c>
      <c r="Q158" s="62" t="n">
        <v>7550</v>
      </c>
      <c r="R158" s="62" t="n">
        <v>3400</v>
      </c>
      <c r="S158" s="63" t="n">
        <f aca="false">IF($C158="","",ROUND($J158*2.2,0))</f>
        <v>11440</v>
      </c>
      <c r="T158" s="62" t="n">
        <v>1800</v>
      </c>
      <c r="U158" s="62" t="n">
        <v>1550</v>
      </c>
      <c r="V158" s="62" t="n">
        <v>950</v>
      </c>
      <c r="W158" s="62" t="n">
        <v>0</v>
      </c>
      <c r="X158" s="62" t="s">
        <v>198</v>
      </c>
      <c r="Y158" s="64" t="n">
        <v>0.25</v>
      </c>
      <c r="Z158" s="64" t="n">
        <v>1</v>
      </c>
      <c r="AA158" s="62" t="s">
        <v>465</v>
      </c>
      <c r="AB158" s="62" t="s">
        <v>466</v>
      </c>
      <c r="AC158" s="62"/>
      <c r="AD158" s="62"/>
      <c r="AE158" s="62"/>
      <c r="AF158" s="62"/>
      <c r="AG158" s="62"/>
      <c r="AH158" s="62"/>
      <c r="AI158" s="62"/>
      <c r="AJ158" s="62"/>
      <c r="AK158" s="62" t="s">
        <v>467</v>
      </c>
      <c r="AL158" s="62"/>
      <c r="AM158" s="65"/>
      <c r="AN158" s="40"/>
    </row>
    <row r="159" customFormat="false" ht="16.5" hidden="false" customHeight="true" outlineLevel="0" collapsed="false">
      <c r="A159" s="48"/>
      <c r="B159" s="55" t="n">
        <f aca="false">IF($C159="","",COUNTA($C$5:C159))</f>
        <v>155</v>
      </c>
      <c r="C159" s="56" t="s">
        <v>942</v>
      </c>
      <c r="D159" s="56" t="s">
        <v>167</v>
      </c>
      <c r="E159" s="56" t="s">
        <v>943</v>
      </c>
      <c r="F159" s="56" t="s">
        <v>944</v>
      </c>
      <c r="G159" s="56" t="s">
        <v>945</v>
      </c>
      <c r="H159" s="56" t="n">
        <v>3</v>
      </c>
      <c r="I159" s="56" t="s">
        <v>151</v>
      </c>
      <c r="J159" s="57" t="n">
        <v>11250</v>
      </c>
      <c r="K159" s="57" t="n">
        <v>4500</v>
      </c>
      <c r="L159" s="57" t="n">
        <f aca="false">IF($C159="","",ROUND($J159*0.17,0))</f>
        <v>1913</v>
      </c>
      <c r="M159" s="57" t="n">
        <v>8000</v>
      </c>
      <c r="N159" s="57" t="n">
        <v>3500</v>
      </c>
      <c r="O159" s="57" t="n">
        <v>2000</v>
      </c>
      <c r="P159" s="57" t="n">
        <v>2000</v>
      </c>
      <c r="Q159" s="57" t="n">
        <v>13500</v>
      </c>
      <c r="R159" s="57" t="n">
        <v>6075</v>
      </c>
      <c r="S159" s="57" t="n">
        <f aca="false">IF($C159="","",ROUND($J159*2.2,0))</f>
        <v>24750</v>
      </c>
      <c r="T159" s="57" t="n">
        <v>4638</v>
      </c>
      <c r="U159" s="57" t="n">
        <v>4063</v>
      </c>
      <c r="V159" s="57" t="n">
        <v>2438</v>
      </c>
      <c r="W159" s="57" t="n">
        <v>2400</v>
      </c>
      <c r="X159" s="56" t="s">
        <v>123</v>
      </c>
      <c r="Y159" s="58" t="n">
        <v>0.3</v>
      </c>
      <c r="Z159" s="58" t="n">
        <v>1</v>
      </c>
      <c r="AA159" s="56" t="s">
        <v>946</v>
      </c>
      <c r="AB159" s="56" t="s">
        <v>947</v>
      </c>
      <c r="AC159" s="56"/>
      <c r="AD159" s="56" t="s">
        <v>948</v>
      </c>
      <c r="AE159" s="56"/>
      <c r="AF159" s="56"/>
      <c r="AG159" s="56"/>
      <c r="AH159" s="56" t="s">
        <v>949</v>
      </c>
      <c r="AI159" s="56"/>
      <c r="AJ159" s="56"/>
      <c r="AK159" s="56" t="s">
        <v>950</v>
      </c>
      <c r="AL159" s="56"/>
      <c r="AM159" s="49"/>
      <c r="AN159" s="48"/>
    </row>
    <row r="160" customFormat="false" ht="16.5" hidden="false" customHeight="true" outlineLevel="0" collapsed="false">
      <c r="A160" s="48"/>
      <c r="B160" s="55" t="n">
        <f aca="false">IF($C160="","",COUNTA($C$5:C160))</f>
        <v>156</v>
      </c>
      <c r="C160" s="56" t="s">
        <v>951</v>
      </c>
      <c r="D160" s="56" t="s">
        <v>167</v>
      </c>
      <c r="E160" s="56" t="s">
        <v>943</v>
      </c>
      <c r="F160" s="56" t="s">
        <v>944</v>
      </c>
      <c r="G160" s="56" t="s">
        <v>691</v>
      </c>
      <c r="H160" s="56" t="n">
        <v>2</v>
      </c>
      <c r="I160" s="56" t="s">
        <v>151</v>
      </c>
      <c r="J160" s="57" t="n">
        <v>11000</v>
      </c>
      <c r="K160" s="57" t="n">
        <v>4600</v>
      </c>
      <c r="L160" s="57" t="n">
        <f aca="false">IF($C160="","",ROUND($J160*0.17,0))</f>
        <v>1870</v>
      </c>
      <c r="M160" s="57" t="n">
        <v>8600</v>
      </c>
      <c r="N160" s="57" t="n">
        <v>3500</v>
      </c>
      <c r="O160" s="57" t="n">
        <v>2200</v>
      </c>
      <c r="P160" s="57" t="n">
        <v>2200</v>
      </c>
      <c r="Q160" s="57" t="n">
        <v>15950</v>
      </c>
      <c r="R160" s="57" t="n">
        <v>7150</v>
      </c>
      <c r="S160" s="57" t="n">
        <f aca="false">IF($C160="","",ROUND($J160*2.2,0))</f>
        <v>24200</v>
      </c>
      <c r="T160" s="57" t="n">
        <v>3850</v>
      </c>
      <c r="U160" s="57" t="n">
        <v>3300</v>
      </c>
      <c r="V160" s="57" t="n">
        <v>2000</v>
      </c>
      <c r="W160" s="57" t="n">
        <v>2400</v>
      </c>
      <c r="X160" s="56" t="s">
        <v>178</v>
      </c>
      <c r="Y160" s="58" t="n">
        <v>0.3</v>
      </c>
      <c r="Z160" s="58" t="n">
        <v>1</v>
      </c>
      <c r="AA160" s="56" t="s">
        <v>952</v>
      </c>
      <c r="AB160" s="56" t="s">
        <v>953</v>
      </c>
      <c r="AC160" s="56"/>
      <c r="AD160" s="56" t="s">
        <v>954</v>
      </c>
      <c r="AE160" s="56"/>
      <c r="AF160" s="56"/>
      <c r="AG160" s="56"/>
      <c r="AH160" s="56"/>
      <c r="AI160" s="56"/>
      <c r="AJ160" s="56"/>
      <c r="AK160" s="60" t="n">
        <v>38020</v>
      </c>
      <c r="AL160" s="56"/>
      <c r="AM160" s="49"/>
      <c r="AN160" s="48"/>
    </row>
    <row r="161" customFormat="false" ht="16.5" hidden="false" customHeight="true" outlineLevel="0" collapsed="false">
      <c r="A161" s="48"/>
      <c r="B161" s="55" t="n">
        <f aca="false">IF($C161="","",COUNTA($C$5:C161))</f>
        <v>157</v>
      </c>
      <c r="C161" s="56" t="s">
        <v>955</v>
      </c>
      <c r="D161" s="56" t="s">
        <v>167</v>
      </c>
      <c r="E161" s="56" t="s">
        <v>943</v>
      </c>
      <c r="F161" s="56" t="s">
        <v>944</v>
      </c>
      <c r="G161" s="56" t="s">
        <v>945</v>
      </c>
      <c r="H161" s="56" t="n">
        <v>1</v>
      </c>
      <c r="I161" s="56" t="s">
        <v>97</v>
      </c>
      <c r="J161" s="57" t="n">
        <v>11000</v>
      </c>
      <c r="K161" s="57" t="n">
        <v>4600</v>
      </c>
      <c r="L161" s="57" t="n">
        <f aca="false">IF($C161="","",ROUND($J161*0.17,0))</f>
        <v>1870</v>
      </c>
      <c r="M161" s="57" t="n">
        <v>8600</v>
      </c>
      <c r="N161" s="57" t="n">
        <v>3500</v>
      </c>
      <c r="O161" s="57" t="n">
        <v>2200</v>
      </c>
      <c r="P161" s="57" t="n">
        <v>2200</v>
      </c>
      <c r="Q161" s="57" t="n">
        <v>15950</v>
      </c>
      <c r="R161" s="57" t="n">
        <v>7150</v>
      </c>
      <c r="S161" s="57" t="n">
        <f aca="false">IF($C161="","",ROUND($J161*2.2,0))</f>
        <v>24200</v>
      </c>
      <c r="T161" s="57" t="n">
        <v>3850</v>
      </c>
      <c r="U161" s="57" t="n">
        <v>3300</v>
      </c>
      <c r="V161" s="57" t="n">
        <v>2000</v>
      </c>
      <c r="W161" s="57" t="n">
        <v>2400</v>
      </c>
      <c r="X161" s="56" t="s">
        <v>198</v>
      </c>
      <c r="Y161" s="58" t="n">
        <v>0.4</v>
      </c>
      <c r="Z161" s="58" t="n">
        <v>1</v>
      </c>
      <c r="AA161" s="56" t="s">
        <v>956</v>
      </c>
      <c r="AB161" s="56" t="s">
        <v>957</v>
      </c>
      <c r="AC161" s="56"/>
      <c r="AD161" s="56"/>
      <c r="AE161" s="56"/>
      <c r="AF161" s="56"/>
      <c r="AG161" s="56"/>
      <c r="AH161" s="56"/>
      <c r="AI161" s="56"/>
      <c r="AJ161" s="56"/>
      <c r="AK161" s="56" t="s">
        <v>958</v>
      </c>
      <c r="AL161" s="56"/>
      <c r="AM161" s="49"/>
      <c r="AN161" s="48"/>
    </row>
    <row r="162" customFormat="false" ht="16.5" hidden="false" customHeight="true" outlineLevel="0" collapsed="false">
      <c r="A162" s="48"/>
      <c r="B162" s="55" t="n">
        <f aca="false">IF($C162="","",COUNTA($C$5:C162))</f>
        <v>158</v>
      </c>
      <c r="C162" s="56" t="s">
        <v>959</v>
      </c>
      <c r="D162" s="56" t="s">
        <v>167</v>
      </c>
      <c r="E162" s="56" t="s">
        <v>943</v>
      </c>
      <c r="F162" s="56" t="s">
        <v>944</v>
      </c>
      <c r="G162" s="56" t="s">
        <v>449</v>
      </c>
      <c r="H162" s="56" t="n">
        <v>2</v>
      </c>
      <c r="I162" s="56" t="s">
        <v>151</v>
      </c>
      <c r="J162" s="57" t="n">
        <v>5200</v>
      </c>
      <c r="K162" s="57" t="n">
        <v>2200</v>
      </c>
      <c r="L162" s="57" t="n">
        <f aca="false">IF($C162="","",ROUND($J162*0.17,0))</f>
        <v>884</v>
      </c>
      <c r="M162" s="57" t="n">
        <v>4050</v>
      </c>
      <c r="N162" s="57" t="n">
        <v>1650</v>
      </c>
      <c r="O162" s="57" t="n">
        <v>1050</v>
      </c>
      <c r="P162" s="57" t="n">
        <v>1050</v>
      </c>
      <c r="Q162" s="57" t="n">
        <v>7550</v>
      </c>
      <c r="R162" s="57" t="n">
        <v>3400</v>
      </c>
      <c r="S162" s="57" t="n">
        <f aca="false">IF($C162="","",ROUND($J162*2.2,0))</f>
        <v>11440</v>
      </c>
      <c r="T162" s="57" t="n">
        <v>1800</v>
      </c>
      <c r="U162" s="57" t="n">
        <v>1550</v>
      </c>
      <c r="V162" s="57" t="n">
        <v>950</v>
      </c>
      <c r="W162" s="57" t="n">
        <v>2400</v>
      </c>
      <c r="X162" s="56" t="s">
        <v>178</v>
      </c>
      <c r="Y162" s="58" t="n">
        <v>0.2</v>
      </c>
      <c r="Z162" s="58" t="n">
        <v>1</v>
      </c>
      <c r="AA162" s="56" t="s">
        <v>960</v>
      </c>
      <c r="AB162" s="56" t="s">
        <v>961</v>
      </c>
      <c r="AC162" s="56"/>
      <c r="AD162" s="56" t="s">
        <v>962</v>
      </c>
      <c r="AE162" s="56"/>
      <c r="AF162" s="56"/>
      <c r="AG162" s="56"/>
      <c r="AH162" s="56"/>
      <c r="AI162" s="56"/>
      <c r="AJ162" s="56"/>
      <c r="AK162" s="60" t="n">
        <v>37897</v>
      </c>
      <c r="AL162" s="56"/>
      <c r="AM162" s="49"/>
      <c r="AN162" s="48"/>
    </row>
    <row r="163" customFormat="false" ht="16.5" hidden="false" customHeight="true" outlineLevel="0" collapsed="false">
      <c r="A163" s="46"/>
      <c r="B163" s="66" t="n">
        <f aca="false">IF($C163="","",COUNTA($C$5:C163))</f>
        <v>159</v>
      </c>
      <c r="C163" s="67" t="s">
        <v>963</v>
      </c>
      <c r="D163" s="67" t="s">
        <v>317</v>
      </c>
      <c r="E163" s="67" t="s">
        <v>943</v>
      </c>
      <c r="F163" s="67" t="s">
        <v>944</v>
      </c>
      <c r="G163" s="67" t="s">
        <v>964</v>
      </c>
      <c r="H163" s="67" t="n">
        <v>1</v>
      </c>
      <c r="I163" s="67" t="s">
        <v>97</v>
      </c>
      <c r="J163" s="67" t="n">
        <v>12100</v>
      </c>
      <c r="K163" s="67" t="n">
        <v>5100</v>
      </c>
      <c r="L163" s="68" t="n">
        <f aca="false">IF($C163="","",ROUND($J163*0.17,0))</f>
        <v>2057</v>
      </c>
      <c r="M163" s="67" t="n">
        <v>9450</v>
      </c>
      <c r="N163" s="67" t="n">
        <v>3850</v>
      </c>
      <c r="O163" s="67" t="n">
        <v>2400</v>
      </c>
      <c r="P163" s="67" t="n">
        <v>0</v>
      </c>
      <c r="Q163" s="67" t="n">
        <v>17550</v>
      </c>
      <c r="R163" s="67" t="n">
        <v>7850</v>
      </c>
      <c r="S163" s="68" t="n">
        <f aca="false">IF($C163="","",ROUND($J163*2.2,0))</f>
        <v>26620</v>
      </c>
      <c r="T163" s="67" t="n">
        <v>4250</v>
      </c>
      <c r="U163" s="67" t="n">
        <v>3650</v>
      </c>
      <c r="V163" s="67" t="n">
        <v>2200</v>
      </c>
      <c r="W163" s="67" t="n">
        <v>0</v>
      </c>
      <c r="X163" s="67" t="s">
        <v>198</v>
      </c>
      <c r="Y163" s="69" t="n">
        <v>0.5</v>
      </c>
      <c r="Z163" s="69" t="n">
        <v>1</v>
      </c>
      <c r="AA163" s="67" t="s">
        <v>965</v>
      </c>
      <c r="AB163" s="67" t="s">
        <v>966</v>
      </c>
      <c r="AC163" s="67"/>
      <c r="AD163" s="67"/>
      <c r="AE163" s="67"/>
      <c r="AF163" s="67"/>
      <c r="AG163" s="67"/>
      <c r="AH163" s="67"/>
      <c r="AI163" s="67"/>
      <c r="AJ163" s="67"/>
      <c r="AK163" s="67" t="s">
        <v>967</v>
      </c>
      <c r="AL163" s="67"/>
      <c r="AM163" s="47"/>
      <c r="AN163" s="46"/>
    </row>
    <row r="164" customFormat="false" ht="16.5" hidden="false" customHeight="true" outlineLevel="0" collapsed="false">
      <c r="A164" s="48"/>
      <c r="B164" s="55" t="n">
        <f aca="false">IF($C164="","",COUNTA($C$5:C164))</f>
        <v>160</v>
      </c>
      <c r="C164" s="56" t="s">
        <v>968</v>
      </c>
      <c r="D164" s="56" t="s">
        <v>167</v>
      </c>
      <c r="E164" s="56" t="s">
        <v>969</v>
      </c>
      <c r="F164" s="56" t="s">
        <v>226</v>
      </c>
      <c r="G164" s="56" t="s">
        <v>970</v>
      </c>
      <c r="H164" s="56" t="n">
        <v>5</v>
      </c>
      <c r="I164" s="56" t="s">
        <v>219</v>
      </c>
      <c r="J164" s="57" t="n">
        <v>5700</v>
      </c>
      <c r="K164" s="57" t="n">
        <v>2400</v>
      </c>
      <c r="L164" s="57" t="n">
        <f aca="false">IF($C164="","",ROUND($J164*0.17,0))</f>
        <v>969</v>
      </c>
      <c r="M164" s="57" t="n">
        <v>4450</v>
      </c>
      <c r="N164" s="57" t="n">
        <v>1850</v>
      </c>
      <c r="O164" s="57" t="n">
        <v>1150</v>
      </c>
      <c r="P164" s="57" t="n">
        <v>1150</v>
      </c>
      <c r="Q164" s="57" t="n">
        <v>8300</v>
      </c>
      <c r="R164" s="57" t="n">
        <v>3700</v>
      </c>
      <c r="S164" s="57" t="n">
        <f aca="false">IF($C164="","",ROUND($J164*2.2,0))</f>
        <v>12540</v>
      </c>
      <c r="T164" s="57" t="n">
        <v>2000</v>
      </c>
      <c r="U164" s="57" t="n">
        <v>1700</v>
      </c>
      <c r="V164" s="57" t="n">
        <v>1050</v>
      </c>
      <c r="W164" s="57" t="n">
        <v>2400</v>
      </c>
      <c r="X164" s="56" t="s">
        <v>133</v>
      </c>
      <c r="Y164" s="58" t="n">
        <v>0.25</v>
      </c>
      <c r="Z164" s="58" t="n">
        <v>1</v>
      </c>
      <c r="AA164" s="56" t="s">
        <v>971</v>
      </c>
      <c r="AB164" s="56" t="s">
        <v>972</v>
      </c>
      <c r="AC164" s="56" t="s">
        <v>973</v>
      </c>
      <c r="AD164" s="56" t="s">
        <v>974</v>
      </c>
      <c r="AE164" s="56" t="s">
        <v>975</v>
      </c>
      <c r="AF164" s="56" t="s">
        <v>976</v>
      </c>
      <c r="AG164" s="56"/>
      <c r="AH164" s="56"/>
      <c r="AI164" s="56"/>
      <c r="AJ164" s="56"/>
      <c r="AK164" s="56" t="s">
        <v>977</v>
      </c>
      <c r="AL164" s="56"/>
      <c r="AM164" s="49"/>
      <c r="AN164" s="48"/>
    </row>
    <row r="165" customFormat="false" ht="16.5" hidden="false" customHeight="true" outlineLevel="0" collapsed="false">
      <c r="A165" s="46"/>
      <c r="B165" s="66" t="n">
        <f aca="false">IF($C165="","",COUNTA($C$5:C165))</f>
        <v>161</v>
      </c>
      <c r="C165" s="67" t="s">
        <v>978</v>
      </c>
      <c r="D165" s="67" t="s">
        <v>415</v>
      </c>
      <c r="E165" s="67" t="s">
        <v>969</v>
      </c>
      <c r="F165" s="67" t="s">
        <v>226</v>
      </c>
      <c r="G165" s="67" t="s">
        <v>979</v>
      </c>
      <c r="H165" s="67" t="n">
        <v>5</v>
      </c>
      <c r="I165" s="67" t="s">
        <v>219</v>
      </c>
      <c r="J165" s="67" t="n">
        <v>20700</v>
      </c>
      <c r="K165" s="67" t="n">
        <v>8700</v>
      </c>
      <c r="L165" s="68" t="n">
        <f aca="false">IF($C165="","",ROUND($J165*0.17,0))</f>
        <v>3519</v>
      </c>
      <c r="M165" s="67" t="n">
        <v>16150</v>
      </c>
      <c r="N165" s="67" t="n">
        <v>6600</v>
      </c>
      <c r="O165" s="67" t="n">
        <v>4150</v>
      </c>
      <c r="P165" s="67" t="n">
        <v>0</v>
      </c>
      <c r="Q165" s="67" t="n">
        <v>30000</v>
      </c>
      <c r="R165" s="67" t="n">
        <v>13450</v>
      </c>
      <c r="S165" s="68" t="n">
        <f aca="false">IF($C165="","",ROUND($J165*2.2,0))</f>
        <v>45540</v>
      </c>
      <c r="T165" s="67" t="n">
        <v>7250</v>
      </c>
      <c r="U165" s="67" t="n">
        <v>6200</v>
      </c>
      <c r="V165" s="67" t="n">
        <v>3750</v>
      </c>
      <c r="W165" s="67" t="n">
        <v>0</v>
      </c>
      <c r="X165" s="67" t="s">
        <v>133</v>
      </c>
      <c r="Y165" s="69" t="n">
        <v>0.25</v>
      </c>
      <c r="Z165" s="69" t="n">
        <v>1</v>
      </c>
      <c r="AA165" s="67" t="s">
        <v>980</v>
      </c>
      <c r="AB165" s="67" t="s">
        <v>981</v>
      </c>
      <c r="AC165" s="67" t="s">
        <v>982</v>
      </c>
      <c r="AD165" s="67" t="s">
        <v>983</v>
      </c>
      <c r="AE165" s="67" t="s">
        <v>984</v>
      </c>
      <c r="AF165" s="67"/>
      <c r="AG165" s="67"/>
      <c r="AH165" s="67" t="s">
        <v>985</v>
      </c>
      <c r="AI165" s="67"/>
      <c r="AJ165" s="67"/>
      <c r="AK165" s="67" t="s">
        <v>986</v>
      </c>
      <c r="AL165" s="67"/>
      <c r="AM165" s="47"/>
      <c r="AN165" s="46"/>
    </row>
    <row r="166" customFormat="false" ht="16.5" hidden="false" customHeight="true" outlineLevel="0" collapsed="false">
      <c r="A166" s="48"/>
      <c r="B166" s="55" t="n">
        <f aca="false">IF($C166="","",COUNTA($C$5:C166))</f>
        <v>162</v>
      </c>
      <c r="C166" s="56" t="s">
        <v>987</v>
      </c>
      <c r="D166" s="56" t="s">
        <v>167</v>
      </c>
      <c r="E166" s="56" t="s">
        <v>168</v>
      </c>
      <c r="F166" s="56" t="s">
        <v>202</v>
      </c>
      <c r="G166" s="56" t="s">
        <v>170</v>
      </c>
      <c r="H166" s="56" t="n">
        <v>1</v>
      </c>
      <c r="I166" s="56" t="s">
        <v>151</v>
      </c>
      <c r="J166" s="57" t="n">
        <v>8800</v>
      </c>
      <c r="K166" s="57" t="n">
        <v>3700</v>
      </c>
      <c r="L166" s="57" t="n">
        <f aca="false">IF($C166="","",ROUND($J166*0.17,0))</f>
        <v>1496</v>
      </c>
      <c r="M166" s="57" t="n">
        <v>6850</v>
      </c>
      <c r="N166" s="57" t="n">
        <v>2800</v>
      </c>
      <c r="O166" s="57" t="n">
        <v>1750</v>
      </c>
      <c r="P166" s="57" t="n">
        <v>1750</v>
      </c>
      <c r="Q166" s="57" t="n">
        <v>12750</v>
      </c>
      <c r="R166" s="57" t="n">
        <v>5700</v>
      </c>
      <c r="S166" s="57" t="n">
        <f aca="false">IF($C166="","",ROUND($J166*2.2,0))</f>
        <v>19360</v>
      </c>
      <c r="T166" s="57" t="n">
        <v>3100</v>
      </c>
      <c r="U166" s="57" t="n">
        <v>2650</v>
      </c>
      <c r="V166" s="57" t="n">
        <v>1600</v>
      </c>
      <c r="W166" s="56" t="n">
        <v>1320</v>
      </c>
      <c r="X166" s="56" t="s">
        <v>198</v>
      </c>
      <c r="Y166" s="58" t="n">
        <v>0.3</v>
      </c>
      <c r="Z166" s="58" t="n">
        <v>1</v>
      </c>
      <c r="AA166" s="56" t="s">
        <v>988</v>
      </c>
      <c r="AB166" s="56" t="s">
        <v>989</v>
      </c>
      <c r="AC166" s="56"/>
      <c r="AD166" s="56"/>
      <c r="AE166" s="56"/>
      <c r="AF166" s="56"/>
      <c r="AG166" s="56"/>
      <c r="AH166" s="56"/>
      <c r="AI166" s="56"/>
      <c r="AJ166" s="56"/>
      <c r="AK166" s="56" t="s">
        <v>990</v>
      </c>
      <c r="AL166" s="56"/>
      <c r="AM166" s="49"/>
      <c r="AN166" s="48"/>
    </row>
    <row r="167" customFormat="false" ht="16.5" hidden="false" customHeight="true" outlineLevel="0" collapsed="false">
      <c r="A167" s="48"/>
      <c r="B167" s="55" t="n">
        <f aca="false">IF($C167="","",COUNTA($C$5:C167))</f>
        <v>163</v>
      </c>
      <c r="C167" s="56" t="s">
        <v>991</v>
      </c>
      <c r="D167" s="56" t="s">
        <v>167</v>
      </c>
      <c r="E167" s="56" t="s">
        <v>168</v>
      </c>
      <c r="F167" s="56" t="s">
        <v>202</v>
      </c>
      <c r="G167" s="56" t="s">
        <v>170</v>
      </c>
      <c r="H167" s="56" t="n">
        <v>1</v>
      </c>
      <c r="I167" s="56" t="s">
        <v>151</v>
      </c>
      <c r="J167" s="57" t="n">
        <v>8800</v>
      </c>
      <c r="K167" s="57" t="n">
        <v>3700</v>
      </c>
      <c r="L167" s="57" t="n">
        <f aca="false">IF($C167="","",ROUND($J167*0.17,0))</f>
        <v>1496</v>
      </c>
      <c r="M167" s="57" t="n">
        <v>6850</v>
      </c>
      <c r="N167" s="57" t="n">
        <v>2800</v>
      </c>
      <c r="O167" s="57" t="n">
        <v>1750</v>
      </c>
      <c r="P167" s="57" t="n">
        <v>1750</v>
      </c>
      <c r="Q167" s="57" t="n">
        <v>12750</v>
      </c>
      <c r="R167" s="57" t="n">
        <v>5700</v>
      </c>
      <c r="S167" s="57" t="n">
        <f aca="false">IF($C167="","",ROUND($J167*2.2,0))</f>
        <v>19360</v>
      </c>
      <c r="T167" s="57" t="n">
        <v>3100</v>
      </c>
      <c r="U167" s="57" t="n">
        <v>2650</v>
      </c>
      <c r="V167" s="57" t="n">
        <v>1600</v>
      </c>
      <c r="W167" s="56" t="n">
        <v>1320</v>
      </c>
      <c r="X167" s="56" t="s">
        <v>198</v>
      </c>
      <c r="Y167" s="58" t="n">
        <v>0.3</v>
      </c>
      <c r="Z167" s="58" t="n">
        <v>1</v>
      </c>
      <c r="AA167" s="56" t="s">
        <v>992</v>
      </c>
      <c r="AB167" s="56" t="s">
        <v>993</v>
      </c>
      <c r="AC167" s="56"/>
      <c r="AD167" s="56"/>
      <c r="AE167" s="56"/>
      <c r="AF167" s="56"/>
      <c r="AG167" s="56"/>
      <c r="AH167" s="56"/>
      <c r="AI167" s="56"/>
      <c r="AJ167" s="56"/>
      <c r="AK167" s="56" t="s">
        <v>994</v>
      </c>
      <c r="AL167" s="56"/>
      <c r="AM167" s="49"/>
      <c r="AN167" s="48"/>
    </row>
    <row r="168" customFormat="false" ht="16.5" hidden="false" customHeight="true" outlineLevel="0" collapsed="false">
      <c r="A168" s="48"/>
      <c r="B168" s="55" t="n">
        <f aca="false">IF($C168="","",COUNTA($C$5:C168))</f>
        <v>164</v>
      </c>
      <c r="C168" s="56" t="s">
        <v>995</v>
      </c>
      <c r="D168" s="56" t="s">
        <v>167</v>
      </c>
      <c r="E168" s="56" t="s">
        <v>168</v>
      </c>
      <c r="F168" s="56" t="s">
        <v>197</v>
      </c>
      <c r="G168" s="56"/>
      <c r="H168" s="56" t="n">
        <v>2</v>
      </c>
      <c r="I168" s="56" t="s">
        <v>151</v>
      </c>
      <c r="J168" s="57" t="n">
        <v>8800</v>
      </c>
      <c r="K168" s="57" t="n">
        <v>3700</v>
      </c>
      <c r="L168" s="57" t="n">
        <f aca="false">IF($C168="","",ROUND($J168*0.17,0))</f>
        <v>1496</v>
      </c>
      <c r="M168" s="57" t="n">
        <v>6850</v>
      </c>
      <c r="N168" s="57" t="n">
        <v>2800</v>
      </c>
      <c r="O168" s="57" t="n">
        <v>1750</v>
      </c>
      <c r="P168" s="57" t="n">
        <v>1750</v>
      </c>
      <c r="Q168" s="57" t="n">
        <v>12750</v>
      </c>
      <c r="R168" s="57" t="n">
        <v>5700</v>
      </c>
      <c r="S168" s="57" t="n">
        <f aca="false">IF($C168="","",ROUND($J168*2.2,0))</f>
        <v>19360</v>
      </c>
      <c r="T168" s="57" t="n">
        <v>3100</v>
      </c>
      <c r="U168" s="57" t="n">
        <v>2650</v>
      </c>
      <c r="V168" s="57" t="n">
        <v>1600</v>
      </c>
      <c r="W168" s="56" t="n">
        <v>1320</v>
      </c>
      <c r="X168" s="56" t="s">
        <v>178</v>
      </c>
      <c r="Y168" s="58" t="n">
        <v>0.3</v>
      </c>
      <c r="Z168" s="58" t="n">
        <v>1</v>
      </c>
      <c r="AA168" s="56" t="s">
        <v>996</v>
      </c>
      <c r="AB168" s="56" t="s">
        <v>997</v>
      </c>
      <c r="AC168" s="56"/>
      <c r="AD168" s="56" t="s">
        <v>998</v>
      </c>
      <c r="AE168" s="56"/>
      <c r="AF168" s="56"/>
      <c r="AG168" s="56"/>
      <c r="AH168" s="56"/>
      <c r="AI168" s="56"/>
      <c r="AJ168" s="56"/>
      <c r="AK168" s="56"/>
      <c r="AL168" s="56"/>
      <c r="AM168" s="49"/>
      <c r="AN168" s="48"/>
    </row>
    <row r="169" customFormat="false" ht="16.5" hidden="false" customHeight="true" outlineLevel="0" collapsed="false">
      <c r="A169" s="48"/>
      <c r="B169" s="55" t="n">
        <f aca="false">IF($C169="","",COUNTA($C$5:C169))</f>
        <v>165</v>
      </c>
      <c r="C169" s="56" t="s">
        <v>999</v>
      </c>
      <c r="D169" s="56" t="s">
        <v>167</v>
      </c>
      <c r="E169" s="56" t="s">
        <v>168</v>
      </c>
      <c r="F169" s="56" t="s">
        <v>197</v>
      </c>
      <c r="G169" s="56" t="s">
        <v>170</v>
      </c>
      <c r="H169" s="56" t="n">
        <v>3</v>
      </c>
      <c r="I169" s="56" t="s">
        <v>151</v>
      </c>
      <c r="J169" s="57" t="n">
        <v>11000</v>
      </c>
      <c r="K169" s="57" t="n">
        <v>4600</v>
      </c>
      <c r="L169" s="57" t="n">
        <f aca="false">IF($C169="","",ROUND($J169*0.17,0))</f>
        <v>1870</v>
      </c>
      <c r="M169" s="57" t="n">
        <v>8600</v>
      </c>
      <c r="N169" s="57" t="n">
        <v>3500</v>
      </c>
      <c r="O169" s="57" t="n">
        <v>2200</v>
      </c>
      <c r="P169" s="57" t="n">
        <v>2200</v>
      </c>
      <c r="Q169" s="57" t="n">
        <v>15950</v>
      </c>
      <c r="R169" s="57" t="n">
        <v>7150</v>
      </c>
      <c r="S169" s="57" t="n">
        <f aca="false">IF($C169="","",ROUND($J169*2.2,0))</f>
        <v>24200</v>
      </c>
      <c r="T169" s="57" t="n">
        <v>3850</v>
      </c>
      <c r="U169" s="57" t="n">
        <v>3300</v>
      </c>
      <c r="V169" s="57" t="n">
        <v>2000</v>
      </c>
      <c r="W169" s="56" t="n">
        <v>1650</v>
      </c>
      <c r="X169" s="56" t="s">
        <v>123</v>
      </c>
      <c r="Y169" s="58" t="n">
        <v>0.3</v>
      </c>
      <c r="Z169" s="58" t="n">
        <v>1</v>
      </c>
      <c r="AA169" s="56" t="s">
        <v>1000</v>
      </c>
      <c r="AB169" s="56" t="s">
        <v>1001</v>
      </c>
      <c r="AC169" s="56"/>
      <c r="AD169" s="56" t="s">
        <v>1002</v>
      </c>
      <c r="AE169" s="56" t="s">
        <v>1003</v>
      </c>
      <c r="AF169" s="56"/>
      <c r="AG169" s="56"/>
      <c r="AH169" s="56"/>
      <c r="AI169" s="56"/>
      <c r="AJ169" s="56"/>
      <c r="AK169" s="60" t="n">
        <v>37720</v>
      </c>
      <c r="AL169" s="56"/>
      <c r="AM169" s="49"/>
      <c r="AN169" s="48"/>
    </row>
    <row r="170" customFormat="false" ht="16.5" hidden="false" customHeight="true" outlineLevel="0" collapsed="false">
      <c r="A170" s="48"/>
      <c r="B170" s="55" t="n">
        <f aca="false">IF($C170="","",COUNTA($C$5:C170))</f>
        <v>166</v>
      </c>
      <c r="C170" s="56" t="s">
        <v>1004</v>
      </c>
      <c r="D170" s="56" t="s">
        <v>167</v>
      </c>
      <c r="E170" s="56" t="s">
        <v>268</v>
      </c>
      <c r="F170" s="56" t="s">
        <v>325</v>
      </c>
      <c r="G170" s="56" t="s">
        <v>1005</v>
      </c>
      <c r="H170" s="56" t="n">
        <v>2</v>
      </c>
      <c r="I170" s="56" t="s">
        <v>151</v>
      </c>
      <c r="J170" s="57" t="n">
        <v>11000</v>
      </c>
      <c r="K170" s="57" t="n">
        <v>4600</v>
      </c>
      <c r="L170" s="57" t="n">
        <f aca="false">IF($C170="","",ROUND($J170*0.17,0))</f>
        <v>1870</v>
      </c>
      <c r="M170" s="57" t="n">
        <v>8600</v>
      </c>
      <c r="N170" s="57" t="n">
        <v>3500</v>
      </c>
      <c r="O170" s="57" t="n">
        <v>2200</v>
      </c>
      <c r="P170" s="57" t="n">
        <v>2200</v>
      </c>
      <c r="Q170" s="57" t="n">
        <v>15950</v>
      </c>
      <c r="R170" s="57" t="n">
        <v>7150</v>
      </c>
      <c r="S170" s="57" t="n">
        <f aca="false">IF($C170="","",ROUND($J170*2.2,0))</f>
        <v>24200</v>
      </c>
      <c r="T170" s="57" t="n">
        <v>3850</v>
      </c>
      <c r="U170" s="57" t="n">
        <v>3300</v>
      </c>
      <c r="V170" s="57" t="n">
        <v>2000</v>
      </c>
      <c r="W170" s="56" t="n">
        <v>1650</v>
      </c>
      <c r="X170" s="56" t="s">
        <v>178</v>
      </c>
      <c r="Y170" s="58" t="n">
        <v>0.75</v>
      </c>
      <c r="Z170" s="58" t="n">
        <v>1</v>
      </c>
      <c r="AA170" s="56" t="s">
        <v>1006</v>
      </c>
      <c r="AB170" s="56" t="s">
        <v>1007</v>
      </c>
      <c r="AC170" s="56"/>
      <c r="AD170" s="56" t="s">
        <v>1008</v>
      </c>
      <c r="AE170" s="56"/>
      <c r="AF170" s="56"/>
      <c r="AG170" s="56"/>
      <c r="AH170" s="56"/>
      <c r="AI170" s="56"/>
      <c r="AJ170" s="56"/>
      <c r="AK170" s="60" t="n">
        <v>38144</v>
      </c>
      <c r="AL170" s="56" t="s">
        <v>282</v>
      </c>
      <c r="AM170" s="49"/>
      <c r="AN170" s="48"/>
    </row>
    <row r="171" customFormat="false" ht="16.5" hidden="false" customHeight="true" outlineLevel="0" collapsed="false">
      <c r="A171" s="48"/>
      <c r="B171" s="55" t="n">
        <f aca="false">IF($C171="","",COUNTA($C$5:C171))</f>
        <v>167</v>
      </c>
      <c r="C171" s="56" t="s">
        <v>1009</v>
      </c>
      <c r="D171" s="56" t="s">
        <v>167</v>
      </c>
      <c r="E171" s="56" t="s">
        <v>448</v>
      </c>
      <c r="F171" s="56" t="s">
        <v>448</v>
      </c>
      <c r="G171" s="56" t="s">
        <v>1010</v>
      </c>
      <c r="H171" s="56" t="n">
        <v>3</v>
      </c>
      <c r="I171" s="56" t="s">
        <v>151</v>
      </c>
      <c r="J171" s="57" t="n">
        <v>11000</v>
      </c>
      <c r="K171" s="57" t="n">
        <v>4600</v>
      </c>
      <c r="L171" s="57" t="n">
        <f aca="false">IF($C171="","",ROUND($J171*0.17,0))</f>
        <v>1870</v>
      </c>
      <c r="M171" s="57" t="n">
        <v>8600</v>
      </c>
      <c r="N171" s="57" t="n">
        <v>3500</v>
      </c>
      <c r="O171" s="57" t="n">
        <v>2200</v>
      </c>
      <c r="P171" s="57" t="n">
        <v>2200</v>
      </c>
      <c r="Q171" s="57" t="n">
        <v>15950</v>
      </c>
      <c r="R171" s="57" t="n">
        <v>7150</v>
      </c>
      <c r="S171" s="57" t="n">
        <f aca="false">IF($C171="","",ROUND($J171*2.2,0))</f>
        <v>24200</v>
      </c>
      <c r="T171" s="57" t="n">
        <v>3850</v>
      </c>
      <c r="U171" s="57" t="n">
        <v>3300</v>
      </c>
      <c r="V171" s="57" t="n">
        <v>2000</v>
      </c>
      <c r="W171" s="56" t="n">
        <v>1650</v>
      </c>
      <c r="X171" s="56" t="s">
        <v>123</v>
      </c>
      <c r="Y171" s="58" t="n">
        <v>0.25</v>
      </c>
      <c r="Z171" s="58" t="n">
        <v>1</v>
      </c>
      <c r="AA171" s="56" t="s">
        <v>1011</v>
      </c>
      <c r="AB171" s="56" t="s">
        <v>1012</v>
      </c>
      <c r="AC171" s="56"/>
      <c r="AD171" s="56" t="s">
        <v>1013</v>
      </c>
      <c r="AE171" s="56" t="s">
        <v>1014</v>
      </c>
      <c r="AF171" s="56"/>
      <c r="AG171" s="56"/>
      <c r="AH171" s="56"/>
      <c r="AI171" s="56"/>
      <c r="AJ171" s="56"/>
      <c r="AK171" s="60" t="n">
        <v>39665</v>
      </c>
      <c r="AL171" s="56"/>
      <c r="AM171" s="49"/>
      <c r="AN171" s="48"/>
    </row>
    <row r="172" customFormat="false" ht="16.5" hidden="false" customHeight="true" outlineLevel="0" collapsed="false">
      <c r="A172" s="48"/>
      <c r="B172" s="55" t="n">
        <f aca="false">IF($C172="","",COUNTA($C$5:C172))</f>
        <v>168</v>
      </c>
      <c r="C172" s="56" t="s">
        <v>1015</v>
      </c>
      <c r="D172" s="56" t="s">
        <v>167</v>
      </c>
      <c r="E172" s="56" t="s">
        <v>608</v>
      </c>
      <c r="F172" s="56" t="s">
        <v>640</v>
      </c>
      <c r="G172" s="56" t="s">
        <v>609</v>
      </c>
      <c r="H172" s="56" t="n">
        <v>5</v>
      </c>
      <c r="I172" s="56" t="s">
        <v>151</v>
      </c>
      <c r="J172" s="57" t="n">
        <v>11000</v>
      </c>
      <c r="K172" s="57" t="n">
        <v>4600</v>
      </c>
      <c r="L172" s="57" t="n">
        <f aca="false">IF($C172="","",ROUND($J172*0.17,0))</f>
        <v>1870</v>
      </c>
      <c r="M172" s="57" t="n">
        <v>8600</v>
      </c>
      <c r="N172" s="57" t="n">
        <v>3500</v>
      </c>
      <c r="O172" s="57" t="n">
        <v>2200</v>
      </c>
      <c r="P172" s="57" t="n">
        <v>2200</v>
      </c>
      <c r="Q172" s="57" t="n">
        <v>15950</v>
      </c>
      <c r="R172" s="57" t="n">
        <v>7150</v>
      </c>
      <c r="S172" s="57" t="n">
        <f aca="false">IF($C172="","",ROUND($J172*2.2,0))</f>
        <v>24200</v>
      </c>
      <c r="T172" s="57" t="n">
        <v>3850</v>
      </c>
      <c r="U172" s="57" t="n">
        <v>3300</v>
      </c>
      <c r="V172" s="57" t="n">
        <v>2000</v>
      </c>
      <c r="W172" s="56" t="n">
        <v>1650</v>
      </c>
      <c r="X172" s="56" t="s">
        <v>133</v>
      </c>
      <c r="Y172" s="58" t="n">
        <v>0.3</v>
      </c>
      <c r="Z172" s="58" t="n">
        <v>1</v>
      </c>
      <c r="AA172" s="56" t="s">
        <v>1016</v>
      </c>
      <c r="AB172" s="56" t="s">
        <v>1017</v>
      </c>
      <c r="AC172" s="56" t="s">
        <v>1018</v>
      </c>
      <c r="AD172" s="56"/>
      <c r="AE172" s="56" t="s">
        <v>1019</v>
      </c>
      <c r="AF172" s="56" t="s">
        <v>1020</v>
      </c>
      <c r="AG172" s="56"/>
      <c r="AH172" s="56" t="s">
        <v>1021</v>
      </c>
      <c r="AI172" s="56"/>
      <c r="AJ172" s="56"/>
      <c r="AK172" s="60" t="n">
        <v>38114</v>
      </c>
      <c r="AL172" s="56" t="s">
        <v>1022</v>
      </c>
      <c r="AM172" s="49"/>
      <c r="AN172" s="48"/>
    </row>
    <row r="173" customFormat="false" ht="16.5" hidden="false" customHeight="true" outlineLevel="0" collapsed="false">
      <c r="A173" s="48"/>
      <c r="B173" s="55" t="n">
        <f aca="false">IF($C173="","",COUNTA($C$5:C173))</f>
        <v>169</v>
      </c>
      <c r="C173" s="56" t="s">
        <v>1023</v>
      </c>
      <c r="D173" s="56" t="s">
        <v>167</v>
      </c>
      <c r="E173" s="56" t="s">
        <v>608</v>
      </c>
      <c r="F173" s="56" t="s">
        <v>640</v>
      </c>
      <c r="G173" s="56" t="s">
        <v>609</v>
      </c>
      <c r="H173" s="56" t="n">
        <v>3</v>
      </c>
      <c r="I173" s="56" t="s">
        <v>151</v>
      </c>
      <c r="J173" s="57" t="n">
        <v>12650</v>
      </c>
      <c r="K173" s="57" t="n">
        <v>5300</v>
      </c>
      <c r="L173" s="57" t="n">
        <f aca="false">IF($C173="","",ROUND($J173*0.17,0))</f>
        <v>2151</v>
      </c>
      <c r="M173" s="57" t="n">
        <v>9850</v>
      </c>
      <c r="N173" s="57" t="n">
        <v>4050</v>
      </c>
      <c r="O173" s="57" t="n">
        <v>2550</v>
      </c>
      <c r="P173" s="57" t="n">
        <v>2550</v>
      </c>
      <c r="Q173" s="57" t="n">
        <v>18350</v>
      </c>
      <c r="R173" s="57" t="n">
        <v>8200</v>
      </c>
      <c r="S173" s="57" t="n">
        <f aca="false">IF($C173="","",ROUND($J173*2.2,0))</f>
        <v>27830</v>
      </c>
      <c r="T173" s="57" t="n">
        <v>4450</v>
      </c>
      <c r="U173" s="57" t="n">
        <v>3800</v>
      </c>
      <c r="V173" s="57" t="n">
        <v>2300</v>
      </c>
      <c r="W173" s="56" t="n">
        <v>1898</v>
      </c>
      <c r="X173" s="56" t="s">
        <v>123</v>
      </c>
      <c r="Y173" s="58" t="n">
        <v>0.3</v>
      </c>
      <c r="Z173" s="58" t="n">
        <v>1</v>
      </c>
      <c r="AA173" s="56" t="s">
        <v>1024</v>
      </c>
      <c r="AB173" s="56"/>
      <c r="AC173" s="56" t="s">
        <v>1025</v>
      </c>
      <c r="AD173" s="56"/>
      <c r="AE173" s="56"/>
      <c r="AF173" s="56" t="s">
        <v>1026</v>
      </c>
      <c r="AG173" s="56"/>
      <c r="AH173" s="56" t="s">
        <v>1027</v>
      </c>
      <c r="AI173" s="56"/>
      <c r="AJ173" s="56"/>
      <c r="AK173" s="56" t="s">
        <v>1028</v>
      </c>
      <c r="AL173" s="56" t="s">
        <v>613</v>
      </c>
      <c r="AM173" s="49"/>
      <c r="AN173" s="48"/>
    </row>
    <row r="174" customFormat="false" ht="16.5" hidden="false" customHeight="true" outlineLevel="0" collapsed="false">
      <c r="A174" s="48"/>
      <c r="B174" s="55" t="n">
        <f aca="false">IF($C174="","",COUNTA($C$5:C174))</f>
        <v>170</v>
      </c>
      <c r="C174" s="56" t="s">
        <v>1029</v>
      </c>
      <c r="D174" s="56" t="s">
        <v>167</v>
      </c>
      <c r="E174" s="56" t="s">
        <v>608</v>
      </c>
      <c r="F174" s="56" t="s">
        <v>640</v>
      </c>
      <c r="G174" s="56" t="s">
        <v>609</v>
      </c>
      <c r="H174" s="56" t="n">
        <v>2</v>
      </c>
      <c r="I174" s="56" t="s">
        <v>151</v>
      </c>
      <c r="J174" s="57" t="n">
        <v>11000</v>
      </c>
      <c r="K174" s="57" t="n">
        <v>4600</v>
      </c>
      <c r="L174" s="57" t="n">
        <f aca="false">IF($C174="","",ROUND($J174*0.17,0))</f>
        <v>1870</v>
      </c>
      <c r="M174" s="57" t="n">
        <v>8600</v>
      </c>
      <c r="N174" s="57" t="n">
        <v>3500</v>
      </c>
      <c r="O174" s="57" t="n">
        <v>2200</v>
      </c>
      <c r="P174" s="57" t="n">
        <v>2200</v>
      </c>
      <c r="Q174" s="57" t="n">
        <v>15950</v>
      </c>
      <c r="R174" s="57" t="n">
        <v>7150</v>
      </c>
      <c r="S174" s="57" t="n">
        <f aca="false">IF($C174="","",ROUND($J174*2.2,0))</f>
        <v>24200</v>
      </c>
      <c r="T174" s="57" t="n">
        <v>3850</v>
      </c>
      <c r="U174" s="57" t="n">
        <v>3300</v>
      </c>
      <c r="V174" s="57" t="n">
        <v>2000</v>
      </c>
      <c r="W174" s="56" t="n">
        <v>1650</v>
      </c>
      <c r="X174" s="56" t="s">
        <v>178</v>
      </c>
      <c r="Y174" s="58" t="n">
        <v>0.3</v>
      </c>
      <c r="Z174" s="58" t="n">
        <v>1</v>
      </c>
      <c r="AA174" s="56" t="s">
        <v>1030</v>
      </c>
      <c r="AB174" s="56"/>
      <c r="AC174" s="56" t="s">
        <v>1031</v>
      </c>
      <c r="AD174" s="56"/>
      <c r="AE174" s="56"/>
      <c r="AF174" s="56"/>
      <c r="AG174" s="56"/>
      <c r="AH174" s="56" t="s">
        <v>1032</v>
      </c>
      <c r="AI174" s="56"/>
      <c r="AJ174" s="56"/>
      <c r="AK174" s="56" t="s">
        <v>1033</v>
      </c>
      <c r="AL174" s="56" t="s">
        <v>1022</v>
      </c>
      <c r="AM174" s="49"/>
      <c r="AN174" s="48"/>
    </row>
    <row r="175" customFormat="false" ht="16.5" hidden="false" customHeight="true" outlineLevel="0" collapsed="false">
      <c r="A175" s="46"/>
      <c r="B175" s="66" t="n">
        <f aca="false">IF($C175="","",COUNTA($C$5:C175))</f>
        <v>171</v>
      </c>
      <c r="C175" s="67" t="s">
        <v>1034</v>
      </c>
      <c r="D175" s="67" t="s">
        <v>317</v>
      </c>
      <c r="E175" s="67" t="s">
        <v>608</v>
      </c>
      <c r="F175" s="67" t="s">
        <v>640</v>
      </c>
      <c r="G175" s="67" t="s">
        <v>609</v>
      </c>
      <c r="H175" s="67" t="n">
        <v>3</v>
      </c>
      <c r="I175" s="67" t="s">
        <v>97</v>
      </c>
      <c r="J175" s="67" t="n">
        <v>11000</v>
      </c>
      <c r="K175" s="67" t="n">
        <v>4600</v>
      </c>
      <c r="L175" s="68" t="n">
        <f aca="false">IF($C175="","",ROUND($J175*0.17,0))</f>
        <v>1870</v>
      </c>
      <c r="M175" s="67" t="n">
        <v>8600</v>
      </c>
      <c r="N175" s="67" t="n">
        <v>3500</v>
      </c>
      <c r="O175" s="67" t="n">
        <v>2200</v>
      </c>
      <c r="P175" s="67" t="n">
        <v>0</v>
      </c>
      <c r="Q175" s="67" t="n">
        <v>15950</v>
      </c>
      <c r="R175" s="67" t="n">
        <v>7150</v>
      </c>
      <c r="S175" s="68" t="n">
        <f aca="false">IF($C175="","",ROUND($J175*2.2,0))</f>
        <v>24200</v>
      </c>
      <c r="T175" s="67" t="n">
        <v>3850</v>
      </c>
      <c r="U175" s="67" t="n">
        <v>3300</v>
      </c>
      <c r="V175" s="67" t="n">
        <v>2000</v>
      </c>
      <c r="W175" s="67" t="n">
        <v>0</v>
      </c>
      <c r="X175" s="67" t="s">
        <v>123</v>
      </c>
      <c r="Y175" s="69" t="n">
        <v>0.3</v>
      </c>
      <c r="Z175" s="69" t="n">
        <v>1</v>
      </c>
      <c r="AA175" s="67" t="s">
        <v>1035</v>
      </c>
      <c r="AB175" s="67"/>
      <c r="AC175" s="67" t="s">
        <v>1036</v>
      </c>
      <c r="AD175" s="67"/>
      <c r="AE175" s="67"/>
      <c r="AF175" s="67" t="s">
        <v>1037</v>
      </c>
      <c r="AG175" s="67"/>
      <c r="AH175" s="67" t="s">
        <v>1038</v>
      </c>
      <c r="AI175" s="67"/>
      <c r="AJ175" s="67"/>
      <c r="AK175" s="67" t="s">
        <v>1039</v>
      </c>
      <c r="AL175" s="67"/>
      <c r="AM175" s="47"/>
      <c r="AN175" s="46"/>
    </row>
    <row r="176" customFormat="false" ht="16.5" hidden="false" customHeight="true" outlineLevel="0" collapsed="false">
      <c r="A176" s="48"/>
      <c r="B176" s="55" t="n">
        <f aca="false">IF($C176="","",COUNTA($C$5:C176))</f>
        <v>172</v>
      </c>
      <c r="C176" s="56" t="s">
        <v>1040</v>
      </c>
      <c r="D176" s="56" t="s">
        <v>167</v>
      </c>
      <c r="E176" s="56" t="s">
        <v>742</v>
      </c>
      <c r="F176" s="56" t="s">
        <v>226</v>
      </c>
      <c r="G176" s="56" t="s">
        <v>495</v>
      </c>
      <c r="H176" s="56" t="n">
        <v>2</v>
      </c>
      <c r="I176" s="56" t="s">
        <v>151</v>
      </c>
      <c r="J176" s="57" t="n">
        <v>8000</v>
      </c>
      <c r="K176" s="57" t="n">
        <v>4000</v>
      </c>
      <c r="L176" s="57" t="n">
        <f aca="false">IF($C176="","",ROUND($J176*0.17,0))</f>
        <v>1360</v>
      </c>
      <c r="M176" s="57" t="n">
        <v>6000</v>
      </c>
      <c r="N176" s="57" t="n">
        <v>3000</v>
      </c>
      <c r="O176" s="57" t="n">
        <v>2000</v>
      </c>
      <c r="P176" s="57" t="n">
        <v>2000</v>
      </c>
      <c r="Q176" s="57" t="n">
        <v>6000</v>
      </c>
      <c r="R176" s="57" t="n">
        <v>5000</v>
      </c>
      <c r="S176" s="57" t="n">
        <f aca="false">IF($C176="","",ROUND($J176*2.2,0))</f>
        <v>17600</v>
      </c>
      <c r="T176" s="57" t="n">
        <v>3000</v>
      </c>
      <c r="U176" s="57" t="n">
        <v>2000</v>
      </c>
      <c r="V176" s="57" t="n">
        <v>1500</v>
      </c>
      <c r="W176" s="56" t="n">
        <v>1200</v>
      </c>
      <c r="X176" s="56" t="s">
        <v>178</v>
      </c>
      <c r="Y176" s="58" t="n">
        <v>0.75</v>
      </c>
      <c r="Z176" s="58" t="n">
        <v>1</v>
      </c>
      <c r="AA176" s="56" t="s">
        <v>1041</v>
      </c>
      <c r="AB176" s="56" t="s">
        <v>1042</v>
      </c>
      <c r="AC176" s="56"/>
      <c r="AD176" s="56" t="s">
        <v>1043</v>
      </c>
      <c r="AE176" s="56"/>
      <c r="AF176" s="56"/>
      <c r="AG176" s="56"/>
      <c r="AH176" s="56"/>
      <c r="AI176" s="56"/>
      <c r="AJ176" s="56"/>
      <c r="AK176" s="60" t="n">
        <v>37108</v>
      </c>
      <c r="AL176" s="56" t="s">
        <v>770</v>
      </c>
      <c r="AM176" s="49"/>
      <c r="AN176" s="48"/>
    </row>
    <row r="177" customFormat="false" ht="16.5" hidden="false" customHeight="true" outlineLevel="0" collapsed="false">
      <c r="A177" s="48"/>
      <c r="B177" s="55" t="n">
        <f aca="false">IF($C177="","",COUNTA($C$5:C177))</f>
        <v>173</v>
      </c>
      <c r="C177" s="56" t="s">
        <v>1044</v>
      </c>
      <c r="D177" s="56" t="s">
        <v>167</v>
      </c>
      <c r="E177" s="56" t="s">
        <v>825</v>
      </c>
      <c r="F177" s="56" t="s">
        <v>226</v>
      </c>
      <c r="G177" s="56" t="s">
        <v>1045</v>
      </c>
      <c r="H177" s="56" t="n">
        <v>4</v>
      </c>
      <c r="I177" s="56" t="s">
        <v>151</v>
      </c>
      <c r="J177" s="57" t="n">
        <v>11000</v>
      </c>
      <c r="K177" s="57" t="n">
        <v>4600</v>
      </c>
      <c r="L177" s="57" t="n">
        <f aca="false">IF($C177="","",ROUND($J177*0.17,0))</f>
        <v>1870</v>
      </c>
      <c r="M177" s="57" t="n">
        <v>8600</v>
      </c>
      <c r="N177" s="57" t="n">
        <v>3500</v>
      </c>
      <c r="O177" s="57" t="n">
        <v>2200</v>
      </c>
      <c r="P177" s="57" t="n">
        <v>2200</v>
      </c>
      <c r="Q177" s="57" t="n">
        <v>15950</v>
      </c>
      <c r="R177" s="57" t="n">
        <v>7150</v>
      </c>
      <c r="S177" s="57" t="n">
        <f aca="false">IF($C177="","",ROUND($J177*2.2,0))</f>
        <v>24200</v>
      </c>
      <c r="T177" s="57" t="n">
        <v>3850</v>
      </c>
      <c r="U177" s="57" t="n">
        <v>3300</v>
      </c>
      <c r="V177" s="57" t="n">
        <v>2000</v>
      </c>
      <c r="W177" s="56" t="n">
        <v>1650</v>
      </c>
      <c r="X177" s="56" t="s">
        <v>109</v>
      </c>
      <c r="Y177" s="58" t="n">
        <v>0.75</v>
      </c>
      <c r="Z177" s="58" t="n">
        <v>1</v>
      </c>
      <c r="AA177" s="56" t="s">
        <v>1046</v>
      </c>
      <c r="AB177" s="56" t="s">
        <v>1047</v>
      </c>
      <c r="AC177" s="56" t="s">
        <v>1048</v>
      </c>
      <c r="AD177" s="56" t="s">
        <v>1049</v>
      </c>
      <c r="AE177" s="56" t="s">
        <v>1050</v>
      </c>
      <c r="AF177" s="56"/>
      <c r="AG177" s="56"/>
      <c r="AH177" s="56"/>
      <c r="AI177" s="56"/>
      <c r="AJ177" s="56"/>
      <c r="AK177" s="60" t="n">
        <v>37898</v>
      </c>
      <c r="AL177" s="56" t="s">
        <v>1051</v>
      </c>
      <c r="AM177" s="49"/>
      <c r="AN177" s="48"/>
    </row>
    <row r="178" customFormat="false" ht="16.5" hidden="false" customHeight="true" outlineLevel="0" collapsed="false">
      <c r="A178" s="48"/>
      <c r="B178" s="55" t="n">
        <f aca="false">IF($C178="","",COUNTA($C$5:C178))</f>
        <v>174</v>
      </c>
      <c r="C178" s="56" t="s">
        <v>1052</v>
      </c>
      <c r="D178" s="56" t="s">
        <v>167</v>
      </c>
      <c r="E178" s="56" t="s">
        <v>943</v>
      </c>
      <c r="F178" s="56" t="s">
        <v>944</v>
      </c>
      <c r="G178" s="56" t="s">
        <v>96</v>
      </c>
      <c r="H178" s="56" t="n">
        <v>0</v>
      </c>
      <c r="I178" s="56" t="s">
        <v>151</v>
      </c>
      <c r="J178" s="57" t="n">
        <v>12650</v>
      </c>
      <c r="K178" s="57" t="n">
        <v>5300</v>
      </c>
      <c r="L178" s="57" t="n">
        <f aca="false">IF($C178="","",ROUND($J178*0.17,0))</f>
        <v>2151</v>
      </c>
      <c r="M178" s="57" t="n">
        <v>9850</v>
      </c>
      <c r="N178" s="57" t="n">
        <v>4050</v>
      </c>
      <c r="O178" s="57" t="n">
        <v>2550</v>
      </c>
      <c r="P178" s="57" t="n">
        <v>2550</v>
      </c>
      <c r="Q178" s="57" t="n">
        <v>18350</v>
      </c>
      <c r="R178" s="57" t="n">
        <v>8200</v>
      </c>
      <c r="S178" s="57" t="n">
        <f aca="false">IF($C178="","",ROUND($J178*2.2,0))</f>
        <v>27830</v>
      </c>
      <c r="T178" s="57" t="n">
        <v>4450</v>
      </c>
      <c r="U178" s="57" t="n">
        <v>3800</v>
      </c>
      <c r="V178" s="57" t="n">
        <v>2300</v>
      </c>
      <c r="W178" s="56" t="n">
        <v>1898</v>
      </c>
      <c r="X178" s="56" t="s">
        <v>265</v>
      </c>
      <c r="Y178" s="58" t="n">
        <v>0.75</v>
      </c>
      <c r="Z178" s="58" t="n">
        <v>1</v>
      </c>
      <c r="AA178" s="56" t="s">
        <v>1053</v>
      </c>
      <c r="AB178" s="56"/>
      <c r="AC178" s="56"/>
      <c r="AD178" s="56"/>
      <c r="AE178" s="56"/>
      <c r="AF178" s="56"/>
      <c r="AG178" s="56"/>
      <c r="AH178" s="56"/>
      <c r="AI178" s="56"/>
      <c r="AJ178" s="56"/>
      <c r="AK178" s="56" t="s">
        <v>958</v>
      </c>
      <c r="AL178" s="56"/>
      <c r="AM178" s="49"/>
      <c r="AN178" s="48"/>
    </row>
    <row r="179" customFormat="false" ht="16.5" hidden="false" customHeight="true" outlineLevel="0" collapsed="false">
      <c r="A179" s="48"/>
      <c r="B179" s="55" t="n">
        <f aca="false">IF($C179="","",COUNTA($C$5:C179))</f>
        <v>175</v>
      </c>
      <c r="C179" s="56" t="s">
        <v>1054</v>
      </c>
      <c r="D179" s="56" t="s">
        <v>167</v>
      </c>
      <c r="E179" s="56" t="s">
        <v>943</v>
      </c>
      <c r="F179" s="56" t="s">
        <v>944</v>
      </c>
      <c r="G179" s="56" t="s">
        <v>945</v>
      </c>
      <c r="H179" s="56" t="n">
        <v>2</v>
      </c>
      <c r="I179" s="56" t="s">
        <v>151</v>
      </c>
      <c r="J179" s="57" t="n">
        <v>9700</v>
      </c>
      <c r="K179" s="57" t="n">
        <v>4050</v>
      </c>
      <c r="L179" s="57" t="n">
        <f aca="false">IF($C179="","",ROUND($J179*0.17,0))</f>
        <v>1649</v>
      </c>
      <c r="M179" s="57" t="n">
        <v>7550</v>
      </c>
      <c r="N179" s="57" t="n">
        <v>3100</v>
      </c>
      <c r="O179" s="57" t="n">
        <v>1950</v>
      </c>
      <c r="P179" s="57" t="n">
        <v>1950</v>
      </c>
      <c r="Q179" s="57" t="n">
        <v>14050</v>
      </c>
      <c r="R179" s="57" t="n">
        <v>6300</v>
      </c>
      <c r="S179" s="57" t="n">
        <f aca="false">IF($C179="","",ROUND($J179*2.2,0))</f>
        <v>21340</v>
      </c>
      <c r="T179" s="57" t="n">
        <v>3400</v>
      </c>
      <c r="U179" s="57" t="n">
        <v>2900</v>
      </c>
      <c r="V179" s="57" t="n">
        <v>1750</v>
      </c>
      <c r="W179" s="56" t="n">
        <v>1455</v>
      </c>
      <c r="X179" s="56" t="s">
        <v>178</v>
      </c>
      <c r="Y179" s="58" t="n">
        <v>0.75</v>
      </c>
      <c r="Z179" s="58" t="n">
        <v>1</v>
      </c>
      <c r="AA179" s="56" t="s">
        <v>1055</v>
      </c>
      <c r="AB179" s="56" t="s">
        <v>1056</v>
      </c>
      <c r="AC179" s="56" t="s">
        <v>1057</v>
      </c>
      <c r="AD179" s="56"/>
      <c r="AE179" s="56"/>
      <c r="AF179" s="56"/>
      <c r="AG179" s="56"/>
      <c r="AH179" s="56"/>
      <c r="AI179" s="56"/>
      <c r="AJ179" s="56"/>
      <c r="AK179" s="60" t="n">
        <v>38356</v>
      </c>
      <c r="AL179" s="56"/>
      <c r="AM179" s="49"/>
      <c r="AN179" s="48"/>
    </row>
    <row r="180" customFormat="false" ht="16.5" hidden="false" customHeight="true" outlineLevel="0" collapsed="false">
      <c r="A180" s="48"/>
      <c r="B180" s="55" t="n">
        <f aca="false">IF($C180="","",COUNTA($C$5:C180))</f>
        <v>176</v>
      </c>
      <c r="C180" s="56" t="s">
        <v>1058</v>
      </c>
      <c r="D180" s="56" t="s">
        <v>167</v>
      </c>
      <c r="E180" s="56" t="s">
        <v>1059</v>
      </c>
      <c r="F180" s="56" t="s">
        <v>226</v>
      </c>
      <c r="G180" s="56" t="s">
        <v>1060</v>
      </c>
      <c r="H180" s="56" t="n">
        <v>0</v>
      </c>
      <c r="I180" s="56" t="s">
        <v>151</v>
      </c>
      <c r="J180" s="57" t="n">
        <v>11000</v>
      </c>
      <c r="K180" s="57" t="n">
        <v>4600</v>
      </c>
      <c r="L180" s="57" t="n">
        <f aca="false">IF($C180="","",ROUND($J180*0.17,0))</f>
        <v>1870</v>
      </c>
      <c r="M180" s="57" t="n">
        <v>8600</v>
      </c>
      <c r="N180" s="57" t="n">
        <v>3500</v>
      </c>
      <c r="O180" s="57" t="n">
        <v>2200</v>
      </c>
      <c r="P180" s="57" t="n">
        <v>2200</v>
      </c>
      <c r="Q180" s="57" t="n">
        <v>15950</v>
      </c>
      <c r="R180" s="57" t="n">
        <v>7150</v>
      </c>
      <c r="S180" s="57" t="n">
        <f aca="false">IF($C180="","",ROUND($J180*2.2,0))</f>
        <v>24200</v>
      </c>
      <c r="T180" s="57" t="n">
        <v>3850</v>
      </c>
      <c r="U180" s="57" t="n">
        <v>3300</v>
      </c>
      <c r="V180" s="57" t="n">
        <v>2000</v>
      </c>
      <c r="W180" s="56" t="n">
        <v>1650</v>
      </c>
      <c r="X180" s="56" t="s">
        <v>265</v>
      </c>
      <c r="Y180" s="58" t="n">
        <v>0.3</v>
      </c>
      <c r="Z180" s="58" t="n">
        <v>1</v>
      </c>
      <c r="AA180" s="56" t="s">
        <v>1061</v>
      </c>
      <c r="AB180" s="56"/>
      <c r="AC180" s="56"/>
      <c r="AD180" s="56"/>
      <c r="AE180" s="56"/>
      <c r="AF180" s="56"/>
      <c r="AG180" s="56"/>
      <c r="AH180" s="56"/>
      <c r="AI180" s="56"/>
      <c r="AJ180" s="56"/>
      <c r="AK180" s="56" t="s">
        <v>1062</v>
      </c>
      <c r="AL180" s="56"/>
      <c r="AM180" s="49"/>
      <c r="AN180" s="48"/>
    </row>
    <row r="181" customFormat="false" ht="16.5" hidden="false" customHeight="true" outlineLevel="0" collapsed="false">
      <c r="A181" s="48"/>
      <c r="B181" s="55" t="n">
        <f aca="false">IF($C181="","",COUNTA($C$5:C181))</f>
        <v>177</v>
      </c>
      <c r="C181" s="56" t="s">
        <v>1063</v>
      </c>
      <c r="D181" s="56" t="s">
        <v>167</v>
      </c>
      <c r="E181" s="56" t="s">
        <v>1059</v>
      </c>
      <c r="F181" s="56" t="s">
        <v>226</v>
      </c>
      <c r="G181" s="56" t="s">
        <v>1060</v>
      </c>
      <c r="H181" s="56" t="n">
        <v>0</v>
      </c>
      <c r="I181" s="56" t="s">
        <v>151</v>
      </c>
      <c r="J181" s="57" t="n">
        <v>8800</v>
      </c>
      <c r="K181" s="57" t="n">
        <v>3700</v>
      </c>
      <c r="L181" s="57" t="n">
        <f aca="false">IF($C181="","",ROUND($J181*0.17,0))</f>
        <v>1496</v>
      </c>
      <c r="M181" s="57" t="n">
        <v>6850</v>
      </c>
      <c r="N181" s="57" t="n">
        <v>2800</v>
      </c>
      <c r="O181" s="57" t="n">
        <v>1750</v>
      </c>
      <c r="P181" s="57" t="n">
        <v>1750</v>
      </c>
      <c r="Q181" s="57" t="n">
        <v>12750</v>
      </c>
      <c r="R181" s="57" t="n">
        <v>5700</v>
      </c>
      <c r="S181" s="57" t="n">
        <f aca="false">IF($C181="","",ROUND($J181*2.2,0))</f>
        <v>19360</v>
      </c>
      <c r="T181" s="57" t="n">
        <v>3100</v>
      </c>
      <c r="U181" s="57" t="n">
        <v>2650</v>
      </c>
      <c r="V181" s="57" t="n">
        <v>1600</v>
      </c>
      <c r="W181" s="56" t="n">
        <v>1320</v>
      </c>
      <c r="X181" s="56" t="s">
        <v>265</v>
      </c>
      <c r="Y181" s="58" t="n">
        <v>0.3</v>
      </c>
      <c r="Z181" s="58" t="n">
        <v>1</v>
      </c>
      <c r="AA181" s="56" t="s">
        <v>1064</v>
      </c>
      <c r="AB181" s="56"/>
      <c r="AC181" s="56"/>
      <c r="AD181" s="56"/>
      <c r="AE181" s="56"/>
      <c r="AF181" s="56"/>
      <c r="AG181" s="56"/>
      <c r="AH181" s="56"/>
      <c r="AI181" s="56"/>
      <c r="AJ181" s="56"/>
      <c r="AK181" s="56" t="s">
        <v>1065</v>
      </c>
      <c r="AL181" s="56"/>
      <c r="AM181" s="49"/>
      <c r="AN181" s="48"/>
    </row>
    <row r="182" customFormat="false" ht="16.5" hidden="false" customHeight="true" outlineLevel="0" collapsed="false">
      <c r="A182" s="48"/>
      <c r="B182" s="55" t="n">
        <f aca="false">IF($C182="","",COUNTA($C$5:C182))</f>
        <v>178</v>
      </c>
      <c r="C182" s="56" t="s">
        <v>1066</v>
      </c>
      <c r="D182" s="56" t="s">
        <v>167</v>
      </c>
      <c r="E182" s="56" t="s">
        <v>1059</v>
      </c>
      <c r="F182" s="56" t="s">
        <v>226</v>
      </c>
      <c r="G182" s="56" t="s">
        <v>1060</v>
      </c>
      <c r="H182" s="56" t="n">
        <v>0</v>
      </c>
      <c r="I182" s="56" t="s">
        <v>151</v>
      </c>
      <c r="J182" s="57" t="n">
        <v>8800</v>
      </c>
      <c r="K182" s="57" t="n">
        <v>3700</v>
      </c>
      <c r="L182" s="57" t="n">
        <f aca="false">IF($C182="","",ROUND($J182*0.17,0))</f>
        <v>1496</v>
      </c>
      <c r="M182" s="57" t="n">
        <v>6850</v>
      </c>
      <c r="N182" s="57" t="n">
        <v>2800</v>
      </c>
      <c r="O182" s="57" t="n">
        <v>1750</v>
      </c>
      <c r="P182" s="57" t="n">
        <v>1750</v>
      </c>
      <c r="Q182" s="57" t="n">
        <v>12750</v>
      </c>
      <c r="R182" s="57" t="n">
        <v>5700</v>
      </c>
      <c r="S182" s="57" t="n">
        <f aca="false">IF($C182="","",ROUND($J182*2.2,0))</f>
        <v>19360</v>
      </c>
      <c r="T182" s="57" t="n">
        <v>3100</v>
      </c>
      <c r="U182" s="57" t="n">
        <v>2650</v>
      </c>
      <c r="V182" s="57" t="n">
        <v>1600</v>
      </c>
      <c r="W182" s="56" t="n">
        <v>1320</v>
      </c>
      <c r="X182" s="56" t="s">
        <v>265</v>
      </c>
      <c r="Y182" s="58" t="n">
        <v>0.3</v>
      </c>
      <c r="Z182" s="58" t="n">
        <v>1</v>
      </c>
      <c r="AA182" s="56" t="s">
        <v>1067</v>
      </c>
      <c r="AB182" s="56"/>
      <c r="AC182" s="56"/>
      <c r="AD182" s="56"/>
      <c r="AE182" s="56"/>
      <c r="AF182" s="56"/>
      <c r="AG182" s="56"/>
      <c r="AH182" s="56"/>
      <c r="AI182" s="56"/>
      <c r="AJ182" s="56"/>
      <c r="AK182" s="60" t="n">
        <v>36073</v>
      </c>
      <c r="AL182" s="56"/>
      <c r="AM182" s="49"/>
      <c r="AN182" s="48"/>
    </row>
    <row r="183" customFormat="false" ht="16.5" hidden="false" customHeight="true" outlineLevel="0" collapsed="false">
      <c r="A183" s="48"/>
      <c r="B183" s="55" t="n">
        <f aca="false">IF($C183="","",COUNTA($C$5:C183))</f>
        <v>179</v>
      </c>
      <c r="C183" s="56" t="s">
        <v>1068</v>
      </c>
      <c r="D183" s="56" t="s">
        <v>167</v>
      </c>
      <c r="E183" s="56" t="s">
        <v>1059</v>
      </c>
      <c r="F183" s="56" t="s">
        <v>226</v>
      </c>
      <c r="G183" s="56" t="s">
        <v>1060</v>
      </c>
      <c r="H183" s="56" t="n">
        <v>1</v>
      </c>
      <c r="I183" s="56" t="s">
        <v>151</v>
      </c>
      <c r="J183" s="57" t="n">
        <v>8800</v>
      </c>
      <c r="K183" s="57" t="n">
        <v>3700</v>
      </c>
      <c r="L183" s="57" t="n">
        <f aca="false">IF($C183="","",ROUND($J183*0.17,0))</f>
        <v>1496</v>
      </c>
      <c r="M183" s="57" t="n">
        <v>6850</v>
      </c>
      <c r="N183" s="57" t="n">
        <v>2800</v>
      </c>
      <c r="O183" s="57" t="n">
        <v>1750</v>
      </c>
      <c r="P183" s="57" t="n">
        <v>1750</v>
      </c>
      <c r="Q183" s="57" t="n">
        <v>12750</v>
      </c>
      <c r="R183" s="57" t="n">
        <v>5700</v>
      </c>
      <c r="S183" s="57" t="n">
        <f aca="false">IF($C183="","",ROUND($J183*2.2,0))</f>
        <v>19360</v>
      </c>
      <c r="T183" s="57" t="n">
        <v>3100</v>
      </c>
      <c r="U183" s="57" t="n">
        <v>2650</v>
      </c>
      <c r="V183" s="57" t="n">
        <v>1600</v>
      </c>
      <c r="W183" s="56" t="n">
        <v>1320</v>
      </c>
      <c r="X183" s="56" t="s">
        <v>198</v>
      </c>
      <c r="Y183" s="58" t="n">
        <v>0.3</v>
      </c>
      <c r="Z183" s="58" t="n">
        <v>1</v>
      </c>
      <c r="AA183" s="56" t="s">
        <v>1069</v>
      </c>
      <c r="AB183" s="56"/>
      <c r="AC183" s="56"/>
      <c r="AD183" s="56"/>
      <c r="AE183" s="56"/>
      <c r="AF183" s="56"/>
      <c r="AG183" s="56"/>
      <c r="AH183" s="56" t="s">
        <v>1070</v>
      </c>
      <c r="AI183" s="56"/>
      <c r="AJ183" s="56"/>
      <c r="AK183" s="60" t="n">
        <v>37957</v>
      </c>
      <c r="AL183" s="56"/>
      <c r="AM183" s="49"/>
      <c r="AN183" s="48"/>
    </row>
    <row r="184" customFormat="false" ht="16.5" hidden="false" customHeight="true" outlineLevel="0" collapsed="false">
      <c r="A184" s="48"/>
      <c r="B184" s="55" t="n">
        <f aca="false">IF($C184="","",COUNTA($C$5:C184))</f>
        <v>180</v>
      </c>
      <c r="C184" s="56" t="s">
        <v>1071</v>
      </c>
      <c r="D184" s="56" t="s">
        <v>167</v>
      </c>
      <c r="E184" s="56" t="s">
        <v>1059</v>
      </c>
      <c r="F184" s="56" t="s">
        <v>226</v>
      </c>
      <c r="G184" s="56" t="s">
        <v>1060</v>
      </c>
      <c r="H184" s="56" t="n">
        <v>2</v>
      </c>
      <c r="I184" s="56" t="s">
        <v>151</v>
      </c>
      <c r="J184" s="57" t="n">
        <v>8800</v>
      </c>
      <c r="K184" s="57" t="n">
        <v>3700</v>
      </c>
      <c r="L184" s="57" t="n">
        <f aca="false">IF($C184="","",ROUND($J184*0.17,0))</f>
        <v>1496</v>
      </c>
      <c r="M184" s="57" t="n">
        <v>6850</v>
      </c>
      <c r="N184" s="57" t="n">
        <v>2800</v>
      </c>
      <c r="O184" s="57" t="n">
        <v>1750</v>
      </c>
      <c r="P184" s="57" t="n">
        <v>1750</v>
      </c>
      <c r="Q184" s="57" t="n">
        <v>12750</v>
      </c>
      <c r="R184" s="57" t="n">
        <v>5700</v>
      </c>
      <c r="S184" s="57" t="n">
        <f aca="false">IF($C184="","",ROUND($J184*2.2,0))</f>
        <v>19360</v>
      </c>
      <c r="T184" s="57" t="n">
        <v>3100</v>
      </c>
      <c r="U184" s="57" t="n">
        <v>2650</v>
      </c>
      <c r="V184" s="57" t="n">
        <v>1600</v>
      </c>
      <c r="W184" s="56" t="n">
        <v>1320</v>
      </c>
      <c r="X184" s="56" t="s">
        <v>178</v>
      </c>
      <c r="Y184" s="58" t="n">
        <v>0.3</v>
      </c>
      <c r="Z184" s="58" t="n">
        <v>1</v>
      </c>
      <c r="AA184" s="56" t="s">
        <v>1072</v>
      </c>
      <c r="AB184" s="56"/>
      <c r="AC184" s="56"/>
      <c r="AD184" s="56"/>
      <c r="AE184" s="56" t="s">
        <v>1073</v>
      </c>
      <c r="AF184" s="56"/>
      <c r="AG184" s="56"/>
      <c r="AH184" s="56" t="s">
        <v>1074</v>
      </c>
      <c r="AI184" s="56"/>
      <c r="AJ184" s="56"/>
      <c r="AK184" s="60" t="n">
        <v>34376</v>
      </c>
      <c r="AL184" s="56"/>
      <c r="AM184" s="49"/>
      <c r="AN184" s="48"/>
    </row>
    <row r="185" customFormat="false" ht="16.5" hidden="false" customHeight="true" outlineLevel="0" collapsed="false">
      <c r="A185" s="77"/>
      <c r="B185" s="78" t="n">
        <f aca="false">IF($C185="","",COUNTA($C$5:C185))</f>
        <v>181</v>
      </c>
      <c r="C185" s="79" t="s">
        <v>225</v>
      </c>
      <c r="D185" s="79" t="s">
        <v>43</v>
      </c>
      <c r="E185" s="79" t="s">
        <v>1075</v>
      </c>
      <c r="F185" s="79" t="s">
        <v>1075</v>
      </c>
      <c r="G185" s="79" t="s">
        <v>170</v>
      </c>
      <c r="H185" s="79" t="n">
        <v>1</v>
      </c>
      <c r="I185" s="79" t="s">
        <v>97</v>
      </c>
      <c r="J185" s="79" t="n">
        <v>0</v>
      </c>
      <c r="K185" s="79" t="n">
        <v>0</v>
      </c>
      <c r="L185" s="79" t="n">
        <f aca="false">IF($C185="","",ROUND($J185*0.17,0))</f>
        <v>0</v>
      </c>
      <c r="M185" s="79" t="n">
        <v>0</v>
      </c>
      <c r="N185" s="79" t="n">
        <v>0</v>
      </c>
      <c r="O185" s="79" t="n">
        <v>0</v>
      </c>
      <c r="P185" s="79" t="n">
        <v>0</v>
      </c>
      <c r="Q185" s="79" t="n">
        <v>0</v>
      </c>
      <c r="R185" s="79" t="n">
        <v>0</v>
      </c>
      <c r="S185" s="80" t="n">
        <f aca="false">IF($C185="","",ROUND($J185*2.2,0))</f>
        <v>0</v>
      </c>
      <c r="T185" s="79" t="n">
        <v>0</v>
      </c>
      <c r="U185" s="79" t="n">
        <v>0</v>
      </c>
      <c r="V185" s="79" t="n">
        <v>600</v>
      </c>
      <c r="W185" s="79" t="n">
        <v>0</v>
      </c>
      <c r="X185" s="79" t="s">
        <v>198</v>
      </c>
      <c r="Y185" s="64" t="n">
        <v>0.3</v>
      </c>
      <c r="Z185" s="64" t="n">
        <v>1</v>
      </c>
      <c r="AA185" s="79" t="s">
        <v>227</v>
      </c>
      <c r="AB185" s="79" t="s">
        <v>228</v>
      </c>
      <c r="AC185" s="79"/>
      <c r="AD185" s="79"/>
      <c r="AE185" s="79"/>
      <c r="AF185" s="79"/>
      <c r="AG185" s="79"/>
      <c r="AH185" s="79"/>
      <c r="AI185" s="79"/>
      <c r="AJ185" s="79"/>
      <c r="AK185" s="79" t="s">
        <v>229</v>
      </c>
      <c r="AL185" s="79"/>
      <c r="AM185" s="81"/>
      <c r="AN185" s="77"/>
    </row>
    <row r="186" customFormat="false" ht="16.5" hidden="false" customHeight="true" outlineLevel="0" collapsed="false">
      <c r="A186" s="77"/>
      <c r="B186" s="66" t="n">
        <f aca="false">IF($C186="","",COUNTA($C$5:C186))</f>
        <v>182</v>
      </c>
      <c r="C186" s="67" t="s">
        <v>1076</v>
      </c>
      <c r="D186" s="67" t="s">
        <v>317</v>
      </c>
      <c r="E186" s="67" t="s">
        <v>1075</v>
      </c>
      <c r="F186" s="67" t="s">
        <v>1075</v>
      </c>
      <c r="G186" s="67" t="s">
        <v>817</v>
      </c>
      <c r="H186" s="67" t="n">
        <v>2</v>
      </c>
      <c r="I186" s="67" t="s">
        <v>151</v>
      </c>
      <c r="J186" s="67" t="n">
        <v>0</v>
      </c>
      <c r="K186" s="67" t="n">
        <v>0</v>
      </c>
      <c r="L186" s="67" t="n">
        <f aca="false">IF($C186="","",ROUND($J186*0.17,0))</f>
        <v>0</v>
      </c>
      <c r="M186" s="67" t="n">
        <v>0</v>
      </c>
      <c r="N186" s="67" t="n">
        <v>0</v>
      </c>
      <c r="O186" s="67" t="n">
        <v>0</v>
      </c>
      <c r="P186" s="67" t="n">
        <v>0</v>
      </c>
      <c r="Q186" s="67" t="n">
        <v>0</v>
      </c>
      <c r="R186" s="67" t="n">
        <v>0</v>
      </c>
      <c r="S186" s="68" t="n">
        <f aca="false">IF($C186="","",ROUND($J186*2.2,0))</f>
        <v>0</v>
      </c>
      <c r="T186" s="67" t="n">
        <v>0</v>
      </c>
      <c r="U186" s="67" t="n">
        <v>0</v>
      </c>
      <c r="V186" s="67" t="n">
        <v>1200</v>
      </c>
      <c r="W186" s="67" t="n">
        <v>0</v>
      </c>
      <c r="X186" s="67" t="s">
        <v>178</v>
      </c>
      <c r="Y186" s="69" t="n">
        <v>0.3</v>
      </c>
      <c r="Z186" s="69" t="n">
        <v>1</v>
      </c>
      <c r="AA186" s="67" t="s">
        <v>1077</v>
      </c>
      <c r="AB186" s="67" t="s">
        <v>1078</v>
      </c>
      <c r="AC186" s="67"/>
      <c r="AD186" s="67" t="s">
        <v>1079</v>
      </c>
      <c r="AE186" s="67"/>
      <c r="AF186" s="67"/>
      <c r="AG186" s="67"/>
      <c r="AH186" s="67"/>
      <c r="AI186" s="67"/>
      <c r="AJ186" s="67"/>
      <c r="AK186" s="67" t="s">
        <v>1080</v>
      </c>
      <c r="AL186" s="67"/>
      <c r="AM186" s="81"/>
      <c r="AN186" s="77"/>
    </row>
    <row r="187" customFormat="false" ht="16.5" hidden="false" customHeight="true" outlineLevel="0" collapsed="false">
      <c r="A187" s="77"/>
      <c r="B187" s="55" t="n">
        <f aca="false">IF($C187="","",COUNTA($C$5:C187))</f>
        <v>183</v>
      </c>
      <c r="C187" s="56" t="s">
        <v>1081</v>
      </c>
      <c r="D187" s="56" t="s">
        <v>167</v>
      </c>
      <c r="E187" s="56" t="s">
        <v>1075</v>
      </c>
      <c r="F187" s="56" t="s">
        <v>1075</v>
      </c>
      <c r="G187" s="56" t="s">
        <v>170</v>
      </c>
      <c r="H187" s="56" t="n">
        <v>2</v>
      </c>
      <c r="I187" s="56" t="s">
        <v>219</v>
      </c>
      <c r="J187" s="57" t="n">
        <v>11000</v>
      </c>
      <c r="K187" s="57" t="n">
        <v>4600</v>
      </c>
      <c r="L187" s="57" t="n">
        <f aca="false">IF($C187="","",ROUND($J187*0.17,0))</f>
        <v>1870</v>
      </c>
      <c r="M187" s="57" t="n">
        <v>8600</v>
      </c>
      <c r="N187" s="57" t="n">
        <v>3500</v>
      </c>
      <c r="O187" s="57" t="n">
        <v>2200</v>
      </c>
      <c r="P187" s="57" t="n">
        <v>2200</v>
      </c>
      <c r="Q187" s="57" t="n">
        <v>15950</v>
      </c>
      <c r="R187" s="57" t="n">
        <v>7150</v>
      </c>
      <c r="S187" s="57" t="n">
        <f aca="false">IF($C187="","",ROUND($J187*2.2,0))</f>
        <v>24200</v>
      </c>
      <c r="T187" s="57" t="n">
        <v>3850</v>
      </c>
      <c r="U187" s="57" t="n">
        <v>3300</v>
      </c>
      <c r="V187" s="57" t="n">
        <v>2000</v>
      </c>
      <c r="W187" s="57" t="n">
        <v>2400</v>
      </c>
      <c r="X187" s="56" t="s">
        <v>178</v>
      </c>
      <c r="Y187" s="58" t="n">
        <v>0.15</v>
      </c>
      <c r="Z187" s="58" t="n">
        <v>1</v>
      </c>
      <c r="AA187" s="56" t="s">
        <v>1082</v>
      </c>
      <c r="AB187" s="56" t="s">
        <v>1083</v>
      </c>
      <c r="AC187" s="56" t="s">
        <v>1084</v>
      </c>
      <c r="AD187" s="56" t="s">
        <v>1085</v>
      </c>
      <c r="AE187" s="56" t="s">
        <v>1086</v>
      </c>
      <c r="AF187" s="56"/>
      <c r="AG187" s="56"/>
      <c r="AH187" s="56"/>
      <c r="AI187" s="56"/>
      <c r="AJ187" s="56"/>
      <c r="AK187" s="56" t="s">
        <v>1087</v>
      </c>
      <c r="AL187" s="56"/>
      <c r="AM187" s="81"/>
      <c r="AN187" s="77"/>
    </row>
    <row r="188" customFormat="false" ht="16.5" hidden="false" customHeight="true" outlineLevel="0" collapsed="false">
      <c r="A188" s="77"/>
      <c r="B188" s="72" t="n">
        <f aca="false">IF($C188="","",COUNTA($C$5:C188))</f>
        <v>184</v>
      </c>
      <c r="C188" s="73" t="s">
        <v>1088</v>
      </c>
      <c r="D188" s="73" t="s">
        <v>45</v>
      </c>
      <c r="E188" s="73" t="s">
        <v>1075</v>
      </c>
      <c r="F188" s="73" t="s">
        <v>1075</v>
      </c>
      <c r="G188" s="73" t="s">
        <v>1089</v>
      </c>
      <c r="H188" s="73" t="n">
        <v>4</v>
      </c>
      <c r="I188" s="73" t="s">
        <v>219</v>
      </c>
      <c r="J188" s="73" t="n">
        <v>20700</v>
      </c>
      <c r="K188" s="73" t="n">
        <v>8700</v>
      </c>
      <c r="L188" s="74" t="n">
        <f aca="false">IF($C188="","",ROUND($J188*0.17,0))</f>
        <v>3519</v>
      </c>
      <c r="M188" s="73" t="n">
        <v>16150</v>
      </c>
      <c r="N188" s="73" t="n">
        <v>6600</v>
      </c>
      <c r="O188" s="73" t="n">
        <v>4150</v>
      </c>
      <c r="P188" s="73" t="n">
        <v>0</v>
      </c>
      <c r="Q188" s="73" t="n">
        <v>30000</v>
      </c>
      <c r="R188" s="73" t="n">
        <v>13450</v>
      </c>
      <c r="S188" s="74" t="n">
        <f aca="false">IF($C188="","",ROUND($J188*2.2,0))</f>
        <v>45540</v>
      </c>
      <c r="T188" s="73" t="n">
        <v>7250</v>
      </c>
      <c r="U188" s="73" t="n">
        <v>6200</v>
      </c>
      <c r="V188" s="73" t="n">
        <v>3750</v>
      </c>
      <c r="W188" s="73" t="n">
        <v>0</v>
      </c>
      <c r="X188" s="73" t="s">
        <v>109</v>
      </c>
      <c r="Y188" s="75" t="n">
        <v>0.3</v>
      </c>
      <c r="Z188" s="75" t="n">
        <v>1</v>
      </c>
      <c r="AA188" s="73" t="s">
        <v>1090</v>
      </c>
      <c r="AB188" s="73" t="s">
        <v>1091</v>
      </c>
      <c r="AC188" s="73"/>
      <c r="AD188" s="73" t="s">
        <v>1092</v>
      </c>
      <c r="AE188" s="73" t="s">
        <v>1093</v>
      </c>
      <c r="AF188" s="73" t="s">
        <v>1094</v>
      </c>
      <c r="AG188" s="73"/>
      <c r="AH188" s="73"/>
      <c r="AI188" s="73"/>
      <c r="AJ188" s="73"/>
      <c r="AK188" s="76" t="n">
        <v>32152</v>
      </c>
      <c r="AL188" s="73"/>
      <c r="AM188" s="81"/>
      <c r="AN188" s="77"/>
    </row>
    <row r="189" customFormat="false" ht="16.5" hidden="false" customHeight="true" outlineLevel="0" collapsed="false">
      <c r="A189" s="77"/>
      <c r="B189" s="55" t="n">
        <f aca="false">IF($C189="","",COUNTA($C$5:C189))</f>
        <v>185</v>
      </c>
      <c r="C189" s="56" t="s">
        <v>1095</v>
      </c>
      <c r="D189" s="56" t="s">
        <v>167</v>
      </c>
      <c r="E189" s="56" t="s">
        <v>1075</v>
      </c>
      <c r="F189" s="56" t="s">
        <v>1075</v>
      </c>
      <c r="G189" s="56" t="s">
        <v>817</v>
      </c>
      <c r="H189" s="56" t="n">
        <v>2</v>
      </c>
      <c r="I189" s="56" t="s">
        <v>151</v>
      </c>
      <c r="J189" s="57" t="n">
        <v>11250</v>
      </c>
      <c r="K189" s="57" t="n">
        <v>4500</v>
      </c>
      <c r="L189" s="57" t="n">
        <f aca="false">IF($C189="","",ROUND($J189*0.17,0))</f>
        <v>1913</v>
      </c>
      <c r="M189" s="57" t="n">
        <v>8000</v>
      </c>
      <c r="N189" s="57" t="n">
        <v>3500</v>
      </c>
      <c r="O189" s="57" t="n">
        <v>2000</v>
      </c>
      <c r="P189" s="57" t="n">
        <v>2000</v>
      </c>
      <c r="Q189" s="57" t="n">
        <v>13500</v>
      </c>
      <c r="R189" s="57" t="n">
        <v>6075</v>
      </c>
      <c r="S189" s="57" t="n">
        <f aca="false">IF($C189="","",ROUND($J189*2.2,0))</f>
        <v>24750</v>
      </c>
      <c r="T189" s="57" t="n">
        <v>4638</v>
      </c>
      <c r="U189" s="57" t="n">
        <v>4063</v>
      </c>
      <c r="V189" s="57" t="n">
        <v>2438</v>
      </c>
      <c r="W189" s="57" t="n">
        <v>2400</v>
      </c>
      <c r="X189" s="56" t="s">
        <v>178</v>
      </c>
      <c r="Y189" s="58" t="n">
        <v>0.75</v>
      </c>
      <c r="Z189" s="58" t="n">
        <v>1</v>
      </c>
      <c r="AA189" s="56" t="s">
        <v>1096</v>
      </c>
      <c r="AB189" s="56" t="s">
        <v>1097</v>
      </c>
      <c r="AC189" s="56" t="s">
        <v>1098</v>
      </c>
      <c r="AD189" s="56" t="s">
        <v>1099</v>
      </c>
      <c r="AE189" s="56"/>
      <c r="AF189" s="56"/>
      <c r="AG189" s="56"/>
      <c r="AH189" s="56"/>
      <c r="AI189" s="56"/>
      <c r="AJ189" s="56"/>
      <c r="AK189" s="60" t="n">
        <v>36625</v>
      </c>
      <c r="AL189" s="56"/>
      <c r="AM189" s="81"/>
      <c r="AN189" s="77"/>
    </row>
    <row r="190" customFormat="false" ht="16.5" hidden="false" customHeight="true" outlineLevel="0" collapsed="false">
      <c r="A190" s="77"/>
      <c r="B190" s="66" t="n">
        <f aca="false">IF($C190="","",COUNTA($C$5:C190))</f>
        <v>186</v>
      </c>
      <c r="C190" s="67" t="s">
        <v>1100</v>
      </c>
      <c r="D190" s="67" t="s">
        <v>317</v>
      </c>
      <c r="E190" s="67" t="s">
        <v>168</v>
      </c>
      <c r="F190" s="67" t="s">
        <v>169</v>
      </c>
      <c r="G190" s="67" t="s">
        <v>170</v>
      </c>
      <c r="H190" s="67" t="n">
        <v>3</v>
      </c>
      <c r="I190" s="67" t="s">
        <v>151</v>
      </c>
      <c r="J190" s="67" t="n">
        <v>5700</v>
      </c>
      <c r="K190" s="67" t="n">
        <v>2400</v>
      </c>
      <c r="L190" s="68" t="n">
        <f aca="false">IF($C190="","",ROUND($J190*0.17,0))</f>
        <v>969</v>
      </c>
      <c r="M190" s="67" t="n">
        <v>4450</v>
      </c>
      <c r="N190" s="67" t="n">
        <v>1850</v>
      </c>
      <c r="O190" s="67" t="n">
        <v>1150</v>
      </c>
      <c r="P190" s="67" t="n">
        <v>0</v>
      </c>
      <c r="Q190" s="67" t="n">
        <v>8300</v>
      </c>
      <c r="R190" s="67" t="n">
        <v>3700</v>
      </c>
      <c r="S190" s="68" t="n">
        <f aca="false">IF($C190="","",ROUND($J190*2.2,0))</f>
        <v>12540</v>
      </c>
      <c r="T190" s="67" t="n">
        <v>2000</v>
      </c>
      <c r="U190" s="67" t="n">
        <v>1700</v>
      </c>
      <c r="V190" s="67" t="n">
        <v>1050</v>
      </c>
      <c r="W190" s="67" t="n">
        <v>0</v>
      </c>
      <c r="X190" s="67" t="s">
        <v>123</v>
      </c>
      <c r="Y190" s="69" t="n">
        <v>0.3</v>
      </c>
      <c r="Z190" s="69" t="n">
        <v>1</v>
      </c>
      <c r="AA190" s="67" t="s">
        <v>1101</v>
      </c>
      <c r="AB190" s="67" t="s">
        <v>1102</v>
      </c>
      <c r="AC190" s="67" t="s">
        <v>1103</v>
      </c>
      <c r="AD190" s="67" t="s">
        <v>1104</v>
      </c>
      <c r="AE190" s="67"/>
      <c r="AF190" s="67"/>
      <c r="AG190" s="67"/>
      <c r="AH190" s="67"/>
      <c r="AI190" s="67"/>
      <c r="AJ190" s="67"/>
      <c r="AK190" s="70" t="n">
        <v>33790</v>
      </c>
      <c r="AL190" s="67" t="s">
        <v>1105</v>
      </c>
      <c r="AM190" s="81"/>
      <c r="AN190" s="77"/>
    </row>
    <row r="191" customFormat="false" ht="15.75" hidden="false" customHeight="true" outlineLevel="0" collapsed="false">
      <c r="A191" s="48"/>
      <c r="B191" s="82" t="n">
        <f aca="false">IF($C191="","",COUNTA($C$5:C191))</f>
        <v>187</v>
      </c>
      <c r="C191" s="83" t="s">
        <v>1106</v>
      </c>
      <c r="D191" s="83" t="s">
        <v>167</v>
      </c>
      <c r="E191" s="83" t="s">
        <v>1075</v>
      </c>
      <c r="F191" s="83" t="s">
        <v>1075</v>
      </c>
      <c r="G191" s="83" t="s">
        <v>170</v>
      </c>
      <c r="H191" s="83" t="n">
        <v>2</v>
      </c>
      <c r="I191" s="83" t="s">
        <v>151</v>
      </c>
      <c r="J191" s="83" t="n">
        <v>5700</v>
      </c>
      <c r="K191" s="83" t="n">
        <v>8500</v>
      </c>
      <c r="L191" s="84" t="n">
        <f aca="false">IF($C191="","",ROUND($J191*0.17,0))</f>
        <v>969</v>
      </c>
      <c r="M191" s="83" t="n">
        <v>3500</v>
      </c>
      <c r="N191" s="83" t="n">
        <v>2100</v>
      </c>
      <c r="O191" s="83" t="n">
        <v>13500</v>
      </c>
      <c r="P191" s="83" t="n">
        <v>13500</v>
      </c>
      <c r="Q191" s="83" t="n">
        <v>6300</v>
      </c>
      <c r="R191" s="84" t="n">
        <v>3700</v>
      </c>
      <c r="S191" s="84" t="n">
        <f aca="false">IF($C191="","",ROUND($J191*2.2,0))</f>
        <v>12540</v>
      </c>
      <c r="T191" s="83" t="n">
        <v>18000</v>
      </c>
      <c r="U191" s="83" t="n">
        <v>1710</v>
      </c>
      <c r="V191" s="83" t="n">
        <v>3420</v>
      </c>
      <c r="W191" s="83" t="n">
        <v>1282</v>
      </c>
      <c r="X191" s="83"/>
      <c r="Y191" s="58" t="n">
        <v>0.75</v>
      </c>
      <c r="Z191" s="58" t="n">
        <v>1</v>
      </c>
      <c r="AA191" s="83"/>
      <c r="AB191" s="83"/>
      <c r="AC191" s="83"/>
      <c r="AD191" s="83"/>
      <c r="AE191" s="83"/>
      <c r="AF191" s="83"/>
      <c r="AG191" s="83"/>
      <c r="AH191" s="83"/>
      <c r="AI191" s="83"/>
      <c r="AJ191" s="83"/>
      <c r="AK191" s="83"/>
      <c r="AL191" s="83"/>
      <c r="AM191" s="85"/>
      <c r="AN191" s="48"/>
    </row>
    <row r="192" customFormat="false" ht="15.75" hidden="false" customHeight="true" outlineLevel="0" collapsed="false">
      <c r="A192" s="77"/>
      <c r="B192" s="66" t="n">
        <f aca="false">IF($C192="","",COUNTA($C$5:C192))</f>
        <v>188</v>
      </c>
      <c r="C192" s="67" t="s">
        <v>1107</v>
      </c>
      <c r="D192" s="67" t="s">
        <v>311</v>
      </c>
      <c r="E192" s="67" t="s">
        <v>168</v>
      </c>
      <c r="F192" s="67" t="s">
        <v>169</v>
      </c>
      <c r="G192" s="67" t="s">
        <v>96</v>
      </c>
      <c r="H192" s="67" t="n">
        <v>1</v>
      </c>
      <c r="I192" s="67" t="s">
        <v>151</v>
      </c>
      <c r="J192" s="67" t="n">
        <v>0</v>
      </c>
      <c r="K192" s="67" t="n">
        <v>0</v>
      </c>
      <c r="L192" s="68" t="n">
        <f aca="false">IF($C192="","",ROUND($J192*0.17,0))</f>
        <v>0</v>
      </c>
      <c r="M192" s="67" t="n">
        <v>0</v>
      </c>
      <c r="N192" s="67" t="n">
        <v>0</v>
      </c>
      <c r="O192" s="67" t="n">
        <v>0</v>
      </c>
      <c r="P192" s="67" t="n">
        <v>0</v>
      </c>
      <c r="Q192" s="67" t="n">
        <v>0</v>
      </c>
      <c r="R192" s="67" t="n">
        <v>0</v>
      </c>
      <c r="S192" s="68" t="n">
        <f aca="false">IF($C192="","",ROUND($J192*2.2,0))</f>
        <v>0</v>
      </c>
      <c r="T192" s="67" t="n">
        <v>0</v>
      </c>
      <c r="U192" s="67" t="n">
        <v>0</v>
      </c>
      <c r="V192" s="67" t="n">
        <v>1200</v>
      </c>
      <c r="W192" s="67" t="n">
        <v>0</v>
      </c>
      <c r="X192" s="67" t="s">
        <v>198</v>
      </c>
      <c r="Y192" s="69" t="n">
        <v>0.3</v>
      </c>
      <c r="Z192" s="69" t="n">
        <v>1</v>
      </c>
      <c r="AA192" s="67" t="s">
        <v>1108</v>
      </c>
      <c r="AB192" s="67" t="s">
        <v>1109</v>
      </c>
      <c r="AC192" s="67"/>
      <c r="AD192" s="67"/>
      <c r="AE192" s="67"/>
      <c r="AF192" s="67"/>
      <c r="AG192" s="67"/>
      <c r="AH192" s="67"/>
      <c r="AI192" s="67"/>
      <c r="AJ192" s="67"/>
      <c r="AK192" s="67" t="s">
        <v>1110</v>
      </c>
      <c r="AL192" s="67" t="s">
        <v>1111</v>
      </c>
      <c r="AM192" s="86"/>
      <c r="AN192" s="77"/>
    </row>
    <row r="193" customFormat="false" ht="15.75" hidden="false" customHeight="true" outlineLevel="0" collapsed="false">
      <c r="A193" s="77"/>
      <c r="B193" s="72" t="n">
        <f aca="false">IF($C193="","",COUNTA($C$5:C193))</f>
        <v>189</v>
      </c>
      <c r="C193" s="73" t="s">
        <v>1112</v>
      </c>
      <c r="D193" s="73" t="s">
        <v>45</v>
      </c>
      <c r="E193" s="73" t="s">
        <v>168</v>
      </c>
      <c r="F193" s="73" t="s">
        <v>169</v>
      </c>
      <c r="G193" s="73" t="s">
        <v>1113</v>
      </c>
      <c r="H193" s="73" t="n">
        <v>1</v>
      </c>
      <c r="I193" s="73" t="s">
        <v>151</v>
      </c>
      <c r="J193" s="73" t="n">
        <v>0</v>
      </c>
      <c r="K193" s="73" t="n">
        <v>0</v>
      </c>
      <c r="L193" s="73" t="n">
        <f aca="false">IF($C193="","",ROUND($J193*0.17,0))</f>
        <v>0</v>
      </c>
      <c r="M193" s="73" t="n">
        <v>0</v>
      </c>
      <c r="N193" s="73" t="n">
        <v>0</v>
      </c>
      <c r="O193" s="73" t="n">
        <v>0</v>
      </c>
      <c r="P193" s="73" t="n">
        <v>0</v>
      </c>
      <c r="Q193" s="73" t="n">
        <v>0</v>
      </c>
      <c r="R193" s="73" t="n">
        <v>0</v>
      </c>
      <c r="S193" s="74" t="n">
        <f aca="false">IF($C193="","",ROUND($J193*2.2,0))</f>
        <v>0</v>
      </c>
      <c r="T193" s="73" t="n">
        <v>0</v>
      </c>
      <c r="U193" s="73" t="n">
        <v>0</v>
      </c>
      <c r="V193" s="73" t="n">
        <v>1200</v>
      </c>
      <c r="W193" s="73" t="n">
        <v>0</v>
      </c>
      <c r="X193" s="73" t="s">
        <v>198</v>
      </c>
      <c r="Y193" s="75" t="n">
        <v>0.3</v>
      </c>
      <c r="Z193" s="75" t="n">
        <v>1</v>
      </c>
      <c r="AA193" s="73" t="s">
        <v>1114</v>
      </c>
      <c r="AB193" s="73" t="s">
        <v>1115</v>
      </c>
      <c r="AC193" s="73"/>
      <c r="AD193" s="73"/>
      <c r="AE193" s="73"/>
      <c r="AF193" s="73"/>
      <c r="AG193" s="73"/>
      <c r="AH193" s="73"/>
      <c r="AI193" s="73"/>
      <c r="AJ193" s="73"/>
      <c r="AK193" s="73" t="s">
        <v>1116</v>
      </c>
      <c r="AL193" s="73"/>
      <c r="AM193" s="86"/>
      <c r="AN193" s="77"/>
    </row>
    <row r="194" customFormat="false" ht="15.75" hidden="false" customHeight="true" outlineLevel="0" collapsed="false">
      <c r="A194" s="25"/>
      <c r="B194" s="25" t="str">
        <f aca="false">IF($C194="","",COUNTA($C$5:C194))</f>
        <v/>
      </c>
      <c r="C194" s="25"/>
      <c r="D194" s="25"/>
      <c r="E194" s="25"/>
      <c r="F194" s="25"/>
      <c r="G194" s="25"/>
      <c r="H194" s="25"/>
      <c r="I194" s="25"/>
      <c r="J194" s="25"/>
      <c r="K194" s="25"/>
      <c r="L194" s="87" t="str">
        <f aca="false">IF($C194="","",ROUND($J194*0.17,0))</f>
        <v/>
      </c>
      <c r="M194" s="25"/>
      <c r="N194" s="25"/>
      <c r="O194" s="25"/>
      <c r="P194" s="25"/>
      <c r="Q194" s="25"/>
      <c r="R194" s="25"/>
      <c r="S194" s="25" t="str">
        <f aca="false">IF($C194="","",ROUND($J194*2.2,0))</f>
        <v/>
      </c>
      <c r="T194" s="25"/>
      <c r="U194" s="25"/>
      <c r="V194" s="25"/>
      <c r="W194" s="25"/>
      <c r="X194" s="25"/>
      <c r="Y194" s="88"/>
      <c r="Z194" s="88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</row>
    <row r="195" customFormat="false" ht="15.75" hidden="false" customHeight="true" outlineLevel="0" collapsed="false">
      <c r="A195" s="25"/>
      <c r="B195" s="25" t="str">
        <f aca="false">IF($C195="","",COUNTA($C$5:C195))</f>
        <v/>
      </c>
      <c r="C195" s="25"/>
      <c r="D195" s="25"/>
      <c r="E195" s="25"/>
      <c r="F195" s="25"/>
      <c r="G195" s="25"/>
      <c r="H195" s="25"/>
      <c r="I195" s="25"/>
      <c r="J195" s="25"/>
      <c r="K195" s="25"/>
      <c r="L195" s="25" t="str">
        <f aca="false">IF($C195="","",ROUND($J195*0.17,0))</f>
        <v/>
      </c>
      <c r="M195" s="25"/>
      <c r="N195" s="25"/>
      <c r="O195" s="25"/>
      <c r="P195" s="25"/>
      <c r="Q195" s="25"/>
      <c r="R195" s="25"/>
      <c r="S195" s="25" t="str">
        <f aca="false">IF($C195="","",ROUND($J195*2.2,0))</f>
        <v/>
      </c>
      <c r="T195" s="25"/>
      <c r="U195" s="25"/>
      <c r="V195" s="25"/>
      <c r="W195" s="25"/>
      <c r="X195" s="25"/>
      <c r="Y195" s="88"/>
      <c r="Z195" s="88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</row>
    <row r="196" customFormat="false" ht="15.75" hidden="false" customHeight="true" outlineLevel="0" collapsed="false">
      <c r="A196" s="25"/>
      <c r="B196" s="25" t="str">
        <f aca="false">IF($C196="","",COUNTA($C$5:C196))</f>
        <v/>
      </c>
      <c r="C196" s="25"/>
      <c r="D196" s="25"/>
      <c r="E196" s="25"/>
      <c r="F196" s="25"/>
      <c r="G196" s="25"/>
      <c r="H196" s="25"/>
      <c r="I196" s="25"/>
      <c r="J196" s="25"/>
      <c r="K196" s="25"/>
      <c r="L196" s="25" t="str">
        <f aca="false">IF($C196="","",ROUND($J196*0.17,0))</f>
        <v/>
      </c>
      <c r="M196" s="25"/>
      <c r="N196" s="25"/>
      <c r="O196" s="25"/>
      <c r="P196" s="25"/>
      <c r="Q196" s="25"/>
      <c r="R196" s="25"/>
      <c r="S196" s="25" t="str">
        <f aca="false">IF($C196="","",ROUND($J196*2.2,0))</f>
        <v/>
      </c>
      <c r="T196" s="25"/>
      <c r="U196" s="25"/>
      <c r="V196" s="25"/>
      <c r="W196" s="25"/>
      <c r="X196" s="25"/>
      <c r="Y196" s="88"/>
      <c r="Z196" s="88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</row>
    <row r="197" customFormat="false" ht="15.75" hidden="false" customHeight="true" outlineLevel="0" collapsed="false">
      <c r="A197" s="25"/>
      <c r="B197" s="25" t="str">
        <f aca="false">IF($C197="","",COUNTA($C$5:C197))</f>
        <v/>
      </c>
      <c r="C197" s="25"/>
      <c r="D197" s="25"/>
      <c r="E197" s="25"/>
      <c r="F197" s="25"/>
      <c r="G197" s="25"/>
      <c r="H197" s="25"/>
      <c r="I197" s="25"/>
      <c r="J197" s="25"/>
      <c r="K197" s="25"/>
      <c r="L197" s="25" t="str">
        <f aca="false">IF($C197="","",ROUND($J197*0.17,0))</f>
        <v/>
      </c>
      <c r="M197" s="25"/>
      <c r="N197" s="25"/>
      <c r="O197" s="25"/>
      <c r="P197" s="25"/>
      <c r="Q197" s="25"/>
      <c r="R197" s="25"/>
      <c r="S197" s="25" t="str">
        <f aca="false">IF($C197="","",ROUND($J197*2.2,0))</f>
        <v/>
      </c>
      <c r="T197" s="25"/>
      <c r="U197" s="25"/>
      <c r="V197" s="25"/>
      <c r="W197" s="25"/>
      <c r="X197" s="25"/>
      <c r="Y197" s="88"/>
      <c r="Z197" s="88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</row>
    <row r="198" customFormat="false" ht="15.75" hidden="false" customHeight="true" outlineLevel="0" collapsed="false">
      <c r="A198" s="25"/>
      <c r="B198" s="25" t="str">
        <f aca="false">IF($C198="","",COUNTA($C$5:C198))</f>
        <v/>
      </c>
      <c r="C198" s="25"/>
      <c r="D198" s="25"/>
      <c r="E198" s="25"/>
      <c r="F198" s="25"/>
      <c r="G198" s="25"/>
      <c r="H198" s="25"/>
      <c r="I198" s="25"/>
      <c r="J198" s="25"/>
      <c r="K198" s="25"/>
      <c r="L198" s="25" t="str">
        <f aca="false">IF($C198="","",ROUND($J198*0.17,0))</f>
        <v/>
      </c>
      <c r="M198" s="25"/>
      <c r="N198" s="25"/>
      <c r="O198" s="25"/>
      <c r="P198" s="25"/>
      <c r="Q198" s="25"/>
      <c r="R198" s="25"/>
      <c r="S198" s="25" t="str">
        <f aca="false">IF($C198="","",ROUND($J198*2.2,0))</f>
        <v/>
      </c>
      <c r="T198" s="25"/>
      <c r="U198" s="25"/>
      <c r="V198" s="25"/>
      <c r="W198" s="25"/>
      <c r="X198" s="25"/>
      <c r="Y198" s="88"/>
      <c r="Z198" s="88"/>
      <c r="AA198" s="25"/>
      <c r="AB198" s="25"/>
      <c r="AC198" s="25"/>
      <c r="AD198" s="25"/>
      <c r="AE198" s="25"/>
      <c r="AF198" s="25"/>
      <c r="AG198" s="25"/>
      <c r="AH198" s="25"/>
      <c r="AI198" s="25"/>
      <c r="AJ198" s="25"/>
      <c r="AK198" s="25"/>
      <c r="AL198" s="25"/>
      <c r="AM198" s="25"/>
      <c r="AN198" s="25"/>
    </row>
    <row r="199" customFormat="false" ht="15.75" hidden="false" customHeight="true" outlineLevel="0" collapsed="false">
      <c r="A199" s="25"/>
      <c r="B199" s="25" t="str">
        <f aca="false">IF($C199="","",COUNTA($C$5:C199))</f>
        <v/>
      </c>
      <c r="C199" s="25"/>
      <c r="D199" s="25"/>
      <c r="E199" s="25"/>
      <c r="F199" s="25"/>
      <c r="G199" s="25"/>
      <c r="H199" s="25"/>
      <c r="I199" s="25"/>
      <c r="J199" s="25"/>
      <c r="K199" s="25"/>
      <c r="L199" s="25" t="str">
        <f aca="false">IF($C199="","",ROUND($J199*0.17,0))</f>
        <v/>
      </c>
      <c r="M199" s="25"/>
      <c r="N199" s="25"/>
      <c r="O199" s="25"/>
      <c r="P199" s="25"/>
      <c r="Q199" s="25"/>
      <c r="R199" s="25"/>
      <c r="S199" s="25" t="str">
        <f aca="false">IF($C199="","",ROUND($J199*2.2,0))</f>
        <v/>
      </c>
      <c r="T199" s="25"/>
      <c r="U199" s="25"/>
      <c r="V199" s="25"/>
      <c r="W199" s="25"/>
      <c r="X199" s="25"/>
      <c r="Y199" s="88"/>
      <c r="Z199" s="88"/>
      <c r="AA199" s="25"/>
      <c r="AB199" s="25"/>
      <c r="AC199" s="25"/>
      <c r="AD199" s="25"/>
      <c r="AE199" s="25"/>
      <c r="AF199" s="25"/>
      <c r="AG199" s="25"/>
      <c r="AH199" s="25"/>
      <c r="AI199" s="25"/>
      <c r="AJ199" s="25"/>
      <c r="AK199" s="25"/>
      <c r="AL199" s="25"/>
      <c r="AM199" s="25"/>
      <c r="AN199" s="25"/>
    </row>
    <row r="200" customFormat="false" ht="15.75" hidden="false" customHeight="true" outlineLevel="0" collapsed="false">
      <c r="A200" s="25"/>
      <c r="B200" s="25" t="str">
        <f aca="false">IF($C200="","",COUNTA($C$5:C200))</f>
        <v/>
      </c>
      <c r="C200" s="25"/>
      <c r="D200" s="25"/>
      <c r="E200" s="25"/>
      <c r="F200" s="25"/>
      <c r="G200" s="25"/>
      <c r="H200" s="25"/>
      <c r="I200" s="25"/>
      <c r="J200" s="25"/>
      <c r="K200" s="25"/>
      <c r="L200" s="25" t="str">
        <f aca="false">IF($C200="","",ROUND($J200*0.17,0))</f>
        <v/>
      </c>
      <c r="M200" s="25"/>
      <c r="N200" s="25"/>
      <c r="O200" s="25"/>
      <c r="P200" s="25"/>
      <c r="Q200" s="25"/>
      <c r="R200" s="25"/>
      <c r="S200" s="25" t="str">
        <f aca="false">IF($C200="","",ROUND($J200*2.2,0))</f>
        <v/>
      </c>
      <c r="T200" s="25"/>
      <c r="U200" s="25"/>
      <c r="V200" s="25"/>
      <c r="W200" s="25"/>
      <c r="X200" s="25"/>
      <c r="Y200" s="88"/>
      <c r="Z200" s="88"/>
      <c r="AA200" s="25"/>
      <c r="AB200" s="25"/>
      <c r="AC200" s="25"/>
      <c r="AD200" s="25"/>
      <c r="AE200" s="25"/>
      <c r="AF200" s="25"/>
      <c r="AG200" s="25"/>
      <c r="AH200" s="25"/>
      <c r="AI200" s="25"/>
      <c r="AJ200" s="25"/>
      <c r="AK200" s="25"/>
      <c r="AL200" s="25"/>
      <c r="AM200" s="25"/>
      <c r="AN200" s="25"/>
    </row>
    <row r="201" customFormat="false" ht="15.75" hidden="false" customHeight="true" outlineLevel="0" collapsed="false">
      <c r="A201" s="25"/>
      <c r="B201" s="25" t="str">
        <f aca="false">IF($C201="","",COUNTA($C$5:C201))</f>
        <v/>
      </c>
      <c r="C201" s="25"/>
      <c r="D201" s="25"/>
      <c r="E201" s="25"/>
      <c r="F201" s="25"/>
      <c r="G201" s="25"/>
      <c r="H201" s="25"/>
      <c r="I201" s="25"/>
      <c r="J201" s="25"/>
      <c r="K201" s="25"/>
      <c r="L201" s="25" t="str">
        <f aca="false">IF($C201="","",ROUND($J201*0.17,0))</f>
        <v/>
      </c>
      <c r="M201" s="25"/>
      <c r="N201" s="25"/>
      <c r="O201" s="25"/>
      <c r="P201" s="25"/>
      <c r="Q201" s="25"/>
      <c r="R201" s="25"/>
      <c r="S201" s="25" t="str">
        <f aca="false">IF($C201="","",ROUND($J201*2.2,0))</f>
        <v/>
      </c>
      <c r="T201" s="25"/>
      <c r="U201" s="25"/>
      <c r="V201" s="25"/>
      <c r="W201" s="25"/>
      <c r="X201" s="25"/>
      <c r="Y201" s="88"/>
      <c r="Z201" s="88"/>
      <c r="AA201" s="25"/>
      <c r="AB201" s="25"/>
      <c r="AC201" s="25"/>
      <c r="AD201" s="25"/>
      <c r="AE201" s="25"/>
      <c r="AF201" s="25"/>
      <c r="AG201" s="25"/>
      <c r="AH201" s="25"/>
      <c r="AI201" s="25"/>
      <c r="AJ201" s="25"/>
      <c r="AK201" s="25"/>
      <c r="AL201" s="25"/>
      <c r="AM201" s="25"/>
      <c r="AN201" s="25"/>
    </row>
    <row r="202" customFormat="false" ht="15.75" hidden="false" customHeight="true" outlineLevel="0" collapsed="false">
      <c r="A202" s="25"/>
      <c r="B202" s="25" t="str">
        <f aca="false">IF($C202="","",COUNTA($C$5:C202))</f>
        <v/>
      </c>
      <c r="C202" s="25"/>
      <c r="D202" s="25"/>
      <c r="E202" s="25"/>
      <c r="F202" s="25"/>
      <c r="G202" s="25"/>
      <c r="H202" s="25"/>
      <c r="I202" s="25"/>
      <c r="J202" s="25"/>
      <c r="K202" s="25"/>
      <c r="L202" s="25" t="str">
        <f aca="false">IF($C202="","",ROUND($J202*0.17,0))</f>
        <v/>
      </c>
      <c r="M202" s="25"/>
      <c r="N202" s="25"/>
      <c r="O202" s="25"/>
      <c r="P202" s="25"/>
      <c r="Q202" s="25"/>
      <c r="R202" s="25"/>
      <c r="S202" s="25" t="str">
        <f aca="false">IF($C202="","",ROUND($J202*2.2,0))</f>
        <v/>
      </c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  <c r="AF202" s="25"/>
      <c r="AG202" s="25"/>
      <c r="AH202" s="25"/>
      <c r="AI202" s="25"/>
      <c r="AJ202" s="25"/>
      <c r="AK202" s="25"/>
      <c r="AL202" s="25"/>
      <c r="AM202" s="25"/>
      <c r="AN202" s="25"/>
    </row>
    <row r="203" customFormat="false" ht="15.75" hidden="false" customHeight="true" outlineLevel="0" collapsed="false">
      <c r="A203" s="25"/>
      <c r="B203" s="25" t="str">
        <f aca="false">IF($C203="","",COUNTA($C$5:C203))</f>
        <v/>
      </c>
      <c r="C203" s="25"/>
      <c r="D203" s="25"/>
      <c r="E203" s="25"/>
      <c r="F203" s="25"/>
      <c r="G203" s="25"/>
      <c r="H203" s="25"/>
      <c r="I203" s="25"/>
      <c r="J203" s="25"/>
      <c r="K203" s="25"/>
      <c r="L203" s="25" t="str">
        <f aca="false">IF($C203="","",ROUND($J203*0.17,0))</f>
        <v/>
      </c>
      <c r="M203" s="25"/>
      <c r="N203" s="25"/>
      <c r="O203" s="25"/>
      <c r="P203" s="25"/>
      <c r="Q203" s="25"/>
      <c r="R203" s="25"/>
      <c r="S203" s="25" t="str">
        <f aca="false">IF($C203="","",ROUND($J203*2.2,0))</f>
        <v/>
      </c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  <c r="AF203" s="25"/>
      <c r="AG203" s="25"/>
      <c r="AH203" s="25"/>
      <c r="AI203" s="25"/>
      <c r="AJ203" s="25"/>
      <c r="AK203" s="25"/>
      <c r="AL203" s="25"/>
      <c r="AM203" s="25"/>
      <c r="AN203" s="25"/>
    </row>
    <row r="204" customFormat="false" ht="15.75" hidden="false" customHeight="true" outlineLevel="0" collapsed="false">
      <c r="A204" s="25"/>
      <c r="B204" s="25" t="str">
        <f aca="false">IF($C204="","",COUNTA($C$5:C204))</f>
        <v/>
      </c>
      <c r="C204" s="25"/>
      <c r="D204" s="25"/>
      <c r="E204" s="25"/>
      <c r="F204" s="25"/>
      <c r="G204" s="25"/>
      <c r="H204" s="25"/>
      <c r="I204" s="25"/>
      <c r="J204" s="25"/>
      <c r="K204" s="25"/>
      <c r="L204" s="25" t="str">
        <f aca="false">IF($C204="","",ROUND($J204*0.17,0))</f>
        <v/>
      </c>
      <c r="M204" s="25"/>
      <c r="N204" s="25"/>
      <c r="O204" s="25"/>
      <c r="P204" s="25"/>
      <c r="Q204" s="25"/>
      <c r="R204" s="25"/>
      <c r="S204" s="25" t="str">
        <f aca="false">IF($C204="","",ROUND($J204*2.2,0))</f>
        <v/>
      </c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  <c r="AF204" s="25"/>
      <c r="AG204" s="25"/>
      <c r="AH204" s="25"/>
      <c r="AI204" s="25"/>
      <c r="AJ204" s="25"/>
      <c r="AK204" s="25"/>
      <c r="AL204" s="25"/>
      <c r="AM204" s="25"/>
      <c r="AN204" s="25"/>
    </row>
    <row r="205" customFormat="false" ht="15.75" hidden="false" customHeight="true" outlineLevel="0" collapsed="false">
      <c r="A205" s="25"/>
      <c r="B205" s="25" t="str">
        <f aca="false">IF($C205="","",COUNTA($C$5:C205))</f>
        <v/>
      </c>
      <c r="C205" s="25"/>
      <c r="D205" s="25"/>
      <c r="E205" s="25"/>
      <c r="F205" s="25"/>
      <c r="G205" s="25"/>
      <c r="H205" s="25"/>
      <c r="I205" s="25"/>
      <c r="J205" s="25"/>
      <c r="K205" s="25"/>
      <c r="L205" s="25" t="str">
        <f aca="false">IF($C205="","",ROUND($J205*0.17,0))</f>
        <v/>
      </c>
      <c r="M205" s="25"/>
      <c r="N205" s="25"/>
      <c r="O205" s="25"/>
      <c r="P205" s="25"/>
      <c r="Q205" s="25"/>
      <c r="R205" s="25"/>
      <c r="S205" s="25" t="str">
        <f aca="false">IF($C205="","",ROUND($J205*2.2,0))</f>
        <v/>
      </c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  <c r="AF205" s="25"/>
      <c r="AG205" s="25"/>
      <c r="AH205" s="25"/>
      <c r="AI205" s="25"/>
      <c r="AJ205" s="25"/>
      <c r="AK205" s="25"/>
      <c r="AL205" s="25"/>
      <c r="AM205" s="25"/>
      <c r="AN205" s="25"/>
    </row>
    <row r="206" customFormat="false" ht="15.75" hidden="false" customHeight="true" outlineLevel="0" collapsed="false">
      <c r="A206" s="25"/>
      <c r="B206" s="25" t="str">
        <f aca="false">IF($C206="","",COUNTA($C$5:C206))</f>
        <v/>
      </c>
      <c r="C206" s="25"/>
      <c r="D206" s="25"/>
      <c r="E206" s="25"/>
      <c r="F206" s="25"/>
      <c r="G206" s="25"/>
      <c r="H206" s="25"/>
      <c r="I206" s="25"/>
      <c r="J206" s="25"/>
      <c r="K206" s="25"/>
      <c r="L206" s="25" t="str">
        <f aca="false">IF($C206="","",ROUND($J206*0.17,0))</f>
        <v/>
      </c>
      <c r="M206" s="25"/>
      <c r="N206" s="25"/>
      <c r="O206" s="25"/>
      <c r="P206" s="25"/>
      <c r="Q206" s="25"/>
      <c r="R206" s="25"/>
      <c r="S206" s="25" t="str">
        <f aca="false">IF($C206="","",ROUND($J206*2.2,0))</f>
        <v/>
      </c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  <c r="AF206" s="25"/>
      <c r="AG206" s="25"/>
      <c r="AH206" s="25"/>
      <c r="AI206" s="25"/>
      <c r="AJ206" s="25"/>
      <c r="AK206" s="25"/>
      <c r="AL206" s="25"/>
      <c r="AM206" s="25"/>
      <c r="AN206" s="25"/>
    </row>
    <row r="207" customFormat="false" ht="15.75" hidden="false" customHeight="true" outlineLevel="0" collapsed="false">
      <c r="A207" s="25"/>
      <c r="B207" s="25" t="str">
        <f aca="false">IF($C207="","",COUNTA($C$5:C207))</f>
        <v/>
      </c>
      <c r="C207" s="25"/>
      <c r="D207" s="25"/>
      <c r="E207" s="25"/>
      <c r="F207" s="25"/>
      <c r="G207" s="25"/>
      <c r="H207" s="25"/>
      <c r="I207" s="25"/>
      <c r="J207" s="25"/>
      <c r="K207" s="25"/>
      <c r="L207" s="25" t="str">
        <f aca="false">IF($C207="","",ROUND($J207*0.17,0))</f>
        <v/>
      </c>
      <c r="M207" s="25"/>
      <c r="N207" s="25"/>
      <c r="O207" s="25"/>
      <c r="P207" s="25"/>
      <c r="Q207" s="25"/>
      <c r="R207" s="25"/>
      <c r="S207" s="25" t="str">
        <f aca="false">IF($C207="","",ROUND($J207*2.2,0))</f>
        <v/>
      </c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  <c r="AF207" s="25"/>
      <c r="AG207" s="25"/>
      <c r="AH207" s="25"/>
      <c r="AI207" s="25"/>
      <c r="AJ207" s="25"/>
      <c r="AK207" s="25"/>
      <c r="AL207" s="25"/>
      <c r="AM207" s="25"/>
      <c r="AN207" s="25"/>
    </row>
    <row r="208" customFormat="false" ht="15.75" hidden="false" customHeight="true" outlineLevel="0" collapsed="false">
      <c r="A208" s="25"/>
      <c r="B208" s="25" t="str">
        <f aca="false">IF($C208="","",COUNTA($C$5:C208))</f>
        <v/>
      </c>
      <c r="C208" s="25"/>
      <c r="D208" s="25"/>
      <c r="E208" s="25"/>
      <c r="F208" s="25"/>
      <c r="G208" s="25"/>
      <c r="H208" s="25"/>
      <c r="I208" s="25"/>
      <c r="J208" s="25"/>
      <c r="K208" s="25"/>
      <c r="L208" s="25" t="str">
        <f aca="false">IF($C208="","",ROUND($J208*0.17,0))</f>
        <v/>
      </c>
      <c r="M208" s="25"/>
      <c r="N208" s="25"/>
      <c r="O208" s="25"/>
      <c r="P208" s="25"/>
      <c r="Q208" s="25"/>
      <c r="R208" s="25"/>
      <c r="S208" s="25" t="str">
        <f aca="false">IF($C208="","",ROUND($J208*2.2,0))</f>
        <v/>
      </c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  <c r="AF208" s="25"/>
      <c r="AG208" s="25"/>
      <c r="AH208" s="25"/>
      <c r="AI208" s="25"/>
      <c r="AJ208" s="25"/>
      <c r="AK208" s="25"/>
      <c r="AL208" s="25"/>
      <c r="AM208" s="25"/>
      <c r="AN208" s="25"/>
    </row>
    <row r="209" customFormat="false" ht="15.75" hidden="false" customHeight="true" outlineLevel="0" collapsed="false">
      <c r="A209" s="25"/>
      <c r="B209" s="25" t="str">
        <f aca="false">IF($C209="","",COUNTA($C$5:C209))</f>
        <v/>
      </c>
      <c r="C209" s="25"/>
      <c r="D209" s="25"/>
      <c r="E209" s="25"/>
      <c r="F209" s="25"/>
      <c r="G209" s="25"/>
      <c r="H209" s="25"/>
      <c r="I209" s="25"/>
      <c r="J209" s="25"/>
      <c r="K209" s="25"/>
      <c r="L209" s="25" t="str">
        <f aca="false">IF($C209="","",ROUND($J209*0.17,0))</f>
        <v/>
      </c>
      <c r="M209" s="25"/>
      <c r="N209" s="25"/>
      <c r="O209" s="25"/>
      <c r="P209" s="25"/>
      <c r="Q209" s="25"/>
      <c r="R209" s="25"/>
      <c r="S209" s="25" t="str">
        <f aca="false">IF($C209="","",ROUND($J209*2.2,0))</f>
        <v/>
      </c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  <c r="AF209" s="25"/>
      <c r="AG209" s="25"/>
      <c r="AH209" s="25"/>
      <c r="AI209" s="25"/>
      <c r="AJ209" s="25"/>
      <c r="AK209" s="25"/>
      <c r="AL209" s="25"/>
      <c r="AM209" s="25"/>
      <c r="AN209" s="25"/>
    </row>
    <row r="210" customFormat="false" ht="15.75" hidden="false" customHeight="true" outlineLevel="0" collapsed="false">
      <c r="A210" s="25"/>
      <c r="B210" s="25" t="str">
        <f aca="false">IF($C210="","",COUNTA($C$5:C210))</f>
        <v/>
      </c>
      <c r="C210" s="25"/>
      <c r="D210" s="25"/>
      <c r="E210" s="25"/>
      <c r="F210" s="25"/>
      <c r="G210" s="25"/>
      <c r="H210" s="25"/>
      <c r="I210" s="25"/>
      <c r="J210" s="25"/>
      <c r="K210" s="25"/>
      <c r="L210" s="25" t="str">
        <f aca="false">IF($C210="","",ROUND($J210*0.17,0))</f>
        <v/>
      </c>
      <c r="M210" s="25"/>
      <c r="N210" s="25"/>
      <c r="O210" s="25"/>
      <c r="P210" s="25"/>
      <c r="Q210" s="25"/>
      <c r="R210" s="25"/>
      <c r="S210" s="25" t="str">
        <f aca="false">IF($C210="","",ROUND($J210*2.2,0))</f>
        <v/>
      </c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  <c r="AF210" s="25"/>
      <c r="AG210" s="25"/>
      <c r="AH210" s="25"/>
      <c r="AI210" s="25"/>
      <c r="AJ210" s="25"/>
      <c r="AK210" s="25"/>
      <c r="AL210" s="25"/>
      <c r="AM210" s="25"/>
      <c r="AN210" s="25"/>
    </row>
    <row r="211" customFormat="false" ht="15.75" hidden="false" customHeight="true" outlineLevel="0" collapsed="false">
      <c r="A211" s="25"/>
      <c r="B211" s="25" t="str">
        <f aca="false">IF($C211="","",COUNTA($C$5:C211))</f>
        <v/>
      </c>
      <c r="C211" s="25"/>
      <c r="D211" s="25"/>
      <c r="E211" s="25"/>
      <c r="F211" s="25"/>
      <c r="G211" s="25"/>
      <c r="H211" s="25"/>
      <c r="I211" s="25"/>
      <c r="J211" s="25"/>
      <c r="K211" s="25"/>
      <c r="L211" s="25" t="str">
        <f aca="false">IF($C211="","",ROUND($J211*0.17,0))</f>
        <v/>
      </c>
      <c r="M211" s="25"/>
      <c r="N211" s="25"/>
      <c r="O211" s="25"/>
      <c r="P211" s="25"/>
      <c r="Q211" s="25"/>
      <c r="R211" s="25"/>
      <c r="S211" s="25" t="str">
        <f aca="false">IF($C211="","",ROUND($J211*2.2,0))</f>
        <v/>
      </c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  <c r="AF211" s="25"/>
      <c r="AG211" s="25"/>
      <c r="AH211" s="25"/>
      <c r="AI211" s="25"/>
      <c r="AJ211" s="25"/>
      <c r="AK211" s="25"/>
      <c r="AL211" s="25"/>
      <c r="AM211" s="25"/>
      <c r="AN211" s="25"/>
    </row>
    <row r="212" customFormat="false" ht="15.75" hidden="false" customHeight="true" outlineLevel="0" collapsed="false">
      <c r="A212" s="25"/>
      <c r="B212" s="25" t="str">
        <f aca="false">IF($C212="","",COUNTA($C$5:C212))</f>
        <v/>
      </c>
      <c r="C212" s="25"/>
      <c r="D212" s="25"/>
      <c r="E212" s="25"/>
      <c r="F212" s="25"/>
      <c r="G212" s="25"/>
      <c r="H212" s="25"/>
      <c r="I212" s="25"/>
      <c r="J212" s="25"/>
      <c r="K212" s="25"/>
      <c r="L212" s="25" t="str">
        <f aca="false">IF($C212="","",ROUND($J212*0.17,0))</f>
        <v/>
      </c>
      <c r="M212" s="25"/>
      <c r="N212" s="25"/>
      <c r="O212" s="25"/>
      <c r="P212" s="25"/>
      <c r="Q212" s="25"/>
      <c r="R212" s="25"/>
      <c r="S212" s="25" t="str">
        <f aca="false">IF($C212="","",ROUND($J212*2.2,0))</f>
        <v/>
      </c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  <c r="AF212" s="25"/>
      <c r="AG212" s="25"/>
      <c r="AH212" s="25"/>
      <c r="AI212" s="25"/>
      <c r="AJ212" s="25"/>
      <c r="AK212" s="25"/>
      <c r="AL212" s="25"/>
      <c r="AM212" s="25"/>
      <c r="AN212" s="25"/>
    </row>
    <row r="213" customFormat="false" ht="15.75" hidden="false" customHeight="true" outlineLevel="0" collapsed="false">
      <c r="A213" s="25"/>
      <c r="B213" s="25" t="str">
        <f aca="false">IF($C213="","",COUNTA($C$5:C213))</f>
        <v/>
      </c>
      <c r="C213" s="25"/>
      <c r="D213" s="25"/>
      <c r="E213" s="25"/>
      <c r="F213" s="25"/>
      <c r="G213" s="25"/>
      <c r="H213" s="25"/>
      <c r="I213" s="25"/>
      <c r="J213" s="25"/>
      <c r="K213" s="25"/>
      <c r="L213" s="25" t="str">
        <f aca="false">IF($C213="","",ROUND($J213*0.17,0))</f>
        <v/>
      </c>
      <c r="M213" s="25"/>
      <c r="N213" s="25"/>
      <c r="O213" s="25"/>
      <c r="P213" s="25"/>
      <c r="Q213" s="25"/>
      <c r="R213" s="25"/>
      <c r="S213" s="25" t="str">
        <f aca="false">IF($C213="","",ROUND($J213*2.2,0))</f>
        <v/>
      </c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  <c r="AF213" s="25"/>
      <c r="AG213" s="25"/>
      <c r="AH213" s="25"/>
      <c r="AI213" s="25"/>
      <c r="AJ213" s="25"/>
      <c r="AK213" s="25"/>
      <c r="AL213" s="25"/>
      <c r="AM213" s="25"/>
      <c r="AN213" s="25"/>
    </row>
    <row r="214" customFormat="false" ht="15.75" hidden="false" customHeight="true" outlineLevel="0" collapsed="false">
      <c r="A214" s="25"/>
      <c r="B214" s="25" t="str">
        <f aca="false">IF($C214="","",COUNTA($C$5:C214))</f>
        <v/>
      </c>
      <c r="C214" s="25"/>
      <c r="D214" s="25"/>
      <c r="E214" s="25"/>
      <c r="F214" s="25"/>
      <c r="G214" s="25"/>
      <c r="H214" s="25"/>
      <c r="I214" s="25"/>
      <c r="J214" s="25"/>
      <c r="K214" s="25"/>
      <c r="L214" s="25" t="str">
        <f aca="false">IF($C214="","",ROUND($J214*0.17,0))</f>
        <v/>
      </c>
      <c r="M214" s="25"/>
      <c r="N214" s="25"/>
      <c r="O214" s="25"/>
      <c r="P214" s="25"/>
      <c r="Q214" s="25"/>
      <c r="R214" s="25"/>
      <c r="S214" s="25" t="str">
        <f aca="false">IF($C214="","",ROUND($J214*2.2,0))</f>
        <v/>
      </c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  <c r="AF214" s="25"/>
      <c r="AG214" s="25"/>
      <c r="AH214" s="25"/>
      <c r="AI214" s="25"/>
      <c r="AJ214" s="25"/>
      <c r="AK214" s="25"/>
      <c r="AL214" s="25"/>
      <c r="AM214" s="25"/>
      <c r="AN214" s="25"/>
    </row>
    <row r="215" customFormat="false" ht="15.75" hidden="false" customHeight="true" outlineLevel="0" collapsed="false">
      <c r="A215" s="25"/>
      <c r="B215" s="25" t="str">
        <f aca="false">IF($C215="","",COUNTA($C$5:C215))</f>
        <v/>
      </c>
      <c r="C215" s="25"/>
      <c r="D215" s="25"/>
      <c r="E215" s="25"/>
      <c r="F215" s="25"/>
      <c r="G215" s="25"/>
      <c r="H215" s="25"/>
      <c r="I215" s="25"/>
      <c r="J215" s="25"/>
      <c r="K215" s="25"/>
      <c r="L215" s="25" t="str">
        <f aca="false">IF($C215="","",ROUND($J215*0.17,0))</f>
        <v/>
      </c>
      <c r="M215" s="25"/>
      <c r="N215" s="25"/>
      <c r="O215" s="25"/>
      <c r="P215" s="25"/>
      <c r="Q215" s="25"/>
      <c r="R215" s="25"/>
      <c r="S215" s="25" t="str">
        <f aca="false">IF($C215="","",ROUND($J215*2.2,0))</f>
        <v/>
      </c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  <c r="AF215" s="25"/>
      <c r="AG215" s="25"/>
      <c r="AH215" s="25"/>
      <c r="AI215" s="25"/>
      <c r="AJ215" s="25"/>
      <c r="AK215" s="25"/>
      <c r="AL215" s="25"/>
      <c r="AM215" s="25"/>
      <c r="AN215" s="25"/>
    </row>
    <row r="216" customFormat="false" ht="15.75" hidden="false" customHeight="true" outlineLevel="0" collapsed="false">
      <c r="A216" s="25"/>
      <c r="B216" s="25" t="str">
        <f aca="false">IF($C216="","",COUNTA($C$5:C216))</f>
        <v/>
      </c>
      <c r="C216" s="25"/>
      <c r="D216" s="25"/>
      <c r="E216" s="25"/>
      <c r="F216" s="25"/>
      <c r="G216" s="25"/>
      <c r="H216" s="25"/>
      <c r="I216" s="25"/>
      <c r="J216" s="25"/>
      <c r="K216" s="25"/>
      <c r="L216" s="25" t="str">
        <f aca="false">IF($C216="","",ROUND($J216*0.17,0))</f>
        <v/>
      </c>
      <c r="M216" s="25"/>
      <c r="N216" s="25"/>
      <c r="O216" s="25"/>
      <c r="P216" s="25"/>
      <c r="Q216" s="25"/>
      <c r="R216" s="25"/>
      <c r="S216" s="25" t="str">
        <f aca="false">IF($C216="","",ROUND($J216*2.2,0))</f>
        <v/>
      </c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  <c r="AF216" s="25"/>
      <c r="AG216" s="25"/>
      <c r="AH216" s="25"/>
      <c r="AI216" s="25"/>
      <c r="AJ216" s="25"/>
      <c r="AK216" s="25"/>
      <c r="AL216" s="25"/>
      <c r="AM216" s="25"/>
      <c r="AN216" s="25"/>
    </row>
    <row r="217" customFormat="false" ht="15.75" hidden="false" customHeight="true" outlineLevel="0" collapsed="false">
      <c r="A217" s="25"/>
      <c r="B217" s="25" t="str">
        <f aca="false">IF($C217="","",COUNTA($C$5:C217))</f>
        <v/>
      </c>
      <c r="C217" s="25"/>
      <c r="D217" s="25"/>
      <c r="E217" s="25"/>
      <c r="F217" s="25"/>
      <c r="G217" s="25"/>
      <c r="H217" s="25"/>
      <c r="I217" s="25"/>
      <c r="J217" s="25"/>
      <c r="K217" s="25"/>
      <c r="L217" s="25" t="str">
        <f aca="false">IF($C217="","",ROUND($J217*0.17,0))</f>
        <v/>
      </c>
      <c r="M217" s="25"/>
      <c r="N217" s="25"/>
      <c r="O217" s="25"/>
      <c r="P217" s="25"/>
      <c r="Q217" s="25"/>
      <c r="R217" s="25"/>
      <c r="S217" s="25" t="str">
        <f aca="false">IF($C217="","",ROUND($J217*2.2,0))</f>
        <v/>
      </c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  <c r="AF217" s="25"/>
      <c r="AG217" s="25"/>
      <c r="AH217" s="25"/>
      <c r="AI217" s="25"/>
      <c r="AJ217" s="25"/>
      <c r="AK217" s="25"/>
      <c r="AL217" s="25"/>
      <c r="AM217" s="25"/>
      <c r="AN217" s="25"/>
    </row>
    <row r="218" customFormat="false" ht="15.75" hidden="false" customHeight="true" outlineLevel="0" collapsed="false">
      <c r="A218" s="25"/>
      <c r="B218" s="25" t="str">
        <f aca="false">IF($C218="","",COUNTA($C$5:C218))</f>
        <v/>
      </c>
      <c r="C218" s="25"/>
      <c r="D218" s="25"/>
      <c r="E218" s="25"/>
      <c r="F218" s="25"/>
      <c r="G218" s="25"/>
      <c r="H218" s="25"/>
      <c r="I218" s="25"/>
      <c r="J218" s="25"/>
      <c r="K218" s="25"/>
      <c r="L218" s="25" t="str">
        <f aca="false">IF($C218="","",ROUND($J218*0.17,0))</f>
        <v/>
      </c>
      <c r="M218" s="25"/>
      <c r="N218" s="25"/>
      <c r="O218" s="25"/>
      <c r="P218" s="25"/>
      <c r="Q218" s="25"/>
      <c r="R218" s="25"/>
      <c r="S218" s="25" t="str">
        <f aca="false">IF($C218="","",ROUND($J218*2.2,0))</f>
        <v/>
      </c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  <c r="AF218" s="25"/>
      <c r="AG218" s="25"/>
      <c r="AH218" s="25"/>
      <c r="AI218" s="25"/>
      <c r="AJ218" s="25"/>
      <c r="AK218" s="25"/>
      <c r="AL218" s="25"/>
      <c r="AM218" s="25"/>
      <c r="AN218" s="25"/>
    </row>
    <row r="219" customFormat="false" ht="15.75" hidden="false" customHeight="true" outlineLevel="0" collapsed="false">
      <c r="A219" s="25"/>
      <c r="B219" s="25" t="str">
        <f aca="false">IF($C219="","",COUNTA($C$5:C219))</f>
        <v/>
      </c>
      <c r="C219" s="25"/>
      <c r="D219" s="25"/>
      <c r="E219" s="25"/>
      <c r="F219" s="25"/>
      <c r="G219" s="25"/>
      <c r="H219" s="25"/>
      <c r="I219" s="25"/>
      <c r="J219" s="25"/>
      <c r="K219" s="25"/>
      <c r="L219" s="25" t="str">
        <f aca="false">IF($C219="","",ROUND($J219*0.17,0))</f>
        <v/>
      </c>
      <c r="M219" s="25"/>
      <c r="N219" s="25"/>
      <c r="O219" s="25"/>
      <c r="P219" s="25"/>
      <c r="Q219" s="25"/>
      <c r="R219" s="25"/>
      <c r="S219" s="25" t="str">
        <f aca="false">IF($C219="","",ROUND($J219*2.2,0))</f>
        <v/>
      </c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  <c r="AF219" s="25"/>
      <c r="AG219" s="25"/>
      <c r="AH219" s="25"/>
      <c r="AI219" s="25"/>
      <c r="AJ219" s="25"/>
      <c r="AK219" s="25"/>
      <c r="AL219" s="25"/>
      <c r="AM219" s="25"/>
      <c r="AN219" s="25"/>
    </row>
    <row r="220" customFormat="false" ht="15.75" hidden="false" customHeight="true" outlineLevel="0" collapsed="false">
      <c r="A220" s="25"/>
      <c r="B220" s="25" t="str">
        <f aca="false">IF($C220="","",COUNTA($C$5:C220))</f>
        <v/>
      </c>
      <c r="C220" s="25"/>
      <c r="D220" s="25"/>
      <c r="E220" s="25"/>
      <c r="F220" s="25"/>
      <c r="G220" s="25"/>
      <c r="H220" s="25"/>
      <c r="I220" s="25"/>
      <c r="J220" s="25"/>
      <c r="K220" s="25"/>
      <c r="L220" s="25" t="str">
        <f aca="false">IF($C220="","",ROUND($J220*0.17,0))</f>
        <v/>
      </c>
      <c r="M220" s="25"/>
      <c r="N220" s="25"/>
      <c r="O220" s="25"/>
      <c r="P220" s="25"/>
      <c r="Q220" s="25"/>
      <c r="R220" s="25"/>
      <c r="S220" s="25" t="str">
        <f aca="false">IF($C220="","",ROUND($J220*2.2,0))</f>
        <v/>
      </c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  <c r="AF220" s="25"/>
      <c r="AG220" s="25"/>
      <c r="AH220" s="25"/>
      <c r="AI220" s="25"/>
      <c r="AJ220" s="25"/>
      <c r="AK220" s="25"/>
      <c r="AL220" s="25"/>
      <c r="AM220" s="25"/>
      <c r="AN220" s="25"/>
    </row>
    <row r="221" customFormat="false" ht="15.75" hidden="false" customHeight="true" outlineLevel="0" collapsed="false">
      <c r="A221" s="25"/>
      <c r="B221" s="25" t="str">
        <f aca="false">IF($C221="","",COUNTA($C$5:C221))</f>
        <v/>
      </c>
      <c r="C221" s="25"/>
      <c r="D221" s="25"/>
      <c r="E221" s="25"/>
      <c r="F221" s="25"/>
      <c r="G221" s="25"/>
      <c r="H221" s="25"/>
      <c r="I221" s="25"/>
      <c r="J221" s="25"/>
      <c r="K221" s="25"/>
      <c r="L221" s="25" t="str">
        <f aca="false">IF($C221="","",ROUND($J221*0.17,0))</f>
        <v/>
      </c>
      <c r="M221" s="25"/>
      <c r="N221" s="25"/>
      <c r="O221" s="25"/>
      <c r="P221" s="25"/>
      <c r="Q221" s="25"/>
      <c r="R221" s="25"/>
      <c r="S221" s="25" t="str">
        <f aca="false">IF($C221="","",ROUND($J221*2.2,0))</f>
        <v/>
      </c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  <c r="AF221" s="25"/>
      <c r="AG221" s="25"/>
      <c r="AH221" s="25"/>
      <c r="AI221" s="25"/>
      <c r="AJ221" s="25"/>
      <c r="AK221" s="25"/>
      <c r="AL221" s="25"/>
      <c r="AM221" s="25"/>
      <c r="AN221" s="25"/>
    </row>
    <row r="222" customFormat="false" ht="15.75" hidden="false" customHeight="true" outlineLevel="0" collapsed="false">
      <c r="A222" s="25"/>
      <c r="B222" s="25" t="str">
        <f aca="false">IF($C222="","",COUNTA($C$5:C222))</f>
        <v/>
      </c>
      <c r="C222" s="25"/>
      <c r="D222" s="25"/>
      <c r="E222" s="25"/>
      <c r="F222" s="25"/>
      <c r="G222" s="25"/>
      <c r="H222" s="25"/>
      <c r="I222" s="25"/>
      <c r="J222" s="25"/>
      <c r="K222" s="25"/>
      <c r="L222" s="25" t="str">
        <f aca="false">IF($C222="","",ROUND($J222*0.17,0))</f>
        <v/>
      </c>
      <c r="M222" s="25"/>
      <c r="N222" s="25"/>
      <c r="O222" s="25"/>
      <c r="P222" s="25"/>
      <c r="Q222" s="25"/>
      <c r="R222" s="25"/>
      <c r="S222" s="25" t="str">
        <f aca="false">IF($C222="","",ROUND($J222*2.2,0))</f>
        <v/>
      </c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  <c r="AF222" s="25"/>
      <c r="AG222" s="25"/>
      <c r="AH222" s="25"/>
      <c r="AI222" s="25"/>
      <c r="AJ222" s="25"/>
      <c r="AK222" s="25"/>
      <c r="AL222" s="25"/>
      <c r="AM222" s="25"/>
      <c r="AN222" s="25"/>
    </row>
    <row r="223" customFormat="false" ht="15.75" hidden="false" customHeight="true" outlineLevel="0" collapsed="false">
      <c r="A223" s="25"/>
      <c r="B223" s="25" t="str">
        <f aca="false">IF($C223="","",COUNTA($C$5:C223))</f>
        <v/>
      </c>
      <c r="C223" s="25"/>
      <c r="D223" s="25"/>
      <c r="E223" s="25"/>
      <c r="F223" s="25"/>
      <c r="G223" s="25"/>
      <c r="H223" s="25"/>
      <c r="I223" s="25"/>
      <c r="J223" s="25"/>
      <c r="K223" s="25"/>
      <c r="L223" s="25" t="str">
        <f aca="false">IF($C223="","",ROUND($J223*0.17,0))</f>
        <v/>
      </c>
      <c r="M223" s="25"/>
      <c r="N223" s="25"/>
      <c r="O223" s="25"/>
      <c r="P223" s="25"/>
      <c r="Q223" s="25"/>
      <c r="R223" s="25"/>
      <c r="S223" s="25" t="str">
        <f aca="false">IF($C223="","",ROUND($J223*2.2,0))</f>
        <v/>
      </c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  <c r="AF223" s="25"/>
      <c r="AG223" s="25"/>
      <c r="AH223" s="25"/>
      <c r="AI223" s="25"/>
      <c r="AJ223" s="25"/>
      <c r="AK223" s="25"/>
      <c r="AL223" s="25"/>
      <c r="AM223" s="25"/>
      <c r="AN223" s="25"/>
    </row>
    <row r="224" customFormat="false" ht="15.75" hidden="false" customHeight="true" outlineLevel="0" collapsed="false">
      <c r="A224" s="25"/>
      <c r="B224" s="25" t="str">
        <f aca="false">IF($C224="","",COUNTA($C$5:C224))</f>
        <v/>
      </c>
      <c r="C224" s="25"/>
      <c r="D224" s="25"/>
      <c r="E224" s="25"/>
      <c r="F224" s="25"/>
      <c r="G224" s="25"/>
      <c r="H224" s="25"/>
      <c r="I224" s="25"/>
      <c r="J224" s="25"/>
      <c r="K224" s="25"/>
      <c r="L224" s="25" t="str">
        <f aca="false">IF($C224="","",ROUND($J224*0.17,0))</f>
        <v/>
      </c>
      <c r="M224" s="25"/>
      <c r="N224" s="25"/>
      <c r="O224" s="25"/>
      <c r="P224" s="25"/>
      <c r="Q224" s="25"/>
      <c r="R224" s="25"/>
      <c r="S224" s="25" t="str">
        <f aca="false">IF($C224="","",ROUND($J224*2.2,0))</f>
        <v/>
      </c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  <c r="AF224" s="25"/>
      <c r="AG224" s="25"/>
      <c r="AH224" s="25"/>
      <c r="AI224" s="25"/>
      <c r="AJ224" s="25"/>
      <c r="AK224" s="25"/>
      <c r="AL224" s="25"/>
      <c r="AM224" s="25"/>
      <c r="AN224" s="25"/>
    </row>
    <row r="225" customFormat="false" ht="15.75" hidden="false" customHeight="true" outlineLevel="0" collapsed="false">
      <c r="A225" s="25"/>
      <c r="B225" s="25" t="str">
        <f aca="false">IF($C225="","",COUNTA($C$5:C225))</f>
        <v/>
      </c>
      <c r="C225" s="25"/>
      <c r="D225" s="25"/>
      <c r="E225" s="25"/>
      <c r="F225" s="25"/>
      <c r="G225" s="25"/>
      <c r="H225" s="25"/>
      <c r="I225" s="25"/>
      <c r="J225" s="25"/>
      <c r="K225" s="25"/>
      <c r="L225" s="25" t="str">
        <f aca="false">IF($C225="","",ROUND($J225*0.17,0))</f>
        <v/>
      </c>
      <c r="M225" s="25"/>
      <c r="N225" s="25"/>
      <c r="O225" s="25"/>
      <c r="P225" s="25"/>
      <c r="Q225" s="25"/>
      <c r="R225" s="25"/>
      <c r="S225" s="25" t="str">
        <f aca="false">IF($C225="","",ROUND($J225*2.2,0))</f>
        <v/>
      </c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  <c r="AF225" s="25"/>
      <c r="AG225" s="25"/>
      <c r="AH225" s="25"/>
      <c r="AI225" s="25"/>
      <c r="AJ225" s="25"/>
      <c r="AK225" s="25"/>
      <c r="AL225" s="25"/>
      <c r="AM225" s="25"/>
      <c r="AN225" s="25"/>
    </row>
    <row r="226" customFormat="false" ht="15.75" hidden="false" customHeight="true" outlineLevel="0" collapsed="false">
      <c r="A226" s="25"/>
      <c r="B226" s="25" t="str">
        <f aca="false">IF($C226="","",COUNTA($C$5:C226))</f>
        <v/>
      </c>
      <c r="C226" s="25"/>
      <c r="D226" s="25"/>
      <c r="E226" s="25"/>
      <c r="F226" s="25"/>
      <c r="G226" s="25"/>
      <c r="H226" s="25"/>
      <c r="I226" s="25"/>
      <c r="J226" s="25"/>
      <c r="K226" s="25"/>
      <c r="L226" s="25" t="str">
        <f aca="false">IF($C226="","",ROUND($J226*0.17,0))</f>
        <v/>
      </c>
      <c r="M226" s="25"/>
      <c r="N226" s="25"/>
      <c r="O226" s="25"/>
      <c r="P226" s="25"/>
      <c r="Q226" s="25"/>
      <c r="R226" s="25"/>
      <c r="S226" s="25" t="str">
        <f aca="false">IF($C226="","",ROUND($J226*2.2,0))</f>
        <v/>
      </c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  <c r="AF226" s="25"/>
      <c r="AG226" s="25"/>
      <c r="AH226" s="25"/>
      <c r="AI226" s="25"/>
      <c r="AJ226" s="25"/>
      <c r="AK226" s="25"/>
      <c r="AL226" s="25"/>
      <c r="AM226" s="25"/>
      <c r="AN226" s="25"/>
    </row>
    <row r="227" customFormat="false" ht="15.75" hidden="false" customHeight="true" outlineLevel="0" collapsed="false">
      <c r="A227" s="25"/>
      <c r="B227" s="25" t="str">
        <f aca="false">IF($C227="","",COUNTA($C$5:C227))</f>
        <v/>
      </c>
      <c r="C227" s="25"/>
      <c r="D227" s="25"/>
      <c r="E227" s="25"/>
      <c r="F227" s="25"/>
      <c r="G227" s="25"/>
      <c r="H227" s="25"/>
      <c r="I227" s="25"/>
      <c r="J227" s="25"/>
      <c r="K227" s="25"/>
      <c r="L227" s="25" t="str">
        <f aca="false">IF($C227="","",ROUND($J227*0.17,0))</f>
        <v/>
      </c>
      <c r="M227" s="25"/>
      <c r="N227" s="25"/>
      <c r="O227" s="25"/>
      <c r="P227" s="25"/>
      <c r="Q227" s="25"/>
      <c r="R227" s="25"/>
      <c r="S227" s="25" t="str">
        <f aca="false">IF($C227="","",ROUND($J227*2.2,0))</f>
        <v/>
      </c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  <c r="AF227" s="25"/>
      <c r="AG227" s="25"/>
      <c r="AH227" s="25"/>
      <c r="AI227" s="25"/>
      <c r="AJ227" s="25"/>
      <c r="AK227" s="25"/>
      <c r="AL227" s="25"/>
      <c r="AM227" s="25"/>
      <c r="AN227" s="25"/>
    </row>
    <row r="228" customFormat="false" ht="15.75" hidden="false" customHeight="true" outlineLevel="0" collapsed="false">
      <c r="A228" s="25"/>
      <c r="B228" s="25" t="str">
        <f aca="false">IF($C228="","",COUNTA($C$5:C228))</f>
        <v/>
      </c>
      <c r="C228" s="25"/>
      <c r="D228" s="25"/>
      <c r="E228" s="25"/>
      <c r="F228" s="25"/>
      <c r="G228" s="25"/>
      <c r="H228" s="25"/>
      <c r="I228" s="25"/>
      <c r="J228" s="25"/>
      <c r="K228" s="25"/>
      <c r="L228" s="25" t="str">
        <f aca="false">IF($C228="","",ROUND($J228*0.17,0))</f>
        <v/>
      </c>
      <c r="M228" s="25"/>
      <c r="N228" s="25"/>
      <c r="O228" s="25"/>
      <c r="P228" s="25"/>
      <c r="Q228" s="25"/>
      <c r="R228" s="25"/>
      <c r="S228" s="25" t="str">
        <f aca="false">IF($C228="","",ROUND($J228*2.2,0))</f>
        <v/>
      </c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  <c r="AF228" s="25"/>
      <c r="AG228" s="25"/>
      <c r="AH228" s="25"/>
      <c r="AI228" s="25"/>
      <c r="AJ228" s="25"/>
      <c r="AK228" s="25"/>
      <c r="AL228" s="25"/>
      <c r="AM228" s="25"/>
      <c r="AN228" s="25"/>
    </row>
    <row r="229" customFormat="false" ht="15.75" hidden="false" customHeight="true" outlineLevel="0" collapsed="false">
      <c r="A229" s="25"/>
      <c r="B229" s="25" t="str">
        <f aca="false">IF($C229="","",COUNTA($C$5:C229))</f>
        <v/>
      </c>
      <c r="C229" s="25"/>
      <c r="D229" s="25"/>
      <c r="E229" s="25"/>
      <c r="F229" s="25"/>
      <c r="G229" s="25"/>
      <c r="H229" s="25"/>
      <c r="I229" s="25"/>
      <c r="J229" s="25"/>
      <c r="K229" s="25"/>
      <c r="L229" s="25" t="str">
        <f aca="false">IF($C229="","",ROUND($J229*0.17,0))</f>
        <v/>
      </c>
      <c r="M229" s="25"/>
      <c r="N229" s="25"/>
      <c r="O229" s="25"/>
      <c r="P229" s="25"/>
      <c r="Q229" s="25"/>
      <c r="R229" s="25"/>
      <c r="S229" s="25" t="str">
        <f aca="false">IF($C229="","",ROUND($J229*2.2,0))</f>
        <v/>
      </c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  <c r="AF229" s="25"/>
      <c r="AG229" s="25"/>
      <c r="AH229" s="25"/>
      <c r="AI229" s="25"/>
      <c r="AJ229" s="25"/>
      <c r="AK229" s="25"/>
      <c r="AL229" s="25"/>
      <c r="AM229" s="25"/>
      <c r="AN229" s="25"/>
    </row>
    <row r="230" customFormat="false" ht="15.75" hidden="false" customHeight="true" outlineLevel="0" collapsed="false">
      <c r="A230" s="25"/>
      <c r="B230" s="25" t="str">
        <f aca="false">IF($C230="","",COUNTA($C$5:C230))</f>
        <v/>
      </c>
      <c r="C230" s="25"/>
      <c r="D230" s="25"/>
      <c r="E230" s="25"/>
      <c r="F230" s="25"/>
      <c r="G230" s="25"/>
      <c r="H230" s="25"/>
      <c r="I230" s="25"/>
      <c r="J230" s="25"/>
      <c r="K230" s="25"/>
      <c r="L230" s="25" t="str">
        <f aca="false">IF($C230="","",ROUND($J230*0.17,0))</f>
        <v/>
      </c>
      <c r="M230" s="25"/>
      <c r="N230" s="25"/>
      <c r="O230" s="25"/>
      <c r="P230" s="25"/>
      <c r="Q230" s="25"/>
      <c r="R230" s="25"/>
      <c r="S230" s="25" t="str">
        <f aca="false">IF($C230="","",ROUND($J230*2.2,0))</f>
        <v/>
      </c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  <c r="AF230" s="25"/>
      <c r="AG230" s="25"/>
      <c r="AH230" s="25"/>
      <c r="AI230" s="25"/>
      <c r="AJ230" s="25"/>
      <c r="AK230" s="25"/>
      <c r="AL230" s="25"/>
      <c r="AM230" s="25"/>
      <c r="AN230" s="25"/>
    </row>
    <row r="231" customFormat="false" ht="15.75" hidden="false" customHeight="true" outlineLevel="0" collapsed="false">
      <c r="A231" s="25"/>
      <c r="B231" s="25" t="str">
        <f aca="false">IF($C231="","",COUNTA($C$5:C231))</f>
        <v/>
      </c>
      <c r="C231" s="25"/>
      <c r="D231" s="25"/>
      <c r="E231" s="25"/>
      <c r="F231" s="25"/>
      <c r="G231" s="25"/>
      <c r="H231" s="25"/>
      <c r="I231" s="25"/>
      <c r="J231" s="25"/>
      <c r="K231" s="25"/>
      <c r="L231" s="25" t="str">
        <f aca="false">IF($C231="","",ROUND($J231*0.17,0))</f>
        <v/>
      </c>
      <c r="M231" s="25"/>
      <c r="N231" s="25"/>
      <c r="O231" s="25"/>
      <c r="P231" s="25"/>
      <c r="Q231" s="25"/>
      <c r="R231" s="25"/>
      <c r="S231" s="25" t="str">
        <f aca="false">IF($C231="","",ROUND($J231*2.2,0))</f>
        <v/>
      </c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5"/>
      <c r="AG231" s="25"/>
      <c r="AH231" s="25"/>
      <c r="AI231" s="25"/>
      <c r="AJ231" s="25"/>
      <c r="AK231" s="25"/>
      <c r="AL231" s="25"/>
      <c r="AM231" s="25"/>
      <c r="AN231" s="25"/>
    </row>
    <row r="232" customFormat="false" ht="15.75" hidden="false" customHeight="true" outlineLevel="0" collapsed="false">
      <c r="A232" s="25"/>
      <c r="B232" s="25" t="str">
        <f aca="false">IF($C232="","",COUNTA($C$5:C232))</f>
        <v/>
      </c>
      <c r="C232" s="25"/>
      <c r="D232" s="25"/>
      <c r="E232" s="25"/>
      <c r="F232" s="25"/>
      <c r="G232" s="25"/>
      <c r="H232" s="25"/>
      <c r="I232" s="25"/>
      <c r="J232" s="25"/>
      <c r="K232" s="25"/>
      <c r="L232" s="25" t="str">
        <f aca="false">IF($C232="","",ROUND($J232*0.17,0))</f>
        <v/>
      </c>
      <c r="M232" s="25"/>
      <c r="N232" s="25"/>
      <c r="O232" s="25"/>
      <c r="P232" s="25"/>
      <c r="Q232" s="25"/>
      <c r="R232" s="25"/>
      <c r="S232" s="25" t="str">
        <f aca="false">IF($C232="","",ROUND($J232*2.2,0))</f>
        <v/>
      </c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  <c r="AF232" s="25"/>
      <c r="AG232" s="25"/>
      <c r="AH232" s="25"/>
      <c r="AI232" s="25"/>
      <c r="AJ232" s="25"/>
      <c r="AK232" s="25"/>
      <c r="AL232" s="25"/>
      <c r="AM232" s="25"/>
      <c r="AN232" s="25"/>
    </row>
    <row r="233" customFormat="false" ht="15.75" hidden="false" customHeight="true" outlineLevel="0" collapsed="false">
      <c r="A233" s="25"/>
      <c r="B233" s="25" t="str">
        <f aca="false">IF($C233="","",COUNTA($C$5:C233))</f>
        <v/>
      </c>
      <c r="C233" s="25"/>
      <c r="D233" s="25"/>
      <c r="E233" s="25"/>
      <c r="F233" s="25"/>
      <c r="G233" s="25"/>
      <c r="H233" s="25"/>
      <c r="I233" s="25"/>
      <c r="J233" s="25"/>
      <c r="K233" s="25"/>
      <c r="L233" s="25" t="str">
        <f aca="false">IF($C233="","",ROUND($J233*0.17,0))</f>
        <v/>
      </c>
      <c r="M233" s="25"/>
      <c r="N233" s="25"/>
      <c r="O233" s="25"/>
      <c r="P233" s="25"/>
      <c r="Q233" s="25"/>
      <c r="R233" s="25"/>
      <c r="S233" s="25" t="str">
        <f aca="false">IF($C233="","",ROUND($J233*2.2,0))</f>
        <v/>
      </c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  <c r="AF233" s="25"/>
      <c r="AG233" s="25"/>
      <c r="AH233" s="25"/>
      <c r="AI233" s="25"/>
      <c r="AJ233" s="25"/>
      <c r="AK233" s="25"/>
      <c r="AL233" s="25"/>
      <c r="AM233" s="25"/>
      <c r="AN233" s="25"/>
    </row>
    <row r="234" customFormat="false" ht="15.75" hidden="false" customHeight="true" outlineLevel="0" collapsed="false">
      <c r="A234" s="25"/>
      <c r="B234" s="25" t="str">
        <f aca="false">IF($C234="","",COUNTA($C$5:C234))</f>
        <v/>
      </c>
      <c r="C234" s="25"/>
      <c r="D234" s="25"/>
      <c r="E234" s="25"/>
      <c r="F234" s="25"/>
      <c r="G234" s="25"/>
      <c r="H234" s="25"/>
      <c r="I234" s="25"/>
      <c r="J234" s="25"/>
      <c r="K234" s="25"/>
      <c r="L234" s="25" t="str">
        <f aca="false">IF($C234="","",ROUND($J234*0.17,0))</f>
        <v/>
      </c>
      <c r="M234" s="25"/>
      <c r="N234" s="25"/>
      <c r="O234" s="25"/>
      <c r="P234" s="25"/>
      <c r="Q234" s="25"/>
      <c r="R234" s="25"/>
      <c r="S234" s="25" t="str">
        <f aca="false">IF($C234="","",ROUND($J234*2.2,0))</f>
        <v/>
      </c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  <c r="AF234" s="25"/>
      <c r="AG234" s="25"/>
      <c r="AH234" s="25"/>
      <c r="AI234" s="25"/>
      <c r="AJ234" s="25"/>
      <c r="AK234" s="25"/>
      <c r="AL234" s="25"/>
      <c r="AM234" s="25"/>
      <c r="AN234" s="25"/>
    </row>
    <row r="235" customFormat="false" ht="15.75" hidden="false" customHeight="true" outlineLevel="0" collapsed="false">
      <c r="A235" s="25"/>
      <c r="B235" s="25" t="str">
        <f aca="false">IF($C235="","",COUNTA($C$5:C235))</f>
        <v/>
      </c>
      <c r="C235" s="25"/>
      <c r="D235" s="25"/>
      <c r="E235" s="25"/>
      <c r="F235" s="25"/>
      <c r="G235" s="25"/>
      <c r="H235" s="25"/>
      <c r="I235" s="25"/>
      <c r="J235" s="25"/>
      <c r="K235" s="25"/>
      <c r="L235" s="25" t="str">
        <f aca="false">IF($C235="","",ROUND($J235*0.17,0))</f>
        <v/>
      </c>
      <c r="M235" s="25"/>
      <c r="N235" s="25"/>
      <c r="O235" s="25"/>
      <c r="P235" s="25"/>
      <c r="Q235" s="25"/>
      <c r="R235" s="25"/>
      <c r="S235" s="25" t="str">
        <f aca="false">IF($C235="","",ROUND($J235*2.2,0))</f>
        <v/>
      </c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  <c r="AF235" s="25"/>
      <c r="AG235" s="25"/>
      <c r="AH235" s="25"/>
      <c r="AI235" s="25"/>
      <c r="AJ235" s="25"/>
      <c r="AK235" s="25"/>
      <c r="AL235" s="25"/>
      <c r="AM235" s="25"/>
      <c r="AN235" s="25"/>
    </row>
    <row r="236" customFormat="false" ht="15.75" hidden="false" customHeight="true" outlineLevel="0" collapsed="false">
      <c r="A236" s="25"/>
      <c r="B236" s="25" t="str">
        <f aca="false">IF($C236="","",COUNTA($C$5:C236))</f>
        <v/>
      </c>
      <c r="C236" s="25"/>
      <c r="D236" s="25"/>
      <c r="E236" s="25"/>
      <c r="F236" s="25"/>
      <c r="G236" s="25"/>
      <c r="H236" s="25"/>
      <c r="I236" s="25"/>
      <c r="J236" s="25"/>
      <c r="K236" s="25"/>
      <c r="L236" s="25" t="str">
        <f aca="false">IF($C236="","",ROUND($J236*0.17,0))</f>
        <v/>
      </c>
      <c r="M236" s="25"/>
      <c r="N236" s="25"/>
      <c r="O236" s="25"/>
      <c r="P236" s="25"/>
      <c r="Q236" s="25"/>
      <c r="R236" s="25"/>
      <c r="S236" s="25" t="str">
        <f aca="false">IF($C236="","",ROUND($J236*2.2,0))</f>
        <v/>
      </c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  <c r="AF236" s="25"/>
      <c r="AG236" s="25"/>
      <c r="AH236" s="25"/>
      <c r="AI236" s="25"/>
      <c r="AJ236" s="25"/>
      <c r="AK236" s="25"/>
      <c r="AL236" s="25"/>
      <c r="AM236" s="25"/>
      <c r="AN236" s="25"/>
    </row>
    <row r="237" customFormat="false" ht="15.75" hidden="false" customHeight="true" outlineLevel="0" collapsed="false">
      <c r="A237" s="25"/>
      <c r="B237" s="25" t="str">
        <f aca="false">IF($C237="","",COUNTA($C$5:C237))</f>
        <v/>
      </c>
      <c r="C237" s="25"/>
      <c r="D237" s="25"/>
      <c r="E237" s="25"/>
      <c r="F237" s="25"/>
      <c r="G237" s="25"/>
      <c r="H237" s="25"/>
      <c r="I237" s="25"/>
      <c r="J237" s="25"/>
      <c r="K237" s="25"/>
      <c r="L237" s="25" t="str">
        <f aca="false">IF($C237="","",ROUND($J237*0.17,0))</f>
        <v/>
      </c>
      <c r="M237" s="25"/>
      <c r="N237" s="25"/>
      <c r="O237" s="25"/>
      <c r="P237" s="25"/>
      <c r="Q237" s="25"/>
      <c r="R237" s="25"/>
      <c r="S237" s="25" t="str">
        <f aca="false">IF($C237="","",ROUND($J237*2.2,0))</f>
        <v/>
      </c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  <c r="AF237" s="25"/>
      <c r="AG237" s="25"/>
      <c r="AH237" s="25"/>
      <c r="AI237" s="25"/>
      <c r="AJ237" s="25"/>
      <c r="AK237" s="25"/>
      <c r="AL237" s="25"/>
      <c r="AM237" s="25"/>
      <c r="AN237" s="25"/>
    </row>
    <row r="238" customFormat="false" ht="15.75" hidden="false" customHeight="true" outlineLevel="0" collapsed="false">
      <c r="A238" s="25"/>
      <c r="B238" s="25" t="str">
        <f aca="false">IF($C238="","",COUNTA($C$5:C238))</f>
        <v/>
      </c>
      <c r="C238" s="25"/>
      <c r="D238" s="25"/>
      <c r="E238" s="25"/>
      <c r="F238" s="25"/>
      <c r="G238" s="25"/>
      <c r="H238" s="25"/>
      <c r="I238" s="25"/>
      <c r="J238" s="25"/>
      <c r="K238" s="25"/>
      <c r="L238" s="25" t="str">
        <f aca="false">IF($C238="","",ROUND($J238*0.17,0))</f>
        <v/>
      </c>
      <c r="M238" s="25"/>
      <c r="N238" s="25"/>
      <c r="O238" s="25"/>
      <c r="P238" s="25"/>
      <c r="Q238" s="25"/>
      <c r="R238" s="25"/>
      <c r="S238" s="25" t="str">
        <f aca="false">IF($C238="","",ROUND($J238*2.2,0))</f>
        <v/>
      </c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  <c r="AF238" s="25"/>
      <c r="AG238" s="25"/>
      <c r="AH238" s="25"/>
      <c r="AI238" s="25"/>
      <c r="AJ238" s="25"/>
      <c r="AK238" s="25"/>
      <c r="AL238" s="25"/>
      <c r="AM238" s="25"/>
      <c r="AN238" s="25"/>
    </row>
    <row r="239" customFormat="false" ht="15.75" hidden="false" customHeight="true" outlineLevel="0" collapsed="false">
      <c r="A239" s="25"/>
      <c r="B239" s="25" t="str">
        <f aca="false">IF($C239="","",COUNTA($C$5:C239))</f>
        <v/>
      </c>
      <c r="C239" s="25"/>
      <c r="D239" s="25"/>
      <c r="E239" s="25"/>
      <c r="F239" s="25"/>
      <c r="G239" s="25"/>
      <c r="H239" s="25"/>
      <c r="I239" s="25"/>
      <c r="J239" s="25"/>
      <c r="K239" s="25"/>
      <c r="L239" s="25" t="str">
        <f aca="false">IF($C239="","",ROUND($J239*0.17,0))</f>
        <v/>
      </c>
      <c r="M239" s="25"/>
      <c r="N239" s="25"/>
      <c r="O239" s="25"/>
      <c r="P239" s="25"/>
      <c r="Q239" s="25"/>
      <c r="R239" s="25"/>
      <c r="S239" s="25" t="str">
        <f aca="false">IF($C239="","",ROUND($J239*2.2,0))</f>
        <v/>
      </c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  <c r="AF239" s="25"/>
      <c r="AG239" s="25"/>
      <c r="AH239" s="25"/>
      <c r="AI239" s="25"/>
      <c r="AJ239" s="25"/>
      <c r="AK239" s="25"/>
      <c r="AL239" s="25"/>
      <c r="AM239" s="25"/>
      <c r="AN239" s="25"/>
    </row>
    <row r="240" customFormat="false" ht="15.75" hidden="false" customHeight="true" outlineLevel="0" collapsed="false">
      <c r="A240" s="25"/>
      <c r="B240" s="25" t="str">
        <f aca="false">IF($C240="","",COUNTA($C$5:C240))</f>
        <v/>
      </c>
      <c r="C240" s="25"/>
      <c r="D240" s="25"/>
      <c r="E240" s="25"/>
      <c r="F240" s="25"/>
      <c r="G240" s="25"/>
      <c r="H240" s="25"/>
      <c r="I240" s="25"/>
      <c r="J240" s="25"/>
      <c r="K240" s="25"/>
      <c r="L240" s="25" t="str">
        <f aca="false">IF($C240="","",ROUND($J240*0.17,0))</f>
        <v/>
      </c>
      <c r="M240" s="25"/>
      <c r="N240" s="25"/>
      <c r="O240" s="25"/>
      <c r="P240" s="25"/>
      <c r="Q240" s="25"/>
      <c r="R240" s="25"/>
      <c r="S240" s="25" t="str">
        <f aca="false">IF($C240="","",ROUND($J240*2.2,0))</f>
        <v/>
      </c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  <c r="AF240" s="25"/>
      <c r="AG240" s="25"/>
      <c r="AH240" s="25"/>
      <c r="AI240" s="25"/>
      <c r="AJ240" s="25"/>
      <c r="AK240" s="25"/>
      <c r="AL240" s="25"/>
      <c r="AM240" s="25"/>
      <c r="AN240" s="25"/>
    </row>
    <row r="241" customFormat="false" ht="15.75" hidden="false" customHeight="true" outlineLevel="0" collapsed="false">
      <c r="A241" s="25"/>
      <c r="B241" s="25" t="str">
        <f aca="false">IF($C241="","",COUNTA($C$5:C241))</f>
        <v/>
      </c>
      <c r="C241" s="25"/>
      <c r="D241" s="25"/>
      <c r="E241" s="25"/>
      <c r="F241" s="25"/>
      <c r="G241" s="25"/>
      <c r="H241" s="25"/>
      <c r="I241" s="25"/>
      <c r="J241" s="25"/>
      <c r="K241" s="25"/>
      <c r="L241" s="25" t="str">
        <f aca="false">IF($C241="","",ROUND($J241*0.17,0))</f>
        <v/>
      </c>
      <c r="M241" s="25"/>
      <c r="N241" s="25"/>
      <c r="O241" s="25"/>
      <c r="P241" s="25"/>
      <c r="Q241" s="25"/>
      <c r="R241" s="25"/>
      <c r="S241" s="25" t="str">
        <f aca="false">IF($C241="","",ROUND($J241*2.2,0))</f>
        <v/>
      </c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  <c r="AF241" s="25"/>
      <c r="AG241" s="25"/>
      <c r="AH241" s="25"/>
      <c r="AI241" s="25"/>
      <c r="AJ241" s="25"/>
      <c r="AK241" s="25"/>
      <c r="AL241" s="25"/>
      <c r="AM241" s="25"/>
      <c r="AN241" s="25"/>
    </row>
    <row r="242" customFormat="false" ht="15.75" hidden="false" customHeight="true" outlineLevel="0" collapsed="false">
      <c r="A242" s="25"/>
      <c r="B242" s="25" t="str">
        <f aca="false">IF($C242="","",COUNTA($C$5:C242))</f>
        <v/>
      </c>
      <c r="C242" s="25"/>
      <c r="D242" s="25"/>
      <c r="E242" s="25"/>
      <c r="F242" s="25"/>
      <c r="G242" s="25"/>
      <c r="H242" s="25"/>
      <c r="I242" s="25"/>
      <c r="J242" s="25"/>
      <c r="K242" s="25"/>
      <c r="L242" s="25" t="str">
        <f aca="false">IF($C242="","",ROUND($J242*0.17,0))</f>
        <v/>
      </c>
      <c r="M242" s="25"/>
      <c r="N242" s="25"/>
      <c r="O242" s="25"/>
      <c r="P242" s="25"/>
      <c r="Q242" s="25"/>
      <c r="R242" s="25"/>
      <c r="S242" s="25" t="str">
        <f aca="false">IF($C242="","",ROUND($J242*2.2,0))</f>
        <v/>
      </c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  <c r="AF242" s="25"/>
      <c r="AG242" s="25"/>
      <c r="AH242" s="25"/>
      <c r="AI242" s="25"/>
      <c r="AJ242" s="25"/>
      <c r="AK242" s="25"/>
      <c r="AL242" s="25"/>
      <c r="AM242" s="25"/>
      <c r="AN242" s="25"/>
    </row>
    <row r="243" customFormat="false" ht="15.75" hidden="false" customHeight="true" outlineLevel="0" collapsed="false">
      <c r="A243" s="25"/>
      <c r="B243" s="25" t="str">
        <f aca="false">IF($C243="","",COUNTA($C$5:C243))</f>
        <v/>
      </c>
      <c r="C243" s="25"/>
      <c r="D243" s="25"/>
      <c r="E243" s="25"/>
      <c r="F243" s="25"/>
      <c r="G243" s="25"/>
      <c r="H243" s="25"/>
      <c r="I243" s="25"/>
      <c r="J243" s="25"/>
      <c r="K243" s="25"/>
      <c r="L243" s="25" t="str">
        <f aca="false">IF($C243="","",ROUND($J243*0.17,0))</f>
        <v/>
      </c>
      <c r="M243" s="25"/>
      <c r="N243" s="25"/>
      <c r="O243" s="25"/>
      <c r="P243" s="25"/>
      <c r="Q243" s="25"/>
      <c r="R243" s="25"/>
      <c r="S243" s="25" t="str">
        <f aca="false">IF($C243="","",ROUND($J243*2.2,0))</f>
        <v/>
      </c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  <c r="AF243" s="25"/>
      <c r="AG243" s="25"/>
      <c r="AH243" s="25"/>
      <c r="AI243" s="25"/>
      <c r="AJ243" s="25"/>
      <c r="AK243" s="25"/>
      <c r="AL243" s="25"/>
      <c r="AM243" s="25"/>
      <c r="AN243" s="25"/>
    </row>
    <row r="244" customFormat="false" ht="15.75" hidden="false" customHeight="true" outlineLevel="0" collapsed="false">
      <c r="A244" s="25"/>
      <c r="B244" s="25" t="str">
        <f aca="false">IF($C244="","",COUNTA($C$5:C244))</f>
        <v/>
      </c>
      <c r="C244" s="25"/>
      <c r="D244" s="25"/>
      <c r="E244" s="25"/>
      <c r="F244" s="25"/>
      <c r="G244" s="25"/>
      <c r="H244" s="25"/>
      <c r="I244" s="25"/>
      <c r="J244" s="25"/>
      <c r="K244" s="25"/>
      <c r="L244" s="25" t="str">
        <f aca="false">IF($C244="","",ROUND($J244*0.17,0))</f>
        <v/>
      </c>
      <c r="M244" s="25"/>
      <c r="N244" s="25"/>
      <c r="O244" s="25"/>
      <c r="P244" s="25"/>
      <c r="Q244" s="25"/>
      <c r="R244" s="25"/>
      <c r="S244" s="25" t="str">
        <f aca="false">IF($C244="","",ROUND($J244*2.2,0))</f>
        <v/>
      </c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  <c r="AF244" s="25"/>
      <c r="AG244" s="25"/>
      <c r="AH244" s="25"/>
      <c r="AI244" s="25"/>
      <c r="AJ244" s="25"/>
      <c r="AK244" s="25"/>
      <c r="AL244" s="25"/>
      <c r="AM244" s="25"/>
      <c r="AN244" s="25"/>
    </row>
    <row r="245" customFormat="false" ht="15.75" hidden="false" customHeight="true" outlineLevel="0" collapsed="false">
      <c r="A245" s="25"/>
      <c r="B245" s="25" t="str">
        <f aca="false">IF($C245="","",COUNTA($C$5:C245))</f>
        <v/>
      </c>
      <c r="C245" s="25"/>
      <c r="D245" s="25"/>
      <c r="E245" s="25"/>
      <c r="F245" s="25"/>
      <c r="G245" s="25"/>
      <c r="H245" s="25"/>
      <c r="I245" s="25"/>
      <c r="J245" s="25"/>
      <c r="K245" s="25"/>
      <c r="L245" s="25" t="str">
        <f aca="false">IF($C245="","",ROUND($J245*0.17,0))</f>
        <v/>
      </c>
      <c r="M245" s="25"/>
      <c r="N245" s="25"/>
      <c r="O245" s="25"/>
      <c r="P245" s="25"/>
      <c r="Q245" s="25"/>
      <c r="R245" s="25"/>
      <c r="S245" s="25" t="str">
        <f aca="false">IF($C245="","",ROUND($J245*2.2,0))</f>
        <v/>
      </c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5"/>
      <c r="AG245" s="25"/>
      <c r="AH245" s="25"/>
      <c r="AI245" s="25"/>
      <c r="AJ245" s="25"/>
      <c r="AK245" s="25"/>
      <c r="AL245" s="25"/>
      <c r="AM245" s="25"/>
      <c r="AN245" s="25"/>
    </row>
    <row r="246" customFormat="false" ht="15.75" hidden="false" customHeight="true" outlineLevel="0" collapsed="false">
      <c r="A246" s="25"/>
      <c r="B246" s="25" t="str">
        <f aca="false">IF($C246="","",COUNTA($C$5:C246))</f>
        <v/>
      </c>
      <c r="C246" s="25"/>
      <c r="D246" s="25"/>
      <c r="E246" s="25"/>
      <c r="F246" s="25"/>
      <c r="G246" s="25"/>
      <c r="H246" s="25"/>
      <c r="I246" s="25"/>
      <c r="J246" s="25"/>
      <c r="K246" s="25"/>
      <c r="L246" s="25" t="str">
        <f aca="false">IF($C246="","",ROUND($J246*0.17,0))</f>
        <v/>
      </c>
      <c r="M246" s="25"/>
      <c r="N246" s="25"/>
      <c r="O246" s="25"/>
      <c r="P246" s="25"/>
      <c r="Q246" s="25"/>
      <c r="R246" s="25"/>
      <c r="S246" s="25" t="str">
        <f aca="false">IF($C246="","",ROUND($J246*2.2,0))</f>
        <v/>
      </c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  <c r="AF246" s="25"/>
      <c r="AG246" s="25"/>
      <c r="AH246" s="25"/>
      <c r="AI246" s="25"/>
      <c r="AJ246" s="25"/>
      <c r="AK246" s="25"/>
      <c r="AL246" s="25"/>
      <c r="AM246" s="25"/>
      <c r="AN246" s="25"/>
    </row>
    <row r="247" customFormat="false" ht="15.75" hidden="false" customHeight="true" outlineLevel="0" collapsed="false">
      <c r="A247" s="25"/>
      <c r="B247" s="25" t="str">
        <f aca="false">IF($C247="","",COUNTA($C$5:C247))</f>
        <v/>
      </c>
      <c r="C247" s="25"/>
      <c r="D247" s="25"/>
      <c r="E247" s="25"/>
      <c r="F247" s="25"/>
      <c r="G247" s="25"/>
      <c r="H247" s="25"/>
      <c r="I247" s="25"/>
      <c r="J247" s="25"/>
      <c r="K247" s="25"/>
      <c r="L247" s="25" t="str">
        <f aca="false">IF($C247="","",ROUND($J247*0.17,0))</f>
        <v/>
      </c>
      <c r="M247" s="25"/>
      <c r="N247" s="25"/>
      <c r="O247" s="25"/>
      <c r="P247" s="25"/>
      <c r="Q247" s="25"/>
      <c r="R247" s="25"/>
      <c r="S247" s="25" t="str">
        <f aca="false">IF($C247="","",ROUND($J247*2.2,0))</f>
        <v/>
      </c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  <c r="AF247" s="25"/>
      <c r="AG247" s="25"/>
      <c r="AH247" s="25"/>
      <c r="AI247" s="25"/>
      <c r="AJ247" s="25"/>
      <c r="AK247" s="25"/>
      <c r="AL247" s="25"/>
      <c r="AM247" s="25"/>
      <c r="AN247" s="25"/>
    </row>
    <row r="248" customFormat="false" ht="15.75" hidden="false" customHeight="true" outlineLevel="0" collapsed="false">
      <c r="A248" s="25"/>
      <c r="B248" s="25" t="str">
        <f aca="false">IF($C248="","",COUNTA($C$5:C248))</f>
        <v/>
      </c>
      <c r="C248" s="25"/>
      <c r="D248" s="25"/>
      <c r="E248" s="25"/>
      <c r="F248" s="25"/>
      <c r="G248" s="25"/>
      <c r="H248" s="25"/>
      <c r="I248" s="25"/>
      <c r="J248" s="25"/>
      <c r="K248" s="25"/>
      <c r="L248" s="25" t="str">
        <f aca="false">IF($C248="","",ROUND($J248*0.17,0))</f>
        <v/>
      </c>
      <c r="M248" s="25"/>
      <c r="N248" s="25"/>
      <c r="O248" s="25"/>
      <c r="P248" s="25"/>
      <c r="Q248" s="25"/>
      <c r="R248" s="25"/>
      <c r="S248" s="25" t="str">
        <f aca="false">IF($C248="","",ROUND($J248*2.2,0))</f>
        <v/>
      </c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  <c r="AF248" s="25"/>
      <c r="AG248" s="25"/>
      <c r="AH248" s="25"/>
      <c r="AI248" s="25"/>
      <c r="AJ248" s="25"/>
      <c r="AK248" s="25"/>
      <c r="AL248" s="25"/>
      <c r="AM248" s="25"/>
      <c r="AN248" s="25"/>
    </row>
    <row r="249" customFormat="false" ht="15.75" hidden="false" customHeight="true" outlineLevel="0" collapsed="false">
      <c r="A249" s="25"/>
      <c r="B249" s="25" t="str">
        <f aca="false">IF($C249="","",COUNTA($C$5:C249))</f>
        <v/>
      </c>
      <c r="C249" s="25"/>
      <c r="D249" s="25"/>
      <c r="E249" s="25"/>
      <c r="F249" s="25"/>
      <c r="G249" s="25"/>
      <c r="H249" s="25"/>
      <c r="I249" s="25"/>
      <c r="J249" s="25"/>
      <c r="K249" s="25"/>
      <c r="L249" s="25" t="str">
        <f aca="false">IF($C249="","",ROUND($J249*0.17,0))</f>
        <v/>
      </c>
      <c r="M249" s="25"/>
      <c r="N249" s="25"/>
      <c r="O249" s="25"/>
      <c r="P249" s="25"/>
      <c r="Q249" s="25"/>
      <c r="R249" s="25"/>
      <c r="S249" s="25" t="str">
        <f aca="false">IF($C249="","",ROUND($J249*2.2,0))</f>
        <v/>
      </c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  <c r="AF249" s="25"/>
      <c r="AG249" s="25"/>
      <c r="AH249" s="25"/>
      <c r="AI249" s="25"/>
      <c r="AJ249" s="25"/>
      <c r="AK249" s="25"/>
      <c r="AL249" s="25"/>
      <c r="AM249" s="25"/>
      <c r="AN249" s="25"/>
    </row>
    <row r="250" customFormat="false" ht="15.75" hidden="false" customHeight="true" outlineLevel="0" collapsed="false">
      <c r="A250" s="25"/>
      <c r="B250" s="25" t="str">
        <f aca="false">IF($C250="","",COUNTA($C$5:C250))</f>
        <v/>
      </c>
      <c r="C250" s="25"/>
      <c r="D250" s="25"/>
      <c r="E250" s="25"/>
      <c r="F250" s="25"/>
      <c r="G250" s="25"/>
      <c r="H250" s="25"/>
      <c r="I250" s="25"/>
      <c r="J250" s="25"/>
      <c r="K250" s="25"/>
      <c r="L250" s="25" t="str">
        <f aca="false">IF($C250="","",ROUND($J250*0.17,0))</f>
        <v/>
      </c>
      <c r="M250" s="25"/>
      <c r="N250" s="25"/>
      <c r="O250" s="25"/>
      <c r="P250" s="25"/>
      <c r="Q250" s="25"/>
      <c r="R250" s="25"/>
      <c r="S250" s="25" t="str">
        <f aca="false">IF($C250="","",ROUND($J250*2.2,0))</f>
        <v/>
      </c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  <c r="AF250" s="25"/>
      <c r="AG250" s="25"/>
      <c r="AH250" s="25"/>
      <c r="AI250" s="25"/>
      <c r="AJ250" s="25"/>
      <c r="AK250" s="25"/>
      <c r="AL250" s="25"/>
      <c r="AM250" s="25"/>
      <c r="AN250" s="25"/>
    </row>
    <row r="251" customFormat="false" ht="15.75" hidden="false" customHeight="true" outlineLevel="0" collapsed="false">
      <c r="A251" s="25"/>
      <c r="B251" s="25" t="str">
        <f aca="false">IF($C251="","",COUNTA($C$5:C251))</f>
        <v/>
      </c>
      <c r="C251" s="25"/>
      <c r="D251" s="25"/>
      <c r="E251" s="25"/>
      <c r="F251" s="25"/>
      <c r="G251" s="25"/>
      <c r="H251" s="25"/>
      <c r="I251" s="25"/>
      <c r="J251" s="25"/>
      <c r="K251" s="25"/>
      <c r="L251" s="25" t="str">
        <f aca="false">IF($C251="","",ROUND($J251*0.17,0))</f>
        <v/>
      </c>
      <c r="M251" s="25"/>
      <c r="N251" s="25"/>
      <c r="O251" s="25"/>
      <c r="P251" s="25"/>
      <c r="Q251" s="25"/>
      <c r="R251" s="25"/>
      <c r="S251" s="25" t="str">
        <f aca="false">IF($C251="","",ROUND($J251*2.2,0))</f>
        <v/>
      </c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  <c r="AF251" s="25"/>
      <c r="AG251" s="25"/>
      <c r="AH251" s="25"/>
      <c r="AI251" s="25"/>
      <c r="AJ251" s="25"/>
      <c r="AK251" s="25"/>
      <c r="AL251" s="25"/>
      <c r="AM251" s="25"/>
      <c r="AN251" s="25"/>
    </row>
    <row r="252" customFormat="false" ht="15.75" hidden="false" customHeight="true" outlineLevel="0" collapsed="false">
      <c r="A252" s="25"/>
      <c r="B252" s="25" t="str">
        <f aca="false">IF($C252="","",COUNTA($C$5:C252))</f>
        <v/>
      </c>
      <c r="C252" s="25"/>
      <c r="D252" s="25"/>
      <c r="E252" s="25"/>
      <c r="F252" s="25"/>
      <c r="G252" s="25"/>
      <c r="H252" s="25"/>
      <c r="I252" s="25"/>
      <c r="J252" s="25"/>
      <c r="K252" s="25"/>
      <c r="L252" s="25" t="str">
        <f aca="false">IF($C252="","",ROUND($J252*0.17,0))</f>
        <v/>
      </c>
      <c r="M252" s="25"/>
      <c r="N252" s="25"/>
      <c r="O252" s="25"/>
      <c r="P252" s="25"/>
      <c r="Q252" s="25"/>
      <c r="R252" s="25"/>
      <c r="S252" s="25" t="str">
        <f aca="false">IF($C252="","",ROUND($J252*2.2,0))</f>
        <v/>
      </c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  <c r="AF252" s="25"/>
      <c r="AG252" s="25"/>
      <c r="AH252" s="25"/>
      <c r="AI252" s="25"/>
      <c r="AJ252" s="25"/>
      <c r="AK252" s="25"/>
      <c r="AL252" s="25"/>
      <c r="AM252" s="25"/>
      <c r="AN252" s="25"/>
    </row>
    <row r="253" customFormat="false" ht="15.75" hidden="false" customHeight="true" outlineLevel="0" collapsed="false">
      <c r="A253" s="25"/>
      <c r="B253" s="25" t="str">
        <f aca="false">IF($C253="","",COUNTA($C$5:C253))</f>
        <v/>
      </c>
      <c r="C253" s="25"/>
      <c r="D253" s="25"/>
      <c r="E253" s="25"/>
      <c r="F253" s="25"/>
      <c r="G253" s="25"/>
      <c r="H253" s="25"/>
      <c r="I253" s="25"/>
      <c r="J253" s="25"/>
      <c r="K253" s="25"/>
      <c r="L253" s="25" t="str">
        <f aca="false">IF($C253="","",ROUND($J253*0.17,0))</f>
        <v/>
      </c>
      <c r="M253" s="25"/>
      <c r="N253" s="25"/>
      <c r="O253" s="25"/>
      <c r="P253" s="25"/>
      <c r="Q253" s="25"/>
      <c r="R253" s="25"/>
      <c r="S253" s="25" t="str">
        <f aca="false">IF($C253="","",ROUND($J253*2.2,0))</f>
        <v/>
      </c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  <c r="AF253" s="25"/>
      <c r="AG253" s="25"/>
      <c r="AH253" s="25"/>
      <c r="AI253" s="25"/>
      <c r="AJ253" s="25"/>
      <c r="AK253" s="25"/>
      <c r="AL253" s="25"/>
      <c r="AM253" s="25"/>
      <c r="AN253" s="25"/>
    </row>
    <row r="254" customFormat="false" ht="15.75" hidden="false" customHeight="true" outlineLevel="0" collapsed="false">
      <c r="A254" s="25"/>
      <c r="B254" s="25" t="str">
        <f aca="false">IF($C254="","",COUNTA($C$5:C254))</f>
        <v/>
      </c>
      <c r="C254" s="25"/>
      <c r="D254" s="25"/>
      <c r="E254" s="25"/>
      <c r="F254" s="25"/>
      <c r="G254" s="25"/>
      <c r="H254" s="25"/>
      <c r="I254" s="25"/>
      <c r="J254" s="25"/>
      <c r="K254" s="25"/>
      <c r="L254" s="25" t="str">
        <f aca="false">IF($C254="","",ROUND($J254*0.17,0))</f>
        <v/>
      </c>
      <c r="M254" s="25"/>
      <c r="N254" s="25"/>
      <c r="O254" s="25"/>
      <c r="P254" s="25"/>
      <c r="Q254" s="25"/>
      <c r="R254" s="25"/>
      <c r="S254" s="25" t="str">
        <f aca="false">IF($C254="","",ROUND($J254*2.2,0))</f>
        <v/>
      </c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  <c r="AF254" s="25"/>
      <c r="AG254" s="25"/>
      <c r="AH254" s="25"/>
      <c r="AI254" s="25"/>
      <c r="AJ254" s="25"/>
      <c r="AK254" s="25"/>
      <c r="AL254" s="25"/>
      <c r="AM254" s="25"/>
      <c r="AN254" s="25"/>
    </row>
    <row r="255" customFormat="false" ht="15.75" hidden="false" customHeight="true" outlineLevel="0" collapsed="false">
      <c r="A255" s="25"/>
      <c r="B255" s="25" t="str">
        <f aca="false">IF($C255="","",COUNTA($C$5:C255))</f>
        <v/>
      </c>
      <c r="C255" s="25"/>
      <c r="D255" s="25"/>
      <c r="E255" s="25"/>
      <c r="F255" s="25"/>
      <c r="G255" s="25"/>
      <c r="H255" s="25"/>
      <c r="I255" s="25"/>
      <c r="J255" s="25"/>
      <c r="K255" s="25"/>
      <c r="L255" s="25" t="str">
        <f aca="false">IF($C255="","",ROUND($J255*0.17,0))</f>
        <v/>
      </c>
      <c r="M255" s="25"/>
      <c r="N255" s="25"/>
      <c r="O255" s="25"/>
      <c r="P255" s="25"/>
      <c r="Q255" s="25"/>
      <c r="R255" s="25"/>
      <c r="S255" s="25" t="str">
        <f aca="false">IF($C255="","",ROUND($J255*2.2,0))</f>
        <v/>
      </c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  <c r="AF255" s="25"/>
      <c r="AG255" s="25"/>
      <c r="AH255" s="25"/>
      <c r="AI255" s="25"/>
      <c r="AJ255" s="25"/>
      <c r="AK255" s="25"/>
      <c r="AL255" s="25"/>
      <c r="AM255" s="25"/>
      <c r="AN255" s="25"/>
    </row>
    <row r="256" customFormat="false" ht="15.75" hidden="false" customHeight="true" outlineLevel="0" collapsed="false">
      <c r="A256" s="25"/>
      <c r="B256" s="25" t="str">
        <f aca="false">IF($C256="","",COUNTA($C$5:C256))</f>
        <v/>
      </c>
      <c r="C256" s="25"/>
      <c r="D256" s="25"/>
      <c r="E256" s="25"/>
      <c r="F256" s="25"/>
      <c r="G256" s="25"/>
      <c r="H256" s="25"/>
      <c r="I256" s="25"/>
      <c r="J256" s="25"/>
      <c r="K256" s="25"/>
      <c r="L256" s="25" t="str">
        <f aca="false">IF($C256="","",ROUND($J256*0.17,0))</f>
        <v/>
      </c>
      <c r="M256" s="25"/>
      <c r="N256" s="25"/>
      <c r="O256" s="25"/>
      <c r="P256" s="25"/>
      <c r="Q256" s="25"/>
      <c r="R256" s="25"/>
      <c r="S256" s="25" t="str">
        <f aca="false">IF($C256="","",ROUND($J256*2.2,0))</f>
        <v/>
      </c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  <c r="AF256" s="25"/>
      <c r="AG256" s="25"/>
      <c r="AH256" s="25"/>
      <c r="AI256" s="25"/>
      <c r="AJ256" s="25"/>
      <c r="AK256" s="25"/>
      <c r="AL256" s="25"/>
      <c r="AM256" s="25"/>
      <c r="AN256" s="25"/>
    </row>
    <row r="257" customFormat="false" ht="15.75" hidden="false" customHeight="true" outlineLevel="0" collapsed="false">
      <c r="A257" s="25"/>
      <c r="B257" s="25" t="str">
        <f aca="false">IF($C257="","",COUNTA($C$5:C257))</f>
        <v/>
      </c>
      <c r="C257" s="25"/>
      <c r="D257" s="25"/>
      <c r="E257" s="25"/>
      <c r="F257" s="25"/>
      <c r="G257" s="25"/>
      <c r="H257" s="25"/>
      <c r="I257" s="25"/>
      <c r="J257" s="25"/>
      <c r="K257" s="25"/>
      <c r="L257" s="25" t="str">
        <f aca="false">IF($C257="","",ROUND($J257*0.17,0))</f>
        <v/>
      </c>
      <c r="M257" s="25"/>
      <c r="N257" s="25"/>
      <c r="O257" s="25"/>
      <c r="P257" s="25"/>
      <c r="Q257" s="25"/>
      <c r="R257" s="25"/>
      <c r="S257" s="25" t="str">
        <f aca="false">IF($C257="","",ROUND($J257*2.2,0))</f>
        <v/>
      </c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  <c r="AF257" s="25"/>
      <c r="AG257" s="25"/>
      <c r="AH257" s="25"/>
      <c r="AI257" s="25"/>
      <c r="AJ257" s="25"/>
      <c r="AK257" s="25"/>
      <c r="AL257" s="25"/>
      <c r="AM257" s="25"/>
      <c r="AN257" s="25"/>
    </row>
    <row r="258" customFormat="false" ht="15.75" hidden="false" customHeight="true" outlineLevel="0" collapsed="false">
      <c r="A258" s="25"/>
      <c r="B258" s="25" t="str">
        <f aca="false">IF($C258="","",COUNTA($C$5:C258))</f>
        <v/>
      </c>
      <c r="C258" s="25"/>
      <c r="D258" s="25"/>
      <c r="E258" s="25"/>
      <c r="F258" s="25"/>
      <c r="G258" s="25"/>
      <c r="H258" s="25"/>
      <c r="I258" s="25"/>
      <c r="J258" s="25"/>
      <c r="K258" s="25"/>
      <c r="L258" s="25" t="str">
        <f aca="false">IF($C258="","",ROUND($J258*0.17,0))</f>
        <v/>
      </c>
      <c r="M258" s="25"/>
      <c r="N258" s="25"/>
      <c r="O258" s="25"/>
      <c r="P258" s="25"/>
      <c r="Q258" s="25"/>
      <c r="R258" s="25"/>
      <c r="S258" s="25" t="str">
        <f aca="false">IF($C258="","",ROUND($J258*2.2,0))</f>
        <v/>
      </c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  <c r="AF258" s="25"/>
      <c r="AG258" s="25"/>
      <c r="AH258" s="25"/>
      <c r="AI258" s="25"/>
      <c r="AJ258" s="25"/>
      <c r="AK258" s="25"/>
      <c r="AL258" s="25"/>
      <c r="AM258" s="25"/>
      <c r="AN258" s="25"/>
    </row>
    <row r="259" customFormat="false" ht="15.75" hidden="false" customHeight="true" outlineLevel="0" collapsed="false">
      <c r="A259" s="25"/>
      <c r="B259" s="25" t="str">
        <f aca="false">IF($C259="","",COUNTA($C$5:C259))</f>
        <v/>
      </c>
      <c r="C259" s="25"/>
      <c r="D259" s="25"/>
      <c r="E259" s="25"/>
      <c r="F259" s="25"/>
      <c r="G259" s="25"/>
      <c r="H259" s="25"/>
      <c r="I259" s="25"/>
      <c r="J259" s="25"/>
      <c r="K259" s="25"/>
      <c r="L259" s="25" t="str">
        <f aca="false">IF($C259="","",ROUND($J259*0.17,0))</f>
        <v/>
      </c>
      <c r="M259" s="25"/>
      <c r="N259" s="25"/>
      <c r="O259" s="25"/>
      <c r="P259" s="25"/>
      <c r="Q259" s="25"/>
      <c r="R259" s="25"/>
      <c r="S259" s="25" t="str">
        <f aca="false">IF($C259="","",ROUND($J259*2.2,0))</f>
        <v/>
      </c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  <c r="AF259" s="25"/>
      <c r="AG259" s="25"/>
      <c r="AH259" s="25"/>
      <c r="AI259" s="25"/>
      <c r="AJ259" s="25"/>
      <c r="AK259" s="25"/>
      <c r="AL259" s="25"/>
      <c r="AM259" s="25"/>
      <c r="AN259" s="25"/>
    </row>
    <row r="260" customFormat="false" ht="15.75" hidden="false" customHeight="true" outlineLevel="0" collapsed="false">
      <c r="A260" s="25"/>
      <c r="B260" s="25" t="str">
        <f aca="false">IF($C260="","",COUNTA($C$5:C260))</f>
        <v/>
      </c>
      <c r="C260" s="25"/>
      <c r="D260" s="25"/>
      <c r="E260" s="25"/>
      <c r="F260" s="25"/>
      <c r="G260" s="25"/>
      <c r="H260" s="25"/>
      <c r="I260" s="25"/>
      <c r="J260" s="25"/>
      <c r="K260" s="25"/>
      <c r="L260" s="25" t="str">
        <f aca="false">IF($C260="","",ROUND($J260*0.17,0))</f>
        <v/>
      </c>
      <c r="M260" s="25"/>
      <c r="N260" s="25"/>
      <c r="O260" s="25"/>
      <c r="P260" s="25"/>
      <c r="Q260" s="25"/>
      <c r="R260" s="25"/>
      <c r="S260" s="25" t="str">
        <f aca="false">IF($C260="","",ROUND($J260*2.2,0))</f>
        <v/>
      </c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  <c r="AF260" s="25"/>
      <c r="AG260" s="25"/>
      <c r="AH260" s="25"/>
      <c r="AI260" s="25"/>
      <c r="AJ260" s="25"/>
      <c r="AK260" s="25"/>
      <c r="AL260" s="25"/>
      <c r="AM260" s="25"/>
      <c r="AN260" s="25"/>
    </row>
    <row r="261" customFormat="false" ht="15.75" hidden="false" customHeight="true" outlineLevel="0" collapsed="false">
      <c r="A261" s="25"/>
      <c r="B261" s="25" t="str">
        <f aca="false">IF($C261="","",COUNTA($C$5:C261))</f>
        <v/>
      </c>
      <c r="C261" s="25"/>
      <c r="D261" s="25"/>
      <c r="E261" s="25"/>
      <c r="F261" s="25"/>
      <c r="G261" s="25"/>
      <c r="H261" s="25"/>
      <c r="I261" s="25"/>
      <c r="J261" s="25"/>
      <c r="K261" s="25"/>
      <c r="L261" s="25" t="str">
        <f aca="false">IF($C261="","",ROUND($J261*0.17,0))</f>
        <v/>
      </c>
      <c r="M261" s="25"/>
      <c r="N261" s="25"/>
      <c r="O261" s="25"/>
      <c r="P261" s="25"/>
      <c r="Q261" s="25"/>
      <c r="R261" s="25"/>
      <c r="S261" s="25" t="str">
        <f aca="false">IF($C261="","",ROUND($J261*2.2,0))</f>
        <v/>
      </c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  <c r="AF261" s="25"/>
      <c r="AG261" s="25"/>
      <c r="AH261" s="25"/>
      <c r="AI261" s="25"/>
      <c r="AJ261" s="25"/>
      <c r="AK261" s="25"/>
      <c r="AL261" s="25"/>
      <c r="AM261" s="25"/>
      <c r="AN261" s="25"/>
    </row>
    <row r="262" customFormat="false" ht="15.75" hidden="false" customHeight="true" outlineLevel="0" collapsed="false">
      <c r="A262" s="25"/>
      <c r="B262" s="25" t="str">
        <f aca="false">IF($C262="","",COUNTA($C$5:C262))</f>
        <v/>
      </c>
      <c r="C262" s="25"/>
      <c r="D262" s="25"/>
      <c r="E262" s="25"/>
      <c r="F262" s="25"/>
      <c r="G262" s="25"/>
      <c r="H262" s="25"/>
      <c r="I262" s="25"/>
      <c r="J262" s="25"/>
      <c r="K262" s="25"/>
      <c r="L262" s="25" t="str">
        <f aca="false">IF($C262="","",ROUND($J262*0.17,0))</f>
        <v/>
      </c>
      <c r="M262" s="25"/>
      <c r="N262" s="25"/>
      <c r="O262" s="25"/>
      <c r="P262" s="25"/>
      <c r="Q262" s="25"/>
      <c r="R262" s="25"/>
      <c r="S262" s="25" t="str">
        <f aca="false">IF($C262="","",ROUND($J262*2.2,0))</f>
        <v/>
      </c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  <c r="AF262" s="25"/>
      <c r="AG262" s="25"/>
      <c r="AH262" s="25"/>
      <c r="AI262" s="25"/>
      <c r="AJ262" s="25"/>
      <c r="AK262" s="25"/>
      <c r="AL262" s="25"/>
      <c r="AM262" s="25"/>
      <c r="AN262" s="25"/>
    </row>
    <row r="263" customFormat="false" ht="15.75" hidden="false" customHeight="true" outlineLevel="0" collapsed="false">
      <c r="A263" s="25"/>
      <c r="B263" s="25" t="str">
        <f aca="false">IF($C263="","",COUNTA($C$5:C263))</f>
        <v/>
      </c>
      <c r="C263" s="25"/>
      <c r="D263" s="25"/>
      <c r="E263" s="25"/>
      <c r="F263" s="25"/>
      <c r="G263" s="25"/>
      <c r="H263" s="25"/>
      <c r="I263" s="25"/>
      <c r="J263" s="25"/>
      <c r="K263" s="25"/>
      <c r="L263" s="25" t="str">
        <f aca="false">IF($C263="","",ROUND($J263*0.17,0))</f>
        <v/>
      </c>
      <c r="M263" s="25"/>
      <c r="N263" s="25"/>
      <c r="O263" s="25"/>
      <c r="P263" s="25"/>
      <c r="Q263" s="25"/>
      <c r="R263" s="25"/>
      <c r="S263" s="25" t="str">
        <f aca="false">IF($C263="","",ROUND($J263*2.2,0))</f>
        <v/>
      </c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  <c r="AF263" s="25"/>
      <c r="AG263" s="25"/>
      <c r="AH263" s="25"/>
      <c r="AI263" s="25"/>
      <c r="AJ263" s="25"/>
      <c r="AK263" s="25"/>
      <c r="AL263" s="25"/>
      <c r="AM263" s="25"/>
      <c r="AN263" s="25"/>
    </row>
    <row r="264" customFormat="false" ht="15.75" hidden="false" customHeight="true" outlineLevel="0" collapsed="false">
      <c r="A264" s="25"/>
      <c r="B264" s="25" t="str">
        <f aca="false">IF($C264="","",COUNTA($C$5:C264))</f>
        <v/>
      </c>
      <c r="C264" s="25"/>
      <c r="D264" s="25"/>
      <c r="E264" s="25"/>
      <c r="F264" s="25"/>
      <c r="G264" s="25"/>
      <c r="H264" s="25"/>
      <c r="I264" s="25"/>
      <c r="J264" s="25"/>
      <c r="K264" s="25"/>
      <c r="L264" s="25" t="str">
        <f aca="false">IF($C264="","",ROUND($J264*0.17,0))</f>
        <v/>
      </c>
      <c r="M264" s="25"/>
      <c r="N264" s="25"/>
      <c r="O264" s="25"/>
      <c r="P264" s="25"/>
      <c r="Q264" s="25"/>
      <c r="R264" s="25"/>
      <c r="S264" s="25" t="str">
        <f aca="false">IF($C264="","",ROUND($J264*2.2,0))</f>
        <v/>
      </c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  <c r="AF264" s="25"/>
      <c r="AG264" s="25"/>
      <c r="AH264" s="25"/>
      <c r="AI264" s="25"/>
      <c r="AJ264" s="25"/>
      <c r="AK264" s="25"/>
      <c r="AL264" s="25"/>
      <c r="AM264" s="25"/>
      <c r="AN264" s="25"/>
    </row>
    <row r="265" customFormat="false" ht="15.75" hidden="false" customHeight="true" outlineLevel="0" collapsed="false">
      <c r="A265" s="25"/>
      <c r="B265" s="25" t="str">
        <f aca="false">IF($C265="","",COUNTA($C$5:C265))</f>
        <v/>
      </c>
      <c r="C265" s="25"/>
      <c r="D265" s="25"/>
      <c r="E265" s="25"/>
      <c r="F265" s="25"/>
      <c r="G265" s="25"/>
      <c r="H265" s="25"/>
      <c r="I265" s="25"/>
      <c r="J265" s="25"/>
      <c r="K265" s="25"/>
      <c r="L265" s="25" t="str">
        <f aca="false">IF($C265="","",ROUND($J265*0.17,0))</f>
        <v/>
      </c>
      <c r="M265" s="25"/>
      <c r="N265" s="25"/>
      <c r="O265" s="25"/>
      <c r="P265" s="25"/>
      <c r="Q265" s="25"/>
      <c r="R265" s="25"/>
      <c r="S265" s="25" t="str">
        <f aca="false">IF($C265="","",ROUND($J265*2.2,0))</f>
        <v/>
      </c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  <c r="AF265" s="25"/>
      <c r="AG265" s="25"/>
      <c r="AH265" s="25"/>
      <c r="AI265" s="25"/>
      <c r="AJ265" s="25"/>
      <c r="AK265" s="25"/>
      <c r="AL265" s="25"/>
      <c r="AM265" s="25"/>
      <c r="AN265" s="25"/>
    </row>
    <row r="266" customFormat="false" ht="15.75" hidden="false" customHeight="true" outlineLevel="0" collapsed="false">
      <c r="A266" s="25"/>
      <c r="B266" s="25" t="str">
        <f aca="false">IF($C266="","",COUNTA($C$5:C266))</f>
        <v/>
      </c>
      <c r="C266" s="25"/>
      <c r="D266" s="25"/>
      <c r="E266" s="25"/>
      <c r="F266" s="25"/>
      <c r="G266" s="25"/>
      <c r="H266" s="25"/>
      <c r="I266" s="25"/>
      <c r="J266" s="25"/>
      <c r="K266" s="25"/>
      <c r="L266" s="25" t="str">
        <f aca="false">IF($C266="","",ROUND($J266*0.17,0))</f>
        <v/>
      </c>
      <c r="M266" s="25"/>
      <c r="N266" s="25"/>
      <c r="O266" s="25"/>
      <c r="P266" s="25"/>
      <c r="Q266" s="25"/>
      <c r="R266" s="25"/>
      <c r="S266" s="25" t="str">
        <f aca="false">IF($C266="","",ROUND($J266*2.2,0))</f>
        <v/>
      </c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  <c r="AF266" s="25"/>
      <c r="AG266" s="25"/>
      <c r="AH266" s="25"/>
      <c r="AI266" s="25"/>
      <c r="AJ266" s="25"/>
      <c r="AK266" s="25"/>
      <c r="AL266" s="25"/>
      <c r="AM266" s="25"/>
      <c r="AN266" s="25"/>
    </row>
    <row r="267" customFormat="false" ht="15.75" hidden="false" customHeight="true" outlineLevel="0" collapsed="false">
      <c r="A267" s="25"/>
      <c r="B267" s="25" t="str">
        <f aca="false">IF($C267="","",COUNTA($C$5:C267))</f>
        <v/>
      </c>
      <c r="C267" s="25"/>
      <c r="D267" s="25"/>
      <c r="E267" s="25"/>
      <c r="F267" s="25"/>
      <c r="G267" s="25"/>
      <c r="H267" s="25"/>
      <c r="I267" s="25"/>
      <c r="J267" s="25"/>
      <c r="K267" s="25"/>
      <c r="L267" s="25" t="str">
        <f aca="false">IF($C267="","",ROUND($J267*0.17,0))</f>
        <v/>
      </c>
      <c r="M267" s="25"/>
      <c r="N267" s="25"/>
      <c r="O267" s="25"/>
      <c r="P267" s="25"/>
      <c r="Q267" s="25"/>
      <c r="R267" s="25"/>
      <c r="S267" s="25" t="str">
        <f aca="false">IF($C267="","",ROUND($J267*2.2,0))</f>
        <v/>
      </c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  <c r="AF267" s="25"/>
      <c r="AG267" s="25"/>
      <c r="AH267" s="25"/>
      <c r="AI267" s="25"/>
      <c r="AJ267" s="25"/>
      <c r="AK267" s="25"/>
      <c r="AL267" s="25"/>
      <c r="AM267" s="25"/>
      <c r="AN267" s="25"/>
    </row>
    <row r="268" customFormat="false" ht="15.75" hidden="false" customHeight="true" outlineLevel="0" collapsed="false">
      <c r="A268" s="25"/>
      <c r="B268" s="25" t="str">
        <f aca="false">IF($C268="","",COUNTA($C$5:C268))</f>
        <v/>
      </c>
      <c r="C268" s="25"/>
      <c r="D268" s="25"/>
      <c r="E268" s="25"/>
      <c r="F268" s="25"/>
      <c r="G268" s="25"/>
      <c r="H268" s="25"/>
      <c r="I268" s="25"/>
      <c r="J268" s="25"/>
      <c r="K268" s="25"/>
      <c r="L268" s="25" t="str">
        <f aca="false">IF($C268="","",ROUND($J268*0.17,0))</f>
        <v/>
      </c>
      <c r="M268" s="25"/>
      <c r="N268" s="25"/>
      <c r="O268" s="25"/>
      <c r="P268" s="25"/>
      <c r="Q268" s="25"/>
      <c r="R268" s="25"/>
      <c r="S268" s="25" t="str">
        <f aca="false">IF($C268="","",ROUND($J268*2.2,0))</f>
        <v/>
      </c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  <c r="AF268" s="25"/>
      <c r="AG268" s="25"/>
      <c r="AH268" s="25"/>
      <c r="AI268" s="25"/>
      <c r="AJ268" s="25"/>
      <c r="AK268" s="25"/>
      <c r="AL268" s="25"/>
      <c r="AM268" s="25"/>
      <c r="AN268" s="25"/>
    </row>
    <row r="269" customFormat="false" ht="15.75" hidden="false" customHeight="true" outlineLevel="0" collapsed="false">
      <c r="A269" s="25"/>
      <c r="B269" s="25" t="str">
        <f aca="false">IF($C269="","",COUNTA($C$5:C269))</f>
        <v/>
      </c>
      <c r="C269" s="25"/>
      <c r="D269" s="25"/>
      <c r="E269" s="25"/>
      <c r="F269" s="25"/>
      <c r="G269" s="25"/>
      <c r="H269" s="25"/>
      <c r="I269" s="25"/>
      <c r="J269" s="25"/>
      <c r="K269" s="25"/>
      <c r="L269" s="25" t="str">
        <f aca="false">IF($C269="","",ROUND($J269*0.17,0))</f>
        <v/>
      </c>
      <c r="M269" s="25"/>
      <c r="N269" s="25"/>
      <c r="O269" s="25"/>
      <c r="P269" s="25"/>
      <c r="Q269" s="25"/>
      <c r="R269" s="25"/>
      <c r="S269" s="25" t="str">
        <f aca="false">IF($C269="","",ROUND($J269*2.2,0))</f>
        <v/>
      </c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  <c r="AF269" s="25"/>
      <c r="AG269" s="25"/>
      <c r="AH269" s="25"/>
      <c r="AI269" s="25"/>
      <c r="AJ269" s="25"/>
      <c r="AK269" s="25"/>
      <c r="AL269" s="25"/>
      <c r="AM269" s="25"/>
      <c r="AN269" s="25"/>
    </row>
    <row r="270" customFormat="false" ht="15.75" hidden="false" customHeight="true" outlineLevel="0" collapsed="false">
      <c r="A270" s="25"/>
      <c r="B270" s="25" t="str">
        <f aca="false">IF($C270="","",COUNTA($C$5:C270))</f>
        <v/>
      </c>
      <c r="C270" s="25"/>
      <c r="D270" s="25"/>
      <c r="E270" s="25"/>
      <c r="F270" s="25"/>
      <c r="G270" s="25"/>
      <c r="H270" s="25"/>
      <c r="I270" s="25"/>
      <c r="J270" s="25"/>
      <c r="K270" s="25"/>
      <c r="L270" s="25" t="str">
        <f aca="false">IF($C270="","",ROUND($J270*0.17,0))</f>
        <v/>
      </c>
      <c r="M270" s="25"/>
      <c r="N270" s="25"/>
      <c r="O270" s="25"/>
      <c r="P270" s="25"/>
      <c r="Q270" s="25"/>
      <c r="R270" s="25"/>
      <c r="S270" s="25" t="str">
        <f aca="false">IF($C270="","",ROUND($J270*2.2,0))</f>
        <v/>
      </c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5"/>
      <c r="AG270" s="25"/>
      <c r="AH270" s="25"/>
      <c r="AI270" s="25"/>
      <c r="AJ270" s="25"/>
      <c r="AK270" s="25"/>
      <c r="AL270" s="25"/>
      <c r="AM270" s="25"/>
      <c r="AN270" s="25"/>
    </row>
    <row r="271" customFormat="false" ht="15.75" hidden="false" customHeight="true" outlineLevel="0" collapsed="false">
      <c r="A271" s="25"/>
      <c r="B271" s="25" t="str">
        <f aca="false">IF($C271="","",COUNTA($C$5:C271))</f>
        <v/>
      </c>
      <c r="C271" s="25"/>
      <c r="D271" s="25"/>
      <c r="E271" s="25"/>
      <c r="F271" s="25"/>
      <c r="G271" s="25"/>
      <c r="H271" s="25"/>
      <c r="I271" s="25"/>
      <c r="J271" s="25"/>
      <c r="K271" s="25"/>
      <c r="L271" s="25" t="str">
        <f aca="false">IF($C271="","",ROUND($J271*0.17,0))</f>
        <v/>
      </c>
      <c r="M271" s="25"/>
      <c r="N271" s="25"/>
      <c r="O271" s="25"/>
      <c r="P271" s="25"/>
      <c r="Q271" s="25"/>
      <c r="R271" s="25"/>
      <c r="S271" s="25" t="str">
        <f aca="false">IF($C271="","",ROUND($J271*2.2,0))</f>
        <v/>
      </c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  <c r="AF271" s="25"/>
      <c r="AG271" s="25"/>
      <c r="AH271" s="25"/>
      <c r="AI271" s="25"/>
      <c r="AJ271" s="25"/>
      <c r="AK271" s="25"/>
      <c r="AL271" s="25"/>
      <c r="AM271" s="25"/>
      <c r="AN271" s="25"/>
    </row>
    <row r="272" customFormat="false" ht="15.75" hidden="false" customHeight="true" outlineLevel="0" collapsed="false">
      <c r="A272" s="25"/>
      <c r="B272" s="25" t="str">
        <f aca="false">IF($C272="","",COUNTA($C$5:C272))</f>
        <v/>
      </c>
      <c r="C272" s="25"/>
      <c r="D272" s="25"/>
      <c r="E272" s="25"/>
      <c r="F272" s="25"/>
      <c r="G272" s="25"/>
      <c r="H272" s="25"/>
      <c r="I272" s="25"/>
      <c r="J272" s="25"/>
      <c r="K272" s="25"/>
      <c r="L272" s="25" t="str">
        <f aca="false">IF($C272="","",ROUND($J272*0.17,0))</f>
        <v/>
      </c>
      <c r="M272" s="25"/>
      <c r="N272" s="25"/>
      <c r="O272" s="25"/>
      <c r="P272" s="25"/>
      <c r="Q272" s="25"/>
      <c r="R272" s="25"/>
      <c r="S272" s="25" t="str">
        <f aca="false">IF($C272="","",ROUND($J272*2.2,0))</f>
        <v/>
      </c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  <c r="AF272" s="25"/>
      <c r="AG272" s="25"/>
      <c r="AH272" s="25"/>
      <c r="AI272" s="25"/>
      <c r="AJ272" s="25"/>
      <c r="AK272" s="25"/>
      <c r="AL272" s="25"/>
      <c r="AM272" s="25"/>
      <c r="AN272" s="25"/>
    </row>
    <row r="273" customFormat="false" ht="15.75" hidden="false" customHeight="true" outlineLevel="0" collapsed="false">
      <c r="A273" s="25"/>
      <c r="B273" s="25" t="str">
        <f aca="false">IF($C273="","",COUNTA($C$5:C273))</f>
        <v/>
      </c>
      <c r="C273" s="25"/>
      <c r="D273" s="25"/>
      <c r="E273" s="25"/>
      <c r="F273" s="25"/>
      <c r="G273" s="25"/>
      <c r="H273" s="25"/>
      <c r="I273" s="25"/>
      <c r="J273" s="25"/>
      <c r="K273" s="25"/>
      <c r="L273" s="25" t="str">
        <f aca="false">IF($C273="","",ROUND($J273*0.17,0))</f>
        <v/>
      </c>
      <c r="M273" s="25"/>
      <c r="N273" s="25"/>
      <c r="O273" s="25"/>
      <c r="P273" s="25"/>
      <c r="Q273" s="25"/>
      <c r="R273" s="25"/>
      <c r="S273" s="25" t="str">
        <f aca="false">IF($C273="","",ROUND($J273*2.2,0))</f>
        <v/>
      </c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  <c r="AF273" s="25"/>
      <c r="AG273" s="25"/>
      <c r="AH273" s="25"/>
      <c r="AI273" s="25"/>
      <c r="AJ273" s="25"/>
      <c r="AK273" s="25"/>
      <c r="AL273" s="25"/>
      <c r="AM273" s="25"/>
      <c r="AN273" s="25"/>
    </row>
    <row r="274" customFormat="false" ht="15.75" hidden="false" customHeight="true" outlineLevel="0" collapsed="false">
      <c r="A274" s="25"/>
      <c r="B274" s="25" t="str">
        <f aca="false">IF($C274="","",COUNTA($C$5:C274))</f>
        <v/>
      </c>
      <c r="C274" s="25"/>
      <c r="D274" s="25"/>
      <c r="E274" s="25"/>
      <c r="F274" s="25"/>
      <c r="G274" s="25"/>
      <c r="H274" s="25"/>
      <c r="I274" s="25"/>
      <c r="J274" s="25"/>
      <c r="K274" s="25"/>
      <c r="L274" s="25" t="str">
        <f aca="false">IF($C274="","",ROUND($J274*0.17,0))</f>
        <v/>
      </c>
      <c r="M274" s="25"/>
      <c r="N274" s="25"/>
      <c r="O274" s="25"/>
      <c r="P274" s="25"/>
      <c r="Q274" s="25"/>
      <c r="R274" s="25"/>
      <c r="S274" s="25" t="str">
        <f aca="false">IF($C274="","",ROUND($J274*2.2,0))</f>
        <v/>
      </c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  <c r="AF274" s="25"/>
      <c r="AG274" s="25"/>
      <c r="AH274" s="25"/>
      <c r="AI274" s="25"/>
      <c r="AJ274" s="25"/>
      <c r="AK274" s="25"/>
      <c r="AL274" s="25"/>
      <c r="AM274" s="25"/>
      <c r="AN274" s="25"/>
    </row>
    <row r="275" customFormat="false" ht="15.75" hidden="false" customHeight="true" outlineLevel="0" collapsed="false">
      <c r="A275" s="25"/>
      <c r="B275" s="25" t="str">
        <f aca="false">IF($C275="","",COUNTA($C$5:C275))</f>
        <v/>
      </c>
      <c r="C275" s="25"/>
      <c r="D275" s="25"/>
      <c r="E275" s="25"/>
      <c r="F275" s="25"/>
      <c r="G275" s="25"/>
      <c r="H275" s="25"/>
      <c r="I275" s="25"/>
      <c r="J275" s="25"/>
      <c r="K275" s="25"/>
      <c r="L275" s="25" t="str">
        <f aca="false">IF($C275="","",ROUND($J275*0.17,0))</f>
        <v/>
      </c>
      <c r="M275" s="25"/>
      <c r="N275" s="25"/>
      <c r="O275" s="25"/>
      <c r="P275" s="25"/>
      <c r="Q275" s="25"/>
      <c r="R275" s="25"/>
      <c r="S275" s="25" t="str">
        <f aca="false">IF($C275="","",ROUND($J275*2.2,0))</f>
        <v/>
      </c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  <c r="AF275" s="25"/>
      <c r="AG275" s="25"/>
      <c r="AH275" s="25"/>
      <c r="AI275" s="25"/>
      <c r="AJ275" s="25"/>
      <c r="AK275" s="25"/>
      <c r="AL275" s="25"/>
      <c r="AM275" s="25"/>
      <c r="AN275" s="25"/>
    </row>
    <row r="276" customFormat="false" ht="15.75" hidden="false" customHeight="true" outlineLevel="0" collapsed="false">
      <c r="A276" s="25"/>
      <c r="B276" s="25" t="str">
        <f aca="false">IF($C276="","",COUNTA($C$5:C276))</f>
        <v/>
      </c>
      <c r="C276" s="25"/>
      <c r="D276" s="25"/>
      <c r="E276" s="25"/>
      <c r="F276" s="25"/>
      <c r="G276" s="25"/>
      <c r="H276" s="25"/>
      <c r="I276" s="25"/>
      <c r="J276" s="25"/>
      <c r="K276" s="25"/>
      <c r="L276" s="25" t="str">
        <f aca="false">IF($C276="","",ROUND($J276*0.17,0))</f>
        <v/>
      </c>
      <c r="M276" s="25"/>
      <c r="N276" s="25"/>
      <c r="O276" s="25"/>
      <c r="P276" s="25"/>
      <c r="Q276" s="25"/>
      <c r="R276" s="25"/>
      <c r="S276" s="25" t="str">
        <f aca="false">IF($C276="","",ROUND($J276*2.2,0))</f>
        <v/>
      </c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  <c r="AF276" s="25"/>
      <c r="AG276" s="25"/>
      <c r="AH276" s="25"/>
      <c r="AI276" s="25"/>
      <c r="AJ276" s="25"/>
      <c r="AK276" s="25"/>
      <c r="AL276" s="25"/>
      <c r="AM276" s="25"/>
      <c r="AN276" s="25"/>
    </row>
    <row r="277" customFormat="false" ht="15.75" hidden="false" customHeight="true" outlineLevel="0" collapsed="false">
      <c r="A277" s="25"/>
      <c r="B277" s="25" t="str">
        <f aca="false">IF($C277="","",COUNTA($C$5:C277))</f>
        <v/>
      </c>
      <c r="C277" s="25"/>
      <c r="D277" s="25"/>
      <c r="E277" s="25"/>
      <c r="F277" s="25"/>
      <c r="G277" s="25"/>
      <c r="H277" s="25"/>
      <c r="I277" s="25"/>
      <c r="J277" s="25"/>
      <c r="K277" s="25"/>
      <c r="L277" s="25" t="str">
        <f aca="false">IF($C277="","",ROUND($J277*0.17,0))</f>
        <v/>
      </c>
      <c r="M277" s="25"/>
      <c r="N277" s="25"/>
      <c r="O277" s="25"/>
      <c r="P277" s="25"/>
      <c r="Q277" s="25"/>
      <c r="R277" s="25"/>
      <c r="S277" s="25" t="str">
        <f aca="false">IF($C277="","",ROUND($J277*2.2,0))</f>
        <v/>
      </c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  <c r="AF277" s="25"/>
      <c r="AG277" s="25"/>
      <c r="AH277" s="25"/>
      <c r="AI277" s="25"/>
      <c r="AJ277" s="25"/>
      <c r="AK277" s="25"/>
      <c r="AL277" s="25"/>
      <c r="AM277" s="25"/>
      <c r="AN277" s="25"/>
    </row>
    <row r="278" customFormat="false" ht="15.75" hidden="false" customHeight="true" outlineLevel="0" collapsed="false">
      <c r="A278" s="25"/>
      <c r="B278" s="25" t="str">
        <f aca="false">IF($C278="","",COUNTA($C$5:C278))</f>
        <v/>
      </c>
      <c r="C278" s="25"/>
      <c r="D278" s="25"/>
      <c r="E278" s="25"/>
      <c r="F278" s="25"/>
      <c r="G278" s="25"/>
      <c r="H278" s="25"/>
      <c r="I278" s="25"/>
      <c r="J278" s="25"/>
      <c r="K278" s="25"/>
      <c r="L278" s="25" t="str">
        <f aca="false">IF($C278="","",ROUND($J278*0.17,0))</f>
        <v/>
      </c>
      <c r="M278" s="25"/>
      <c r="N278" s="25"/>
      <c r="O278" s="25"/>
      <c r="P278" s="25"/>
      <c r="Q278" s="25"/>
      <c r="R278" s="25"/>
      <c r="S278" s="25" t="str">
        <f aca="false">IF($C278="","",ROUND($J278*2.2,0))</f>
        <v/>
      </c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  <c r="AF278" s="25"/>
      <c r="AG278" s="25"/>
      <c r="AH278" s="25"/>
      <c r="AI278" s="25"/>
      <c r="AJ278" s="25"/>
      <c r="AK278" s="25"/>
      <c r="AL278" s="25"/>
      <c r="AM278" s="25"/>
      <c r="AN278" s="25"/>
    </row>
    <row r="279" customFormat="false" ht="15.75" hidden="false" customHeight="true" outlineLevel="0" collapsed="false">
      <c r="A279" s="25"/>
      <c r="B279" s="25" t="str">
        <f aca="false">IF($C279="","",COUNTA($C$5:C279))</f>
        <v/>
      </c>
      <c r="C279" s="25"/>
      <c r="D279" s="25"/>
      <c r="E279" s="25"/>
      <c r="F279" s="25"/>
      <c r="G279" s="25"/>
      <c r="H279" s="25"/>
      <c r="I279" s="25"/>
      <c r="J279" s="25"/>
      <c r="K279" s="25"/>
      <c r="L279" s="25" t="str">
        <f aca="false">IF($C279="","",ROUND($J279*0.17,0))</f>
        <v/>
      </c>
      <c r="M279" s="25"/>
      <c r="N279" s="25"/>
      <c r="O279" s="25"/>
      <c r="P279" s="25"/>
      <c r="Q279" s="25"/>
      <c r="R279" s="25"/>
      <c r="S279" s="25" t="str">
        <f aca="false">IF($C279="","",ROUND($J279*2.2,0))</f>
        <v/>
      </c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  <c r="AF279" s="25"/>
      <c r="AG279" s="25"/>
      <c r="AH279" s="25"/>
      <c r="AI279" s="25"/>
      <c r="AJ279" s="25"/>
      <c r="AK279" s="25"/>
      <c r="AL279" s="25"/>
      <c r="AM279" s="25"/>
      <c r="AN279" s="25"/>
    </row>
    <row r="280" customFormat="false" ht="15.75" hidden="false" customHeight="true" outlineLevel="0" collapsed="false">
      <c r="A280" s="25"/>
      <c r="B280" s="25" t="str">
        <f aca="false">IF($C280="","",COUNTA($C$5:C280))</f>
        <v/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 t="str">
        <f aca="false">IF($C280="","",ROUND($J280*0.17,0))</f>
        <v/>
      </c>
      <c r="M280" s="25"/>
      <c r="N280" s="25"/>
      <c r="O280" s="25"/>
      <c r="P280" s="25"/>
      <c r="Q280" s="25"/>
      <c r="R280" s="25"/>
      <c r="S280" s="25" t="str">
        <f aca="false">IF($C280="","",ROUND($J280*2.2,0))</f>
        <v/>
      </c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  <c r="AF280" s="25"/>
      <c r="AG280" s="25"/>
      <c r="AH280" s="25"/>
      <c r="AI280" s="25"/>
      <c r="AJ280" s="25"/>
      <c r="AK280" s="25"/>
      <c r="AL280" s="25"/>
      <c r="AM280" s="25"/>
      <c r="AN280" s="25"/>
    </row>
    <row r="281" customFormat="false" ht="15.75" hidden="false" customHeight="true" outlineLevel="0" collapsed="false">
      <c r="A281" s="25"/>
      <c r="B281" s="25" t="str">
        <f aca="false">IF($C281="","",COUNTA($C$5:C281))</f>
        <v/>
      </c>
      <c r="C281" s="25"/>
      <c r="D281" s="25"/>
      <c r="E281" s="25"/>
      <c r="F281" s="25"/>
      <c r="G281" s="25"/>
      <c r="H281" s="25"/>
      <c r="I281" s="25"/>
      <c r="J281" s="25"/>
      <c r="K281" s="25"/>
      <c r="L281" s="25" t="str">
        <f aca="false">IF($C281="","",ROUND($J281*0.17,0))</f>
        <v/>
      </c>
      <c r="M281" s="25"/>
      <c r="N281" s="25"/>
      <c r="O281" s="25"/>
      <c r="P281" s="25"/>
      <c r="Q281" s="25"/>
      <c r="R281" s="25"/>
      <c r="S281" s="25" t="str">
        <f aca="false">IF($C281="","",ROUND($J281*2.2,0))</f>
        <v/>
      </c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  <c r="AF281" s="25"/>
      <c r="AG281" s="25"/>
      <c r="AH281" s="25"/>
      <c r="AI281" s="25"/>
      <c r="AJ281" s="25"/>
      <c r="AK281" s="25"/>
      <c r="AL281" s="25"/>
      <c r="AM281" s="25"/>
      <c r="AN281" s="25"/>
    </row>
    <row r="282" customFormat="false" ht="15.75" hidden="false" customHeight="true" outlineLevel="0" collapsed="false">
      <c r="A282" s="25"/>
      <c r="B282" s="25" t="str">
        <f aca="false">IF($C282="","",COUNTA($C$5:C282))</f>
        <v/>
      </c>
      <c r="C282" s="25"/>
      <c r="D282" s="25"/>
      <c r="E282" s="25"/>
      <c r="F282" s="25"/>
      <c r="G282" s="25"/>
      <c r="H282" s="25"/>
      <c r="I282" s="25"/>
      <c r="J282" s="25"/>
      <c r="K282" s="25"/>
      <c r="L282" s="25" t="str">
        <f aca="false">IF($C282="","",ROUND($J282*0.17,0))</f>
        <v/>
      </c>
      <c r="M282" s="25"/>
      <c r="N282" s="25"/>
      <c r="O282" s="25"/>
      <c r="P282" s="25"/>
      <c r="Q282" s="25"/>
      <c r="R282" s="25"/>
      <c r="S282" s="25" t="str">
        <f aca="false">IF($C282="","",ROUND($J282*2.2,0))</f>
        <v/>
      </c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  <c r="AF282" s="25"/>
      <c r="AG282" s="25"/>
      <c r="AH282" s="25"/>
      <c r="AI282" s="25"/>
      <c r="AJ282" s="25"/>
      <c r="AK282" s="25"/>
      <c r="AL282" s="25"/>
      <c r="AM282" s="25"/>
      <c r="AN282" s="25"/>
    </row>
    <row r="283" customFormat="false" ht="15.75" hidden="false" customHeight="true" outlineLevel="0" collapsed="false">
      <c r="A283" s="25"/>
      <c r="B283" s="25" t="str">
        <f aca="false">IF($C283="","",COUNTA($C$5:C283))</f>
        <v/>
      </c>
      <c r="C283" s="25"/>
      <c r="D283" s="25"/>
      <c r="E283" s="25"/>
      <c r="F283" s="25"/>
      <c r="G283" s="25"/>
      <c r="H283" s="25"/>
      <c r="I283" s="25"/>
      <c r="J283" s="25"/>
      <c r="K283" s="25"/>
      <c r="L283" s="25" t="str">
        <f aca="false">IF($C283="","",ROUND($J283*0.17,0))</f>
        <v/>
      </c>
      <c r="M283" s="25"/>
      <c r="N283" s="25"/>
      <c r="O283" s="25"/>
      <c r="P283" s="25"/>
      <c r="Q283" s="25"/>
      <c r="R283" s="25"/>
      <c r="S283" s="25" t="str">
        <f aca="false">IF($C283="","",ROUND($J283*2.2,0))</f>
        <v/>
      </c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  <c r="AF283" s="25"/>
      <c r="AG283" s="25"/>
      <c r="AH283" s="25"/>
      <c r="AI283" s="25"/>
      <c r="AJ283" s="25"/>
      <c r="AK283" s="25"/>
      <c r="AL283" s="25"/>
      <c r="AM283" s="25"/>
      <c r="AN283" s="25"/>
    </row>
    <row r="284" customFormat="false" ht="15.75" hidden="false" customHeight="true" outlineLevel="0" collapsed="false">
      <c r="A284" s="25"/>
      <c r="B284" s="25" t="str">
        <f aca="false">IF($C284="","",COUNTA($C$5:C284))</f>
        <v/>
      </c>
      <c r="C284" s="25"/>
      <c r="D284" s="25"/>
      <c r="E284" s="25"/>
      <c r="F284" s="25"/>
      <c r="G284" s="25"/>
      <c r="H284" s="25"/>
      <c r="I284" s="25"/>
      <c r="J284" s="25"/>
      <c r="K284" s="25"/>
      <c r="L284" s="25" t="str">
        <f aca="false">IF($C284="","",ROUND($J284*0.17,0))</f>
        <v/>
      </c>
      <c r="M284" s="25"/>
      <c r="N284" s="25"/>
      <c r="O284" s="25"/>
      <c r="P284" s="25"/>
      <c r="Q284" s="25"/>
      <c r="R284" s="25"/>
      <c r="S284" s="25" t="str">
        <f aca="false">IF($C284="","",ROUND($J284*2.2,0))</f>
        <v/>
      </c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  <c r="AF284" s="25"/>
      <c r="AG284" s="25"/>
      <c r="AH284" s="25"/>
      <c r="AI284" s="25"/>
      <c r="AJ284" s="25"/>
      <c r="AK284" s="25"/>
      <c r="AL284" s="25"/>
      <c r="AM284" s="25"/>
      <c r="AN284" s="25"/>
    </row>
    <row r="285" customFormat="false" ht="15.75" hidden="false" customHeight="true" outlineLevel="0" collapsed="false">
      <c r="A285" s="25"/>
      <c r="B285" s="25" t="str">
        <f aca="false">IF($C285="","",COUNTA($C$5:C285))</f>
        <v/>
      </c>
      <c r="C285" s="25"/>
      <c r="D285" s="25"/>
      <c r="E285" s="25"/>
      <c r="F285" s="25"/>
      <c r="G285" s="25"/>
      <c r="H285" s="25"/>
      <c r="I285" s="25"/>
      <c r="J285" s="25"/>
      <c r="K285" s="25"/>
      <c r="L285" s="25" t="str">
        <f aca="false">IF($C285="","",ROUND($J285*0.17,0))</f>
        <v/>
      </c>
      <c r="M285" s="25"/>
      <c r="N285" s="25"/>
      <c r="O285" s="25"/>
      <c r="P285" s="25"/>
      <c r="Q285" s="25"/>
      <c r="R285" s="25"/>
      <c r="S285" s="25" t="str">
        <f aca="false">IF($C285="","",ROUND($J285*2.2,0))</f>
        <v/>
      </c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  <c r="AF285" s="25"/>
      <c r="AG285" s="25"/>
      <c r="AH285" s="25"/>
      <c r="AI285" s="25"/>
      <c r="AJ285" s="25"/>
      <c r="AK285" s="25"/>
      <c r="AL285" s="25"/>
      <c r="AM285" s="25"/>
      <c r="AN285" s="25"/>
    </row>
    <row r="286" customFormat="false" ht="15.75" hidden="false" customHeight="true" outlineLevel="0" collapsed="false">
      <c r="A286" s="25"/>
      <c r="B286" s="25" t="str">
        <f aca="false">IF($C286="","",COUNTA($C$5:C286))</f>
        <v/>
      </c>
      <c r="C286" s="25"/>
      <c r="D286" s="25"/>
      <c r="E286" s="25"/>
      <c r="F286" s="25"/>
      <c r="G286" s="25"/>
      <c r="H286" s="25"/>
      <c r="I286" s="25"/>
      <c r="J286" s="25"/>
      <c r="K286" s="25"/>
      <c r="L286" s="25" t="str">
        <f aca="false">IF($C286="","",ROUND($J286*0.17,0))</f>
        <v/>
      </c>
      <c r="M286" s="25"/>
      <c r="N286" s="25"/>
      <c r="O286" s="25"/>
      <c r="P286" s="25"/>
      <c r="Q286" s="25"/>
      <c r="R286" s="25"/>
      <c r="S286" s="25" t="str">
        <f aca="false">IF($C286="","",ROUND($J286*2.2,0))</f>
        <v/>
      </c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  <c r="AF286" s="25"/>
      <c r="AG286" s="25"/>
      <c r="AH286" s="25"/>
      <c r="AI286" s="25"/>
      <c r="AJ286" s="25"/>
      <c r="AK286" s="25"/>
      <c r="AL286" s="25"/>
      <c r="AM286" s="25"/>
      <c r="AN286" s="25"/>
    </row>
    <row r="287" customFormat="false" ht="15.75" hidden="false" customHeight="true" outlineLevel="0" collapsed="false">
      <c r="A287" s="25"/>
      <c r="B287" s="25" t="str">
        <f aca="false">IF($C287="","",COUNTA($C$5:C287))</f>
        <v/>
      </c>
      <c r="C287" s="25"/>
      <c r="D287" s="25"/>
      <c r="E287" s="25"/>
      <c r="F287" s="25"/>
      <c r="G287" s="25"/>
      <c r="H287" s="25"/>
      <c r="I287" s="25"/>
      <c r="J287" s="25"/>
      <c r="K287" s="25"/>
      <c r="L287" s="25" t="str">
        <f aca="false">IF($C287="","",ROUND($J287*0.17,0))</f>
        <v/>
      </c>
      <c r="M287" s="25"/>
      <c r="N287" s="25"/>
      <c r="O287" s="25"/>
      <c r="P287" s="25"/>
      <c r="Q287" s="25"/>
      <c r="R287" s="25"/>
      <c r="S287" s="25" t="str">
        <f aca="false">IF($C287="","",ROUND($J287*2.2,0))</f>
        <v/>
      </c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  <c r="AF287" s="25"/>
      <c r="AG287" s="25"/>
      <c r="AH287" s="25"/>
      <c r="AI287" s="25"/>
      <c r="AJ287" s="25"/>
      <c r="AK287" s="25"/>
      <c r="AL287" s="25"/>
      <c r="AM287" s="25"/>
      <c r="AN287" s="25"/>
    </row>
    <row r="288" customFormat="false" ht="15.75" hidden="false" customHeight="true" outlineLevel="0" collapsed="false">
      <c r="A288" s="25"/>
      <c r="B288" s="25" t="str">
        <f aca="false">IF($C288="","",COUNTA($C$5:C288))</f>
        <v/>
      </c>
      <c r="C288" s="25"/>
      <c r="D288" s="25"/>
      <c r="E288" s="25"/>
      <c r="F288" s="25"/>
      <c r="G288" s="25"/>
      <c r="H288" s="25"/>
      <c r="I288" s="25"/>
      <c r="J288" s="25"/>
      <c r="K288" s="25"/>
      <c r="L288" s="25" t="str">
        <f aca="false">IF($C288="","",ROUND($J288*0.17,0))</f>
        <v/>
      </c>
      <c r="M288" s="25"/>
      <c r="N288" s="25"/>
      <c r="O288" s="25"/>
      <c r="P288" s="25"/>
      <c r="Q288" s="25"/>
      <c r="R288" s="25"/>
      <c r="S288" s="25" t="str">
        <f aca="false">IF($C288="","",ROUND($J288*2.2,0))</f>
        <v/>
      </c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  <c r="AF288" s="25"/>
      <c r="AG288" s="25"/>
      <c r="AH288" s="25"/>
      <c r="AI288" s="25"/>
      <c r="AJ288" s="25"/>
      <c r="AK288" s="25"/>
      <c r="AL288" s="25"/>
      <c r="AM288" s="25"/>
      <c r="AN288" s="25"/>
    </row>
    <row r="289" customFormat="false" ht="15.75" hidden="false" customHeight="true" outlineLevel="0" collapsed="false">
      <c r="A289" s="25"/>
      <c r="B289" s="25" t="str">
        <f aca="false">IF($C289="","",COUNTA($C$5:C289))</f>
        <v/>
      </c>
      <c r="C289" s="25"/>
      <c r="D289" s="25"/>
      <c r="E289" s="25"/>
      <c r="F289" s="25"/>
      <c r="G289" s="25"/>
      <c r="H289" s="25"/>
      <c r="I289" s="25"/>
      <c r="J289" s="25"/>
      <c r="K289" s="25"/>
      <c r="L289" s="25" t="str">
        <f aca="false">IF($C289="","",ROUND($J289*0.17,0))</f>
        <v/>
      </c>
      <c r="M289" s="25"/>
      <c r="N289" s="25"/>
      <c r="O289" s="25"/>
      <c r="P289" s="25"/>
      <c r="Q289" s="25"/>
      <c r="R289" s="25"/>
      <c r="S289" s="25" t="str">
        <f aca="false">IF($C289="","",ROUND($J289*2.2,0))</f>
        <v/>
      </c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  <c r="AF289" s="25"/>
      <c r="AG289" s="25"/>
      <c r="AH289" s="25"/>
      <c r="AI289" s="25"/>
      <c r="AJ289" s="25"/>
      <c r="AK289" s="25"/>
      <c r="AL289" s="25"/>
      <c r="AM289" s="25"/>
      <c r="AN289" s="25"/>
    </row>
    <row r="290" customFormat="false" ht="15.75" hidden="false" customHeight="true" outlineLevel="0" collapsed="false">
      <c r="A290" s="25"/>
      <c r="B290" s="25" t="str">
        <f aca="false">IF($C290="","",COUNTA($C$5:C290))</f>
        <v/>
      </c>
      <c r="C290" s="25"/>
      <c r="D290" s="25"/>
      <c r="E290" s="25"/>
      <c r="F290" s="25"/>
      <c r="G290" s="25"/>
      <c r="H290" s="25"/>
      <c r="I290" s="25"/>
      <c r="J290" s="25"/>
      <c r="K290" s="25"/>
      <c r="L290" s="25" t="str">
        <f aca="false">IF($C290="","",ROUND($J290*0.17,0))</f>
        <v/>
      </c>
      <c r="M290" s="25"/>
      <c r="N290" s="25"/>
      <c r="O290" s="25"/>
      <c r="P290" s="25"/>
      <c r="Q290" s="25"/>
      <c r="R290" s="25"/>
      <c r="S290" s="25" t="str">
        <f aca="false">IF($C290="","",ROUND($J290*2.2,0))</f>
        <v/>
      </c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  <c r="AF290" s="25"/>
      <c r="AG290" s="25"/>
      <c r="AH290" s="25"/>
      <c r="AI290" s="25"/>
      <c r="AJ290" s="25"/>
      <c r="AK290" s="25"/>
      <c r="AL290" s="25"/>
      <c r="AM290" s="25"/>
      <c r="AN290" s="25"/>
    </row>
    <row r="291" customFormat="false" ht="15.75" hidden="false" customHeight="true" outlineLevel="0" collapsed="false">
      <c r="A291" s="25"/>
      <c r="B291" s="25" t="str">
        <f aca="false">IF($C291="","",COUNTA($C$5:C291))</f>
        <v/>
      </c>
      <c r="C291" s="25"/>
      <c r="D291" s="25"/>
      <c r="E291" s="25"/>
      <c r="F291" s="25"/>
      <c r="G291" s="25"/>
      <c r="H291" s="25"/>
      <c r="I291" s="25"/>
      <c r="J291" s="25"/>
      <c r="K291" s="25"/>
      <c r="L291" s="25" t="str">
        <f aca="false">IF($C291="","",ROUND($J291*0.17,0))</f>
        <v/>
      </c>
      <c r="M291" s="25"/>
      <c r="N291" s="25"/>
      <c r="O291" s="25"/>
      <c r="P291" s="25"/>
      <c r="Q291" s="25"/>
      <c r="R291" s="25"/>
      <c r="S291" s="25" t="str">
        <f aca="false">IF($C291="","",ROUND($J291*2.2,0))</f>
        <v/>
      </c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  <c r="AF291" s="25"/>
      <c r="AG291" s="25"/>
      <c r="AH291" s="25"/>
      <c r="AI291" s="25"/>
      <c r="AJ291" s="25"/>
      <c r="AK291" s="25"/>
      <c r="AL291" s="25"/>
      <c r="AM291" s="25"/>
      <c r="AN291" s="25"/>
    </row>
    <row r="292" customFormat="false" ht="15.75" hidden="false" customHeight="true" outlineLevel="0" collapsed="false">
      <c r="A292" s="25"/>
      <c r="B292" s="25" t="str">
        <f aca="false">IF($C292="","",COUNTA($C$5:C292))</f>
        <v/>
      </c>
      <c r="C292" s="25"/>
      <c r="D292" s="25"/>
      <c r="E292" s="25"/>
      <c r="F292" s="25"/>
      <c r="G292" s="25"/>
      <c r="H292" s="25"/>
      <c r="I292" s="25"/>
      <c r="J292" s="25"/>
      <c r="K292" s="25"/>
      <c r="L292" s="25" t="str">
        <f aca="false">IF($C292="","",ROUND($J292*0.17,0))</f>
        <v/>
      </c>
      <c r="M292" s="25"/>
      <c r="N292" s="25"/>
      <c r="O292" s="25"/>
      <c r="P292" s="25"/>
      <c r="Q292" s="25"/>
      <c r="R292" s="25"/>
      <c r="S292" s="25" t="str">
        <f aca="false">IF($C292="","",ROUND($J292*2.2,0))</f>
        <v/>
      </c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  <c r="AF292" s="25"/>
      <c r="AG292" s="25"/>
      <c r="AH292" s="25"/>
      <c r="AI292" s="25"/>
      <c r="AJ292" s="25"/>
      <c r="AK292" s="25"/>
      <c r="AL292" s="25"/>
      <c r="AM292" s="25"/>
      <c r="AN292" s="25"/>
    </row>
    <row r="293" customFormat="false" ht="15.75" hidden="false" customHeight="true" outlineLevel="0" collapsed="false">
      <c r="A293" s="25"/>
      <c r="B293" s="25" t="str">
        <f aca="false">IF($C293="","",COUNTA($C$5:C293))</f>
        <v/>
      </c>
      <c r="C293" s="25"/>
      <c r="D293" s="25"/>
      <c r="E293" s="25"/>
      <c r="F293" s="25"/>
      <c r="G293" s="25"/>
      <c r="H293" s="25"/>
      <c r="I293" s="25"/>
      <c r="J293" s="25"/>
      <c r="K293" s="25"/>
      <c r="L293" s="25" t="str">
        <f aca="false">IF($C293="","",ROUND($J293*0.17,0))</f>
        <v/>
      </c>
      <c r="M293" s="25"/>
      <c r="N293" s="25"/>
      <c r="O293" s="25"/>
      <c r="P293" s="25"/>
      <c r="Q293" s="25"/>
      <c r="R293" s="25"/>
      <c r="S293" s="25" t="str">
        <f aca="false">IF($C293="","",ROUND($J293*2.2,0))</f>
        <v/>
      </c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  <c r="AF293" s="25"/>
      <c r="AG293" s="25"/>
      <c r="AH293" s="25"/>
      <c r="AI293" s="25"/>
      <c r="AJ293" s="25"/>
      <c r="AK293" s="25"/>
      <c r="AL293" s="25"/>
      <c r="AM293" s="25"/>
      <c r="AN293" s="25"/>
    </row>
    <row r="294" customFormat="false" ht="15.75" hidden="false" customHeight="true" outlineLevel="0" collapsed="false">
      <c r="A294" s="25"/>
      <c r="B294" s="25" t="str">
        <f aca="false">IF($C294="","",COUNTA($C$5:C294))</f>
        <v/>
      </c>
      <c r="C294" s="25"/>
      <c r="D294" s="25"/>
      <c r="E294" s="25"/>
      <c r="F294" s="25"/>
      <c r="G294" s="25"/>
      <c r="H294" s="25"/>
      <c r="I294" s="25"/>
      <c r="J294" s="25"/>
      <c r="K294" s="25"/>
      <c r="L294" s="25" t="str">
        <f aca="false">IF($C294="","",ROUND($J294*0.17,0))</f>
        <v/>
      </c>
      <c r="M294" s="25"/>
      <c r="N294" s="25"/>
      <c r="O294" s="25"/>
      <c r="P294" s="25"/>
      <c r="Q294" s="25"/>
      <c r="R294" s="25"/>
      <c r="S294" s="25" t="str">
        <f aca="false">IF($C294="","",ROUND($J294*2.2,0))</f>
        <v/>
      </c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  <c r="AF294" s="25"/>
      <c r="AG294" s="25"/>
      <c r="AH294" s="25"/>
      <c r="AI294" s="25"/>
      <c r="AJ294" s="25"/>
      <c r="AK294" s="25"/>
      <c r="AL294" s="25"/>
      <c r="AM294" s="25"/>
      <c r="AN294" s="25"/>
    </row>
    <row r="295" customFormat="false" ht="15.75" hidden="false" customHeight="true" outlineLevel="0" collapsed="false">
      <c r="A295" s="25"/>
      <c r="B295" s="25" t="str">
        <f aca="false">IF($C295="","",COUNTA($C$5:C295))</f>
        <v/>
      </c>
      <c r="C295" s="25"/>
      <c r="D295" s="25"/>
      <c r="E295" s="25"/>
      <c r="F295" s="25"/>
      <c r="G295" s="25"/>
      <c r="H295" s="25"/>
      <c r="I295" s="25"/>
      <c r="J295" s="25"/>
      <c r="K295" s="25"/>
      <c r="L295" s="25" t="str">
        <f aca="false">IF($C295="","",ROUND($J295*0.17,0))</f>
        <v/>
      </c>
      <c r="M295" s="25"/>
      <c r="N295" s="25"/>
      <c r="O295" s="25"/>
      <c r="P295" s="25"/>
      <c r="Q295" s="25"/>
      <c r="R295" s="25"/>
      <c r="S295" s="25" t="str">
        <f aca="false">IF($C295="","",ROUND($J295*2.2,0))</f>
        <v/>
      </c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  <c r="AF295" s="25"/>
      <c r="AG295" s="25"/>
      <c r="AH295" s="25"/>
      <c r="AI295" s="25"/>
      <c r="AJ295" s="25"/>
      <c r="AK295" s="25"/>
      <c r="AL295" s="25"/>
      <c r="AM295" s="25"/>
      <c r="AN295" s="25"/>
    </row>
    <row r="296" customFormat="false" ht="15.75" hidden="false" customHeight="true" outlineLevel="0" collapsed="false">
      <c r="A296" s="25"/>
      <c r="B296" s="25" t="str">
        <f aca="false">IF($C296="","",COUNTA($C$5:C296))</f>
        <v/>
      </c>
      <c r="C296" s="25"/>
      <c r="D296" s="25"/>
      <c r="E296" s="25"/>
      <c r="F296" s="25"/>
      <c r="G296" s="25"/>
      <c r="H296" s="25"/>
      <c r="I296" s="25"/>
      <c r="J296" s="25"/>
      <c r="K296" s="25"/>
      <c r="L296" s="25" t="str">
        <f aca="false">IF($C296="","",ROUND($J296*0.17,0))</f>
        <v/>
      </c>
      <c r="M296" s="25"/>
      <c r="N296" s="25"/>
      <c r="O296" s="25"/>
      <c r="P296" s="25"/>
      <c r="Q296" s="25"/>
      <c r="R296" s="25"/>
      <c r="S296" s="25" t="str">
        <f aca="false">IF($C296="","",ROUND($J296*2.2,0))</f>
        <v/>
      </c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  <c r="AF296" s="25"/>
      <c r="AG296" s="25"/>
      <c r="AH296" s="25"/>
      <c r="AI296" s="25"/>
      <c r="AJ296" s="25"/>
      <c r="AK296" s="25"/>
      <c r="AL296" s="25"/>
      <c r="AM296" s="25"/>
      <c r="AN296" s="25"/>
    </row>
    <row r="297" customFormat="false" ht="15.75" hidden="false" customHeight="true" outlineLevel="0" collapsed="false">
      <c r="A297" s="25"/>
      <c r="B297" s="25" t="str">
        <f aca="false">IF($C297="","",COUNTA($C$5:C297))</f>
        <v/>
      </c>
      <c r="C297" s="25"/>
      <c r="D297" s="25"/>
      <c r="E297" s="25"/>
      <c r="F297" s="25"/>
      <c r="G297" s="25"/>
      <c r="H297" s="25"/>
      <c r="I297" s="25"/>
      <c r="J297" s="25"/>
      <c r="K297" s="25"/>
      <c r="L297" s="25" t="str">
        <f aca="false">IF($C297="","",ROUND($J297*0.17,0))</f>
        <v/>
      </c>
      <c r="M297" s="25"/>
      <c r="N297" s="25"/>
      <c r="O297" s="25"/>
      <c r="P297" s="25"/>
      <c r="Q297" s="25"/>
      <c r="R297" s="25"/>
      <c r="S297" s="25" t="str">
        <f aca="false">IF($C297="","",ROUND($J297*2.2,0))</f>
        <v/>
      </c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  <c r="AF297" s="25"/>
      <c r="AG297" s="25"/>
      <c r="AH297" s="25"/>
      <c r="AI297" s="25"/>
      <c r="AJ297" s="25"/>
      <c r="AK297" s="25"/>
      <c r="AL297" s="25"/>
      <c r="AM297" s="25"/>
      <c r="AN297" s="25"/>
    </row>
    <row r="298" customFormat="false" ht="15.75" hidden="false" customHeight="true" outlineLevel="0" collapsed="false">
      <c r="A298" s="25"/>
      <c r="B298" s="25" t="str">
        <f aca="false">IF($C298="","",COUNTA($C$5:C298))</f>
        <v/>
      </c>
      <c r="C298" s="25"/>
      <c r="D298" s="25"/>
      <c r="E298" s="25"/>
      <c r="F298" s="25"/>
      <c r="G298" s="25"/>
      <c r="H298" s="25"/>
      <c r="I298" s="25"/>
      <c r="J298" s="25"/>
      <c r="K298" s="25"/>
      <c r="L298" s="25" t="str">
        <f aca="false">IF($C298="","",ROUND($J298*0.17,0))</f>
        <v/>
      </c>
      <c r="M298" s="25"/>
      <c r="N298" s="25"/>
      <c r="O298" s="25"/>
      <c r="P298" s="25"/>
      <c r="Q298" s="25"/>
      <c r="R298" s="25"/>
      <c r="S298" s="25" t="str">
        <f aca="false">IF($C298="","",ROUND($J298*2.2,0))</f>
        <v/>
      </c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  <c r="AF298" s="25"/>
      <c r="AG298" s="25"/>
      <c r="AH298" s="25"/>
      <c r="AI298" s="25"/>
      <c r="AJ298" s="25"/>
      <c r="AK298" s="25"/>
      <c r="AL298" s="25"/>
      <c r="AM298" s="25"/>
      <c r="AN298" s="25"/>
    </row>
    <row r="299" customFormat="false" ht="15.75" hidden="false" customHeight="true" outlineLevel="0" collapsed="false">
      <c r="A299" s="25"/>
      <c r="B299" s="25" t="str">
        <f aca="false">IF($C299="","",COUNTA($C$5:C299))</f>
        <v/>
      </c>
      <c r="C299" s="25"/>
      <c r="D299" s="25"/>
      <c r="E299" s="25"/>
      <c r="F299" s="25"/>
      <c r="G299" s="25"/>
      <c r="H299" s="25"/>
      <c r="I299" s="25"/>
      <c r="J299" s="25"/>
      <c r="K299" s="25"/>
      <c r="L299" s="25" t="str">
        <f aca="false">IF($C299="","",ROUND($J299*0.17,0))</f>
        <v/>
      </c>
      <c r="M299" s="25"/>
      <c r="N299" s="25"/>
      <c r="O299" s="25"/>
      <c r="P299" s="25"/>
      <c r="Q299" s="25"/>
      <c r="R299" s="25"/>
      <c r="S299" s="25" t="str">
        <f aca="false">IF($C299="","",ROUND($J299*2.2,0))</f>
        <v/>
      </c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  <c r="AF299" s="25"/>
      <c r="AG299" s="25"/>
      <c r="AH299" s="25"/>
      <c r="AI299" s="25"/>
      <c r="AJ299" s="25"/>
      <c r="AK299" s="25"/>
      <c r="AL299" s="25"/>
      <c r="AM299" s="25"/>
      <c r="AN299" s="25"/>
    </row>
    <row r="300" customFormat="false" ht="15.75" hidden="false" customHeight="true" outlineLevel="0" collapsed="false">
      <c r="A300" s="25"/>
      <c r="B300" s="25" t="str">
        <f aca="false">IF($C300="","",COUNTA($C$5:C300))</f>
        <v/>
      </c>
      <c r="C300" s="25"/>
      <c r="D300" s="25"/>
      <c r="E300" s="25"/>
      <c r="F300" s="25"/>
      <c r="G300" s="25"/>
      <c r="H300" s="25"/>
      <c r="I300" s="25"/>
      <c r="J300" s="25"/>
      <c r="K300" s="25"/>
      <c r="L300" s="25" t="str">
        <f aca="false">IF($C300="","",ROUND($J300*0.17,0))</f>
        <v/>
      </c>
      <c r="M300" s="25"/>
      <c r="N300" s="25"/>
      <c r="O300" s="25"/>
      <c r="P300" s="25"/>
      <c r="Q300" s="25"/>
      <c r="R300" s="25"/>
      <c r="S300" s="25" t="str">
        <f aca="false">IF($C300="","",ROUND($J300*2.2,0))</f>
        <v/>
      </c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  <c r="AF300" s="25"/>
      <c r="AG300" s="25"/>
      <c r="AH300" s="25"/>
      <c r="AI300" s="25"/>
      <c r="AJ300" s="25"/>
      <c r="AK300" s="25"/>
      <c r="AL300" s="25"/>
      <c r="AM300" s="25"/>
      <c r="AN300" s="25"/>
    </row>
    <row r="301" customFormat="false" ht="15.75" hidden="false" customHeight="true" outlineLevel="0" collapsed="false">
      <c r="A301" s="25"/>
      <c r="B301" s="25" t="str">
        <f aca="false">IF($C301="","",COUNTA($C$5:C301))</f>
        <v/>
      </c>
      <c r="C301" s="25"/>
      <c r="D301" s="25"/>
      <c r="E301" s="25"/>
      <c r="F301" s="25"/>
      <c r="G301" s="25"/>
      <c r="H301" s="25"/>
      <c r="I301" s="25"/>
      <c r="J301" s="25"/>
      <c r="K301" s="25"/>
      <c r="L301" s="25" t="str">
        <f aca="false">IF($C301="","",ROUND($J301*0.17,0))</f>
        <v/>
      </c>
      <c r="M301" s="25"/>
      <c r="N301" s="25"/>
      <c r="O301" s="25"/>
      <c r="P301" s="25"/>
      <c r="Q301" s="25"/>
      <c r="R301" s="25"/>
      <c r="S301" s="25" t="str">
        <f aca="false">IF($C301="","",ROUND($J301*2.2,0))</f>
        <v/>
      </c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  <c r="AF301" s="25"/>
      <c r="AG301" s="25"/>
      <c r="AH301" s="25"/>
      <c r="AI301" s="25"/>
      <c r="AJ301" s="25"/>
      <c r="AK301" s="25"/>
      <c r="AL301" s="25"/>
      <c r="AM301" s="25"/>
      <c r="AN301" s="25"/>
    </row>
    <row r="302" customFormat="false" ht="15.75" hidden="false" customHeight="true" outlineLevel="0" collapsed="false">
      <c r="A302" s="25"/>
      <c r="B302" s="25" t="str">
        <f aca="false">IF($C302="","",COUNTA($C$5:C302))</f>
        <v/>
      </c>
      <c r="C302" s="25"/>
      <c r="D302" s="25"/>
      <c r="E302" s="25"/>
      <c r="F302" s="25"/>
      <c r="G302" s="25"/>
      <c r="H302" s="25"/>
      <c r="I302" s="25"/>
      <c r="J302" s="25"/>
      <c r="K302" s="25"/>
      <c r="L302" s="25" t="str">
        <f aca="false">IF($C302="","",ROUND($J302*0.17,0))</f>
        <v/>
      </c>
      <c r="M302" s="25"/>
      <c r="N302" s="25"/>
      <c r="O302" s="25"/>
      <c r="P302" s="25"/>
      <c r="Q302" s="25"/>
      <c r="R302" s="25"/>
      <c r="S302" s="25" t="str">
        <f aca="false">IF($C302="","",ROUND($J302*2.2,0))</f>
        <v/>
      </c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  <c r="AF302" s="25"/>
      <c r="AG302" s="25"/>
      <c r="AH302" s="25"/>
      <c r="AI302" s="25"/>
      <c r="AJ302" s="25"/>
      <c r="AK302" s="25"/>
      <c r="AL302" s="25"/>
      <c r="AM302" s="25"/>
      <c r="AN302" s="25"/>
    </row>
    <row r="303" customFormat="false" ht="15.75" hidden="false" customHeight="true" outlineLevel="0" collapsed="false">
      <c r="A303" s="25"/>
      <c r="B303" s="25" t="str">
        <f aca="false">IF($C303="","",COUNTA($C$5:C303))</f>
        <v/>
      </c>
      <c r="C303" s="25"/>
      <c r="D303" s="25"/>
      <c r="E303" s="25"/>
      <c r="F303" s="25"/>
      <c r="G303" s="25"/>
      <c r="H303" s="25"/>
      <c r="I303" s="25"/>
      <c r="J303" s="25"/>
      <c r="K303" s="25"/>
      <c r="L303" s="25" t="str">
        <f aca="false">IF($C303="","",ROUND($J303*0.17,0))</f>
        <v/>
      </c>
      <c r="M303" s="25"/>
      <c r="N303" s="25"/>
      <c r="O303" s="25"/>
      <c r="P303" s="25"/>
      <c r="Q303" s="25"/>
      <c r="R303" s="25"/>
      <c r="S303" s="25" t="str">
        <f aca="false">IF($C303="","",ROUND($J303*2.2,0))</f>
        <v/>
      </c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  <c r="AF303" s="25"/>
      <c r="AG303" s="25"/>
      <c r="AH303" s="25"/>
      <c r="AI303" s="25"/>
      <c r="AJ303" s="25"/>
      <c r="AK303" s="25"/>
      <c r="AL303" s="25"/>
      <c r="AM303" s="25"/>
      <c r="AN303" s="25"/>
    </row>
    <row r="304" customFormat="false" ht="15.75" hidden="false" customHeight="true" outlineLevel="0" collapsed="false">
      <c r="A304" s="25"/>
      <c r="B304" s="25" t="str">
        <f aca="false">IF($C304="","",COUNTA($C$5:C304))</f>
        <v/>
      </c>
      <c r="C304" s="25"/>
      <c r="D304" s="25"/>
      <c r="E304" s="25"/>
      <c r="F304" s="25"/>
      <c r="G304" s="25"/>
      <c r="H304" s="25"/>
      <c r="I304" s="25"/>
      <c r="J304" s="25"/>
      <c r="K304" s="25"/>
      <c r="L304" s="25" t="str">
        <f aca="false">IF($C304="","",ROUND($J304*0.17,0))</f>
        <v/>
      </c>
      <c r="M304" s="25"/>
      <c r="N304" s="25"/>
      <c r="O304" s="25"/>
      <c r="P304" s="25"/>
      <c r="Q304" s="25"/>
      <c r="R304" s="25"/>
      <c r="S304" s="25" t="str">
        <f aca="false">IF($C304="","",ROUND($J304*2.2,0))</f>
        <v/>
      </c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  <c r="AF304" s="25"/>
      <c r="AG304" s="25"/>
      <c r="AH304" s="25"/>
      <c r="AI304" s="25"/>
      <c r="AJ304" s="25"/>
      <c r="AK304" s="25"/>
      <c r="AL304" s="25"/>
      <c r="AM304" s="25"/>
      <c r="AN304" s="25"/>
    </row>
    <row r="305" customFormat="false" ht="15.75" hidden="false" customHeight="true" outlineLevel="0" collapsed="false">
      <c r="A305" s="25"/>
      <c r="B305" s="25" t="str">
        <f aca="false">IF($C305="","",COUNTA($C$5:C305))</f>
        <v/>
      </c>
      <c r="C305" s="25"/>
      <c r="D305" s="25"/>
      <c r="E305" s="25"/>
      <c r="F305" s="25"/>
      <c r="G305" s="25"/>
      <c r="H305" s="25"/>
      <c r="I305" s="25"/>
      <c r="J305" s="25"/>
      <c r="K305" s="25"/>
      <c r="L305" s="25" t="str">
        <f aca="false">IF($C305="","",ROUND($J305*0.17,0))</f>
        <v/>
      </c>
      <c r="M305" s="25"/>
      <c r="N305" s="25"/>
      <c r="O305" s="25"/>
      <c r="P305" s="25"/>
      <c r="Q305" s="25"/>
      <c r="R305" s="25"/>
      <c r="S305" s="25" t="str">
        <f aca="false">IF($C305="","",ROUND($J305*2.2,0))</f>
        <v/>
      </c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  <c r="AF305" s="25"/>
      <c r="AG305" s="25"/>
      <c r="AH305" s="25"/>
      <c r="AI305" s="25"/>
      <c r="AJ305" s="25"/>
      <c r="AK305" s="25"/>
      <c r="AL305" s="25"/>
      <c r="AM305" s="25"/>
      <c r="AN305" s="25"/>
    </row>
    <row r="306" customFormat="false" ht="15.75" hidden="false" customHeight="true" outlineLevel="0" collapsed="false">
      <c r="A306" s="25"/>
      <c r="B306" s="25" t="str">
        <f aca="false">IF($C306="","",COUNTA($C$5:C306))</f>
        <v/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 t="str">
        <f aca="false">IF($C306="","",ROUND($J306*0.17,0))</f>
        <v/>
      </c>
      <c r="M306" s="25"/>
      <c r="N306" s="25"/>
      <c r="O306" s="25"/>
      <c r="P306" s="25"/>
      <c r="Q306" s="25"/>
      <c r="R306" s="25"/>
      <c r="S306" s="25" t="str">
        <f aca="false">IF($C306="","",ROUND($J306*2.2,0))</f>
        <v/>
      </c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  <c r="AF306" s="25"/>
      <c r="AG306" s="25"/>
      <c r="AH306" s="25"/>
      <c r="AI306" s="25"/>
      <c r="AJ306" s="25"/>
      <c r="AK306" s="25"/>
      <c r="AL306" s="25"/>
      <c r="AM306" s="25"/>
      <c r="AN306" s="25"/>
    </row>
    <row r="307" customFormat="false" ht="15.75" hidden="false" customHeight="true" outlineLevel="0" collapsed="false">
      <c r="A307" s="25"/>
      <c r="B307" s="25" t="str">
        <f aca="false">IF($C307="","",COUNTA($C$5:C307))</f>
        <v/>
      </c>
      <c r="C307" s="25"/>
      <c r="D307" s="25"/>
      <c r="E307" s="25"/>
      <c r="F307" s="25"/>
      <c r="G307" s="25"/>
      <c r="H307" s="25"/>
      <c r="I307" s="25"/>
      <c r="J307" s="25"/>
      <c r="K307" s="25"/>
      <c r="L307" s="25" t="str">
        <f aca="false">IF($C307="","",ROUND($J307*0.17,0))</f>
        <v/>
      </c>
      <c r="M307" s="25"/>
      <c r="N307" s="25"/>
      <c r="O307" s="25"/>
      <c r="P307" s="25"/>
      <c r="Q307" s="25"/>
      <c r="R307" s="25"/>
      <c r="S307" s="25" t="str">
        <f aca="false">IF($C307="","",ROUND($J307*2.2,0))</f>
        <v/>
      </c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  <c r="AF307" s="25"/>
      <c r="AG307" s="25"/>
      <c r="AH307" s="25"/>
      <c r="AI307" s="25"/>
      <c r="AJ307" s="25"/>
      <c r="AK307" s="25"/>
      <c r="AL307" s="25"/>
      <c r="AM307" s="25"/>
      <c r="AN307" s="25"/>
    </row>
    <row r="308" customFormat="false" ht="15.75" hidden="false" customHeight="true" outlineLevel="0" collapsed="false">
      <c r="A308" s="25"/>
      <c r="B308" s="25" t="str">
        <f aca="false">IF($C308="","",COUNTA($C$5:C308))</f>
        <v/>
      </c>
      <c r="C308" s="25"/>
      <c r="D308" s="25"/>
      <c r="E308" s="25"/>
      <c r="F308" s="25"/>
      <c r="G308" s="25"/>
      <c r="H308" s="25"/>
      <c r="I308" s="25"/>
      <c r="J308" s="25"/>
      <c r="K308" s="25"/>
      <c r="L308" s="25" t="str">
        <f aca="false">IF($C308="","",ROUND($J308*0.17,0))</f>
        <v/>
      </c>
      <c r="M308" s="25"/>
      <c r="N308" s="25"/>
      <c r="O308" s="25"/>
      <c r="P308" s="25"/>
      <c r="Q308" s="25"/>
      <c r="R308" s="25"/>
      <c r="S308" s="25" t="str">
        <f aca="false">IF($C308="","",ROUND($J308*2.2,0))</f>
        <v/>
      </c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  <c r="AF308" s="25"/>
      <c r="AG308" s="25"/>
      <c r="AH308" s="25"/>
      <c r="AI308" s="25"/>
      <c r="AJ308" s="25"/>
      <c r="AK308" s="25"/>
      <c r="AL308" s="25"/>
      <c r="AM308" s="25"/>
      <c r="AN308" s="25"/>
    </row>
    <row r="309" customFormat="false" ht="15.75" hidden="false" customHeight="true" outlineLevel="0" collapsed="false">
      <c r="A309" s="25"/>
      <c r="B309" s="25" t="str">
        <f aca="false">IF($C309="","",COUNTA($C$5:C309))</f>
        <v/>
      </c>
      <c r="C309" s="25"/>
      <c r="D309" s="25"/>
      <c r="E309" s="25"/>
      <c r="F309" s="25"/>
      <c r="G309" s="25"/>
      <c r="H309" s="25"/>
      <c r="I309" s="25"/>
      <c r="J309" s="25"/>
      <c r="K309" s="25"/>
      <c r="L309" s="25" t="str">
        <f aca="false">IF($C309="","",ROUND($J309*0.17,0))</f>
        <v/>
      </c>
      <c r="M309" s="25"/>
      <c r="N309" s="25"/>
      <c r="O309" s="25"/>
      <c r="P309" s="25"/>
      <c r="Q309" s="25"/>
      <c r="R309" s="25"/>
      <c r="S309" s="25" t="str">
        <f aca="false">IF($C309="","",ROUND($J309*2.2,0))</f>
        <v/>
      </c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  <c r="AF309" s="25"/>
      <c r="AG309" s="25"/>
      <c r="AH309" s="25"/>
      <c r="AI309" s="25"/>
      <c r="AJ309" s="25"/>
      <c r="AK309" s="25"/>
      <c r="AL309" s="25"/>
      <c r="AM309" s="25"/>
      <c r="AN309" s="25"/>
    </row>
    <row r="310" customFormat="false" ht="15.75" hidden="false" customHeight="true" outlineLevel="0" collapsed="false">
      <c r="A310" s="25"/>
      <c r="B310" s="25" t="str">
        <f aca="false">IF($C310="","",COUNTA($C$5:C310))</f>
        <v/>
      </c>
      <c r="C310" s="25"/>
      <c r="D310" s="25"/>
      <c r="E310" s="25"/>
      <c r="F310" s="25"/>
      <c r="G310" s="25"/>
      <c r="H310" s="25"/>
      <c r="I310" s="25"/>
      <c r="J310" s="25"/>
      <c r="K310" s="25"/>
      <c r="L310" s="25" t="str">
        <f aca="false">IF($C310="","",ROUND($J310*0.17,0))</f>
        <v/>
      </c>
      <c r="M310" s="25"/>
      <c r="N310" s="25"/>
      <c r="O310" s="25"/>
      <c r="P310" s="25"/>
      <c r="Q310" s="25"/>
      <c r="R310" s="25"/>
      <c r="S310" s="25" t="str">
        <f aca="false">IF($C310="","",ROUND($J310*2.2,0))</f>
        <v/>
      </c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  <c r="AF310" s="25"/>
      <c r="AG310" s="25"/>
      <c r="AH310" s="25"/>
      <c r="AI310" s="25"/>
      <c r="AJ310" s="25"/>
      <c r="AK310" s="25"/>
      <c r="AL310" s="25"/>
      <c r="AM310" s="25"/>
      <c r="AN310" s="25"/>
    </row>
    <row r="311" customFormat="false" ht="15.75" hidden="false" customHeight="true" outlineLevel="0" collapsed="false">
      <c r="A311" s="25"/>
      <c r="B311" s="25" t="str">
        <f aca="false">IF($C311="","",COUNTA($C$5:C311))</f>
        <v/>
      </c>
      <c r="C311" s="25"/>
      <c r="D311" s="25"/>
      <c r="E311" s="25"/>
      <c r="F311" s="25"/>
      <c r="G311" s="25"/>
      <c r="H311" s="25"/>
      <c r="I311" s="25"/>
      <c r="J311" s="25"/>
      <c r="K311" s="25"/>
      <c r="L311" s="25" t="str">
        <f aca="false">IF($C311="","",ROUND($J311*0.17,0))</f>
        <v/>
      </c>
      <c r="M311" s="25"/>
      <c r="N311" s="25"/>
      <c r="O311" s="25"/>
      <c r="P311" s="25"/>
      <c r="Q311" s="25"/>
      <c r="R311" s="25"/>
      <c r="S311" s="25" t="str">
        <f aca="false">IF($C311="","",ROUND($J311*2.2,0))</f>
        <v/>
      </c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  <c r="AF311" s="25"/>
      <c r="AG311" s="25"/>
      <c r="AH311" s="25"/>
      <c r="AI311" s="25"/>
      <c r="AJ311" s="25"/>
      <c r="AK311" s="25"/>
      <c r="AL311" s="25"/>
      <c r="AM311" s="25"/>
      <c r="AN311" s="25"/>
    </row>
    <row r="312" customFormat="false" ht="15.75" hidden="false" customHeight="true" outlineLevel="0" collapsed="false">
      <c r="A312" s="25"/>
      <c r="B312" s="25" t="str">
        <f aca="false">IF($C312="","",COUNTA($C$5:C312))</f>
        <v/>
      </c>
      <c r="C312" s="25"/>
      <c r="D312" s="25"/>
      <c r="E312" s="25"/>
      <c r="F312" s="25"/>
      <c r="G312" s="25"/>
      <c r="H312" s="25"/>
      <c r="I312" s="25"/>
      <c r="J312" s="25"/>
      <c r="K312" s="25"/>
      <c r="L312" s="25" t="str">
        <f aca="false">IF($C312="","",ROUND($J312*0.17,0))</f>
        <v/>
      </c>
      <c r="M312" s="25"/>
      <c r="N312" s="25"/>
      <c r="O312" s="25"/>
      <c r="P312" s="25"/>
      <c r="Q312" s="25"/>
      <c r="R312" s="25"/>
      <c r="S312" s="25" t="str">
        <f aca="false">IF($C312="","",ROUND($J312*2.2,0))</f>
        <v/>
      </c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  <c r="AF312" s="25"/>
      <c r="AG312" s="25"/>
      <c r="AH312" s="25"/>
      <c r="AI312" s="25"/>
      <c r="AJ312" s="25"/>
      <c r="AK312" s="25"/>
      <c r="AL312" s="25"/>
      <c r="AM312" s="25"/>
      <c r="AN312" s="25"/>
    </row>
    <row r="313" customFormat="false" ht="15.75" hidden="false" customHeight="true" outlineLevel="0" collapsed="false">
      <c r="A313" s="25"/>
      <c r="B313" s="25" t="str">
        <f aca="false">IF($C313="","",COUNTA($C$5:C313))</f>
        <v/>
      </c>
      <c r="C313" s="25"/>
      <c r="D313" s="25"/>
      <c r="E313" s="25"/>
      <c r="F313" s="25"/>
      <c r="G313" s="25"/>
      <c r="H313" s="25"/>
      <c r="I313" s="25"/>
      <c r="J313" s="25"/>
      <c r="K313" s="25"/>
      <c r="L313" s="25" t="str">
        <f aca="false">IF($C313="","",ROUND($J313*0.17,0))</f>
        <v/>
      </c>
      <c r="M313" s="25"/>
      <c r="N313" s="25"/>
      <c r="O313" s="25"/>
      <c r="P313" s="25"/>
      <c r="Q313" s="25"/>
      <c r="R313" s="25"/>
      <c r="S313" s="25" t="str">
        <f aca="false">IF($C313="","",ROUND($J313*2.2,0))</f>
        <v/>
      </c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  <c r="AF313" s="25"/>
      <c r="AG313" s="25"/>
      <c r="AH313" s="25"/>
      <c r="AI313" s="25"/>
      <c r="AJ313" s="25"/>
      <c r="AK313" s="25"/>
      <c r="AL313" s="25"/>
      <c r="AM313" s="25"/>
      <c r="AN313" s="25"/>
    </row>
    <row r="314" customFormat="false" ht="15.75" hidden="false" customHeight="true" outlineLevel="0" collapsed="false">
      <c r="A314" s="25"/>
      <c r="B314" s="25" t="str">
        <f aca="false">IF($C314="","",COUNTA($C$5:C314))</f>
        <v/>
      </c>
      <c r="C314" s="25"/>
      <c r="D314" s="25"/>
      <c r="E314" s="25"/>
      <c r="F314" s="25"/>
      <c r="G314" s="25"/>
      <c r="H314" s="25"/>
      <c r="I314" s="25"/>
      <c r="J314" s="25"/>
      <c r="K314" s="25"/>
      <c r="L314" s="25" t="str">
        <f aca="false">IF($C314="","",ROUND($J314*0.17,0))</f>
        <v/>
      </c>
      <c r="M314" s="25"/>
      <c r="N314" s="25"/>
      <c r="O314" s="25"/>
      <c r="P314" s="25"/>
      <c r="Q314" s="25"/>
      <c r="R314" s="25"/>
      <c r="S314" s="25" t="str">
        <f aca="false">IF($C314="","",ROUND($J314*2.2,0))</f>
        <v/>
      </c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  <c r="AF314" s="25"/>
      <c r="AG314" s="25"/>
      <c r="AH314" s="25"/>
      <c r="AI314" s="25"/>
      <c r="AJ314" s="25"/>
      <c r="AK314" s="25"/>
      <c r="AL314" s="25"/>
      <c r="AM314" s="25"/>
      <c r="AN314" s="25"/>
    </row>
    <row r="315" customFormat="false" ht="15.75" hidden="false" customHeight="true" outlineLevel="0" collapsed="false">
      <c r="A315" s="25"/>
      <c r="B315" s="25" t="str">
        <f aca="false">IF($C315="","",COUNTA($C$5:C315))</f>
        <v/>
      </c>
      <c r="C315" s="25"/>
      <c r="D315" s="25"/>
      <c r="E315" s="25"/>
      <c r="F315" s="25"/>
      <c r="G315" s="25"/>
      <c r="H315" s="25"/>
      <c r="I315" s="25"/>
      <c r="J315" s="25"/>
      <c r="K315" s="25"/>
      <c r="L315" s="25" t="str">
        <f aca="false">IF($C315="","",ROUND($J315*0.17,0))</f>
        <v/>
      </c>
      <c r="M315" s="25"/>
      <c r="N315" s="25"/>
      <c r="O315" s="25"/>
      <c r="P315" s="25"/>
      <c r="Q315" s="25"/>
      <c r="R315" s="25"/>
      <c r="S315" s="25" t="str">
        <f aca="false">IF($C315="","",ROUND($J315*2.2,0))</f>
        <v/>
      </c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  <c r="AF315" s="25"/>
      <c r="AG315" s="25"/>
      <c r="AH315" s="25"/>
      <c r="AI315" s="25"/>
      <c r="AJ315" s="25"/>
      <c r="AK315" s="25"/>
      <c r="AL315" s="25"/>
      <c r="AM315" s="25"/>
      <c r="AN315" s="25"/>
    </row>
    <row r="316" customFormat="false" ht="15.75" hidden="false" customHeight="true" outlineLevel="0" collapsed="false">
      <c r="A316" s="25"/>
      <c r="B316" s="25" t="str">
        <f aca="false">IF($C316="","",COUNTA($C$5:C316))</f>
        <v/>
      </c>
      <c r="C316" s="25"/>
      <c r="D316" s="25"/>
      <c r="E316" s="25"/>
      <c r="F316" s="25"/>
      <c r="G316" s="25"/>
      <c r="H316" s="25"/>
      <c r="I316" s="25"/>
      <c r="J316" s="25"/>
      <c r="K316" s="25"/>
      <c r="L316" s="25" t="str">
        <f aca="false">IF($C316="","",ROUND($J316*0.17,0))</f>
        <v/>
      </c>
      <c r="M316" s="25"/>
      <c r="N316" s="25"/>
      <c r="O316" s="25"/>
      <c r="P316" s="25"/>
      <c r="Q316" s="25"/>
      <c r="R316" s="25"/>
      <c r="S316" s="25" t="str">
        <f aca="false">IF($C316="","",ROUND($J316*2.2,0))</f>
        <v/>
      </c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  <c r="AF316" s="25"/>
      <c r="AG316" s="25"/>
      <c r="AH316" s="25"/>
      <c r="AI316" s="25"/>
      <c r="AJ316" s="25"/>
      <c r="AK316" s="25"/>
      <c r="AL316" s="25"/>
      <c r="AM316" s="25"/>
      <c r="AN316" s="25"/>
    </row>
    <row r="317" customFormat="false" ht="15.75" hidden="false" customHeight="true" outlineLevel="0" collapsed="false">
      <c r="A317" s="25"/>
      <c r="B317" s="25" t="str">
        <f aca="false">IF($C317="","",COUNTA($C$5:C317))</f>
        <v/>
      </c>
      <c r="C317" s="25"/>
      <c r="D317" s="25"/>
      <c r="E317" s="25"/>
      <c r="F317" s="25"/>
      <c r="G317" s="25"/>
      <c r="H317" s="25"/>
      <c r="I317" s="25"/>
      <c r="J317" s="25"/>
      <c r="K317" s="25"/>
      <c r="L317" s="25" t="str">
        <f aca="false">IF($C317="","",ROUND($J317*0.17,0))</f>
        <v/>
      </c>
      <c r="M317" s="25"/>
      <c r="N317" s="25"/>
      <c r="O317" s="25"/>
      <c r="P317" s="25"/>
      <c r="Q317" s="25"/>
      <c r="R317" s="25"/>
      <c r="S317" s="25" t="str">
        <f aca="false">IF($C317="","",ROUND($J317*2.2,0))</f>
        <v/>
      </c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  <c r="AF317" s="25"/>
      <c r="AG317" s="25"/>
      <c r="AH317" s="25"/>
      <c r="AI317" s="25"/>
      <c r="AJ317" s="25"/>
      <c r="AK317" s="25"/>
      <c r="AL317" s="25"/>
      <c r="AM317" s="25"/>
      <c r="AN317" s="25"/>
    </row>
    <row r="318" customFormat="false" ht="15.75" hidden="false" customHeight="true" outlineLevel="0" collapsed="false">
      <c r="A318" s="25"/>
      <c r="B318" s="25" t="str">
        <f aca="false">IF($C318="","",COUNTA($C$5:C318))</f>
        <v/>
      </c>
      <c r="C318" s="25"/>
      <c r="D318" s="25"/>
      <c r="E318" s="25"/>
      <c r="F318" s="25"/>
      <c r="G318" s="25"/>
      <c r="H318" s="25"/>
      <c r="I318" s="25"/>
      <c r="J318" s="25"/>
      <c r="K318" s="25"/>
      <c r="L318" s="25" t="str">
        <f aca="false">IF($C318="","",ROUND($J318*0.17,0))</f>
        <v/>
      </c>
      <c r="M318" s="25"/>
      <c r="N318" s="25"/>
      <c r="O318" s="25"/>
      <c r="P318" s="25"/>
      <c r="Q318" s="25"/>
      <c r="R318" s="25"/>
      <c r="S318" s="25" t="str">
        <f aca="false">IF($C318="","",ROUND($J318*2.2,0))</f>
        <v/>
      </c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  <c r="AF318" s="25"/>
      <c r="AG318" s="25"/>
      <c r="AH318" s="25"/>
      <c r="AI318" s="25"/>
      <c r="AJ318" s="25"/>
      <c r="AK318" s="25"/>
      <c r="AL318" s="25"/>
      <c r="AM318" s="25"/>
      <c r="AN318" s="25"/>
    </row>
    <row r="319" customFormat="false" ht="15.75" hidden="false" customHeight="true" outlineLevel="0" collapsed="false">
      <c r="A319" s="25"/>
      <c r="B319" s="25" t="str">
        <f aca="false">IF($C319="","",COUNTA($C$5:C319))</f>
        <v/>
      </c>
      <c r="C319" s="25"/>
      <c r="D319" s="25"/>
      <c r="E319" s="25"/>
      <c r="F319" s="25"/>
      <c r="G319" s="25"/>
      <c r="H319" s="25"/>
      <c r="I319" s="25"/>
      <c r="J319" s="25"/>
      <c r="K319" s="25"/>
      <c r="L319" s="25" t="str">
        <f aca="false">IF($C319="","",ROUND($J319*0.17,0))</f>
        <v/>
      </c>
      <c r="M319" s="25"/>
      <c r="N319" s="25"/>
      <c r="O319" s="25"/>
      <c r="P319" s="25"/>
      <c r="Q319" s="25"/>
      <c r="R319" s="25"/>
      <c r="S319" s="25" t="str">
        <f aca="false">IF($C319="","",ROUND($J319*2.2,0))</f>
        <v/>
      </c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  <c r="AF319" s="25"/>
      <c r="AG319" s="25"/>
      <c r="AH319" s="25"/>
      <c r="AI319" s="25"/>
      <c r="AJ319" s="25"/>
      <c r="AK319" s="25"/>
      <c r="AL319" s="25"/>
      <c r="AM319" s="25"/>
      <c r="AN319" s="25"/>
    </row>
    <row r="320" customFormat="false" ht="15.75" hidden="false" customHeight="true" outlineLevel="0" collapsed="false">
      <c r="A320" s="25"/>
      <c r="B320" s="25" t="str">
        <f aca="false">IF($C320="","",COUNTA($C$5:C320))</f>
        <v/>
      </c>
      <c r="C320" s="25"/>
      <c r="D320" s="25"/>
      <c r="E320" s="25"/>
      <c r="F320" s="25"/>
      <c r="G320" s="25"/>
      <c r="H320" s="25"/>
      <c r="I320" s="25"/>
      <c r="J320" s="25"/>
      <c r="K320" s="25"/>
      <c r="L320" s="25" t="str">
        <f aca="false">IF($C320="","",ROUND($J320*0.17,0))</f>
        <v/>
      </c>
      <c r="M320" s="25"/>
      <c r="N320" s="25"/>
      <c r="O320" s="25"/>
      <c r="P320" s="25"/>
      <c r="Q320" s="25"/>
      <c r="R320" s="25"/>
      <c r="S320" s="25" t="str">
        <f aca="false">IF($C320="","",ROUND($J320*2.2,0))</f>
        <v/>
      </c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  <c r="AF320" s="25"/>
      <c r="AG320" s="25"/>
      <c r="AH320" s="25"/>
      <c r="AI320" s="25"/>
      <c r="AJ320" s="25"/>
      <c r="AK320" s="25"/>
      <c r="AL320" s="25"/>
      <c r="AM320" s="25"/>
      <c r="AN320" s="25"/>
    </row>
    <row r="321" customFormat="false" ht="15.75" hidden="false" customHeight="true" outlineLevel="0" collapsed="false">
      <c r="A321" s="25"/>
      <c r="B321" s="25" t="str">
        <f aca="false">IF($C321="","",COUNTA($C$5:C321))</f>
        <v/>
      </c>
      <c r="C321" s="25"/>
      <c r="D321" s="25"/>
      <c r="E321" s="25"/>
      <c r="F321" s="25"/>
      <c r="G321" s="25"/>
      <c r="H321" s="25"/>
      <c r="I321" s="25"/>
      <c r="J321" s="25"/>
      <c r="K321" s="25"/>
      <c r="L321" s="25" t="str">
        <f aca="false">IF($C321="","",ROUND($J321*0.17,0))</f>
        <v/>
      </c>
      <c r="M321" s="25"/>
      <c r="N321" s="25"/>
      <c r="O321" s="25"/>
      <c r="P321" s="25"/>
      <c r="Q321" s="25"/>
      <c r="R321" s="25"/>
      <c r="S321" s="25" t="str">
        <f aca="false">IF($C321="","",ROUND($J321*2.2,0))</f>
        <v/>
      </c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  <c r="AF321" s="25"/>
      <c r="AG321" s="25"/>
      <c r="AH321" s="25"/>
      <c r="AI321" s="25"/>
      <c r="AJ321" s="25"/>
      <c r="AK321" s="25"/>
      <c r="AL321" s="25"/>
      <c r="AM321" s="25"/>
      <c r="AN321" s="25"/>
    </row>
    <row r="322" customFormat="false" ht="15.75" hidden="false" customHeight="true" outlineLevel="0" collapsed="false">
      <c r="A322" s="25"/>
      <c r="B322" s="25" t="str">
        <f aca="false">IF($C322="","",COUNTA($C$5:C322))</f>
        <v/>
      </c>
      <c r="C322" s="25"/>
      <c r="D322" s="25"/>
      <c r="E322" s="25"/>
      <c r="F322" s="25"/>
      <c r="G322" s="25"/>
      <c r="H322" s="25"/>
      <c r="I322" s="25"/>
      <c r="J322" s="25"/>
      <c r="K322" s="25"/>
      <c r="L322" s="25" t="str">
        <f aca="false">IF($C322="","",ROUND($J322*0.17,0))</f>
        <v/>
      </c>
      <c r="M322" s="25"/>
      <c r="N322" s="25"/>
      <c r="O322" s="25"/>
      <c r="P322" s="25"/>
      <c r="Q322" s="25"/>
      <c r="R322" s="25"/>
      <c r="S322" s="25" t="str">
        <f aca="false">IF($C322="","",ROUND($J322*2.2,0))</f>
        <v/>
      </c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  <c r="AF322" s="25"/>
      <c r="AG322" s="25"/>
      <c r="AH322" s="25"/>
      <c r="AI322" s="25"/>
      <c r="AJ322" s="25"/>
      <c r="AK322" s="25"/>
      <c r="AL322" s="25"/>
      <c r="AM322" s="25"/>
      <c r="AN322" s="25"/>
    </row>
    <row r="323" customFormat="false" ht="15.75" hidden="false" customHeight="true" outlineLevel="0" collapsed="false">
      <c r="A323" s="25"/>
      <c r="B323" s="25" t="str">
        <f aca="false">IF($C323="","",COUNTA($C$5:C323))</f>
        <v/>
      </c>
      <c r="C323" s="25"/>
      <c r="D323" s="25"/>
      <c r="E323" s="25"/>
      <c r="F323" s="25"/>
      <c r="G323" s="25"/>
      <c r="H323" s="25"/>
      <c r="I323" s="25"/>
      <c r="J323" s="25"/>
      <c r="K323" s="25"/>
      <c r="L323" s="25" t="str">
        <f aca="false">IF($C323="","",ROUND($J323*0.17,0))</f>
        <v/>
      </c>
      <c r="M323" s="25"/>
      <c r="N323" s="25"/>
      <c r="O323" s="25"/>
      <c r="P323" s="25"/>
      <c r="Q323" s="25"/>
      <c r="R323" s="25"/>
      <c r="S323" s="25" t="str">
        <f aca="false">IF($C323="","",ROUND($J323*2.2,0))</f>
        <v/>
      </c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  <c r="AF323" s="25"/>
      <c r="AG323" s="25"/>
      <c r="AH323" s="25"/>
      <c r="AI323" s="25"/>
      <c r="AJ323" s="25"/>
      <c r="AK323" s="25"/>
      <c r="AL323" s="25"/>
      <c r="AM323" s="25"/>
      <c r="AN323" s="25"/>
    </row>
    <row r="324" customFormat="false" ht="15.75" hidden="false" customHeight="true" outlineLevel="0" collapsed="false">
      <c r="A324" s="25"/>
      <c r="B324" s="25" t="str">
        <f aca="false">IF($C324="","",COUNTA($C$5:C324))</f>
        <v/>
      </c>
      <c r="C324" s="25"/>
      <c r="D324" s="25"/>
      <c r="E324" s="25"/>
      <c r="F324" s="25"/>
      <c r="G324" s="25"/>
      <c r="H324" s="25"/>
      <c r="I324" s="25"/>
      <c r="J324" s="25"/>
      <c r="K324" s="25"/>
      <c r="L324" s="25" t="str">
        <f aca="false">IF($C324="","",ROUND($J324*0.17,0))</f>
        <v/>
      </c>
      <c r="M324" s="25"/>
      <c r="N324" s="25"/>
      <c r="O324" s="25"/>
      <c r="P324" s="25"/>
      <c r="Q324" s="25"/>
      <c r="R324" s="25"/>
      <c r="S324" s="25" t="str">
        <f aca="false">IF($C324="","",ROUND($J324*2.2,0))</f>
        <v/>
      </c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  <c r="AF324" s="25"/>
      <c r="AG324" s="25"/>
      <c r="AH324" s="25"/>
      <c r="AI324" s="25"/>
      <c r="AJ324" s="25"/>
      <c r="AK324" s="25"/>
      <c r="AL324" s="25"/>
      <c r="AM324" s="25"/>
      <c r="AN324" s="25"/>
    </row>
    <row r="325" customFormat="false" ht="15.75" hidden="false" customHeight="true" outlineLevel="0" collapsed="false">
      <c r="A325" s="25"/>
      <c r="B325" s="25" t="str">
        <f aca="false">IF($C325="","",COUNTA($C$5:C325))</f>
        <v/>
      </c>
      <c r="C325" s="25"/>
      <c r="D325" s="25"/>
      <c r="E325" s="25"/>
      <c r="F325" s="25"/>
      <c r="G325" s="25"/>
      <c r="H325" s="25"/>
      <c r="I325" s="25"/>
      <c r="J325" s="25"/>
      <c r="K325" s="25"/>
      <c r="L325" s="25" t="str">
        <f aca="false">IF($C325="","",ROUND($J325*0.17,0))</f>
        <v/>
      </c>
      <c r="M325" s="25"/>
      <c r="N325" s="25"/>
      <c r="O325" s="25"/>
      <c r="P325" s="25"/>
      <c r="Q325" s="25"/>
      <c r="R325" s="25"/>
      <c r="S325" s="25" t="str">
        <f aca="false">IF($C325="","",ROUND($J325*2.2,0))</f>
        <v/>
      </c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  <c r="AF325" s="25"/>
      <c r="AG325" s="25"/>
      <c r="AH325" s="25"/>
      <c r="AI325" s="25"/>
      <c r="AJ325" s="25"/>
      <c r="AK325" s="25"/>
      <c r="AL325" s="25"/>
      <c r="AM325" s="25"/>
      <c r="AN325" s="25"/>
    </row>
    <row r="326" customFormat="false" ht="15.75" hidden="false" customHeight="true" outlineLevel="0" collapsed="false">
      <c r="A326" s="25"/>
      <c r="B326" s="25" t="str">
        <f aca="false">IF($C326="","",COUNTA($C$5:C326))</f>
        <v/>
      </c>
      <c r="C326" s="25"/>
      <c r="D326" s="25"/>
      <c r="E326" s="25"/>
      <c r="F326" s="25"/>
      <c r="G326" s="25"/>
      <c r="H326" s="25"/>
      <c r="I326" s="25"/>
      <c r="J326" s="25"/>
      <c r="K326" s="25"/>
      <c r="L326" s="25" t="str">
        <f aca="false">IF($C326="","",ROUND($J326*0.17,0))</f>
        <v/>
      </c>
      <c r="M326" s="25"/>
      <c r="N326" s="25"/>
      <c r="O326" s="25"/>
      <c r="P326" s="25"/>
      <c r="Q326" s="25"/>
      <c r="R326" s="25"/>
      <c r="S326" s="25" t="str">
        <f aca="false">IF($C326="","",ROUND($J326*2.2,0))</f>
        <v/>
      </c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  <c r="AF326" s="25"/>
      <c r="AG326" s="25"/>
      <c r="AH326" s="25"/>
      <c r="AI326" s="25"/>
      <c r="AJ326" s="25"/>
      <c r="AK326" s="25"/>
      <c r="AL326" s="25"/>
      <c r="AM326" s="25"/>
      <c r="AN326" s="25"/>
    </row>
    <row r="327" customFormat="false" ht="15.75" hidden="false" customHeight="true" outlineLevel="0" collapsed="false">
      <c r="A327" s="25"/>
      <c r="B327" s="25" t="str">
        <f aca="false">IF($C327="","",COUNTA($C$5:C327))</f>
        <v/>
      </c>
      <c r="C327" s="25"/>
      <c r="D327" s="25"/>
      <c r="E327" s="25"/>
      <c r="F327" s="25"/>
      <c r="G327" s="25"/>
      <c r="H327" s="25"/>
      <c r="I327" s="25"/>
      <c r="J327" s="25"/>
      <c r="K327" s="25"/>
      <c r="L327" s="25" t="str">
        <f aca="false">IF($C327="","",ROUND($J327*0.17,0))</f>
        <v/>
      </c>
      <c r="M327" s="25"/>
      <c r="N327" s="25"/>
      <c r="O327" s="25"/>
      <c r="P327" s="25"/>
      <c r="Q327" s="25"/>
      <c r="R327" s="25"/>
      <c r="S327" s="25" t="str">
        <f aca="false">IF($C327="","",ROUND($J327*2.2,0))</f>
        <v/>
      </c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  <c r="AF327" s="25"/>
      <c r="AG327" s="25"/>
      <c r="AH327" s="25"/>
      <c r="AI327" s="25"/>
      <c r="AJ327" s="25"/>
      <c r="AK327" s="25"/>
      <c r="AL327" s="25"/>
      <c r="AM327" s="25"/>
      <c r="AN327" s="25"/>
    </row>
    <row r="328" customFormat="false" ht="15.75" hidden="false" customHeight="true" outlineLevel="0" collapsed="false">
      <c r="A328" s="25"/>
      <c r="B328" s="25" t="str">
        <f aca="false">IF($C328="","",COUNTA($C$5:C328))</f>
        <v/>
      </c>
      <c r="C328" s="25"/>
      <c r="D328" s="25"/>
      <c r="E328" s="25"/>
      <c r="F328" s="25"/>
      <c r="G328" s="25"/>
      <c r="H328" s="25"/>
      <c r="I328" s="25"/>
      <c r="J328" s="25"/>
      <c r="K328" s="25"/>
      <c r="L328" s="25" t="str">
        <f aca="false">IF($C328="","",ROUND($J328*0.17,0))</f>
        <v/>
      </c>
      <c r="M328" s="25"/>
      <c r="N328" s="25"/>
      <c r="O328" s="25"/>
      <c r="P328" s="25"/>
      <c r="Q328" s="25"/>
      <c r="R328" s="25"/>
      <c r="S328" s="25" t="str">
        <f aca="false">IF($C328="","",ROUND($J328*2.2,0))</f>
        <v/>
      </c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  <c r="AF328" s="25"/>
      <c r="AG328" s="25"/>
      <c r="AH328" s="25"/>
      <c r="AI328" s="25"/>
      <c r="AJ328" s="25"/>
      <c r="AK328" s="25"/>
      <c r="AL328" s="25"/>
      <c r="AM328" s="25"/>
      <c r="AN328" s="25"/>
    </row>
    <row r="329" customFormat="false" ht="15.75" hidden="false" customHeight="true" outlineLevel="0" collapsed="false">
      <c r="A329" s="25"/>
      <c r="B329" s="25" t="str">
        <f aca="false">IF($C329="","",COUNTA($C$5:C329))</f>
        <v/>
      </c>
      <c r="C329" s="25"/>
      <c r="D329" s="25"/>
      <c r="E329" s="25"/>
      <c r="F329" s="25"/>
      <c r="G329" s="25"/>
      <c r="H329" s="25"/>
      <c r="I329" s="25"/>
      <c r="J329" s="25"/>
      <c r="K329" s="25"/>
      <c r="L329" s="25" t="str">
        <f aca="false">IF($C329="","",ROUND($J329*0.17,0))</f>
        <v/>
      </c>
      <c r="M329" s="25"/>
      <c r="N329" s="25"/>
      <c r="O329" s="25"/>
      <c r="P329" s="25"/>
      <c r="Q329" s="25"/>
      <c r="R329" s="25"/>
      <c r="S329" s="25" t="str">
        <f aca="false">IF($C329="","",ROUND($J329*2.2,0))</f>
        <v/>
      </c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  <c r="AF329" s="25"/>
      <c r="AG329" s="25"/>
      <c r="AH329" s="25"/>
      <c r="AI329" s="25"/>
      <c r="AJ329" s="25"/>
      <c r="AK329" s="25"/>
      <c r="AL329" s="25"/>
      <c r="AM329" s="25"/>
      <c r="AN329" s="25"/>
    </row>
    <row r="330" customFormat="false" ht="15.75" hidden="false" customHeight="true" outlineLevel="0" collapsed="false">
      <c r="A330" s="25"/>
      <c r="B330" s="25" t="str">
        <f aca="false">IF($C330="","",COUNTA($C$5:C330))</f>
        <v/>
      </c>
      <c r="C330" s="25"/>
      <c r="D330" s="25"/>
      <c r="E330" s="25"/>
      <c r="F330" s="25"/>
      <c r="G330" s="25"/>
      <c r="H330" s="25"/>
      <c r="I330" s="25"/>
      <c r="J330" s="25"/>
      <c r="K330" s="25"/>
      <c r="L330" s="25" t="str">
        <f aca="false">IF($C330="","",ROUND($J330*0.17,0))</f>
        <v/>
      </c>
      <c r="M330" s="25"/>
      <c r="N330" s="25"/>
      <c r="O330" s="25"/>
      <c r="P330" s="25"/>
      <c r="Q330" s="25"/>
      <c r="R330" s="25"/>
      <c r="S330" s="25" t="str">
        <f aca="false">IF($C330="","",ROUND($J330*2.2,0))</f>
        <v/>
      </c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  <c r="AF330" s="25"/>
      <c r="AG330" s="25"/>
      <c r="AH330" s="25"/>
      <c r="AI330" s="25"/>
      <c r="AJ330" s="25"/>
      <c r="AK330" s="25"/>
      <c r="AL330" s="25"/>
      <c r="AM330" s="25"/>
      <c r="AN330" s="25"/>
    </row>
    <row r="331" customFormat="false" ht="15.75" hidden="false" customHeight="true" outlineLevel="0" collapsed="false">
      <c r="A331" s="25"/>
      <c r="B331" s="25" t="str">
        <f aca="false">IF($C331="","",COUNTA($C$5:C331))</f>
        <v/>
      </c>
      <c r="C331" s="25"/>
      <c r="D331" s="25"/>
      <c r="E331" s="25"/>
      <c r="F331" s="25"/>
      <c r="G331" s="25"/>
      <c r="H331" s="25"/>
      <c r="I331" s="25"/>
      <c r="J331" s="25"/>
      <c r="K331" s="25"/>
      <c r="L331" s="25" t="str">
        <f aca="false">IF($C331="","",ROUND($J331*0.17,0))</f>
        <v/>
      </c>
      <c r="M331" s="25"/>
      <c r="N331" s="25"/>
      <c r="O331" s="25"/>
      <c r="P331" s="25"/>
      <c r="Q331" s="25"/>
      <c r="R331" s="25"/>
      <c r="S331" s="25" t="str">
        <f aca="false">IF($C331="","",ROUND($J331*2.2,0))</f>
        <v/>
      </c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  <c r="AF331" s="25"/>
      <c r="AG331" s="25"/>
      <c r="AH331" s="25"/>
      <c r="AI331" s="25"/>
      <c r="AJ331" s="25"/>
      <c r="AK331" s="25"/>
      <c r="AL331" s="25"/>
      <c r="AM331" s="25"/>
      <c r="AN331" s="25"/>
    </row>
    <row r="332" customFormat="false" ht="15.75" hidden="false" customHeight="true" outlineLevel="0" collapsed="false">
      <c r="A332" s="25"/>
      <c r="B332" s="25" t="str">
        <f aca="false">IF($C332="","",COUNTA($C$5:C332))</f>
        <v/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 t="str">
        <f aca="false">IF($C332="","",ROUND($J332*0.17,0))</f>
        <v/>
      </c>
      <c r="M332" s="25"/>
      <c r="N332" s="25"/>
      <c r="O332" s="25"/>
      <c r="P332" s="25"/>
      <c r="Q332" s="25"/>
      <c r="R332" s="25"/>
      <c r="S332" s="25" t="str">
        <f aca="false">IF($C332="","",ROUND($J332*2.2,0))</f>
        <v/>
      </c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  <c r="AF332" s="25"/>
      <c r="AG332" s="25"/>
      <c r="AH332" s="25"/>
      <c r="AI332" s="25"/>
      <c r="AJ332" s="25"/>
      <c r="AK332" s="25"/>
      <c r="AL332" s="25"/>
      <c r="AM332" s="25"/>
      <c r="AN332" s="25"/>
    </row>
    <row r="333" customFormat="false" ht="15.75" hidden="false" customHeight="true" outlineLevel="0" collapsed="false">
      <c r="A333" s="25"/>
      <c r="B333" s="25" t="str">
        <f aca="false">IF($C333="","",COUNTA($C$5:C333))</f>
        <v/>
      </c>
      <c r="C333" s="25"/>
      <c r="D333" s="25"/>
      <c r="E333" s="25"/>
      <c r="F333" s="25"/>
      <c r="G333" s="25"/>
      <c r="H333" s="25"/>
      <c r="I333" s="25"/>
      <c r="J333" s="25"/>
      <c r="K333" s="25"/>
      <c r="L333" s="25" t="str">
        <f aca="false">IF($C333="","",ROUND($J333*0.17,0))</f>
        <v/>
      </c>
      <c r="M333" s="25"/>
      <c r="N333" s="25"/>
      <c r="O333" s="25"/>
      <c r="P333" s="25"/>
      <c r="Q333" s="25"/>
      <c r="R333" s="25"/>
      <c r="S333" s="25" t="str">
        <f aca="false">IF($C333="","",ROUND($J333*2.2,0))</f>
        <v/>
      </c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  <c r="AF333" s="25"/>
      <c r="AG333" s="25"/>
      <c r="AH333" s="25"/>
      <c r="AI333" s="25"/>
      <c r="AJ333" s="25"/>
      <c r="AK333" s="25"/>
      <c r="AL333" s="25"/>
      <c r="AM333" s="25"/>
      <c r="AN333" s="25"/>
    </row>
    <row r="334" customFormat="false" ht="15.75" hidden="false" customHeight="true" outlineLevel="0" collapsed="false">
      <c r="A334" s="25"/>
      <c r="B334" s="25" t="str">
        <f aca="false">IF($C334="","",COUNTA($C$5:C334))</f>
        <v/>
      </c>
      <c r="C334" s="25"/>
      <c r="D334" s="25"/>
      <c r="E334" s="25"/>
      <c r="F334" s="25"/>
      <c r="G334" s="25"/>
      <c r="H334" s="25"/>
      <c r="I334" s="25"/>
      <c r="J334" s="25"/>
      <c r="K334" s="25"/>
      <c r="L334" s="25" t="str">
        <f aca="false">IF($C334="","",ROUND($J334*0.17,0))</f>
        <v/>
      </c>
      <c r="M334" s="25"/>
      <c r="N334" s="25"/>
      <c r="O334" s="25"/>
      <c r="P334" s="25"/>
      <c r="Q334" s="25"/>
      <c r="R334" s="25"/>
      <c r="S334" s="25" t="str">
        <f aca="false">IF($C334="","",ROUND($J334*2.2,0))</f>
        <v/>
      </c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  <c r="AF334" s="25"/>
      <c r="AG334" s="25"/>
      <c r="AH334" s="25"/>
      <c r="AI334" s="25"/>
      <c r="AJ334" s="25"/>
      <c r="AK334" s="25"/>
      <c r="AL334" s="25"/>
      <c r="AM334" s="25"/>
      <c r="AN334" s="25"/>
    </row>
    <row r="335" customFormat="false" ht="15.75" hidden="false" customHeight="true" outlineLevel="0" collapsed="false">
      <c r="A335" s="25"/>
      <c r="B335" s="25" t="str">
        <f aca="false">IF($C335="","",COUNTA($C$5:C335))</f>
        <v/>
      </c>
      <c r="C335" s="25"/>
      <c r="D335" s="25"/>
      <c r="E335" s="25"/>
      <c r="F335" s="25"/>
      <c r="G335" s="25"/>
      <c r="H335" s="25"/>
      <c r="I335" s="25"/>
      <c r="J335" s="25"/>
      <c r="K335" s="25"/>
      <c r="L335" s="25" t="str">
        <f aca="false">IF($C335="","",ROUND($J335*0.17,0))</f>
        <v/>
      </c>
      <c r="M335" s="25"/>
      <c r="N335" s="25"/>
      <c r="O335" s="25"/>
      <c r="P335" s="25"/>
      <c r="Q335" s="25"/>
      <c r="R335" s="25"/>
      <c r="S335" s="25" t="str">
        <f aca="false">IF($C335="","",ROUND($J335*2.2,0))</f>
        <v/>
      </c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  <c r="AF335" s="25"/>
      <c r="AG335" s="25"/>
      <c r="AH335" s="25"/>
      <c r="AI335" s="25"/>
      <c r="AJ335" s="25"/>
      <c r="AK335" s="25"/>
      <c r="AL335" s="25"/>
      <c r="AM335" s="25"/>
      <c r="AN335" s="25"/>
    </row>
    <row r="336" customFormat="false" ht="15.75" hidden="false" customHeight="true" outlineLevel="0" collapsed="false">
      <c r="A336" s="25"/>
      <c r="B336" s="25" t="str">
        <f aca="false">IF($C336="","",COUNTA($C$5:C336))</f>
        <v/>
      </c>
      <c r="C336" s="25"/>
      <c r="D336" s="25"/>
      <c r="E336" s="25"/>
      <c r="F336" s="25"/>
      <c r="G336" s="25"/>
      <c r="H336" s="25"/>
      <c r="I336" s="25"/>
      <c r="J336" s="25"/>
      <c r="K336" s="25"/>
      <c r="L336" s="25" t="str">
        <f aca="false">IF($C336="","",ROUND($J336*0.17,0))</f>
        <v/>
      </c>
      <c r="M336" s="25"/>
      <c r="N336" s="25"/>
      <c r="O336" s="25"/>
      <c r="P336" s="25"/>
      <c r="Q336" s="25"/>
      <c r="R336" s="25"/>
      <c r="S336" s="25" t="str">
        <f aca="false">IF($C336="","",ROUND($J336*2.2,0))</f>
        <v/>
      </c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  <c r="AF336" s="25"/>
      <c r="AG336" s="25"/>
      <c r="AH336" s="25"/>
      <c r="AI336" s="25"/>
      <c r="AJ336" s="25"/>
      <c r="AK336" s="25"/>
      <c r="AL336" s="25"/>
      <c r="AM336" s="25"/>
      <c r="AN336" s="25"/>
    </row>
    <row r="337" customFormat="false" ht="15.75" hidden="false" customHeight="true" outlineLevel="0" collapsed="false">
      <c r="A337" s="25"/>
      <c r="B337" s="25" t="str">
        <f aca="false">IF($C337="","",COUNTA($C$5:C337))</f>
        <v/>
      </c>
      <c r="C337" s="25"/>
      <c r="D337" s="25"/>
      <c r="E337" s="25"/>
      <c r="F337" s="25"/>
      <c r="G337" s="25"/>
      <c r="H337" s="25"/>
      <c r="I337" s="25"/>
      <c r="J337" s="25"/>
      <c r="K337" s="25"/>
      <c r="L337" s="25" t="str">
        <f aca="false">IF($C337="","",ROUND($J337*0.17,0))</f>
        <v/>
      </c>
      <c r="M337" s="25"/>
      <c r="N337" s="25"/>
      <c r="O337" s="25"/>
      <c r="P337" s="25"/>
      <c r="Q337" s="25"/>
      <c r="R337" s="25"/>
      <c r="S337" s="25" t="str">
        <f aca="false">IF($C337="","",ROUND($J337*2.2,0))</f>
        <v/>
      </c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  <c r="AF337" s="25"/>
      <c r="AG337" s="25"/>
      <c r="AH337" s="25"/>
      <c r="AI337" s="25"/>
      <c r="AJ337" s="25"/>
      <c r="AK337" s="25"/>
      <c r="AL337" s="25"/>
      <c r="AM337" s="25"/>
      <c r="AN337" s="25"/>
    </row>
    <row r="338" customFormat="false" ht="15.75" hidden="false" customHeight="true" outlineLevel="0" collapsed="false">
      <c r="A338" s="25"/>
      <c r="B338" s="25" t="str">
        <f aca="false">IF($C338="","",COUNTA($C$5:C338))</f>
        <v/>
      </c>
      <c r="C338" s="25"/>
      <c r="D338" s="25"/>
      <c r="E338" s="25"/>
      <c r="F338" s="25"/>
      <c r="G338" s="25"/>
      <c r="H338" s="25"/>
      <c r="I338" s="25"/>
      <c r="J338" s="25"/>
      <c r="K338" s="25"/>
      <c r="L338" s="25" t="str">
        <f aca="false">IF($C338="","",ROUND($J338*0.17,0))</f>
        <v/>
      </c>
      <c r="M338" s="25"/>
      <c r="N338" s="25"/>
      <c r="O338" s="25"/>
      <c r="P338" s="25"/>
      <c r="Q338" s="25"/>
      <c r="R338" s="25"/>
      <c r="S338" s="25" t="str">
        <f aca="false">IF($C338="","",ROUND($J338*2.2,0))</f>
        <v/>
      </c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  <c r="AF338" s="25"/>
      <c r="AG338" s="25"/>
      <c r="AH338" s="25"/>
      <c r="AI338" s="25"/>
      <c r="AJ338" s="25"/>
      <c r="AK338" s="25"/>
      <c r="AL338" s="25"/>
      <c r="AM338" s="25"/>
      <c r="AN338" s="25"/>
    </row>
    <row r="339" customFormat="false" ht="15.75" hidden="false" customHeight="true" outlineLevel="0" collapsed="false">
      <c r="A339" s="25"/>
      <c r="B339" s="25" t="str">
        <f aca="false">IF($C339="","",COUNTA($C$5:C339))</f>
        <v/>
      </c>
      <c r="C339" s="25"/>
      <c r="D339" s="25"/>
      <c r="E339" s="25"/>
      <c r="F339" s="25"/>
      <c r="G339" s="25"/>
      <c r="H339" s="25"/>
      <c r="I339" s="25"/>
      <c r="J339" s="25"/>
      <c r="K339" s="25"/>
      <c r="L339" s="25" t="str">
        <f aca="false">IF($C339="","",ROUND($J339*0.17,0))</f>
        <v/>
      </c>
      <c r="M339" s="25"/>
      <c r="N339" s="25"/>
      <c r="O339" s="25"/>
      <c r="P339" s="25"/>
      <c r="Q339" s="25"/>
      <c r="R339" s="25"/>
      <c r="S339" s="25" t="str">
        <f aca="false">IF($C339="","",ROUND($J339*2.2,0))</f>
        <v/>
      </c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  <c r="AF339" s="25"/>
      <c r="AG339" s="25"/>
      <c r="AH339" s="25"/>
      <c r="AI339" s="25"/>
      <c r="AJ339" s="25"/>
      <c r="AK339" s="25"/>
      <c r="AL339" s="25"/>
      <c r="AM339" s="25"/>
      <c r="AN339" s="25"/>
    </row>
    <row r="340" customFormat="false" ht="15.75" hidden="false" customHeight="true" outlineLevel="0" collapsed="false">
      <c r="A340" s="25"/>
      <c r="B340" s="25" t="str">
        <f aca="false">IF($C340="","",COUNTA($C$5:C340))</f>
        <v/>
      </c>
      <c r="C340" s="25"/>
      <c r="D340" s="25"/>
      <c r="E340" s="25"/>
      <c r="F340" s="25"/>
      <c r="G340" s="25"/>
      <c r="H340" s="25"/>
      <c r="I340" s="25"/>
      <c r="J340" s="25"/>
      <c r="K340" s="25"/>
      <c r="L340" s="25" t="str">
        <f aca="false">IF($C340="","",ROUND($J340*0.17,0))</f>
        <v/>
      </c>
      <c r="M340" s="25"/>
      <c r="N340" s="25"/>
      <c r="O340" s="25"/>
      <c r="P340" s="25"/>
      <c r="Q340" s="25"/>
      <c r="R340" s="25"/>
      <c r="S340" s="25" t="str">
        <f aca="false">IF($C340="","",ROUND($J340*2.2,0))</f>
        <v/>
      </c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  <c r="AF340" s="25"/>
      <c r="AG340" s="25"/>
      <c r="AH340" s="25"/>
      <c r="AI340" s="25"/>
      <c r="AJ340" s="25"/>
      <c r="AK340" s="25"/>
      <c r="AL340" s="25"/>
      <c r="AM340" s="25"/>
      <c r="AN340" s="25"/>
    </row>
    <row r="341" customFormat="false" ht="15.75" hidden="false" customHeight="true" outlineLevel="0" collapsed="false">
      <c r="A341" s="25"/>
      <c r="B341" s="25" t="str">
        <f aca="false">IF($C341="","",COUNTA($C$5:C341))</f>
        <v/>
      </c>
      <c r="C341" s="25"/>
      <c r="D341" s="25"/>
      <c r="E341" s="25"/>
      <c r="F341" s="25"/>
      <c r="G341" s="25"/>
      <c r="H341" s="25"/>
      <c r="I341" s="25"/>
      <c r="J341" s="25"/>
      <c r="K341" s="25"/>
      <c r="L341" s="25" t="str">
        <f aca="false">IF($C341="","",ROUND($J341*0.17,0))</f>
        <v/>
      </c>
      <c r="M341" s="25"/>
      <c r="N341" s="25"/>
      <c r="O341" s="25"/>
      <c r="P341" s="25"/>
      <c r="Q341" s="25"/>
      <c r="R341" s="25"/>
      <c r="S341" s="25" t="str">
        <f aca="false">IF($C341="","",ROUND($J341*2.2,0))</f>
        <v/>
      </c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  <c r="AF341" s="25"/>
      <c r="AG341" s="25"/>
      <c r="AH341" s="25"/>
      <c r="AI341" s="25"/>
      <c r="AJ341" s="25"/>
      <c r="AK341" s="25"/>
      <c r="AL341" s="25"/>
      <c r="AM341" s="25"/>
      <c r="AN341" s="25"/>
    </row>
    <row r="342" customFormat="false" ht="15.75" hidden="false" customHeight="true" outlineLevel="0" collapsed="false">
      <c r="A342" s="25"/>
      <c r="B342" s="25" t="str">
        <f aca="false">IF($C342="","",COUNTA($C$5:C342))</f>
        <v/>
      </c>
      <c r="C342" s="25"/>
      <c r="D342" s="25"/>
      <c r="E342" s="25"/>
      <c r="F342" s="25"/>
      <c r="G342" s="25"/>
      <c r="H342" s="25"/>
      <c r="I342" s="25"/>
      <c r="J342" s="25"/>
      <c r="K342" s="25"/>
      <c r="L342" s="25" t="str">
        <f aca="false">IF($C342="","",ROUND($J342*0.17,0))</f>
        <v/>
      </c>
      <c r="M342" s="25"/>
      <c r="N342" s="25"/>
      <c r="O342" s="25"/>
      <c r="P342" s="25"/>
      <c r="Q342" s="25"/>
      <c r="R342" s="25"/>
      <c r="S342" s="25" t="str">
        <f aca="false">IF($C342="","",ROUND($J342*2.2,0))</f>
        <v/>
      </c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  <c r="AF342" s="25"/>
      <c r="AG342" s="25"/>
      <c r="AH342" s="25"/>
      <c r="AI342" s="25"/>
      <c r="AJ342" s="25"/>
      <c r="AK342" s="25"/>
      <c r="AL342" s="25"/>
      <c r="AM342" s="25"/>
      <c r="AN342" s="25"/>
    </row>
    <row r="343" customFormat="false" ht="15.75" hidden="false" customHeight="true" outlineLevel="0" collapsed="false">
      <c r="A343" s="25"/>
      <c r="B343" s="25" t="str">
        <f aca="false">IF($C343="","",COUNTA($C$5:C343))</f>
        <v/>
      </c>
      <c r="C343" s="25"/>
      <c r="D343" s="25"/>
      <c r="E343" s="25"/>
      <c r="F343" s="25"/>
      <c r="G343" s="25"/>
      <c r="H343" s="25"/>
      <c r="I343" s="25"/>
      <c r="J343" s="25"/>
      <c r="K343" s="25"/>
      <c r="L343" s="25" t="str">
        <f aca="false">IF($C343="","",ROUND($J343*0.17,0))</f>
        <v/>
      </c>
      <c r="M343" s="25"/>
      <c r="N343" s="25"/>
      <c r="O343" s="25"/>
      <c r="P343" s="25"/>
      <c r="Q343" s="25"/>
      <c r="R343" s="25"/>
      <c r="S343" s="25" t="str">
        <f aca="false">IF($C343="","",ROUND($J343*2.2,0))</f>
        <v/>
      </c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  <c r="AF343" s="25"/>
      <c r="AG343" s="25"/>
      <c r="AH343" s="25"/>
      <c r="AI343" s="25"/>
      <c r="AJ343" s="25"/>
      <c r="AK343" s="25"/>
      <c r="AL343" s="25"/>
      <c r="AM343" s="25"/>
      <c r="AN343" s="25"/>
    </row>
    <row r="344" customFormat="false" ht="15.75" hidden="false" customHeight="true" outlineLevel="0" collapsed="false">
      <c r="A344" s="25"/>
      <c r="B344" s="25" t="str">
        <f aca="false">IF($C344="","",COUNTA($C$5:C344))</f>
        <v/>
      </c>
      <c r="C344" s="25"/>
      <c r="D344" s="25"/>
      <c r="E344" s="25"/>
      <c r="F344" s="25"/>
      <c r="G344" s="25"/>
      <c r="H344" s="25"/>
      <c r="I344" s="25"/>
      <c r="J344" s="25"/>
      <c r="K344" s="25"/>
      <c r="L344" s="25" t="str">
        <f aca="false">IF($C344="","",ROUND($J344*0.17,0))</f>
        <v/>
      </c>
      <c r="M344" s="25"/>
      <c r="N344" s="25"/>
      <c r="O344" s="25"/>
      <c r="P344" s="25"/>
      <c r="Q344" s="25"/>
      <c r="R344" s="25"/>
      <c r="S344" s="25" t="str">
        <f aca="false">IF($C344="","",ROUND($J344*2.2,0))</f>
        <v/>
      </c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  <c r="AF344" s="25"/>
      <c r="AG344" s="25"/>
      <c r="AH344" s="25"/>
      <c r="AI344" s="25"/>
      <c r="AJ344" s="25"/>
      <c r="AK344" s="25"/>
      <c r="AL344" s="25"/>
      <c r="AM344" s="25"/>
      <c r="AN344" s="25"/>
    </row>
    <row r="345" customFormat="false" ht="15.75" hidden="false" customHeight="true" outlineLevel="0" collapsed="false">
      <c r="A345" s="25"/>
      <c r="B345" s="25" t="str">
        <f aca="false">IF($C345="","",COUNTA($C$5:C345))</f>
        <v/>
      </c>
      <c r="C345" s="25"/>
      <c r="D345" s="25"/>
      <c r="E345" s="25"/>
      <c r="F345" s="25"/>
      <c r="G345" s="25"/>
      <c r="H345" s="25"/>
      <c r="I345" s="25"/>
      <c r="J345" s="25"/>
      <c r="K345" s="25"/>
      <c r="L345" s="25" t="str">
        <f aca="false">IF($C345="","",ROUND($J345*0.17,0))</f>
        <v/>
      </c>
      <c r="M345" s="25"/>
      <c r="N345" s="25"/>
      <c r="O345" s="25"/>
      <c r="P345" s="25"/>
      <c r="Q345" s="25"/>
      <c r="R345" s="25"/>
      <c r="S345" s="25" t="str">
        <f aca="false">IF($C345="","",ROUND($J345*2.2,0))</f>
        <v/>
      </c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  <c r="AF345" s="25"/>
      <c r="AG345" s="25"/>
      <c r="AH345" s="25"/>
      <c r="AI345" s="25"/>
      <c r="AJ345" s="25"/>
      <c r="AK345" s="25"/>
      <c r="AL345" s="25"/>
      <c r="AM345" s="25"/>
      <c r="AN345" s="25"/>
    </row>
    <row r="346" customFormat="false" ht="15.75" hidden="false" customHeight="true" outlineLevel="0" collapsed="false">
      <c r="A346" s="25"/>
      <c r="B346" s="25" t="str">
        <f aca="false">IF($C346="","",COUNTA($C$5:C346))</f>
        <v/>
      </c>
      <c r="C346" s="25"/>
      <c r="D346" s="25"/>
      <c r="E346" s="25"/>
      <c r="F346" s="25"/>
      <c r="G346" s="25"/>
      <c r="H346" s="25"/>
      <c r="I346" s="25"/>
      <c r="J346" s="25"/>
      <c r="K346" s="25"/>
      <c r="L346" s="25" t="str">
        <f aca="false">IF($C346="","",ROUND($J346*0.17,0))</f>
        <v/>
      </c>
      <c r="M346" s="25"/>
      <c r="N346" s="25"/>
      <c r="O346" s="25"/>
      <c r="P346" s="25"/>
      <c r="Q346" s="25"/>
      <c r="R346" s="25"/>
      <c r="S346" s="25" t="str">
        <f aca="false">IF($C346="","",ROUND($J346*2.2,0))</f>
        <v/>
      </c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  <c r="AF346" s="25"/>
      <c r="AG346" s="25"/>
      <c r="AH346" s="25"/>
      <c r="AI346" s="25"/>
      <c r="AJ346" s="25"/>
      <c r="AK346" s="25"/>
      <c r="AL346" s="25"/>
      <c r="AM346" s="25"/>
      <c r="AN346" s="25"/>
    </row>
    <row r="347" customFormat="false" ht="15.75" hidden="false" customHeight="true" outlineLevel="0" collapsed="false">
      <c r="A347" s="25"/>
      <c r="B347" s="25" t="str">
        <f aca="false">IF($C347="","",COUNTA($C$5:C347))</f>
        <v/>
      </c>
      <c r="C347" s="25"/>
      <c r="D347" s="25"/>
      <c r="E347" s="25"/>
      <c r="F347" s="25"/>
      <c r="G347" s="25"/>
      <c r="H347" s="25"/>
      <c r="I347" s="25"/>
      <c r="J347" s="25"/>
      <c r="K347" s="25"/>
      <c r="L347" s="25" t="str">
        <f aca="false">IF($C347="","",ROUND($J347*0.17,0))</f>
        <v/>
      </c>
      <c r="M347" s="25"/>
      <c r="N347" s="25"/>
      <c r="O347" s="25"/>
      <c r="P347" s="25"/>
      <c r="Q347" s="25"/>
      <c r="R347" s="25"/>
      <c r="S347" s="25" t="str">
        <f aca="false">IF($C347="","",ROUND($J347*2.2,0))</f>
        <v/>
      </c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  <c r="AF347" s="25"/>
      <c r="AG347" s="25"/>
      <c r="AH347" s="25"/>
      <c r="AI347" s="25"/>
      <c r="AJ347" s="25"/>
      <c r="AK347" s="25"/>
      <c r="AL347" s="25"/>
      <c r="AM347" s="25"/>
      <c r="AN347" s="25"/>
    </row>
    <row r="348" customFormat="false" ht="15.75" hidden="false" customHeight="true" outlineLevel="0" collapsed="false">
      <c r="A348" s="25"/>
      <c r="B348" s="25" t="str">
        <f aca="false">IF($C348="","",COUNTA($C$5:C348))</f>
        <v/>
      </c>
      <c r="C348" s="25"/>
      <c r="D348" s="25"/>
      <c r="E348" s="25"/>
      <c r="F348" s="25"/>
      <c r="G348" s="25"/>
      <c r="H348" s="25"/>
      <c r="I348" s="25"/>
      <c r="J348" s="25"/>
      <c r="K348" s="25"/>
      <c r="L348" s="25" t="str">
        <f aca="false">IF($C348="","",ROUND($J348*0.17,0))</f>
        <v/>
      </c>
      <c r="M348" s="25"/>
      <c r="N348" s="25"/>
      <c r="O348" s="25"/>
      <c r="P348" s="25"/>
      <c r="Q348" s="25"/>
      <c r="R348" s="25"/>
      <c r="S348" s="25" t="str">
        <f aca="false">IF($C348="","",ROUND($J348*2.2,0))</f>
        <v/>
      </c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  <c r="AF348" s="25"/>
      <c r="AG348" s="25"/>
      <c r="AH348" s="25"/>
      <c r="AI348" s="25"/>
      <c r="AJ348" s="25"/>
      <c r="AK348" s="25"/>
      <c r="AL348" s="25"/>
      <c r="AM348" s="25"/>
      <c r="AN348" s="25"/>
    </row>
    <row r="349" customFormat="false" ht="15.75" hidden="false" customHeight="true" outlineLevel="0" collapsed="false">
      <c r="A349" s="25"/>
      <c r="B349" s="25" t="str">
        <f aca="false">IF($C349="","",COUNTA($C$5:C349))</f>
        <v/>
      </c>
      <c r="C349" s="25"/>
      <c r="D349" s="25"/>
      <c r="E349" s="25"/>
      <c r="F349" s="25"/>
      <c r="G349" s="25"/>
      <c r="H349" s="25"/>
      <c r="I349" s="25"/>
      <c r="J349" s="25"/>
      <c r="K349" s="25"/>
      <c r="L349" s="25" t="str">
        <f aca="false">IF($C349="","",ROUND($J349*0.17,0))</f>
        <v/>
      </c>
      <c r="M349" s="25"/>
      <c r="N349" s="25"/>
      <c r="O349" s="25"/>
      <c r="P349" s="25"/>
      <c r="Q349" s="25"/>
      <c r="R349" s="25"/>
      <c r="S349" s="25" t="str">
        <f aca="false">IF($C349="","",ROUND($J349*2.2,0))</f>
        <v/>
      </c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  <c r="AF349" s="25"/>
      <c r="AG349" s="25"/>
      <c r="AH349" s="25"/>
      <c r="AI349" s="25"/>
      <c r="AJ349" s="25"/>
      <c r="AK349" s="25"/>
      <c r="AL349" s="25"/>
      <c r="AM349" s="25"/>
      <c r="AN349" s="25"/>
    </row>
    <row r="350" customFormat="false" ht="15.75" hidden="false" customHeight="true" outlineLevel="0" collapsed="false">
      <c r="A350" s="25"/>
      <c r="B350" s="25" t="str">
        <f aca="false">IF($C350="","",COUNTA($C$5:C350))</f>
        <v/>
      </c>
      <c r="C350" s="25"/>
      <c r="D350" s="25"/>
      <c r="E350" s="25"/>
      <c r="F350" s="25"/>
      <c r="G350" s="25"/>
      <c r="H350" s="25"/>
      <c r="I350" s="25"/>
      <c r="J350" s="25"/>
      <c r="K350" s="25"/>
      <c r="L350" s="25" t="str">
        <f aca="false">IF($C350="","",ROUND($J350*0.17,0))</f>
        <v/>
      </c>
      <c r="M350" s="25"/>
      <c r="N350" s="25"/>
      <c r="O350" s="25"/>
      <c r="P350" s="25"/>
      <c r="Q350" s="25"/>
      <c r="R350" s="25"/>
      <c r="S350" s="25" t="str">
        <f aca="false">IF($C350="","",ROUND($J350*2.2,0))</f>
        <v/>
      </c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  <c r="AF350" s="25"/>
      <c r="AG350" s="25"/>
      <c r="AH350" s="25"/>
      <c r="AI350" s="25"/>
      <c r="AJ350" s="25"/>
      <c r="AK350" s="25"/>
      <c r="AL350" s="25"/>
      <c r="AM350" s="25"/>
      <c r="AN350" s="25"/>
    </row>
    <row r="351" customFormat="false" ht="15.75" hidden="false" customHeight="true" outlineLevel="0" collapsed="false">
      <c r="A351" s="25"/>
      <c r="B351" s="25" t="str">
        <f aca="false">IF($C351="","",COUNTA($C$5:C351))</f>
        <v/>
      </c>
      <c r="C351" s="25"/>
      <c r="D351" s="25"/>
      <c r="E351" s="25"/>
      <c r="F351" s="25"/>
      <c r="G351" s="25"/>
      <c r="H351" s="25"/>
      <c r="I351" s="25"/>
      <c r="J351" s="25"/>
      <c r="K351" s="25"/>
      <c r="L351" s="25" t="str">
        <f aca="false">IF($C351="","",ROUND($J351*0.17,0))</f>
        <v/>
      </c>
      <c r="M351" s="25"/>
      <c r="N351" s="25"/>
      <c r="O351" s="25"/>
      <c r="P351" s="25"/>
      <c r="Q351" s="25"/>
      <c r="R351" s="25"/>
      <c r="S351" s="25" t="str">
        <f aca="false">IF($C351="","",ROUND($J351*2.2,0))</f>
        <v/>
      </c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  <c r="AF351" s="25"/>
      <c r="AG351" s="25"/>
      <c r="AH351" s="25"/>
      <c r="AI351" s="25"/>
      <c r="AJ351" s="25"/>
      <c r="AK351" s="25"/>
      <c r="AL351" s="25"/>
      <c r="AM351" s="25"/>
      <c r="AN351" s="25"/>
    </row>
    <row r="352" customFormat="false" ht="15.75" hidden="false" customHeight="true" outlineLevel="0" collapsed="false">
      <c r="A352" s="25"/>
      <c r="B352" s="25" t="str">
        <f aca="false">IF($C352="","",COUNTA($C$5:C352))</f>
        <v/>
      </c>
      <c r="C352" s="25"/>
      <c r="D352" s="25"/>
      <c r="E352" s="25"/>
      <c r="F352" s="25"/>
      <c r="G352" s="25"/>
      <c r="H352" s="25"/>
      <c r="I352" s="25"/>
      <c r="J352" s="25"/>
      <c r="K352" s="25"/>
      <c r="L352" s="25" t="str">
        <f aca="false">IF($C352="","",ROUND($J352*0.17,0))</f>
        <v/>
      </c>
      <c r="M352" s="25"/>
      <c r="N352" s="25"/>
      <c r="O352" s="25"/>
      <c r="P352" s="25"/>
      <c r="Q352" s="25"/>
      <c r="R352" s="25"/>
      <c r="S352" s="25" t="str">
        <f aca="false">IF($C352="","",ROUND($J352*2.2,0))</f>
        <v/>
      </c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  <c r="AF352" s="25"/>
      <c r="AG352" s="25"/>
      <c r="AH352" s="25"/>
      <c r="AI352" s="25"/>
      <c r="AJ352" s="25"/>
      <c r="AK352" s="25"/>
      <c r="AL352" s="25"/>
      <c r="AM352" s="25"/>
      <c r="AN352" s="25"/>
    </row>
    <row r="353" customFormat="false" ht="15.75" hidden="false" customHeight="true" outlineLevel="0" collapsed="false">
      <c r="A353" s="25"/>
      <c r="B353" s="25" t="str">
        <f aca="false">IF($C353="","",COUNTA($C$5:C353))</f>
        <v/>
      </c>
      <c r="C353" s="25"/>
      <c r="D353" s="25"/>
      <c r="E353" s="25"/>
      <c r="F353" s="25"/>
      <c r="G353" s="25"/>
      <c r="H353" s="25"/>
      <c r="I353" s="25"/>
      <c r="J353" s="25"/>
      <c r="K353" s="25"/>
      <c r="L353" s="25" t="str">
        <f aca="false">IF($C353="","",ROUND($J353*0.17,0))</f>
        <v/>
      </c>
      <c r="M353" s="25"/>
      <c r="N353" s="25"/>
      <c r="O353" s="25"/>
      <c r="P353" s="25"/>
      <c r="Q353" s="25"/>
      <c r="R353" s="25"/>
      <c r="S353" s="25" t="str">
        <f aca="false">IF($C353="","",ROUND($J353*2.2,0))</f>
        <v/>
      </c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  <c r="AF353" s="25"/>
      <c r="AG353" s="25"/>
      <c r="AH353" s="25"/>
      <c r="AI353" s="25"/>
      <c r="AJ353" s="25"/>
      <c r="AK353" s="25"/>
      <c r="AL353" s="25"/>
      <c r="AM353" s="25"/>
      <c r="AN353" s="25"/>
    </row>
    <row r="354" customFormat="false" ht="15.75" hidden="false" customHeight="true" outlineLevel="0" collapsed="false">
      <c r="A354" s="25"/>
      <c r="B354" s="25" t="str">
        <f aca="false">IF($C354="","",COUNTA($C$5:C354))</f>
        <v/>
      </c>
      <c r="C354" s="25"/>
      <c r="D354" s="25"/>
      <c r="E354" s="25"/>
      <c r="F354" s="25"/>
      <c r="G354" s="25"/>
      <c r="H354" s="25"/>
      <c r="I354" s="25"/>
      <c r="J354" s="25"/>
      <c r="K354" s="25"/>
      <c r="L354" s="25" t="str">
        <f aca="false">IF($C354="","",ROUND($J354*0.17,0))</f>
        <v/>
      </c>
      <c r="M354" s="25"/>
      <c r="N354" s="25"/>
      <c r="O354" s="25"/>
      <c r="P354" s="25"/>
      <c r="Q354" s="25"/>
      <c r="R354" s="25"/>
      <c r="S354" s="25" t="str">
        <f aca="false">IF($C354="","",ROUND($J354*2.2,0))</f>
        <v/>
      </c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  <c r="AF354" s="25"/>
      <c r="AG354" s="25"/>
      <c r="AH354" s="25"/>
      <c r="AI354" s="25"/>
      <c r="AJ354" s="25"/>
      <c r="AK354" s="25"/>
      <c r="AL354" s="25"/>
      <c r="AM354" s="25"/>
      <c r="AN354" s="25"/>
    </row>
    <row r="355" customFormat="false" ht="15.75" hidden="false" customHeight="true" outlineLevel="0" collapsed="false">
      <c r="A355" s="25"/>
      <c r="B355" s="25" t="str">
        <f aca="false">IF($C355="","",COUNTA($C$5:C355))</f>
        <v/>
      </c>
      <c r="C355" s="25"/>
      <c r="D355" s="25"/>
      <c r="E355" s="25"/>
      <c r="F355" s="25"/>
      <c r="G355" s="25"/>
      <c r="H355" s="25"/>
      <c r="I355" s="25"/>
      <c r="J355" s="25"/>
      <c r="K355" s="25"/>
      <c r="L355" s="25" t="str">
        <f aca="false">IF($C355="","",ROUND($J355*0.17,0))</f>
        <v/>
      </c>
      <c r="M355" s="25"/>
      <c r="N355" s="25"/>
      <c r="O355" s="25"/>
      <c r="P355" s="25"/>
      <c r="Q355" s="25"/>
      <c r="R355" s="25"/>
      <c r="S355" s="25" t="str">
        <f aca="false">IF($C355="","",ROUND($J355*2.2,0))</f>
        <v/>
      </c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  <c r="AF355" s="25"/>
      <c r="AG355" s="25"/>
      <c r="AH355" s="25"/>
      <c r="AI355" s="25"/>
      <c r="AJ355" s="25"/>
      <c r="AK355" s="25"/>
      <c r="AL355" s="25"/>
      <c r="AM355" s="25"/>
      <c r="AN355" s="25"/>
    </row>
    <row r="356" customFormat="false" ht="15.75" hidden="false" customHeight="true" outlineLevel="0" collapsed="false">
      <c r="A356" s="25"/>
      <c r="B356" s="25" t="str">
        <f aca="false">IF($C356="","",COUNTA($C$5:C356))</f>
        <v/>
      </c>
      <c r="C356" s="25"/>
      <c r="D356" s="25"/>
      <c r="E356" s="25"/>
      <c r="F356" s="25"/>
      <c r="G356" s="25"/>
      <c r="H356" s="25"/>
      <c r="I356" s="25"/>
      <c r="J356" s="25"/>
      <c r="K356" s="25"/>
      <c r="L356" s="25" t="str">
        <f aca="false">IF($C356="","",ROUND($J356*0.17,0))</f>
        <v/>
      </c>
      <c r="M356" s="25"/>
      <c r="N356" s="25"/>
      <c r="O356" s="25"/>
      <c r="P356" s="25"/>
      <c r="Q356" s="25"/>
      <c r="R356" s="25"/>
      <c r="S356" s="25" t="str">
        <f aca="false">IF($C356="","",ROUND($J356*2.2,0))</f>
        <v/>
      </c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  <c r="AF356" s="25"/>
      <c r="AG356" s="25"/>
      <c r="AH356" s="25"/>
      <c r="AI356" s="25"/>
      <c r="AJ356" s="25"/>
      <c r="AK356" s="25"/>
      <c r="AL356" s="25"/>
      <c r="AM356" s="25"/>
      <c r="AN356" s="25"/>
    </row>
    <row r="357" customFormat="false" ht="15.75" hidden="false" customHeight="true" outlineLevel="0" collapsed="false">
      <c r="A357" s="25"/>
      <c r="B357" s="25" t="str">
        <f aca="false">IF($C357="","",COUNTA($C$5:C357))</f>
        <v/>
      </c>
      <c r="C357" s="25"/>
      <c r="D357" s="25"/>
      <c r="E357" s="25"/>
      <c r="F357" s="25"/>
      <c r="G357" s="25"/>
      <c r="H357" s="25"/>
      <c r="I357" s="25"/>
      <c r="J357" s="25"/>
      <c r="K357" s="25"/>
      <c r="L357" s="25" t="str">
        <f aca="false">IF($C357="","",ROUND($J357*0.17,0))</f>
        <v/>
      </c>
      <c r="M357" s="25"/>
      <c r="N357" s="25"/>
      <c r="O357" s="25"/>
      <c r="P357" s="25"/>
      <c r="Q357" s="25"/>
      <c r="R357" s="25"/>
      <c r="S357" s="25" t="str">
        <f aca="false">IF($C357="","",ROUND($J357*2.2,0))</f>
        <v/>
      </c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  <c r="AF357" s="25"/>
      <c r="AG357" s="25"/>
      <c r="AH357" s="25"/>
      <c r="AI357" s="25"/>
      <c r="AJ357" s="25"/>
      <c r="AK357" s="25"/>
      <c r="AL357" s="25"/>
      <c r="AM357" s="25"/>
      <c r="AN357" s="25"/>
    </row>
    <row r="358" customFormat="false" ht="15.75" hidden="false" customHeight="true" outlineLevel="0" collapsed="false">
      <c r="A358" s="25"/>
      <c r="B358" s="25" t="str">
        <f aca="false">IF($C358="","",COUNTA($C$5:C358))</f>
        <v/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 t="str">
        <f aca="false">IF($C358="","",ROUND($J358*0.17,0))</f>
        <v/>
      </c>
      <c r="M358" s="25"/>
      <c r="N358" s="25"/>
      <c r="O358" s="25"/>
      <c r="P358" s="25"/>
      <c r="Q358" s="25"/>
      <c r="R358" s="25"/>
      <c r="S358" s="25" t="str">
        <f aca="false">IF($C358="","",ROUND($J358*2.2,0))</f>
        <v/>
      </c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  <c r="AF358" s="25"/>
      <c r="AG358" s="25"/>
      <c r="AH358" s="25"/>
      <c r="AI358" s="25"/>
      <c r="AJ358" s="25"/>
      <c r="AK358" s="25"/>
      <c r="AL358" s="25"/>
      <c r="AM358" s="25"/>
      <c r="AN358" s="25"/>
    </row>
    <row r="359" customFormat="false" ht="15.75" hidden="false" customHeight="true" outlineLevel="0" collapsed="false">
      <c r="A359" s="25"/>
      <c r="B359" s="25" t="str">
        <f aca="false">IF($C359="","",COUNTA($C$5:C359))</f>
        <v/>
      </c>
      <c r="C359" s="25"/>
      <c r="D359" s="25"/>
      <c r="E359" s="25"/>
      <c r="F359" s="25"/>
      <c r="G359" s="25"/>
      <c r="H359" s="25"/>
      <c r="I359" s="25"/>
      <c r="J359" s="25"/>
      <c r="K359" s="25"/>
      <c r="L359" s="25" t="str">
        <f aca="false">IF($C359="","",ROUND($J359*0.17,0))</f>
        <v/>
      </c>
      <c r="M359" s="25"/>
      <c r="N359" s="25"/>
      <c r="O359" s="25"/>
      <c r="P359" s="25"/>
      <c r="Q359" s="25"/>
      <c r="R359" s="25"/>
      <c r="S359" s="25" t="str">
        <f aca="false">IF($C359="","",ROUND($J359*2.2,0))</f>
        <v/>
      </c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  <c r="AF359" s="25"/>
      <c r="AG359" s="25"/>
      <c r="AH359" s="25"/>
      <c r="AI359" s="25"/>
      <c r="AJ359" s="25"/>
      <c r="AK359" s="25"/>
      <c r="AL359" s="25"/>
      <c r="AM359" s="25"/>
      <c r="AN359" s="25"/>
    </row>
    <row r="360" customFormat="false" ht="15.75" hidden="false" customHeight="true" outlineLevel="0" collapsed="false">
      <c r="A360" s="25"/>
      <c r="B360" s="25" t="str">
        <f aca="false">IF($C360="","",COUNTA($C$5:C360))</f>
        <v/>
      </c>
      <c r="C360" s="25"/>
      <c r="D360" s="25"/>
      <c r="E360" s="25"/>
      <c r="F360" s="25"/>
      <c r="G360" s="25"/>
      <c r="H360" s="25"/>
      <c r="I360" s="25"/>
      <c r="J360" s="25"/>
      <c r="K360" s="25"/>
      <c r="L360" s="25" t="str">
        <f aca="false">IF($C360="","",ROUND($J360*0.17,0))</f>
        <v/>
      </c>
      <c r="M360" s="25"/>
      <c r="N360" s="25"/>
      <c r="O360" s="25"/>
      <c r="P360" s="25"/>
      <c r="Q360" s="25"/>
      <c r="R360" s="25"/>
      <c r="S360" s="25" t="str">
        <f aca="false">IF($C360="","",ROUND($J360*2.2,0))</f>
        <v/>
      </c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  <c r="AF360" s="25"/>
      <c r="AG360" s="25"/>
      <c r="AH360" s="25"/>
      <c r="AI360" s="25"/>
      <c r="AJ360" s="25"/>
      <c r="AK360" s="25"/>
      <c r="AL360" s="25"/>
      <c r="AM360" s="25"/>
      <c r="AN360" s="25"/>
    </row>
    <row r="361" customFormat="false" ht="15.75" hidden="false" customHeight="true" outlineLevel="0" collapsed="false">
      <c r="A361" s="25"/>
      <c r="B361" s="25" t="str">
        <f aca="false">IF($C361="","",COUNTA($C$5:C361))</f>
        <v/>
      </c>
      <c r="C361" s="25"/>
      <c r="D361" s="25"/>
      <c r="E361" s="25"/>
      <c r="F361" s="25"/>
      <c r="G361" s="25"/>
      <c r="H361" s="25"/>
      <c r="I361" s="25"/>
      <c r="J361" s="25"/>
      <c r="K361" s="25"/>
      <c r="L361" s="25" t="str">
        <f aca="false">IF($C361="","",ROUND($J361*0.17,0))</f>
        <v/>
      </c>
      <c r="M361" s="25"/>
      <c r="N361" s="25"/>
      <c r="O361" s="25"/>
      <c r="P361" s="25"/>
      <c r="Q361" s="25"/>
      <c r="R361" s="25"/>
      <c r="S361" s="25" t="str">
        <f aca="false">IF($C361="","",ROUND($J361*2.2,0))</f>
        <v/>
      </c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  <c r="AF361" s="25"/>
      <c r="AG361" s="25"/>
      <c r="AH361" s="25"/>
      <c r="AI361" s="25"/>
      <c r="AJ361" s="25"/>
      <c r="AK361" s="25"/>
      <c r="AL361" s="25"/>
      <c r="AM361" s="25"/>
      <c r="AN361" s="25"/>
    </row>
    <row r="362" customFormat="false" ht="15.75" hidden="false" customHeight="true" outlineLevel="0" collapsed="false">
      <c r="A362" s="25"/>
      <c r="B362" s="25" t="str">
        <f aca="false">IF($C362="","",COUNTA($C$5:C362))</f>
        <v/>
      </c>
      <c r="C362" s="25"/>
      <c r="D362" s="25"/>
      <c r="E362" s="25"/>
      <c r="F362" s="25"/>
      <c r="G362" s="25"/>
      <c r="H362" s="25"/>
      <c r="I362" s="25"/>
      <c r="J362" s="25"/>
      <c r="K362" s="25"/>
      <c r="L362" s="25" t="str">
        <f aca="false">IF($C362="","",ROUND($J362*0.17,0))</f>
        <v/>
      </c>
      <c r="M362" s="25"/>
      <c r="N362" s="25"/>
      <c r="O362" s="25"/>
      <c r="P362" s="25"/>
      <c r="Q362" s="25"/>
      <c r="R362" s="25"/>
      <c r="S362" s="25" t="str">
        <f aca="false">IF($C362="","",ROUND($J362*2.2,0))</f>
        <v/>
      </c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  <c r="AF362" s="25"/>
      <c r="AG362" s="25"/>
      <c r="AH362" s="25"/>
      <c r="AI362" s="25"/>
      <c r="AJ362" s="25"/>
      <c r="AK362" s="25"/>
      <c r="AL362" s="25"/>
      <c r="AM362" s="25"/>
      <c r="AN362" s="25"/>
    </row>
    <row r="363" customFormat="false" ht="15.75" hidden="false" customHeight="true" outlineLevel="0" collapsed="false">
      <c r="A363" s="25"/>
      <c r="B363" s="25" t="str">
        <f aca="false">IF($C363="","",COUNTA($C$5:C363))</f>
        <v/>
      </c>
      <c r="C363" s="25"/>
      <c r="D363" s="25"/>
      <c r="E363" s="25"/>
      <c r="F363" s="25"/>
      <c r="G363" s="25"/>
      <c r="H363" s="25"/>
      <c r="I363" s="25"/>
      <c r="J363" s="25"/>
      <c r="K363" s="25"/>
      <c r="L363" s="25" t="str">
        <f aca="false">IF($C363="","",ROUND($J363*0.17,0))</f>
        <v/>
      </c>
      <c r="M363" s="25"/>
      <c r="N363" s="25"/>
      <c r="O363" s="25"/>
      <c r="P363" s="25"/>
      <c r="Q363" s="25"/>
      <c r="R363" s="25"/>
      <c r="S363" s="25" t="str">
        <f aca="false">IF($C363="","",ROUND($J363*2.2,0))</f>
        <v/>
      </c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  <c r="AF363" s="25"/>
      <c r="AG363" s="25"/>
      <c r="AH363" s="25"/>
      <c r="AI363" s="25"/>
      <c r="AJ363" s="25"/>
      <c r="AK363" s="25"/>
      <c r="AL363" s="25"/>
      <c r="AM363" s="25"/>
      <c r="AN363" s="25"/>
    </row>
    <row r="364" customFormat="false" ht="15.75" hidden="false" customHeight="true" outlineLevel="0" collapsed="false">
      <c r="A364" s="25"/>
      <c r="B364" s="25" t="str">
        <f aca="false">IF($C364="","",COUNTA($C$5:C364))</f>
        <v/>
      </c>
      <c r="C364" s="25"/>
      <c r="D364" s="25"/>
      <c r="E364" s="25"/>
      <c r="F364" s="25"/>
      <c r="G364" s="25"/>
      <c r="H364" s="25"/>
      <c r="I364" s="25"/>
      <c r="J364" s="25"/>
      <c r="K364" s="25"/>
      <c r="L364" s="25" t="str">
        <f aca="false">IF($C364="","",ROUND($J364*0.17,0))</f>
        <v/>
      </c>
      <c r="M364" s="25"/>
      <c r="N364" s="25"/>
      <c r="O364" s="25"/>
      <c r="P364" s="25"/>
      <c r="Q364" s="25"/>
      <c r="R364" s="25"/>
      <c r="S364" s="25" t="str">
        <f aca="false">IF($C364="","",ROUND($J364*2.2,0))</f>
        <v/>
      </c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  <c r="AF364" s="25"/>
      <c r="AG364" s="25"/>
      <c r="AH364" s="25"/>
      <c r="AI364" s="25"/>
      <c r="AJ364" s="25"/>
      <c r="AK364" s="25"/>
      <c r="AL364" s="25"/>
      <c r="AM364" s="25"/>
      <c r="AN364" s="25"/>
    </row>
    <row r="365" customFormat="false" ht="15.75" hidden="false" customHeight="true" outlineLevel="0" collapsed="false">
      <c r="A365" s="25"/>
      <c r="B365" s="25" t="str">
        <f aca="false">IF($C365="","",COUNTA($C$5:C365))</f>
        <v/>
      </c>
      <c r="C365" s="25"/>
      <c r="D365" s="25"/>
      <c r="E365" s="25"/>
      <c r="F365" s="25"/>
      <c r="G365" s="25"/>
      <c r="H365" s="25"/>
      <c r="I365" s="25"/>
      <c r="J365" s="25"/>
      <c r="K365" s="25"/>
      <c r="L365" s="25" t="str">
        <f aca="false">IF($C365="","",ROUND($J365*0.17,0))</f>
        <v/>
      </c>
      <c r="M365" s="25"/>
      <c r="N365" s="25"/>
      <c r="O365" s="25"/>
      <c r="P365" s="25"/>
      <c r="Q365" s="25"/>
      <c r="R365" s="25"/>
      <c r="S365" s="25" t="str">
        <f aca="false">IF($C365="","",ROUND($J365*2.2,0))</f>
        <v/>
      </c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  <c r="AF365" s="25"/>
      <c r="AG365" s="25"/>
      <c r="AH365" s="25"/>
      <c r="AI365" s="25"/>
      <c r="AJ365" s="25"/>
      <c r="AK365" s="25"/>
      <c r="AL365" s="25"/>
      <c r="AM365" s="25"/>
      <c r="AN365" s="25"/>
    </row>
    <row r="366" customFormat="false" ht="15.75" hidden="false" customHeight="true" outlineLevel="0" collapsed="false">
      <c r="A366" s="25"/>
      <c r="B366" s="25" t="str">
        <f aca="false">IF($C366="","",COUNTA($C$5:C366))</f>
        <v/>
      </c>
      <c r="C366" s="25"/>
      <c r="D366" s="25"/>
      <c r="E366" s="25"/>
      <c r="F366" s="25"/>
      <c r="G366" s="25"/>
      <c r="H366" s="25"/>
      <c r="I366" s="25"/>
      <c r="J366" s="25"/>
      <c r="K366" s="25"/>
      <c r="L366" s="25" t="str">
        <f aca="false">IF($C366="","",ROUND($J366*0.17,0))</f>
        <v/>
      </c>
      <c r="M366" s="25"/>
      <c r="N366" s="25"/>
      <c r="O366" s="25"/>
      <c r="P366" s="25"/>
      <c r="Q366" s="25"/>
      <c r="R366" s="25"/>
      <c r="S366" s="25" t="str">
        <f aca="false">IF($C366="","",ROUND($J366*2.2,0))</f>
        <v/>
      </c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  <c r="AF366" s="25"/>
      <c r="AG366" s="25"/>
      <c r="AH366" s="25"/>
      <c r="AI366" s="25"/>
      <c r="AJ366" s="25"/>
      <c r="AK366" s="25"/>
      <c r="AL366" s="25"/>
      <c r="AM366" s="25"/>
      <c r="AN366" s="25"/>
    </row>
    <row r="367" customFormat="false" ht="15.75" hidden="false" customHeight="true" outlineLevel="0" collapsed="false">
      <c r="A367" s="25"/>
      <c r="B367" s="25" t="str">
        <f aca="false">IF($C367="","",COUNTA($C$5:C367))</f>
        <v/>
      </c>
      <c r="C367" s="25"/>
      <c r="D367" s="25"/>
      <c r="E367" s="25"/>
      <c r="F367" s="25"/>
      <c r="G367" s="25"/>
      <c r="H367" s="25"/>
      <c r="I367" s="25"/>
      <c r="J367" s="25"/>
      <c r="K367" s="25"/>
      <c r="L367" s="25" t="str">
        <f aca="false">IF($C367="","",ROUND($J367*0.17,0))</f>
        <v/>
      </c>
      <c r="M367" s="25"/>
      <c r="N367" s="25"/>
      <c r="O367" s="25"/>
      <c r="P367" s="25"/>
      <c r="Q367" s="25"/>
      <c r="R367" s="25"/>
      <c r="S367" s="25" t="str">
        <f aca="false">IF($C367="","",ROUND($J367*2.2,0))</f>
        <v/>
      </c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  <c r="AF367" s="25"/>
      <c r="AG367" s="25"/>
      <c r="AH367" s="25"/>
      <c r="AI367" s="25"/>
      <c r="AJ367" s="25"/>
      <c r="AK367" s="25"/>
      <c r="AL367" s="25"/>
      <c r="AM367" s="25"/>
      <c r="AN367" s="25"/>
    </row>
    <row r="368" customFormat="false" ht="15.75" hidden="false" customHeight="true" outlineLevel="0" collapsed="false">
      <c r="A368" s="25"/>
      <c r="B368" s="25" t="str">
        <f aca="false">IF($C368="","",COUNTA($C$5:C368))</f>
        <v/>
      </c>
      <c r="C368" s="25"/>
      <c r="D368" s="25"/>
      <c r="E368" s="25"/>
      <c r="F368" s="25"/>
      <c r="G368" s="25"/>
      <c r="H368" s="25"/>
      <c r="I368" s="25"/>
      <c r="J368" s="25"/>
      <c r="K368" s="25"/>
      <c r="L368" s="25" t="str">
        <f aca="false">IF($C368="","",ROUND($J368*0.17,0))</f>
        <v/>
      </c>
      <c r="M368" s="25"/>
      <c r="N368" s="25"/>
      <c r="O368" s="25"/>
      <c r="P368" s="25"/>
      <c r="Q368" s="25"/>
      <c r="R368" s="25"/>
      <c r="S368" s="25" t="str">
        <f aca="false">IF($C368="","",ROUND($J368*2.2,0))</f>
        <v/>
      </c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  <c r="AF368" s="25"/>
      <c r="AG368" s="25"/>
      <c r="AH368" s="25"/>
      <c r="AI368" s="25"/>
      <c r="AJ368" s="25"/>
      <c r="AK368" s="25"/>
      <c r="AL368" s="25"/>
      <c r="AM368" s="25"/>
      <c r="AN368" s="25"/>
    </row>
    <row r="369" customFormat="false" ht="15.75" hidden="false" customHeight="true" outlineLevel="0" collapsed="false">
      <c r="A369" s="25"/>
      <c r="B369" s="25" t="str">
        <f aca="false">IF($C369="","",COUNTA($C$5:C369))</f>
        <v/>
      </c>
      <c r="C369" s="25"/>
      <c r="D369" s="25"/>
      <c r="E369" s="25"/>
      <c r="F369" s="25"/>
      <c r="G369" s="25"/>
      <c r="H369" s="25"/>
      <c r="I369" s="25"/>
      <c r="J369" s="25"/>
      <c r="K369" s="25"/>
      <c r="L369" s="25" t="str">
        <f aca="false">IF($C369="","",ROUND($J369*0.17,0))</f>
        <v/>
      </c>
      <c r="M369" s="25"/>
      <c r="N369" s="25"/>
      <c r="O369" s="25"/>
      <c r="P369" s="25"/>
      <c r="Q369" s="25"/>
      <c r="R369" s="25"/>
      <c r="S369" s="25" t="str">
        <f aca="false">IF($C369="","",ROUND($J369*2.2,0))</f>
        <v/>
      </c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  <c r="AF369" s="25"/>
      <c r="AG369" s="25"/>
      <c r="AH369" s="25"/>
      <c r="AI369" s="25"/>
      <c r="AJ369" s="25"/>
      <c r="AK369" s="25"/>
      <c r="AL369" s="25"/>
      <c r="AM369" s="25"/>
      <c r="AN369" s="25"/>
    </row>
    <row r="370" customFormat="false" ht="15.75" hidden="false" customHeight="true" outlineLevel="0" collapsed="false">
      <c r="A370" s="25"/>
      <c r="B370" s="25" t="str">
        <f aca="false">IF($C370="","",COUNTA($C$5:C370))</f>
        <v/>
      </c>
      <c r="C370" s="25"/>
      <c r="D370" s="25"/>
      <c r="E370" s="25"/>
      <c r="F370" s="25"/>
      <c r="G370" s="25"/>
      <c r="H370" s="25"/>
      <c r="I370" s="25"/>
      <c r="J370" s="25"/>
      <c r="K370" s="25"/>
      <c r="L370" s="25" t="str">
        <f aca="false">IF($C370="","",ROUND($J370*0.17,0))</f>
        <v/>
      </c>
      <c r="M370" s="25"/>
      <c r="N370" s="25"/>
      <c r="O370" s="25"/>
      <c r="P370" s="25"/>
      <c r="Q370" s="25"/>
      <c r="R370" s="25"/>
      <c r="S370" s="25" t="str">
        <f aca="false">IF($C370="","",ROUND($J370*2.2,0))</f>
        <v/>
      </c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  <c r="AF370" s="25"/>
      <c r="AG370" s="25"/>
      <c r="AH370" s="25"/>
      <c r="AI370" s="25"/>
      <c r="AJ370" s="25"/>
      <c r="AK370" s="25"/>
      <c r="AL370" s="25"/>
      <c r="AM370" s="25"/>
      <c r="AN370" s="25"/>
    </row>
    <row r="371" customFormat="false" ht="15.75" hidden="false" customHeight="true" outlineLevel="0" collapsed="false">
      <c r="A371" s="25"/>
      <c r="B371" s="25" t="str">
        <f aca="false">IF($C371="","",COUNTA($C$5:C371))</f>
        <v/>
      </c>
      <c r="C371" s="25"/>
      <c r="D371" s="25"/>
      <c r="E371" s="25"/>
      <c r="F371" s="25"/>
      <c r="G371" s="25"/>
      <c r="H371" s="25"/>
      <c r="I371" s="25"/>
      <c r="J371" s="25"/>
      <c r="K371" s="25"/>
      <c r="L371" s="25" t="str">
        <f aca="false">IF($C371="","",ROUND($J371*0.17,0))</f>
        <v/>
      </c>
      <c r="M371" s="25"/>
      <c r="N371" s="25"/>
      <c r="O371" s="25"/>
      <c r="P371" s="25"/>
      <c r="Q371" s="25"/>
      <c r="R371" s="25"/>
      <c r="S371" s="25" t="str">
        <f aca="false">IF($C371="","",ROUND($J371*2.2,0))</f>
        <v/>
      </c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  <c r="AF371" s="25"/>
      <c r="AG371" s="25"/>
      <c r="AH371" s="25"/>
      <c r="AI371" s="25"/>
      <c r="AJ371" s="25"/>
      <c r="AK371" s="25"/>
      <c r="AL371" s="25"/>
      <c r="AM371" s="25"/>
      <c r="AN371" s="25"/>
    </row>
    <row r="372" customFormat="false" ht="15.75" hidden="false" customHeight="true" outlineLevel="0" collapsed="false">
      <c r="A372" s="25"/>
      <c r="B372" s="25" t="str">
        <f aca="false">IF($C372="","",COUNTA($C$5:C372))</f>
        <v/>
      </c>
      <c r="C372" s="25"/>
      <c r="D372" s="25"/>
      <c r="E372" s="25"/>
      <c r="F372" s="25"/>
      <c r="G372" s="25"/>
      <c r="H372" s="25"/>
      <c r="I372" s="25"/>
      <c r="J372" s="25"/>
      <c r="K372" s="25"/>
      <c r="L372" s="25" t="str">
        <f aca="false">IF($C372="","",ROUND($J372*0.17,0))</f>
        <v/>
      </c>
      <c r="M372" s="25"/>
      <c r="N372" s="25"/>
      <c r="O372" s="25"/>
      <c r="P372" s="25"/>
      <c r="Q372" s="25"/>
      <c r="R372" s="25"/>
      <c r="S372" s="25" t="str">
        <f aca="false">IF($C372="","",ROUND($J372*2.2,0))</f>
        <v/>
      </c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  <c r="AF372" s="25"/>
      <c r="AG372" s="25"/>
      <c r="AH372" s="25"/>
      <c r="AI372" s="25"/>
      <c r="AJ372" s="25"/>
      <c r="AK372" s="25"/>
      <c r="AL372" s="25"/>
      <c r="AM372" s="25"/>
      <c r="AN372" s="25"/>
    </row>
    <row r="373" customFormat="false" ht="15.75" hidden="false" customHeight="true" outlineLevel="0" collapsed="false">
      <c r="A373" s="25"/>
      <c r="B373" s="25" t="str">
        <f aca="false">IF($C373="","",COUNTA($C$5:C373))</f>
        <v/>
      </c>
      <c r="C373" s="25"/>
      <c r="D373" s="25"/>
      <c r="E373" s="25"/>
      <c r="F373" s="25"/>
      <c r="G373" s="25"/>
      <c r="H373" s="25"/>
      <c r="I373" s="25"/>
      <c r="J373" s="25"/>
      <c r="K373" s="25"/>
      <c r="L373" s="25" t="str">
        <f aca="false">IF($C373="","",ROUND($J373*0.17,0))</f>
        <v/>
      </c>
      <c r="M373" s="25"/>
      <c r="N373" s="25"/>
      <c r="O373" s="25"/>
      <c r="P373" s="25"/>
      <c r="Q373" s="25"/>
      <c r="R373" s="25"/>
      <c r="S373" s="25" t="str">
        <f aca="false">IF($C373="","",ROUND($J373*2.2,0))</f>
        <v/>
      </c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  <c r="AF373" s="25"/>
      <c r="AG373" s="25"/>
      <c r="AH373" s="25"/>
      <c r="AI373" s="25"/>
      <c r="AJ373" s="25"/>
      <c r="AK373" s="25"/>
      <c r="AL373" s="25"/>
      <c r="AM373" s="25"/>
      <c r="AN373" s="25"/>
    </row>
    <row r="374" customFormat="false" ht="15.75" hidden="false" customHeight="true" outlineLevel="0" collapsed="false">
      <c r="A374" s="25"/>
      <c r="B374" s="25" t="str">
        <f aca="false">IF($C374="","",COUNTA($C$5:C374))</f>
        <v/>
      </c>
      <c r="C374" s="25"/>
      <c r="D374" s="25"/>
      <c r="E374" s="25"/>
      <c r="F374" s="25"/>
      <c r="G374" s="25"/>
      <c r="H374" s="25"/>
      <c r="I374" s="25"/>
      <c r="J374" s="25"/>
      <c r="K374" s="25"/>
      <c r="L374" s="25" t="str">
        <f aca="false">IF($C374="","",ROUND($J374*0.17,0))</f>
        <v/>
      </c>
      <c r="M374" s="25"/>
      <c r="N374" s="25"/>
      <c r="O374" s="25"/>
      <c r="P374" s="25"/>
      <c r="Q374" s="25"/>
      <c r="R374" s="25"/>
      <c r="S374" s="25" t="str">
        <f aca="false">IF($C374="","",ROUND($J374*2.2,0))</f>
        <v/>
      </c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  <c r="AF374" s="25"/>
      <c r="AG374" s="25"/>
      <c r="AH374" s="25"/>
      <c r="AI374" s="25"/>
      <c r="AJ374" s="25"/>
      <c r="AK374" s="25"/>
      <c r="AL374" s="25"/>
      <c r="AM374" s="25"/>
      <c r="AN374" s="25"/>
    </row>
    <row r="375" customFormat="false" ht="15.75" hidden="false" customHeight="true" outlineLevel="0" collapsed="false">
      <c r="A375" s="25"/>
      <c r="B375" s="25" t="str">
        <f aca="false">IF($C375="","",COUNTA($C$5:C375))</f>
        <v/>
      </c>
      <c r="C375" s="25"/>
      <c r="D375" s="25"/>
      <c r="E375" s="25"/>
      <c r="F375" s="25"/>
      <c r="G375" s="25"/>
      <c r="H375" s="25"/>
      <c r="I375" s="25"/>
      <c r="J375" s="25"/>
      <c r="K375" s="25"/>
      <c r="L375" s="25" t="str">
        <f aca="false">IF($C375="","",ROUND($J375*0.17,0))</f>
        <v/>
      </c>
      <c r="M375" s="25"/>
      <c r="N375" s="25"/>
      <c r="O375" s="25"/>
      <c r="P375" s="25"/>
      <c r="Q375" s="25"/>
      <c r="R375" s="25"/>
      <c r="S375" s="25" t="str">
        <f aca="false">IF($C375="","",ROUND($J375*2.2,0))</f>
        <v/>
      </c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  <c r="AF375" s="25"/>
      <c r="AG375" s="25"/>
      <c r="AH375" s="25"/>
      <c r="AI375" s="25"/>
      <c r="AJ375" s="25"/>
      <c r="AK375" s="25"/>
      <c r="AL375" s="25"/>
      <c r="AM375" s="25"/>
      <c r="AN375" s="25"/>
    </row>
    <row r="376" customFormat="false" ht="15.75" hidden="false" customHeight="true" outlineLevel="0" collapsed="false">
      <c r="A376" s="25"/>
      <c r="B376" s="25" t="str">
        <f aca="false">IF($C376="","",COUNTA($C$5:C376))</f>
        <v/>
      </c>
      <c r="C376" s="25"/>
      <c r="D376" s="25"/>
      <c r="E376" s="25"/>
      <c r="F376" s="25"/>
      <c r="G376" s="25"/>
      <c r="H376" s="25"/>
      <c r="I376" s="25"/>
      <c r="J376" s="25"/>
      <c r="K376" s="25"/>
      <c r="L376" s="25" t="str">
        <f aca="false">IF($C376="","",ROUND($J376*0.17,0))</f>
        <v/>
      </c>
      <c r="M376" s="25"/>
      <c r="N376" s="25"/>
      <c r="O376" s="25"/>
      <c r="P376" s="25"/>
      <c r="Q376" s="25"/>
      <c r="R376" s="25"/>
      <c r="S376" s="25" t="str">
        <f aca="false">IF($C376="","",ROUND($J376*2.2,0))</f>
        <v/>
      </c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  <c r="AF376" s="25"/>
      <c r="AG376" s="25"/>
      <c r="AH376" s="25"/>
      <c r="AI376" s="25"/>
      <c r="AJ376" s="25"/>
      <c r="AK376" s="25"/>
      <c r="AL376" s="25"/>
      <c r="AM376" s="25"/>
      <c r="AN376" s="25"/>
    </row>
    <row r="377" customFormat="false" ht="15.75" hidden="false" customHeight="true" outlineLevel="0" collapsed="false">
      <c r="A377" s="25"/>
      <c r="B377" s="25" t="str">
        <f aca="false">IF($C377="","",COUNTA($C$5:C377))</f>
        <v/>
      </c>
      <c r="C377" s="25"/>
      <c r="D377" s="25"/>
      <c r="E377" s="25"/>
      <c r="F377" s="25"/>
      <c r="G377" s="25"/>
      <c r="H377" s="25"/>
      <c r="I377" s="25"/>
      <c r="J377" s="25"/>
      <c r="K377" s="25"/>
      <c r="L377" s="25" t="str">
        <f aca="false">IF($C377="","",ROUND($J377*0.17,0))</f>
        <v/>
      </c>
      <c r="M377" s="25"/>
      <c r="N377" s="25"/>
      <c r="O377" s="25"/>
      <c r="P377" s="25"/>
      <c r="Q377" s="25"/>
      <c r="R377" s="25"/>
      <c r="S377" s="25" t="str">
        <f aca="false">IF($C377="","",ROUND($J377*2.2,0))</f>
        <v/>
      </c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  <c r="AF377" s="25"/>
      <c r="AG377" s="25"/>
      <c r="AH377" s="25"/>
      <c r="AI377" s="25"/>
      <c r="AJ377" s="25"/>
      <c r="AK377" s="25"/>
      <c r="AL377" s="25"/>
      <c r="AM377" s="25"/>
      <c r="AN377" s="25"/>
    </row>
    <row r="378" customFormat="false" ht="15.75" hidden="false" customHeight="true" outlineLevel="0" collapsed="false">
      <c r="A378" s="25"/>
      <c r="B378" s="25" t="str">
        <f aca="false">IF($C378="","",COUNTA($C$5:C378))</f>
        <v/>
      </c>
      <c r="C378" s="25"/>
      <c r="D378" s="25"/>
      <c r="E378" s="25"/>
      <c r="F378" s="25"/>
      <c r="G378" s="25"/>
      <c r="H378" s="25"/>
      <c r="I378" s="25"/>
      <c r="J378" s="25"/>
      <c r="K378" s="25"/>
      <c r="L378" s="25" t="str">
        <f aca="false">IF($C378="","",ROUND($J378*0.17,0))</f>
        <v/>
      </c>
      <c r="M378" s="25"/>
      <c r="N378" s="25"/>
      <c r="O378" s="25"/>
      <c r="P378" s="25"/>
      <c r="Q378" s="25"/>
      <c r="R378" s="25"/>
      <c r="S378" s="25" t="str">
        <f aca="false">IF($C378="","",ROUND($J378*2.2,0))</f>
        <v/>
      </c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  <c r="AF378" s="25"/>
      <c r="AG378" s="25"/>
      <c r="AH378" s="25"/>
      <c r="AI378" s="25"/>
      <c r="AJ378" s="25"/>
      <c r="AK378" s="25"/>
      <c r="AL378" s="25"/>
      <c r="AM378" s="25"/>
      <c r="AN378" s="25"/>
    </row>
    <row r="379" customFormat="false" ht="15.75" hidden="false" customHeight="true" outlineLevel="0" collapsed="false">
      <c r="A379" s="25"/>
      <c r="B379" s="25" t="str">
        <f aca="false">IF($C379="","",COUNTA($C$5:C379))</f>
        <v/>
      </c>
      <c r="C379" s="25"/>
      <c r="D379" s="25"/>
      <c r="E379" s="25"/>
      <c r="F379" s="25"/>
      <c r="G379" s="25"/>
      <c r="H379" s="25"/>
      <c r="I379" s="25"/>
      <c r="J379" s="25"/>
      <c r="K379" s="25"/>
      <c r="L379" s="25" t="str">
        <f aca="false">IF($C379="","",ROUND($J379*0.17,0))</f>
        <v/>
      </c>
      <c r="M379" s="25"/>
      <c r="N379" s="25"/>
      <c r="O379" s="25"/>
      <c r="P379" s="25"/>
      <c r="Q379" s="25"/>
      <c r="R379" s="25"/>
      <c r="S379" s="25" t="str">
        <f aca="false">IF($C379="","",ROUND($J379*2.2,0))</f>
        <v/>
      </c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  <c r="AF379" s="25"/>
      <c r="AG379" s="25"/>
      <c r="AH379" s="25"/>
      <c r="AI379" s="25"/>
      <c r="AJ379" s="25"/>
      <c r="AK379" s="25"/>
      <c r="AL379" s="25"/>
      <c r="AM379" s="25"/>
      <c r="AN379" s="25"/>
    </row>
    <row r="380" customFormat="false" ht="15.75" hidden="false" customHeight="true" outlineLevel="0" collapsed="false">
      <c r="A380" s="25"/>
      <c r="B380" s="25" t="str">
        <f aca="false">IF($C380="","",COUNTA($C$5:C380))</f>
        <v/>
      </c>
      <c r="C380" s="25"/>
      <c r="D380" s="25"/>
      <c r="E380" s="25"/>
      <c r="F380" s="25"/>
      <c r="G380" s="25"/>
      <c r="H380" s="25"/>
      <c r="I380" s="25"/>
      <c r="J380" s="25"/>
      <c r="K380" s="25"/>
      <c r="L380" s="25" t="str">
        <f aca="false">IF($C380="","",ROUND($J380*0.17,0))</f>
        <v/>
      </c>
      <c r="M380" s="25"/>
      <c r="N380" s="25"/>
      <c r="O380" s="25"/>
      <c r="P380" s="25"/>
      <c r="Q380" s="25"/>
      <c r="R380" s="25"/>
      <c r="S380" s="25" t="str">
        <f aca="false">IF($C380="","",ROUND($J380*2.2,0))</f>
        <v/>
      </c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  <c r="AF380" s="25"/>
      <c r="AG380" s="25"/>
      <c r="AH380" s="25"/>
      <c r="AI380" s="25"/>
      <c r="AJ380" s="25"/>
      <c r="AK380" s="25"/>
      <c r="AL380" s="25"/>
      <c r="AM380" s="25"/>
      <c r="AN380" s="25"/>
    </row>
    <row r="381" customFormat="false" ht="15.75" hidden="false" customHeight="true" outlineLevel="0" collapsed="false">
      <c r="A381" s="25"/>
      <c r="B381" s="25" t="str">
        <f aca="false">IF($C381="","",COUNTA($C$5:C381))</f>
        <v/>
      </c>
      <c r="C381" s="25"/>
      <c r="D381" s="25"/>
      <c r="E381" s="25"/>
      <c r="F381" s="25"/>
      <c r="G381" s="25"/>
      <c r="H381" s="25"/>
      <c r="I381" s="25"/>
      <c r="J381" s="25"/>
      <c r="K381" s="25"/>
      <c r="L381" s="25" t="str">
        <f aca="false">IF($C381="","",ROUND($J381*0.17,0))</f>
        <v/>
      </c>
      <c r="M381" s="25"/>
      <c r="N381" s="25"/>
      <c r="O381" s="25"/>
      <c r="P381" s="25"/>
      <c r="Q381" s="25"/>
      <c r="R381" s="25"/>
      <c r="S381" s="25" t="str">
        <f aca="false">IF($C381="","",ROUND($J381*2.2,0))</f>
        <v/>
      </c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  <c r="AF381" s="25"/>
      <c r="AG381" s="25"/>
      <c r="AH381" s="25"/>
      <c r="AI381" s="25"/>
      <c r="AJ381" s="25"/>
      <c r="AK381" s="25"/>
      <c r="AL381" s="25"/>
      <c r="AM381" s="25"/>
      <c r="AN381" s="25"/>
    </row>
    <row r="382" customFormat="false" ht="15.75" hidden="false" customHeight="true" outlineLevel="0" collapsed="false">
      <c r="A382" s="25"/>
      <c r="B382" s="25" t="str">
        <f aca="false">IF($C382="","",COUNTA($C$5:C382))</f>
        <v/>
      </c>
      <c r="C382" s="25"/>
      <c r="D382" s="25"/>
      <c r="E382" s="25"/>
      <c r="F382" s="25"/>
      <c r="G382" s="25"/>
      <c r="H382" s="25"/>
      <c r="I382" s="25"/>
      <c r="J382" s="25"/>
      <c r="K382" s="25"/>
      <c r="L382" s="25" t="str">
        <f aca="false">IF($C382="","",ROUND($J382*0.17,0))</f>
        <v/>
      </c>
      <c r="M382" s="25"/>
      <c r="N382" s="25"/>
      <c r="O382" s="25"/>
      <c r="P382" s="25"/>
      <c r="Q382" s="25"/>
      <c r="R382" s="25"/>
      <c r="S382" s="25" t="str">
        <f aca="false">IF($C382="","",ROUND($J382*2.2,0))</f>
        <v/>
      </c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  <c r="AF382" s="25"/>
      <c r="AG382" s="25"/>
      <c r="AH382" s="25"/>
      <c r="AI382" s="25"/>
      <c r="AJ382" s="25"/>
      <c r="AK382" s="25"/>
      <c r="AL382" s="25"/>
      <c r="AM382" s="25"/>
      <c r="AN382" s="25"/>
    </row>
    <row r="383" customFormat="false" ht="15.75" hidden="false" customHeight="true" outlineLevel="0" collapsed="false">
      <c r="A383" s="25"/>
      <c r="B383" s="25" t="str">
        <f aca="false">IF($C383="","",COUNTA($C$5:C383))</f>
        <v/>
      </c>
      <c r="C383" s="25"/>
      <c r="D383" s="25"/>
      <c r="E383" s="25"/>
      <c r="F383" s="25"/>
      <c r="G383" s="25"/>
      <c r="H383" s="25"/>
      <c r="I383" s="25"/>
      <c r="J383" s="25"/>
      <c r="K383" s="25"/>
      <c r="L383" s="25" t="str">
        <f aca="false">IF($C383="","",ROUND($J383*0.17,0))</f>
        <v/>
      </c>
      <c r="M383" s="25"/>
      <c r="N383" s="25"/>
      <c r="O383" s="25"/>
      <c r="P383" s="25"/>
      <c r="Q383" s="25"/>
      <c r="R383" s="25"/>
      <c r="S383" s="25" t="str">
        <f aca="false">IF($C383="","",ROUND($J383*2.2,0))</f>
        <v/>
      </c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  <c r="AF383" s="25"/>
      <c r="AG383" s="25"/>
      <c r="AH383" s="25"/>
      <c r="AI383" s="25"/>
      <c r="AJ383" s="25"/>
      <c r="AK383" s="25"/>
      <c r="AL383" s="25"/>
      <c r="AM383" s="25"/>
      <c r="AN383" s="25"/>
    </row>
    <row r="384" customFormat="false" ht="15.75" hidden="false" customHeight="true" outlineLevel="0" collapsed="false">
      <c r="A384" s="25"/>
      <c r="B384" s="25" t="str">
        <f aca="false">IF($C384="","",COUNTA($C$5:C384))</f>
        <v/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 t="str">
        <f aca="false">IF($C384="","",ROUND($J384*0.17,0))</f>
        <v/>
      </c>
      <c r="M384" s="25"/>
      <c r="N384" s="25"/>
      <c r="O384" s="25"/>
      <c r="P384" s="25"/>
      <c r="Q384" s="25"/>
      <c r="R384" s="25"/>
      <c r="S384" s="25" t="str">
        <f aca="false">IF($C384="","",ROUND($J384*2.2,0))</f>
        <v/>
      </c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  <c r="AF384" s="25"/>
      <c r="AG384" s="25"/>
      <c r="AH384" s="25"/>
      <c r="AI384" s="25"/>
      <c r="AJ384" s="25"/>
      <c r="AK384" s="25"/>
      <c r="AL384" s="25"/>
      <c r="AM384" s="25"/>
      <c r="AN384" s="25"/>
    </row>
    <row r="385" customFormat="false" ht="15.75" hidden="false" customHeight="true" outlineLevel="0" collapsed="false">
      <c r="A385" s="25"/>
      <c r="B385" s="25" t="str">
        <f aca="false">IF($C385="","",COUNTA($C$5:C385))</f>
        <v/>
      </c>
      <c r="C385" s="25"/>
      <c r="D385" s="25"/>
      <c r="E385" s="25"/>
      <c r="F385" s="25"/>
      <c r="G385" s="25"/>
      <c r="H385" s="25"/>
      <c r="I385" s="25"/>
      <c r="J385" s="25"/>
      <c r="K385" s="25"/>
      <c r="L385" s="25" t="str">
        <f aca="false">IF($C385="","",ROUND($J385*0.17,0))</f>
        <v/>
      </c>
      <c r="M385" s="25"/>
      <c r="N385" s="25"/>
      <c r="O385" s="25"/>
      <c r="P385" s="25"/>
      <c r="Q385" s="25"/>
      <c r="R385" s="25"/>
      <c r="S385" s="25" t="str">
        <f aca="false">IF($C385="","",ROUND($J385*2.2,0))</f>
        <v/>
      </c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  <c r="AF385" s="25"/>
      <c r="AG385" s="25"/>
      <c r="AH385" s="25"/>
      <c r="AI385" s="25"/>
      <c r="AJ385" s="25"/>
      <c r="AK385" s="25"/>
      <c r="AL385" s="25"/>
      <c r="AM385" s="25"/>
      <c r="AN385" s="25"/>
    </row>
    <row r="386" customFormat="false" ht="15.75" hidden="false" customHeight="true" outlineLevel="0" collapsed="false">
      <c r="A386" s="25"/>
      <c r="B386" s="25" t="str">
        <f aca="false">IF($C386="","",COUNTA($C$5:C386))</f>
        <v/>
      </c>
      <c r="C386" s="25"/>
      <c r="D386" s="25"/>
      <c r="E386" s="25"/>
      <c r="F386" s="25"/>
      <c r="G386" s="25"/>
      <c r="H386" s="25"/>
      <c r="I386" s="25"/>
      <c r="J386" s="25"/>
      <c r="K386" s="25"/>
      <c r="L386" s="25" t="str">
        <f aca="false">IF($C386="","",ROUND($J386*0.17,0))</f>
        <v/>
      </c>
      <c r="M386" s="25"/>
      <c r="N386" s="25"/>
      <c r="O386" s="25"/>
      <c r="P386" s="25"/>
      <c r="Q386" s="25"/>
      <c r="R386" s="25"/>
      <c r="S386" s="25" t="str">
        <f aca="false">IF($C386="","",ROUND($J386*2.2,0))</f>
        <v/>
      </c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  <c r="AF386" s="25"/>
      <c r="AG386" s="25"/>
      <c r="AH386" s="25"/>
      <c r="AI386" s="25"/>
      <c r="AJ386" s="25"/>
      <c r="AK386" s="25"/>
      <c r="AL386" s="25"/>
      <c r="AM386" s="25"/>
      <c r="AN386" s="25"/>
    </row>
    <row r="387" customFormat="false" ht="15.75" hidden="false" customHeight="true" outlineLevel="0" collapsed="false">
      <c r="A387" s="25"/>
      <c r="B387" s="25" t="str">
        <f aca="false">IF($C387="","",COUNTA($C$5:C387))</f>
        <v/>
      </c>
      <c r="C387" s="25"/>
      <c r="D387" s="25"/>
      <c r="E387" s="25"/>
      <c r="F387" s="25"/>
      <c r="G387" s="25"/>
      <c r="H387" s="25"/>
      <c r="I387" s="25"/>
      <c r="J387" s="25"/>
      <c r="K387" s="25"/>
      <c r="L387" s="25" t="str">
        <f aca="false">IF($C387="","",ROUND($J387*0.17,0))</f>
        <v/>
      </c>
      <c r="M387" s="25"/>
      <c r="N387" s="25"/>
      <c r="O387" s="25"/>
      <c r="P387" s="25"/>
      <c r="Q387" s="25"/>
      <c r="R387" s="25"/>
      <c r="S387" s="25" t="str">
        <f aca="false">IF($C387="","",ROUND($J387*2.2,0))</f>
        <v/>
      </c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5"/>
      <c r="AG387" s="25"/>
      <c r="AH387" s="25"/>
      <c r="AI387" s="25"/>
      <c r="AJ387" s="25"/>
      <c r="AK387" s="25"/>
      <c r="AL387" s="25"/>
      <c r="AM387" s="25"/>
      <c r="AN387" s="25"/>
    </row>
    <row r="388" customFormat="false" ht="15.75" hidden="false" customHeight="true" outlineLevel="0" collapsed="false">
      <c r="A388" s="25"/>
      <c r="B388" s="25" t="str">
        <f aca="false">IF($C388="","",COUNTA($C$5:C388))</f>
        <v/>
      </c>
      <c r="C388" s="25"/>
      <c r="D388" s="25"/>
      <c r="E388" s="25"/>
      <c r="F388" s="25"/>
      <c r="G388" s="25"/>
      <c r="H388" s="25"/>
      <c r="I388" s="25"/>
      <c r="J388" s="25"/>
      <c r="K388" s="25"/>
      <c r="L388" s="25" t="str">
        <f aca="false">IF($C388="","",ROUND($J388*0.17,0))</f>
        <v/>
      </c>
      <c r="M388" s="25"/>
      <c r="N388" s="25"/>
      <c r="O388" s="25"/>
      <c r="P388" s="25"/>
      <c r="Q388" s="25"/>
      <c r="R388" s="25"/>
      <c r="S388" s="25" t="str">
        <f aca="false">IF($C388="","",ROUND($J388*2.2,0))</f>
        <v/>
      </c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  <c r="AF388" s="25"/>
      <c r="AG388" s="25"/>
      <c r="AH388" s="25"/>
      <c r="AI388" s="25"/>
      <c r="AJ388" s="25"/>
      <c r="AK388" s="25"/>
      <c r="AL388" s="25"/>
      <c r="AM388" s="25"/>
      <c r="AN388" s="25"/>
    </row>
    <row r="389" customFormat="false" ht="15.75" hidden="false" customHeight="true" outlineLevel="0" collapsed="false">
      <c r="A389" s="25"/>
      <c r="B389" s="25" t="str">
        <f aca="false">IF($C389="","",COUNTA($C$5:C389))</f>
        <v/>
      </c>
      <c r="C389" s="25"/>
      <c r="D389" s="25"/>
      <c r="E389" s="25"/>
      <c r="F389" s="25"/>
      <c r="G389" s="25"/>
      <c r="H389" s="25"/>
      <c r="I389" s="25"/>
      <c r="J389" s="25"/>
      <c r="K389" s="25"/>
      <c r="L389" s="25" t="str">
        <f aca="false">IF($C389="","",ROUND($J389*0.17,0))</f>
        <v/>
      </c>
      <c r="M389" s="25"/>
      <c r="N389" s="25"/>
      <c r="O389" s="25"/>
      <c r="P389" s="25"/>
      <c r="Q389" s="25"/>
      <c r="R389" s="25"/>
      <c r="S389" s="25" t="str">
        <f aca="false">IF($C389="","",ROUND($J389*2.2,0))</f>
        <v/>
      </c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25"/>
      <c r="AH389" s="25"/>
      <c r="AI389" s="25"/>
      <c r="AJ389" s="25"/>
      <c r="AK389" s="25"/>
      <c r="AL389" s="25"/>
      <c r="AM389" s="25"/>
      <c r="AN389" s="25"/>
    </row>
    <row r="390" customFormat="false" ht="15.75" hidden="false" customHeight="true" outlineLevel="0" collapsed="false">
      <c r="A390" s="25"/>
      <c r="B390" s="25" t="str">
        <f aca="false">IF($C390="","",COUNTA($C$5:C390))</f>
        <v/>
      </c>
      <c r="C390" s="25"/>
      <c r="D390" s="25"/>
      <c r="E390" s="25"/>
      <c r="F390" s="25"/>
      <c r="G390" s="25"/>
      <c r="H390" s="25"/>
      <c r="I390" s="25"/>
      <c r="J390" s="25"/>
      <c r="K390" s="25"/>
      <c r="L390" s="25" t="str">
        <f aca="false">IF($C390="","",ROUND($J390*0.17,0))</f>
        <v/>
      </c>
      <c r="M390" s="25"/>
      <c r="N390" s="25"/>
      <c r="O390" s="25"/>
      <c r="P390" s="25"/>
      <c r="Q390" s="25"/>
      <c r="R390" s="25"/>
      <c r="S390" s="25" t="str">
        <f aca="false">IF($C390="","",ROUND($J390*2.2,0))</f>
        <v/>
      </c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  <c r="AF390" s="25"/>
      <c r="AG390" s="25"/>
      <c r="AH390" s="25"/>
      <c r="AI390" s="25"/>
      <c r="AJ390" s="25"/>
      <c r="AK390" s="25"/>
      <c r="AL390" s="25"/>
      <c r="AM390" s="25"/>
      <c r="AN390" s="25"/>
    </row>
    <row r="391" customFormat="false" ht="15.75" hidden="false" customHeight="true" outlineLevel="0" collapsed="false">
      <c r="A391" s="25"/>
      <c r="B391" s="25" t="str">
        <f aca="false">IF($C391="","",COUNTA($C$5:C391))</f>
        <v/>
      </c>
      <c r="C391" s="25"/>
      <c r="D391" s="25"/>
      <c r="E391" s="25"/>
      <c r="F391" s="25"/>
      <c r="G391" s="25"/>
      <c r="H391" s="25"/>
      <c r="I391" s="25"/>
      <c r="J391" s="25"/>
      <c r="K391" s="25"/>
      <c r="L391" s="25" t="str">
        <f aca="false">IF($C391="","",ROUND($J391*0.17,0))</f>
        <v/>
      </c>
      <c r="M391" s="25"/>
      <c r="N391" s="25"/>
      <c r="O391" s="25"/>
      <c r="P391" s="25"/>
      <c r="Q391" s="25"/>
      <c r="R391" s="25"/>
      <c r="S391" s="25" t="str">
        <f aca="false">IF($C391="","",ROUND($J391*2.2,0))</f>
        <v/>
      </c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  <c r="AF391" s="25"/>
      <c r="AG391" s="25"/>
      <c r="AH391" s="25"/>
      <c r="AI391" s="25"/>
      <c r="AJ391" s="25"/>
      <c r="AK391" s="25"/>
      <c r="AL391" s="25"/>
      <c r="AM391" s="25"/>
      <c r="AN391" s="25"/>
    </row>
    <row r="392" customFormat="false" ht="15.75" hidden="false" customHeight="true" outlineLevel="0" collapsed="false">
      <c r="A392" s="25"/>
      <c r="B392" s="25" t="str">
        <f aca="false">IF($C392="","",COUNTA($C$5:C392))</f>
        <v/>
      </c>
      <c r="C392" s="25"/>
      <c r="D392" s="25"/>
      <c r="E392" s="25"/>
      <c r="F392" s="25"/>
      <c r="G392" s="25"/>
      <c r="H392" s="25"/>
      <c r="I392" s="25"/>
      <c r="J392" s="25"/>
      <c r="K392" s="25"/>
      <c r="L392" s="25" t="str">
        <f aca="false">IF($C392="","",ROUND($J392*0.17,0))</f>
        <v/>
      </c>
      <c r="M392" s="25"/>
      <c r="N392" s="25"/>
      <c r="O392" s="25"/>
      <c r="P392" s="25"/>
      <c r="Q392" s="25"/>
      <c r="R392" s="25"/>
      <c r="S392" s="25" t="str">
        <f aca="false">IF($C392="","",ROUND($J392*2.2,0))</f>
        <v/>
      </c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  <c r="AF392" s="25"/>
      <c r="AG392" s="25"/>
      <c r="AH392" s="25"/>
      <c r="AI392" s="25"/>
      <c r="AJ392" s="25"/>
      <c r="AK392" s="25"/>
      <c r="AL392" s="25"/>
      <c r="AM392" s="25"/>
      <c r="AN392" s="25"/>
    </row>
    <row r="393" customFormat="false" ht="15.75" hidden="false" customHeight="true" outlineLevel="0" collapsed="false">
      <c r="A393" s="25"/>
      <c r="B393" s="25" t="str">
        <f aca="false">IF($C393="","",COUNTA($C$5:C393))</f>
        <v/>
      </c>
      <c r="C393" s="25"/>
      <c r="D393" s="25"/>
      <c r="E393" s="25"/>
      <c r="F393" s="25"/>
      <c r="G393" s="25"/>
      <c r="H393" s="25"/>
      <c r="I393" s="25"/>
      <c r="J393" s="25"/>
      <c r="K393" s="25"/>
      <c r="L393" s="25" t="str">
        <f aca="false">IF($C393="","",ROUND($J393*0.17,0))</f>
        <v/>
      </c>
      <c r="M393" s="25"/>
      <c r="N393" s="25"/>
      <c r="O393" s="25"/>
      <c r="P393" s="25"/>
      <c r="Q393" s="25"/>
      <c r="R393" s="25"/>
      <c r="S393" s="25" t="str">
        <f aca="false">IF($C393="","",ROUND($J393*2.2,0))</f>
        <v/>
      </c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  <c r="AF393" s="25"/>
      <c r="AG393" s="25"/>
      <c r="AH393" s="25"/>
      <c r="AI393" s="25"/>
      <c r="AJ393" s="25"/>
      <c r="AK393" s="25"/>
      <c r="AL393" s="25"/>
      <c r="AM393" s="25"/>
      <c r="AN393" s="25"/>
    </row>
    <row r="394" customFormat="false" ht="15.75" hidden="false" customHeight="true" outlineLevel="0" collapsed="false">
      <c r="A394" s="25"/>
      <c r="B394" s="25" t="str">
        <f aca="false">IF($C394="","",COUNTA($C$5:C394))</f>
        <v/>
      </c>
      <c r="C394" s="25"/>
      <c r="D394" s="25"/>
      <c r="E394" s="25"/>
      <c r="F394" s="25"/>
      <c r="G394" s="25"/>
      <c r="H394" s="25"/>
      <c r="I394" s="25"/>
      <c r="J394" s="25"/>
      <c r="K394" s="25"/>
      <c r="L394" s="25" t="str">
        <f aca="false">IF($C394="","",ROUND($J394*0.17,0))</f>
        <v/>
      </c>
      <c r="M394" s="25"/>
      <c r="N394" s="25"/>
      <c r="O394" s="25"/>
      <c r="P394" s="25"/>
      <c r="Q394" s="25"/>
      <c r="R394" s="25"/>
      <c r="S394" s="25" t="str">
        <f aca="false">IF($C394="","",ROUND($J394*2.2,0))</f>
        <v/>
      </c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  <c r="AF394" s="25"/>
      <c r="AG394" s="25"/>
      <c r="AH394" s="25"/>
      <c r="AI394" s="25"/>
      <c r="AJ394" s="25"/>
      <c r="AK394" s="25"/>
      <c r="AL394" s="25"/>
      <c r="AM394" s="25"/>
      <c r="AN394" s="25"/>
    </row>
    <row r="395" customFormat="false" ht="15.75" hidden="false" customHeight="true" outlineLevel="0" collapsed="false">
      <c r="A395" s="25"/>
      <c r="B395" s="25" t="str">
        <f aca="false">IF($C395="","",COUNTA($C$5:C395))</f>
        <v/>
      </c>
      <c r="C395" s="25"/>
      <c r="D395" s="25"/>
      <c r="E395" s="25"/>
      <c r="F395" s="25"/>
      <c r="G395" s="25"/>
      <c r="H395" s="25"/>
      <c r="I395" s="25"/>
      <c r="J395" s="25"/>
      <c r="K395" s="25"/>
      <c r="L395" s="25" t="str">
        <f aca="false">IF($C395="","",ROUND($J395*0.17,0))</f>
        <v/>
      </c>
      <c r="M395" s="25"/>
      <c r="N395" s="25"/>
      <c r="O395" s="25"/>
      <c r="P395" s="25"/>
      <c r="Q395" s="25"/>
      <c r="R395" s="25"/>
      <c r="S395" s="25" t="str">
        <f aca="false">IF($C395="","",ROUND($J395*2.2,0))</f>
        <v/>
      </c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  <c r="AF395" s="25"/>
      <c r="AG395" s="25"/>
      <c r="AH395" s="25"/>
      <c r="AI395" s="25"/>
      <c r="AJ395" s="25"/>
      <c r="AK395" s="25"/>
      <c r="AL395" s="25"/>
      <c r="AM395" s="25"/>
      <c r="AN395" s="25"/>
    </row>
    <row r="396" customFormat="false" ht="15.75" hidden="false" customHeight="true" outlineLevel="0" collapsed="false">
      <c r="A396" s="25"/>
      <c r="B396" s="25" t="str">
        <f aca="false">IF($C396="","",COUNTA($C$5:C396))</f>
        <v/>
      </c>
      <c r="C396" s="25"/>
      <c r="D396" s="25"/>
      <c r="E396" s="25"/>
      <c r="F396" s="25"/>
      <c r="G396" s="25"/>
      <c r="H396" s="25"/>
      <c r="I396" s="25"/>
      <c r="J396" s="25"/>
      <c r="K396" s="25"/>
      <c r="L396" s="25" t="str">
        <f aca="false">IF($C396="","",ROUND($J396*0.17,0))</f>
        <v/>
      </c>
      <c r="M396" s="25"/>
      <c r="N396" s="25"/>
      <c r="O396" s="25"/>
      <c r="P396" s="25"/>
      <c r="Q396" s="25"/>
      <c r="R396" s="25"/>
      <c r="S396" s="25" t="str">
        <f aca="false">IF($C396="","",ROUND($J396*2.2,0))</f>
        <v/>
      </c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  <c r="AF396" s="25"/>
      <c r="AG396" s="25"/>
      <c r="AH396" s="25"/>
      <c r="AI396" s="25"/>
      <c r="AJ396" s="25"/>
      <c r="AK396" s="25"/>
      <c r="AL396" s="25"/>
      <c r="AM396" s="25"/>
      <c r="AN396" s="25"/>
    </row>
    <row r="397" customFormat="false" ht="15.75" hidden="false" customHeight="true" outlineLevel="0" collapsed="false">
      <c r="A397" s="25"/>
      <c r="B397" s="25" t="str">
        <f aca="false">IF($C397="","",COUNTA($C$5:C397))</f>
        <v/>
      </c>
      <c r="C397" s="25"/>
      <c r="D397" s="25"/>
      <c r="E397" s="25"/>
      <c r="F397" s="25"/>
      <c r="G397" s="25"/>
      <c r="H397" s="25"/>
      <c r="I397" s="25"/>
      <c r="J397" s="25"/>
      <c r="K397" s="25"/>
      <c r="L397" s="25" t="str">
        <f aca="false">IF($C397="","",ROUND($J397*0.17,0))</f>
        <v/>
      </c>
      <c r="M397" s="25"/>
      <c r="N397" s="25"/>
      <c r="O397" s="25"/>
      <c r="P397" s="25"/>
      <c r="Q397" s="25"/>
      <c r="R397" s="25"/>
      <c r="S397" s="25" t="str">
        <f aca="false">IF($C397="","",ROUND($J397*2.2,0))</f>
        <v/>
      </c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  <c r="AF397" s="25"/>
      <c r="AG397" s="25"/>
      <c r="AH397" s="25"/>
      <c r="AI397" s="25"/>
      <c r="AJ397" s="25"/>
      <c r="AK397" s="25"/>
      <c r="AL397" s="25"/>
      <c r="AM397" s="25"/>
      <c r="AN397" s="25"/>
    </row>
    <row r="398" customFormat="false" ht="15.75" hidden="false" customHeight="true" outlineLevel="0" collapsed="false">
      <c r="A398" s="25"/>
      <c r="B398" s="25" t="str">
        <f aca="false">IF($C398="","",COUNTA($C$5:C398))</f>
        <v/>
      </c>
      <c r="C398" s="25"/>
      <c r="D398" s="25"/>
      <c r="E398" s="25"/>
      <c r="F398" s="25"/>
      <c r="G398" s="25"/>
      <c r="H398" s="25"/>
      <c r="I398" s="25"/>
      <c r="J398" s="25"/>
      <c r="K398" s="25"/>
      <c r="L398" s="25" t="str">
        <f aca="false">IF($C398="","",ROUND($J398*0.17,0))</f>
        <v/>
      </c>
      <c r="M398" s="25"/>
      <c r="N398" s="25"/>
      <c r="O398" s="25"/>
      <c r="P398" s="25"/>
      <c r="Q398" s="25"/>
      <c r="R398" s="25"/>
      <c r="S398" s="25" t="str">
        <f aca="false">IF($C398="","",ROUND($J398*2.2,0))</f>
        <v/>
      </c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  <c r="AF398" s="25"/>
      <c r="AG398" s="25"/>
      <c r="AH398" s="25"/>
      <c r="AI398" s="25"/>
      <c r="AJ398" s="25"/>
      <c r="AK398" s="25"/>
      <c r="AL398" s="25"/>
      <c r="AM398" s="25"/>
      <c r="AN398" s="25"/>
    </row>
    <row r="399" customFormat="false" ht="15.75" hidden="false" customHeight="true" outlineLevel="0" collapsed="false">
      <c r="A399" s="25"/>
      <c r="B399" s="25" t="str">
        <f aca="false">IF($C399="","",COUNTA($C$5:C399))</f>
        <v/>
      </c>
      <c r="C399" s="25"/>
      <c r="D399" s="25"/>
      <c r="E399" s="25"/>
      <c r="F399" s="25"/>
      <c r="G399" s="25"/>
      <c r="H399" s="25"/>
      <c r="I399" s="25"/>
      <c r="J399" s="25"/>
      <c r="K399" s="25"/>
      <c r="L399" s="25" t="str">
        <f aca="false">IF($C399="","",ROUND($J399*0.17,0))</f>
        <v/>
      </c>
      <c r="M399" s="25"/>
      <c r="N399" s="25"/>
      <c r="O399" s="25"/>
      <c r="P399" s="25"/>
      <c r="Q399" s="25"/>
      <c r="R399" s="25"/>
      <c r="S399" s="25" t="str">
        <f aca="false">IF($C399="","",ROUND($J399*2.2,0))</f>
        <v/>
      </c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  <c r="AF399" s="25"/>
      <c r="AG399" s="25"/>
      <c r="AH399" s="25"/>
      <c r="AI399" s="25"/>
      <c r="AJ399" s="25"/>
      <c r="AK399" s="25"/>
      <c r="AL399" s="25"/>
      <c r="AM399" s="25"/>
      <c r="AN399" s="25"/>
    </row>
    <row r="400" customFormat="false" ht="15.75" hidden="false" customHeight="true" outlineLevel="0" collapsed="false">
      <c r="A400" s="25"/>
      <c r="B400" s="25" t="str">
        <f aca="false">IF($C400="","",COUNTA($C$5:C400))</f>
        <v/>
      </c>
      <c r="C400" s="25"/>
      <c r="D400" s="25"/>
      <c r="E400" s="25"/>
      <c r="F400" s="25"/>
      <c r="G400" s="25"/>
      <c r="H400" s="25"/>
      <c r="I400" s="25"/>
      <c r="J400" s="25"/>
      <c r="K400" s="25"/>
      <c r="L400" s="25" t="str">
        <f aca="false">IF($C400="","",ROUND($J400*0.17,0))</f>
        <v/>
      </c>
      <c r="M400" s="25"/>
      <c r="N400" s="25"/>
      <c r="O400" s="25"/>
      <c r="P400" s="25"/>
      <c r="Q400" s="25"/>
      <c r="R400" s="25"/>
      <c r="S400" s="25" t="str">
        <f aca="false">IF($C400="","",ROUND($J400*2.2,0))</f>
        <v/>
      </c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  <c r="AF400" s="25"/>
      <c r="AG400" s="25"/>
      <c r="AH400" s="25"/>
      <c r="AI400" s="25"/>
      <c r="AJ400" s="25"/>
      <c r="AK400" s="25"/>
      <c r="AL400" s="25"/>
      <c r="AM400" s="25"/>
      <c r="AN400" s="25"/>
    </row>
    <row r="401" customFormat="false" ht="15.75" hidden="false" customHeight="true" outlineLevel="0" collapsed="false">
      <c r="A401" s="25"/>
      <c r="B401" s="25" t="str">
        <f aca="false">IF($C401="","",COUNTA($C$5:C401))</f>
        <v/>
      </c>
      <c r="C401" s="25"/>
      <c r="D401" s="25"/>
      <c r="E401" s="25"/>
      <c r="F401" s="25"/>
      <c r="G401" s="25"/>
      <c r="H401" s="25"/>
      <c r="I401" s="25"/>
      <c r="J401" s="25"/>
      <c r="K401" s="25"/>
      <c r="L401" s="25" t="str">
        <f aca="false">IF($C401="","",ROUND($J401*0.17,0))</f>
        <v/>
      </c>
      <c r="M401" s="25"/>
      <c r="N401" s="25"/>
      <c r="O401" s="25"/>
      <c r="P401" s="25"/>
      <c r="Q401" s="25"/>
      <c r="R401" s="25"/>
      <c r="S401" s="25" t="str">
        <f aca="false">IF($C401="","",ROUND($J401*2.2,0))</f>
        <v/>
      </c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  <c r="AF401" s="25"/>
      <c r="AG401" s="25"/>
      <c r="AH401" s="25"/>
      <c r="AI401" s="25"/>
      <c r="AJ401" s="25"/>
      <c r="AK401" s="25"/>
      <c r="AL401" s="25"/>
      <c r="AM401" s="25"/>
      <c r="AN401" s="25"/>
    </row>
    <row r="402" customFormat="false" ht="15.75" hidden="false" customHeight="true" outlineLevel="0" collapsed="false">
      <c r="A402" s="25"/>
      <c r="B402" s="25" t="str">
        <f aca="false">IF($C402="","",COUNTA($C$5:C402))</f>
        <v/>
      </c>
      <c r="C402" s="25"/>
      <c r="D402" s="25"/>
      <c r="E402" s="25"/>
      <c r="F402" s="25"/>
      <c r="G402" s="25"/>
      <c r="H402" s="25"/>
      <c r="I402" s="25"/>
      <c r="J402" s="25"/>
      <c r="K402" s="25"/>
      <c r="L402" s="25" t="str">
        <f aca="false">IF($C402="","",ROUND($J402*0.17,0))</f>
        <v/>
      </c>
      <c r="M402" s="25"/>
      <c r="N402" s="25"/>
      <c r="O402" s="25"/>
      <c r="P402" s="25"/>
      <c r="Q402" s="25"/>
      <c r="R402" s="25"/>
      <c r="S402" s="25" t="str">
        <f aca="false">IF($C402="","",ROUND($J402*2.2,0))</f>
        <v/>
      </c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  <c r="AF402" s="25"/>
      <c r="AG402" s="25"/>
      <c r="AH402" s="25"/>
      <c r="AI402" s="25"/>
      <c r="AJ402" s="25"/>
      <c r="AK402" s="25"/>
      <c r="AL402" s="25"/>
      <c r="AM402" s="25"/>
      <c r="AN402" s="25"/>
    </row>
    <row r="403" customFormat="false" ht="15.75" hidden="false" customHeight="true" outlineLevel="0" collapsed="false">
      <c r="A403" s="25"/>
      <c r="B403" s="25" t="str">
        <f aca="false">IF($C403="","",COUNTA($C$5:C403))</f>
        <v/>
      </c>
      <c r="C403" s="25"/>
      <c r="D403" s="25"/>
      <c r="E403" s="25"/>
      <c r="F403" s="25"/>
      <c r="G403" s="25"/>
      <c r="H403" s="25"/>
      <c r="I403" s="25"/>
      <c r="J403" s="25"/>
      <c r="K403" s="25"/>
      <c r="L403" s="25" t="str">
        <f aca="false">IF($C403="","",ROUND($J403*0.17,0))</f>
        <v/>
      </c>
      <c r="M403" s="25"/>
      <c r="N403" s="25"/>
      <c r="O403" s="25"/>
      <c r="P403" s="25"/>
      <c r="Q403" s="25"/>
      <c r="R403" s="25"/>
      <c r="S403" s="25" t="str">
        <f aca="false">IF($C403="","",ROUND($J403*2.2,0))</f>
        <v/>
      </c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  <c r="AF403" s="25"/>
      <c r="AG403" s="25"/>
      <c r="AH403" s="25"/>
      <c r="AI403" s="25"/>
      <c r="AJ403" s="25"/>
      <c r="AK403" s="25"/>
      <c r="AL403" s="25"/>
      <c r="AM403" s="25"/>
      <c r="AN403" s="25"/>
    </row>
    <row r="404" customFormat="false" ht="15.75" hidden="false" customHeight="true" outlineLevel="0" collapsed="false">
      <c r="A404" s="25"/>
      <c r="B404" s="25" t="str">
        <f aca="false">IF($C404="","",COUNTA($C$5:C404))</f>
        <v/>
      </c>
      <c r="C404" s="25"/>
      <c r="D404" s="25"/>
      <c r="E404" s="25"/>
      <c r="F404" s="25"/>
      <c r="G404" s="25"/>
      <c r="H404" s="25"/>
      <c r="I404" s="25"/>
      <c r="J404" s="25"/>
      <c r="K404" s="25"/>
      <c r="L404" s="25" t="str">
        <f aca="false">IF($C404="","",ROUND($J404*0.17,0))</f>
        <v/>
      </c>
      <c r="M404" s="25"/>
      <c r="N404" s="25"/>
      <c r="O404" s="25"/>
      <c r="P404" s="25"/>
      <c r="Q404" s="25"/>
      <c r="R404" s="25"/>
      <c r="S404" s="25" t="str">
        <f aca="false">IF($C404="","",ROUND($J404*2.2,0))</f>
        <v/>
      </c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  <c r="AF404" s="25"/>
      <c r="AG404" s="25"/>
      <c r="AH404" s="25"/>
      <c r="AI404" s="25"/>
      <c r="AJ404" s="25"/>
      <c r="AK404" s="25"/>
      <c r="AL404" s="25"/>
      <c r="AM404" s="25"/>
      <c r="AN404" s="25"/>
    </row>
    <row r="405" customFormat="false" ht="15.75" hidden="false" customHeight="true" outlineLevel="0" collapsed="false">
      <c r="A405" s="25"/>
      <c r="B405" s="25" t="str">
        <f aca="false">IF($C405="","",COUNTA($C$5:C405))</f>
        <v/>
      </c>
      <c r="C405" s="25"/>
      <c r="D405" s="25"/>
      <c r="E405" s="25"/>
      <c r="F405" s="25"/>
      <c r="G405" s="25"/>
      <c r="H405" s="25"/>
      <c r="I405" s="25"/>
      <c r="J405" s="25"/>
      <c r="K405" s="25"/>
      <c r="L405" s="25" t="str">
        <f aca="false">IF($C405="","",ROUND($J405*0.17,0))</f>
        <v/>
      </c>
      <c r="M405" s="25"/>
      <c r="N405" s="25"/>
      <c r="O405" s="25"/>
      <c r="P405" s="25"/>
      <c r="Q405" s="25"/>
      <c r="R405" s="25"/>
      <c r="S405" s="25" t="str">
        <f aca="false">IF($C405="","",ROUND($J405*2.2,0))</f>
        <v/>
      </c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  <c r="AF405" s="25"/>
      <c r="AG405" s="25"/>
      <c r="AH405" s="25"/>
      <c r="AI405" s="25"/>
      <c r="AJ405" s="25"/>
      <c r="AK405" s="25"/>
      <c r="AL405" s="25"/>
      <c r="AM405" s="25"/>
      <c r="AN405" s="25"/>
    </row>
    <row r="406" customFormat="false" ht="15.75" hidden="false" customHeight="true" outlineLevel="0" collapsed="false">
      <c r="A406" s="25"/>
      <c r="B406" s="25" t="str">
        <f aca="false">IF($C406="","",COUNTA($C$5:C406))</f>
        <v/>
      </c>
      <c r="C406" s="25"/>
      <c r="D406" s="25"/>
      <c r="E406" s="25"/>
      <c r="F406" s="25"/>
      <c r="G406" s="25"/>
      <c r="H406" s="25"/>
      <c r="I406" s="25"/>
      <c r="J406" s="25"/>
      <c r="K406" s="25"/>
      <c r="L406" s="25" t="str">
        <f aca="false">IF($C406="","",ROUND($J406*0.17,0))</f>
        <v/>
      </c>
      <c r="M406" s="25"/>
      <c r="N406" s="25"/>
      <c r="O406" s="25"/>
      <c r="P406" s="25"/>
      <c r="Q406" s="25"/>
      <c r="R406" s="25"/>
      <c r="S406" s="25" t="str">
        <f aca="false">IF($C406="","",ROUND($J406*2.2,0))</f>
        <v/>
      </c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  <c r="AF406" s="25"/>
      <c r="AG406" s="25"/>
      <c r="AH406" s="25"/>
      <c r="AI406" s="25"/>
      <c r="AJ406" s="25"/>
      <c r="AK406" s="25"/>
      <c r="AL406" s="25"/>
      <c r="AM406" s="25"/>
      <c r="AN406" s="25"/>
    </row>
    <row r="407" customFormat="false" ht="15.75" hidden="false" customHeight="true" outlineLevel="0" collapsed="false">
      <c r="A407" s="25"/>
      <c r="B407" s="25" t="str">
        <f aca="false">IF($C407="","",COUNTA($C$5:C407))</f>
        <v/>
      </c>
      <c r="C407" s="25"/>
      <c r="D407" s="25"/>
      <c r="E407" s="25"/>
      <c r="F407" s="25"/>
      <c r="G407" s="25"/>
      <c r="H407" s="25"/>
      <c r="I407" s="25"/>
      <c r="J407" s="25"/>
      <c r="K407" s="25"/>
      <c r="L407" s="25" t="str">
        <f aca="false">IF($C407="","",ROUND($J407*0.17,0))</f>
        <v/>
      </c>
      <c r="M407" s="25"/>
      <c r="N407" s="25"/>
      <c r="O407" s="25"/>
      <c r="P407" s="25"/>
      <c r="Q407" s="25"/>
      <c r="R407" s="25"/>
      <c r="S407" s="25" t="str">
        <f aca="false">IF($C407="","",ROUND($J407*2.2,0))</f>
        <v/>
      </c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  <c r="AF407" s="25"/>
      <c r="AG407" s="25"/>
      <c r="AH407" s="25"/>
      <c r="AI407" s="25"/>
      <c r="AJ407" s="25"/>
      <c r="AK407" s="25"/>
      <c r="AL407" s="25"/>
      <c r="AM407" s="25"/>
      <c r="AN407" s="25"/>
    </row>
    <row r="408" customFormat="false" ht="15.75" hidden="false" customHeight="true" outlineLevel="0" collapsed="false">
      <c r="A408" s="25"/>
      <c r="B408" s="25" t="str">
        <f aca="false">IF($C408="","",COUNTA($C$5:C408))</f>
        <v/>
      </c>
      <c r="C408" s="25"/>
      <c r="D408" s="25"/>
      <c r="E408" s="25"/>
      <c r="F408" s="25"/>
      <c r="G408" s="25"/>
      <c r="H408" s="25"/>
      <c r="I408" s="25"/>
      <c r="J408" s="25"/>
      <c r="K408" s="25"/>
      <c r="L408" s="25" t="str">
        <f aca="false">IF($C408="","",ROUND($J408*0.17,0))</f>
        <v/>
      </c>
      <c r="M408" s="25"/>
      <c r="N408" s="25"/>
      <c r="O408" s="25"/>
      <c r="P408" s="25"/>
      <c r="Q408" s="25"/>
      <c r="R408" s="25"/>
      <c r="S408" s="25" t="str">
        <f aca="false">IF($C408="","",ROUND($J408*2.2,0))</f>
        <v/>
      </c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  <c r="AF408" s="25"/>
      <c r="AG408" s="25"/>
      <c r="AH408" s="25"/>
      <c r="AI408" s="25"/>
      <c r="AJ408" s="25"/>
      <c r="AK408" s="25"/>
      <c r="AL408" s="25"/>
      <c r="AM408" s="25"/>
      <c r="AN408" s="25"/>
    </row>
    <row r="409" customFormat="false" ht="15.75" hidden="false" customHeight="true" outlineLevel="0" collapsed="false">
      <c r="A409" s="25"/>
      <c r="B409" s="25" t="str">
        <f aca="false">IF($C409="","",COUNTA($C$5:C409))</f>
        <v/>
      </c>
      <c r="C409" s="25"/>
      <c r="D409" s="25"/>
      <c r="E409" s="25"/>
      <c r="F409" s="25"/>
      <c r="G409" s="25"/>
      <c r="H409" s="25"/>
      <c r="I409" s="25"/>
      <c r="J409" s="25"/>
      <c r="K409" s="25"/>
      <c r="L409" s="25" t="str">
        <f aca="false">IF($C409="","",ROUND($J409*0.17,0))</f>
        <v/>
      </c>
      <c r="M409" s="25"/>
      <c r="N409" s="25"/>
      <c r="O409" s="25"/>
      <c r="P409" s="25"/>
      <c r="Q409" s="25"/>
      <c r="R409" s="25"/>
      <c r="S409" s="25" t="str">
        <f aca="false">IF($C409="","",ROUND($J409*2.2,0))</f>
        <v/>
      </c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  <c r="AF409" s="25"/>
      <c r="AG409" s="25"/>
      <c r="AH409" s="25"/>
      <c r="AI409" s="25"/>
      <c r="AJ409" s="25"/>
      <c r="AK409" s="25"/>
      <c r="AL409" s="25"/>
      <c r="AM409" s="25"/>
      <c r="AN409" s="25"/>
    </row>
    <row r="410" customFormat="false" ht="15.75" hidden="false" customHeight="true" outlineLevel="0" collapsed="false">
      <c r="A410" s="25"/>
      <c r="B410" s="25" t="str">
        <f aca="false">IF($C410="","",COUNTA($C$5:C410))</f>
        <v/>
      </c>
      <c r="C410" s="25"/>
      <c r="D410" s="25"/>
      <c r="E410" s="25"/>
      <c r="F410" s="25"/>
      <c r="G410" s="25"/>
      <c r="H410" s="25"/>
      <c r="I410" s="25"/>
      <c r="J410" s="25"/>
      <c r="K410" s="25"/>
      <c r="L410" s="25" t="str">
        <f aca="false">IF($C410="","",ROUND($J410*0.17,0))</f>
        <v/>
      </c>
      <c r="M410" s="25"/>
      <c r="N410" s="25"/>
      <c r="O410" s="25"/>
      <c r="P410" s="25"/>
      <c r="Q410" s="25"/>
      <c r="R410" s="25"/>
      <c r="S410" s="25" t="str">
        <f aca="false">IF($C410="","",ROUND($J410*2.2,0))</f>
        <v/>
      </c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  <c r="AF410" s="25"/>
      <c r="AG410" s="25"/>
      <c r="AH410" s="25"/>
      <c r="AI410" s="25"/>
      <c r="AJ410" s="25"/>
      <c r="AK410" s="25"/>
      <c r="AL410" s="25"/>
      <c r="AM410" s="25"/>
      <c r="AN410" s="25"/>
    </row>
    <row r="411" customFormat="false" ht="15.75" hidden="false" customHeight="true" outlineLevel="0" collapsed="false">
      <c r="A411" s="25"/>
      <c r="B411" s="25" t="str">
        <f aca="false">IF($C411="","",COUNTA($C$5:C411))</f>
        <v/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 t="str">
        <f aca="false">IF($C411="","",ROUND($J411*0.17,0))</f>
        <v/>
      </c>
      <c r="M411" s="25"/>
      <c r="N411" s="25"/>
      <c r="O411" s="25"/>
      <c r="P411" s="25"/>
      <c r="Q411" s="25"/>
      <c r="R411" s="25"/>
      <c r="S411" s="25" t="str">
        <f aca="false">IF($C411="","",ROUND($J411*2.2,0))</f>
        <v/>
      </c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  <c r="AF411" s="25"/>
      <c r="AG411" s="25"/>
      <c r="AH411" s="25"/>
      <c r="AI411" s="25"/>
      <c r="AJ411" s="25"/>
      <c r="AK411" s="25"/>
      <c r="AL411" s="25"/>
      <c r="AM411" s="25"/>
      <c r="AN411" s="25"/>
    </row>
    <row r="412" customFormat="false" ht="15.75" hidden="false" customHeight="true" outlineLevel="0" collapsed="false">
      <c r="A412" s="25"/>
      <c r="B412" s="25" t="str">
        <f aca="false">IF($C412="","",COUNTA($C$5:C412))</f>
        <v/>
      </c>
      <c r="C412" s="25"/>
      <c r="D412" s="25"/>
      <c r="E412" s="25"/>
      <c r="F412" s="25"/>
      <c r="G412" s="25"/>
      <c r="H412" s="25"/>
      <c r="I412" s="25"/>
      <c r="J412" s="25"/>
      <c r="K412" s="25"/>
      <c r="L412" s="25" t="str">
        <f aca="false">IF($C412="","",ROUND($J412*0.17,0))</f>
        <v/>
      </c>
      <c r="M412" s="25"/>
      <c r="N412" s="25"/>
      <c r="O412" s="25"/>
      <c r="P412" s="25"/>
      <c r="Q412" s="25"/>
      <c r="R412" s="25"/>
      <c r="S412" s="25" t="str">
        <f aca="false">IF($C412="","",ROUND($J412*2.2,0))</f>
        <v/>
      </c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  <c r="AF412" s="25"/>
      <c r="AG412" s="25"/>
      <c r="AH412" s="25"/>
      <c r="AI412" s="25"/>
      <c r="AJ412" s="25"/>
      <c r="AK412" s="25"/>
      <c r="AL412" s="25"/>
      <c r="AM412" s="25"/>
      <c r="AN412" s="25"/>
    </row>
    <row r="413" customFormat="false" ht="15.75" hidden="false" customHeight="true" outlineLevel="0" collapsed="false">
      <c r="A413" s="25"/>
      <c r="B413" s="25" t="str">
        <f aca="false">IF($C413="","",COUNTA($C$5:C413))</f>
        <v/>
      </c>
      <c r="C413" s="25"/>
      <c r="D413" s="25"/>
      <c r="E413" s="25"/>
      <c r="F413" s="25"/>
      <c r="G413" s="25"/>
      <c r="H413" s="25"/>
      <c r="I413" s="25"/>
      <c r="J413" s="25"/>
      <c r="K413" s="25"/>
      <c r="L413" s="25" t="str">
        <f aca="false">IF($C413="","",ROUND($J413*0.17,0))</f>
        <v/>
      </c>
      <c r="M413" s="25"/>
      <c r="N413" s="25"/>
      <c r="O413" s="25"/>
      <c r="P413" s="25"/>
      <c r="Q413" s="25"/>
      <c r="R413" s="25"/>
      <c r="S413" s="25" t="str">
        <f aca="false">IF($C413="","",ROUND($J413*2.2,0))</f>
        <v/>
      </c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  <c r="AF413" s="25"/>
      <c r="AG413" s="25"/>
      <c r="AH413" s="25"/>
      <c r="AI413" s="25"/>
      <c r="AJ413" s="25"/>
      <c r="AK413" s="25"/>
      <c r="AL413" s="25"/>
      <c r="AM413" s="25"/>
      <c r="AN413" s="25"/>
    </row>
    <row r="414" customFormat="false" ht="15.75" hidden="false" customHeight="true" outlineLevel="0" collapsed="false">
      <c r="A414" s="25"/>
      <c r="B414" s="25" t="str">
        <f aca="false">IF($C414="","",COUNTA($C$5:C414))</f>
        <v/>
      </c>
      <c r="C414" s="25"/>
      <c r="D414" s="25"/>
      <c r="E414" s="25"/>
      <c r="F414" s="25"/>
      <c r="G414" s="25"/>
      <c r="H414" s="25"/>
      <c r="I414" s="25"/>
      <c r="J414" s="25"/>
      <c r="K414" s="25"/>
      <c r="L414" s="25" t="str">
        <f aca="false">IF($C414="","",ROUND($J414*0.17,0))</f>
        <v/>
      </c>
      <c r="M414" s="25"/>
      <c r="N414" s="25"/>
      <c r="O414" s="25"/>
      <c r="P414" s="25"/>
      <c r="Q414" s="25"/>
      <c r="R414" s="25"/>
      <c r="S414" s="25" t="str">
        <f aca="false">IF($C414="","",ROUND($J414*2.2,0))</f>
        <v/>
      </c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  <c r="AF414" s="25"/>
      <c r="AG414" s="25"/>
      <c r="AH414" s="25"/>
      <c r="AI414" s="25"/>
      <c r="AJ414" s="25"/>
      <c r="AK414" s="25"/>
      <c r="AL414" s="25"/>
      <c r="AM414" s="25"/>
      <c r="AN414" s="25"/>
    </row>
    <row r="415" customFormat="false" ht="15.75" hidden="false" customHeight="true" outlineLevel="0" collapsed="false">
      <c r="A415" s="25"/>
      <c r="B415" s="25" t="str">
        <f aca="false">IF($C415="","",COUNTA($C$5:C415))</f>
        <v/>
      </c>
      <c r="C415" s="25"/>
      <c r="D415" s="25"/>
      <c r="E415" s="25"/>
      <c r="F415" s="25"/>
      <c r="G415" s="25"/>
      <c r="H415" s="25"/>
      <c r="I415" s="25"/>
      <c r="J415" s="25"/>
      <c r="K415" s="25"/>
      <c r="L415" s="25" t="str">
        <f aca="false">IF($C415="","",ROUND($J415*0.17,0))</f>
        <v/>
      </c>
      <c r="M415" s="25"/>
      <c r="N415" s="25"/>
      <c r="O415" s="25"/>
      <c r="P415" s="25"/>
      <c r="Q415" s="25"/>
      <c r="R415" s="25"/>
      <c r="S415" s="25" t="str">
        <f aca="false">IF($C415="","",ROUND($J415*2.2,0))</f>
        <v/>
      </c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  <c r="AF415" s="25"/>
      <c r="AG415" s="25"/>
      <c r="AH415" s="25"/>
      <c r="AI415" s="25"/>
      <c r="AJ415" s="25"/>
      <c r="AK415" s="25"/>
      <c r="AL415" s="25"/>
      <c r="AM415" s="25"/>
      <c r="AN415" s="25"/>
    </row>
    <row r="416" customFormat="false" ht="15.75" hidden="false" customHeight="true" outlineLevel="0" collapsed="false">
      <c r="A416" s="25"/>
      <c r="B416" s="25" t="str">
        <f aca="false">IF($C416="","",COUNTA($C$5:C416))</f>
        <v/>
      </c>
      <c r="C416" s="25"/>
      <c r="D416" s="25"/>
      <c r="E416" s="25"/>
      <c r="F416" s="25"/>
      <c r="G416" s="25"/>
      <c r="H416" s="25"/>
      <c r="I416" s="25"/>
      <c r="J416" s="25"/>
      <c r="K416" s="25"/>
      <c r="L416" s="25" t="str">
        <f aca="false">IF($C416="","",ROUND($J416*0.17,0))</f>
        <v/>
      </c>
      <c r="M416" s="25"/>
      <c r="N416" s="25"/>
      <c r="O416" s="25"/>
      <c r="P416" s="25"/>
      <c r="Q416" s="25"/>
      <c r="R416" s="25"/>
      <c r="S416" s="25" t="str">
        <f aca="false">IF($C416="","",ROUND($J416*2.2,0))</f>
        <v/>
      </c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  <c r="AF416" s="25"/>
      <c r="AG416" s="25"/>
      <c r="AH416" s="25"/>
      <c r="AI416" s="25"/>
      <c r="AJ416" s="25"/>
      <c r="AK416" s="25"/>
      <c r="AL416" s="25"/>
      <c r="AM416" s="25"/>
      <c r="AN416" s="25"/>
    </row>
    <row r="417" customFormat="false" ht="15.75" hidden="false" customHeight="true" outlineLevel="0" collapsed="false">
      <c r="A417" s="25"/>
      <c r="B417" s="25" t="str">
        <f aca="false">IF($C417="","",COUNTA($C$5:C417))</f>
        <v/>
      </c>
      <c r="C417" s="25"/>
      <c r="D417" s="25"/>
      <c r="E417" s="25"/>
      <c r="F417" s="25"/>
      <c r="G417" s="25"/>
      <c r="H417" s="25"/>
      <c r="I417" s="25"/>
      <c r="J417" s="25"/>
      <c r="K417" s="25"/>
      <c r="L417" s="25" t="str">
        <f aca="false">IF($C417="","",ROUND($J417*0.17,0))</f>
        <v/>
      </c>
      <c r="M417" s="25"/>
      <c r="N417" s="25"/>
      <c r="O417" s="25"/>
      <c r="P417" s="25"/>
      <c r="Q417" s="25"/>
      <c r="R417" s="25"/>
      <c r="S417" s="25" t="str">
        <f aca="false">IF($C417="","",ROUND($J417*2.2,0))</f>
        <v/>
      </c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  <c r="AF417" s="25"/>
      <c r="AG417" s="25"/>
      <c r="AH417" s="25"/>
      <c r="AI417" s="25"/>
      <c r="AJ417" s="25"/>
      <c r="AK417" s="25"/>
      <c r="AL417" s="25"/>
      <c r="AM417" s="25"/>
      <c r="AN417" s="25"/>
    </row>
    <row r="418" customFormat="false" ht="15.75" hidden="false" customHeight="true" outlineLevel="0" collapsed="false">
      <c r="A418" s="25"/>
      <c r="B418" s="25" t="str">
        <f aca="false">IF($C418="","",COUNTA($C$5:C418))</f>
        <v/>
      </c>
      <c r="C418" s="25"/>
      <c r="D418" s="25"/>
      <c r="E418" s="25"/>
      <c r="F418" s="25"/>
      <c r="G418" s="25"/>
      <c r="H418" s="25"/>
      <c r="I418" s="25"/>
      <c r="J418" s="25"/>
      <c r="K418" s="25"/>
      <c r="L418" s="25" t="str">
        <f aca="false">IF($C418="","",ROUND($J418*0.17,0))</f>
        <v/>
      </c>
      <c r="M418" s="25"/>
      <c r="N418" s="25"/>
      <c r="O418" s="25"/>
      <c r="P418" s="25"/>
      <c r="Q418" s="25"/>
      <c r="R418" s="25"/>
      <c r="S418" s="25" t="str">
        <f aca="false">IF($C418="","",ROUND($J418*2.2,0))</f>
        <v/>
      </c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  <c r="AF418" s="25"/>
      <c r="AG418" s="25"/>
      <c r="AH418" s="25"/>
      <c r="AI418" s="25"/>
      <c r="AJ418" s="25"/>
      <c r="AK418" s="25"/>
      <c r="AL418" s="25"/>
      <c r="AM418" s="25"/>
      <c r="AN418" s="25"/>
    </row>
    <row r="419" customFormat="false" ht="15.75" hidden="false" customHeight="true" outlineLevel="0" collapsed="false">
      <c r="A419" s="25"/>
      <c r="B419" s="25" t="str">
        <f aca="false">IF($C419="","",COUNTA($C$5:C419))</f>
        <v/>
      </c>
      <c r="C419" s="25"/>
      <c r="D419" s="25"/>
      <c r="E419" s="25"/>
      <c r="F419" s="25"/>
      <c r="G419" s="25"/>
      <c r="H419" s="25"/>
      <c r="I419" s="25"/>
      <c r="J419" s="25"/>
      <c r="K419" s="25"/>
      <c r="L419" s="25" t="str">
        <f aca="false">IF($C419="","",ROUND($J419*0.17,0))</f>
        <v/>
      </c>
      <c r="M419" s="25"/>
      <c r="N419" s="25"/>
      <c r="O419" s="25"/>
      <c r="P419" s="25"/>
      <c r="Q419" s="25"/>
      <c r="R419" s="25"/>
      <c r="S419" s="25" t="str">
        <f aca="false">IF($C419="","",ROUND($J419*2.2,0))</f>
        <v/>
      </c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  <c r="AF419" s="25"/>
      <c r="AG419" s="25"/>
      <c r="AH419" s="25"/>
      <c r="AI419" s="25"/>
      <c r="AJ419" s="25"/>
      <c r="AK419" s="25"/>
      <c r="AL419" s="25"/>
      <c r="AM419" s="25"/>
      <c r="AN419" s="25"/>
    </row>
    <row r="420" customFormat="false" ht="15.75" hidden="false" customHeight="true" outlineLevel="0" collapsed="false">
      <c r="A420" s="25"/>
      <c r="B420" s="25" t="str">
        <f aca="false">IF($C420="","",COUNTA($C$5:C420))</f>
        <v/>
      </c>
      <c r="C420" s="25"/>
      <c r="D420" s="25"/>
      <c r="E420" s="25"/>
      <c r="F420" s="25"/>
      <c r="G420" s="25"/>
      <c r="H420" s="25"/>
      <c r="I420" s="25"/>
      <c r="J420" s="25"/>
      <c r="K420" s="25"/>
      <c r="L420" s="25" t="str">
        <f aca="false">IF($C420="","",ROUND($J420*0.17,0))</f>
        <v/>
      </c>
      <c r="M420" s="25"/>
      <c r="N420" s="25"/>
      <c r="O420" s="25"/>
      <c r="P420" s="25"/>
      <c r="Q420" s="25"/>
      <c r="R420" s="25"/>
      <c r="S420" s="25" t="str">
        <f aca="false">IF($C420="","",ROUND($J420*2.2,0))</f>
        <v/>
      </c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  <c r="AF420" s="25"/>
      <c r="AG420" s="25"/>
      <c r="AH420" s="25"/>
      <c r="AI420" s="25"/>
      <c r="AJ420" s="25"/>
      <c r="AK420" s="25"/>
      <c r="AL420" s="25"/>
      <c r="AM420" s="25"/>
      <c r="AN420" s="25"/>
    </row>
    <row r="421" customFormat="false" ht="15.75" hidden="false" customHeight="true" outlineLevel="0" collapsed="false">
      <c r="A421" s="25"/>
      <c r="B421" s="25" t="str">
        <f aca="false">IF($C421="","",COUNTA($C$5:C421))</f>
        <v/>
      </c>
      <c r="C421" s="25"/>
      <c r="D421" s="25"/>
      <c r="E421" s="25"/>
      <c r="F421" s="25"/>
      <c r="G421" s="25"/>
      <c r="H421" s="25"/>
      <c r="I421" s="25"/>
      <c r="J421" s="25"/>
      <c r="K421" s="25"/>
      <c r="L421" s="25" t="str">
        <f aca="false">IF($C421="","",ROUND($J421*0.17,0))</f>
        <v/>
      </c>
      <c r="M421" s="25"/>
      <c r="N421" s="25"/>
      <c r="O421" s="25"/>
      <c r="P421" s="25"/>
      <c r="Q421" s="25"/>
      <c r="R421" s="25"/>
      <c r="S421" s="25" t="str">
        <f aca="false">IF($C421="","",ROUND($J421*2.2,0))</f>
        <v/>
      </c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  <c r="AF421" s="25"/>
      <c r="AG421" s="25"/>
      <c r="AH421" s="25"/>
      <c r="AI421" s="25"/>
      <c r="AJ421" s="25"/>
      <c r="AK421" s="25"/>
      <c r="AL421" s="25"/>
      <c r="AM421" s="25"/>
      <c r="AN421" s="25"/>
    </row>
    <row r="422" customFormat="false" ht="15.75" hidden="false" customHeight="true" outlineLevel="0" collapsed="false">
      <c r="A422" s="25"/>
      <c r="B422" s="25" t="str">
        <f aca="false">IF($C422="","",COUNTA($C$5:C422))</f>
        <v/>
      </c>
      <c r="C422" s="25"/>
      <c r="D422" s="25"/>
      <c r="E422" s="25"/>
      <c r="F422" s="25"/>
      <c r="G422" s="25"/>
      <c r="H422" s="25"/>
      <c r="I422" s="25"/>
      <c r="J422" s="25"/>
      <c r="K422" s="25"/>
      <c r="L422" s="25" t="str">
        <f aca="false">IF($C422="","",ROUND($J422*0.17,0))</f>
        <v/>
      </c>
      <c r="M422" s="25"/>
      <c r="N422" s="25"/>
      <c r="O422" s="25"/>
      <c r="P422" s="25"/>
      <c r="Q422" s="25"/>
      <c r="R422" s="25"/>
      <c r="S422" s="25" t="str">
        <f aca="false">IF($C422="","",ROUND($J422*2.2,0))</f>
        <v/>
      </c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  <c r="AF422" s="25"/>
      <c r="AG422" s="25"/>
      <c r="AH422" s="25"/>
      <c r="AI422" s="25"/>
      <c r="AJ422" s="25"/>
      <c r="AK422" s="25"/>
      <c r="AL422" s="25"/>
      <c r="AM422" s="25"/>
      <c r="AN422" s="25"/>
    </row>
    <row r="423" customFormat="false" ht="15.75" hidden="false" customHeight="true" outlineLevel="0" collapsed="false">
      <c r="A423" s="25"/>
      <c r="B423" s="25" t="str">
        <f aca="false">IF($C423="","",COUNTA($C$5:C423))</f>
        <v/>
      </c>
      <c r="C423" s="25"/>
      <c r="D423" s="25"/>
      <c r="E423" s="25"/>
      <c r="F423" s="25"/>
      <c r="G423" s="25"/>
      <c r="H423" s="25"/>
      <c r="I423" s="25"/>
      <c r="J423" s="25"/>
      <c r="K423" s="25"/>
      <c r="L423" s="25" t="str">
        <f aca="false">IF($C423="","",ROUND($J423*0.17,0))</f>
        <v/>
      </c>
      <c r="M423" s="25"/>
      <c r="N423" s="25"/>
      <c r="O423" s="25"/>
      <c r="P423" s="25"/>
      <c r="Q423" s="25"/>
      <c r="R423" s="25"/>
      <c r="S423" s="25" t="str">
        <f aca="false">IF($C423="","",ROUND($J423*2.2,0))</f>
        <v/>
      </c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  <c r="AF423" s="25"/>
      <c r="AG423" s="25"/>
      <c r="AH423" s="25"/>
      <c r="AI423" s="25"/>
      <c r="AJ423" s="25"/>
      <c r="AK423" s="25"/>
      <c r="AL423" s="25"/>
      <c r="AM423" s="25"/>
      <c r="AN423" s="25"/>
    </row>
    <row r="424" customFormat="false" ht="15.75" hidden="false" customHeight="true" outlineLevel="0" collapsed="false">
      <c r="A424" s="25"/>
      <c r="B424" s="25" t="str">
        <f aca="false">IF($C424="","",COUNTA($C$5:C424))</f>
        <v/>
      </c>
      <c r="C424" s="25"/>
      <c r="D424" s="25"/>
      <c r="E424" s="25"/>
      <c r="F424" s="25"/>
      <c r="G424" s="25"/>
      <c r="H424" s="25"/>
      <c r="I424" s="25"/>
      <c r="J424" s="25"/>
      <c r="K424" s="25"/>
      <c r="L424" s="25" t="str">
        <f aca="false">IF($C424="","",ROUND($J424*0.17,0))</f>
        <v/>
      </c>
      <c r="M424" s="25"/>
      <c r="N424" s="25"/>
      <c r="O424" s="25"/>
      <c r="P424" s="25"/>
      <c r="Q424" s="25"/>
      <c r="R424" s="25"/>
      <c r="S424" s="25" t="str">
        <f aca="false">IF($C424="","",ROUND($J424*2.2,0))</f>
        <v/>
      </c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  <c r="AF424" s="25"/>
      <c r="AG424" s="25"/>
      <c r="AH424" s="25"/>
      <c r="AI424" s="25"/>
      <c r="AJ424" s="25"/>
      <c r="AK424" s="25"/>
      <c r="AL424" s="25"/>
      <c r="AM424" s="25"/>
      <c r="AN424" s="25"/>
    </row>
    <row r="425" customFormat="false" ht="15.75" hidden="false" customHeight="true" outlineLevel="0" collapsed="false">
      <c r="A425" s="25"/>
      <c r="B425" s="25" t="str">
        <f aca="false">IF($C425="","",COUNTA($C$5:C425))</f>
        <v/>
      </c>
      <c r="C425" s="25"/>
      <c r="D425" s="25"/>
      <c r="E425" s="25"/>
      <c r="F425" s="25"/>
      <c r="G425" s="25"/>
      <c r="H425" s="25"/>
      <c r="I425" s="25"/>
      <c r="J425" s="25"/>
      <c r="K425" s="25"/>
      <c r="L425" s="25" t="str">
        <f aca="false">IF($C425="","",ROUND($J425*0.17,0))</f>
        <v/>
      </c>
      <c r="M425" s="25"/>
      <c r="N425" s="25"/>
      <c r="O425" s="25"/>
      <c r="P425" s="25"/>
      <c r="Q425" s="25"/>
      <c r="R425" s="25"/>
      <c r="S425" s="25" t="str">
        <f aca="false">IF($C425="","",ROUND($J425*2.2,0))</f>
        <v/>
      </c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  <c r="AF425" s="25"/>
      <c r="AG425" s="25"/>
      <c r="AH425" s="25"/>
      <c r="AI425" s="25"/>
      <c r="AJ425" s="25"/>
      <c r="AK425" s="25"/>
      <c r="AL425" s="25"/>
      <c r="AM425" s="25"/>
      <c r="AN425" s="25"/>
    </row>
    <row r="426" customFormat="false" ht="15.75" hidden="false" customHeight="true" outlineLevel="0" collapsed="false">
      <c r="A426" s="25"/>
      <c r="B426" s="25" t="str">
        <f aca="false">IF($C426="","",COUNTA($C$5:C426))</f>
        <v/>
      </c>
      <c r="C426" s="25"/>
      <c r="D426" s="25"/>
      <c r="E426" s="25"/>
      <c r="F426" s="25"/>
      <c r="G426" s="25"/>
      <c r="H426" s="25"/>
      <c r="I426" s="25"/>
      <c r="J426" s="25"/>
      <c r="K426" s="25"/>
      <c r="L426" s="25" t="str">
        <f aca="false">IF($C426="","",ROUND($J426*0.17,0))</f>
        <v/>
      </c>
      <c r="M426" s="25"/>
      <c r="N426" s="25"/>
      <c r="O426" s="25"/>
      <c r="P426" s="25"/>
      <c r="Q426" s="25"/>
      <c r="R426" s="25"/>
      <c r="S426" s="25" t="str">
        <f aca="false">IF($C426="","",ROUND($J426*2.2,0))</f>
        <v/>
      </c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  <c r="AF426" s="25"/>
      <c r="AG426" s="25"/>
      <c r="AH426" s="25"/>
      <c r="AI426" s="25"/>
      <c r="AJ426" s="25"/>
      <c r="AK426" s="25"/>
      <c r="AL426" s="25"/>
      <c r="AM426" s="25"/>
      <c r="AN426" s="25"/>
    </row>
    <row r="427" customFormat="false" ht="15.75" hidden="false" customHeight="true" outlineLevel="0" collapsed="false">
      <c r="A427" s="25"/>
      <c r="B427" s="25" t="str">
        <f aca="false">IF($C427="","",COUNTA($C$5:C427))</f>
        <v/>
      </c>
      <c r="C427" s="25"/>
      <c r="D427" s="25"/>
      <c r="E427" s="25"/>
      <c r="F427" s="25"/>
      <c r="G427" s="25"/>
      <c r="H427" s="25"/>
      <c r="I427" s="25"/>
      <c r="J427" s="25"/>
      <c r="K427" s="25"/>
      <c r="L427" s="25" t="str">
        <f aca="false">IF($C427="","",ROUND($J427*0.17,0))</f>
        <v/>
      </c>
      <c r="M427" s="25"/>
      <c r="N427" s="25"/>
      <c r="O427" s="25"/>
      <c r="P427" s="25"/>
      <c r="Q427" s="25"/>
      <c r="R427" s="25"/>
      <c r="S427" s="25" t="str">
        <f aca="false">IF($C427="","",ROUND($J427*2.2,0))</f>
        <v/>
      </c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  <c r="AF427" s="25"/>
      <c r="AG427" s="25"/>
      <c r="AH427" s="25"/>
      <c r="AI427" s="25"/>
      <c r="AJ427" s="25"/>
      <c r="AK427" s="25"/>
      <c r="AL427" s="25"/>
      <c r="AM427" s="25"/>
      <c r="AN427" s="25"/>
    </row>
    <row r="428" customFormat="false" ht="15.75" hidden="false" customHeight="true" outlineLevel="0" collapsed="false">
      <c r="A428" s="25"/>
      <c r="B428" s="25" t="str">
        <f aca="false">IF($C428="","",COUNTA($C$5:C428))</f>
        <v/>
      </c>
      <c r="C428" s="25"/>
      <c r="D428" s="25"/>
      <c r="E428" s="25"/>
      <c r="F428" s="25"/>
      <c r="G428" s="25"/>
      <c r="H428" s="25"/>
      <c r="I428" s="25"/>
      <c r="J428" s="25"/>
      <c r="K428" s="25"/>
      <c r="L428" s="25" t="str">
        <f aca="false">IF($C428="","",ROUND($J428*0.17,0))</f>
        <v/>
      </c>
      <c r="M428" s="25"/>
      <c r="N428" s="25"/>
      <c r="O428" s="25"/>
      <c r="P428" s="25"/>
      <c r="Q428" s="25"/>
      <c r="R428" s="25"/>
      <c r="S428" s="25" t="str">
        <f aca="false">IF($C428="","",ROUND($J428*2.2,0))</f>
        <v/>
      </c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  <c r="AF428" s="25"/>
      <c r="AG428" s="25"/>
      <c r="AH428" s="25"/>
      <c r="AI428" s="25"/>
      <c r="AJ428" s="25"/>
      <c r="AK428" s="25"/>
      <c r="AL428" s="25"/>
      <c r="AM428" s="25"/>
      <c r="AN428" s="25"/>
    </row>
    <row r="429" customFormat="false" ht="15.75" hidden="false" customHeight="true" outlineLevel="0" collapsed="false">
      <c r="A429" s="25"/>
      <c r="B429" s="25" t="str">
        <f aca="false">IF($C429="","",COUNTA($C$5:C429))</f>
        <v/>
      </c>
      <c r="C429" s="25"/>
      <c r="D429" s="25"/>
      <c r="E429" s="25"/>
      <c r="F429" s="25"/>
      <c r="G429" s="25"/>
      <c r="H429" s="25"/>
      <c r="I429" s="25"/>
      <c r="J429" s="25"/>
      <c r="K429" s="25"/>
      <c r="L429" s="25" t="str">
        <f aca="false">IF($C429="","",ROUND($J429*0.17,0))</f>
        <v/>
      </c>
      <c r="M429" s="25"/>
      <c r="N429" s="25"/>
      <c r="O429" s="25"/>
      <c r="P429" s="25"/>
      <c r="Q429" s="25"/>
      <c r="R429" s="25"/>
      <c r="S429" s="25" t="str">
        <f aca="false">IF($C429="","",ROUND($J429*2.2,0))</f>
        <v/>
      </c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  <c r="AF429" s="25"/>
      <c r="AG429" s="25"/>
      <c r="AH429" s="25"/>
      <c r="AI429" s="25"/>
      <c r="AJ429" s="25"/>
      <c r="AK429" s="25"/>
      <c r="AL429" s="25"/>
      <c r="AM429" s="25"/>
      <c r="AN429" s="25"/>
    </row>
    <row r="430" customFormat="false" ht="15.75" hidden="false" customHeight="true" outlineLevel="0" collapsed="false">
      <c r="A430" s="25"/>
      <c r="B430" s="25" t="str">
        <f aca="false">IF($C430="","",COUNTA($C$5:C430))</f>
        <v/>
      </c>
      <c r="C430" s="25"/>
      <c r="D430" s="25"/>
      <c r="E430" s="25"/>
      <c r="F430" s="25"/>
      <c r="G430" s="25"/>
      <c r="H430" s="25"/>
      <c r="I430" s="25"/>
      <c r="J430" s="25"/>
      <c r="K430" s="25"/>
      <c r="L430" s="25" t="str">
        <f aca="false">IF($C430="","",ROUND($J430*0.17,0))</f>
        <v/>
      </c>
      <c r="M430" s="25"/>
      <c r="N430" s="25"/>
      <c r="O430" s="25"/>
      <c r="P430" s="25"/>
      <c r="Q430" s="25"/>
      <c r="R430" s="25"/>
      <c r="S430" s="25" t="str">
        <f aca="false">IF($C430="","",ROUND($J430*2.2,0))</f>
        <v/>
      </c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  <c r="AF430" s="25"/>
      <c r="AG430" s="25"/>
      <c r="AH430" s="25"/>
      <c r="AI430" s="25"/>
      <c r="AJ430" s="25"/>
      <c r="AK430" s="25"/>
      <c r="AL430" s="25"/>
      <c r="AM430" s="25"/>
      <c r="AN430" s="25"/>
    </row>
    <row r="431" customFormat="false" ht="15.75" hidden="false" customHeight="true" outlineLevel="0" collapsed="false">
      <c r="A431" s="25"/>
      <c r="B431" s="25" t="str">
        <f aca="false">IF($C431="","",COUNTA($C$5:C431))</f>
        <v/>
      </c>
      <c r="C431" s="25"/>
      <c r="D431" s="25"/>
      <c r="E431" s="25"/>
      <c r="F431" s="25"/>
      <c r="G431" s="25"/>
      <c r="H431" s="25"/>
      <c r="I431" s="25"/>
      <c r="J431" s="25"/>
      <c r="K431" s="25"/>
      <c r="L431" s="25" t="str">
        <f aca="false">IF($C431="","",ROUND($J431*0.17,0))</f>
        <v/>
      </c>
      <c r="M431" s="25"/>
      <c r="N431" s="25"/>
      <c r="O431" s="25"/>
      <c r="P431" s="25"/>
      <c r="Q431" s="25"/>
      <c r="R431" s="25"/>
      <c r="S431" s="25" t="str">
        <f aca="false">IF($C431="","",ROUND($J431*2.2,0))</f>
        <v/>
      </c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  <c r="AF431" s="25"/>
      <c r="AG431" s="25"/>
      <c r="AH431" s="25"/>
      <c r="AI431" s="25"/>
      <c r="AJ431" s="25"/>
      <c r="AK431" s="25"/>
      <c r="AL431" s="25"/>
      <c r="AM431" s="25"/>
      <c r="AN431" s="25"/>
    </row>
    <row r="432" customFormat="false" ht="15.75" hidden="false" customHeight="true" outlineLevel="0" collapsed="false">
      <c r="A432" s="25"/>
      <c r="B432" s="25" t="str">
        <f aca="false">IF($C432="","",COUNTA($C$5:C432))</f>
        <v/>
      </c>
      <c r="C432" s="25"/>
      <c r="D432" s="25"/>
      <c r="E432" s="25"/>
      <c r="F432" s="25"/>
      <c r="G432" s="25"/>
      <c r="H432" s="25"/>
      <c r="I432" s="25"/>
      <c r="J432" s="25"/>
      <c r="K432" s="25"/>
      <c r="L432" s="25" t="str">
        <f aca="false">IF($C432="","",ROUND($J432*0.17,0))</f>
        <v/>
      </c>
      <c r="M432" s="25"/>
      <c r="N432" s="25"/>
      <c r="O432" s="25"/>
      <c r="P432" s="25"/>
      <c r="Q432" s="25"/>
      <c r="R432" s="25"/>
      <c r="S432" s="25" t="str">
        <f aca="false">IF($C432="","",ROUND($J432*2.2,0))</f>
        <v/>
      </c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  <c r="AF432" s="25"/>
      <c r="AG432" s="25"/>
      <c r="AH432" s="25"/>
      <c r="AI432" s="25"/>
      <c r="AJ432" s="25"/>
      <c r="AK432" s="25"/>
      <c r="AL432" s="25"/>
      <c r="AM432" s="25"/>
      <c r="AN432" s="25"/>
    </row>
    <row r="433" customFormat="false" ht="15.75" hidden="false" customHeight="true" outlineLevel="0" collapsed="false">
      <c r="A433" s="25"/>
      <c r="B433" s="25" t="str">
        <f aca="false">IF($C433="","",COUNTA($C$5:C433))</f>
        <v/>
      </c>
      <c r="C433" s="25"/>
      <c r="D433" s="25"/>
      <c r="E433" s="25"/>
      <c r="F433" s="25"/>
      <c r="G433" s="25"/>
      <c r="H433" s="25"/>
      <c r="I433" s="25"/>
      <c r="J433" s="25"/>
      <c r="K433" s="25"/>
      <c r="L433" s="25" t="str">
        <f aca="false">IF($C433="","",ROUND($J433*0.17,0))</f>
        <v/>
      </c>
      <c r="M433" s="25"/>
      <c r="N433" s="25"/>
      <c r="O433" s="25"/>
      <c r="P433" s="25"/>
      <c r="Q433" s="25"/>
      <c r="R433" s="25"/>
      <c r="S433" s="25" t="str">
        <f aca="false">IF($C433="","",ROUND($J433*2.2,0))</f>
        <v/>
      </c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  <c r="AF433" s="25"/>
      <c r="AG433" s="25"/>
      <c r="AH433" s="25"/>
      <c r="AI433" s="25"/>
      <c r="AJ433" s="25"/>
      <c r="AK433" s="25"/>
      <c r="AL433" s="25"/>
      <c r="AM433" s="25"/>
      <c r="AN433" s="25"/>
    </row>
    <row r="434" customFormat="false" ht="15.75" hidden="false" customHeight="true" outlineLevel="0" collapsed="false">
      <c r="A434" s="25"/>
      <c r="B434" s="25" t="str">
        <f aca="false">IF($C434="","",COUNTA($C$5:C434))</f>
        <v/>
      </c>
      <c r="C434" s="25"/>
      <c r="D434" s="25"/>
      <c r="E434" s="25"/>
      <c r="F434" s="25"/>
      <c r="G434" s="25"/>
      <c r="H434" s="25"/>
      <c r="I434" s="25"/>
      <c r="J434" s="25"/>
      <c r="K434" s="25"/>
      <c r="L434" s="25" t="str">
        <f aca="false">IF($C434="","",ROUND($J434*0.17,0))</f>
        <v/>
      </c>
      <c r="M434" s="25"/>
      <c r="N434" s="25"/>
      <c r="O434" s="25"/>
      <c r="P434" s="25"/>
      <c r="Q434" s="25"/>
      <c r="R434" s="25"/>
      <c r="S434" s="25" t="str">
        <f aca="false">IF($C434="","",ROUND($J434*2.2,0))</f>
        <v/>
      </c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  <c r="AF434" s="25"/>
      <c r="AG434" s="25"/>
      <c r="AH434" s="25"/>
      <c r="AI434" s="25"/>
      <c r="AJ434" s="25"/>
      <c r="AK434" s="25"/>
      <c r="AL434" s="25"/>
      <c r="AM434" s="25"/>
      <c r="AN434" s="25"/>
    </row>
    <row r="435" customFormat="false" ht="15.75" hidden="false" customHeight="true" outlineLevel="0" collapsed="false">
      <c r="A435" s="25"/>
      <c r="B435" s="25" t="str">
        <f aca="false">IF($C435="","",COUNTA($C$5:C435))</f>
        <v/>
      </c>
      <c r="C435" s="25"/>
      <c r="D435" s="25"/>
      <c r="E435" s="25"/>
      <c r="F435" s="25"/>
      <c r="G435" s="25"/>
      <c r="H435" s="25"/>
      <c r="I435" s="25"/>
      <c r="J435" s="25"/>
      <c r="K435" s="25"/>
      <c r="L435" s="25" t="str">
        <f aca="false">IF($C435="","",ROUND($J435*0.17,0))</f>
        <v/>
      </c>
      <c r="M435" s="25"/>
      <c r="N435" s="25"/>
      <c r="O435" s="25"/>
      <c r="P435" s="25"/>
      <c r="Q435" s="25"/>
      <c r="R435" s="25"/>
      <c r="S435" s="25" t="str">
        <f aca="false">IF($C435="","",ROUND($J435*2.2,0))</f>
        <v/>
      </c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  <c r="AF435" s="25"/>
      <c r="AG435" s="25"/>
      <c r="AH435" s="25"/>
      <c r="AI435" s="25"/>
      <c r="AJ435" s="25"/>
      <c r="AK435" s="25"/>
      <c r="AL435" s="25"/>
      <c r="AM435" s="25"/>
      <c r="AN435" s="25"/>
    </row>
    <row r="436" customFormat="false" ht="15.75" hidden="false" customHeight="true" outlineLevel="0" collapsed="false">
      <c r="A436" s="25"/>
      <c r="B436" s="25" t="str">
        <f aca="false">IF($C436="","",COUNTA($C$5:C436))</f>
        <v/>
      </c>
      <c r="C436" s="25"/>
      <c r="D436" s="25"/>
      <c r="E436" s="25"/>
      <c r="F436" s="25"/>
      <c r="G436" s="25"/>
      <c r="H436" s="25"/>
      <c r="I436" s="25"/>
      <c r="J436" s="25"/>
      <c r="K436" s="25"/>
      <c r="L436" s="25" t="str">
        <f aca="false">IF($C436="","",ROUND($J436*0.17,0))</f>
        <v/>
      </c>
      <c r="M436" s="25"/>
      <c r="N436" s="25"/>
      <c r="O436" s="25"/>
      <c r="P436" s="25"/>
      <c r="Q436" s="25"/>
      <c r="R436" s="25"/>
      <c r="S436" s="25" t="str">
        <f aca="false">IF($C436="","",ROUND($J436*2.2,0))</f>
        <v/>
      </c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  <c r="AF436" s="25"/>
      <c r="AG436" s="25"/>
      <c r="AH436" s="25"/>
      <c r="AI436" s="25"/>
      <c r="AJ436" s="25"/>
      <c r="AK436" s="25"/>
      <c r="AL436" s="25"/>
      <c r="AM436" s="25"/>
      <c r="AN436" s="25"/>
    </row>
    <row r="437" customFormat="false" ht="15.75" hidden="false" customHeight="true" outlineLevel="0" collapsed="false">
      <c r="A437" s="25"/>
      <c r="B437" s="25" t="str">
        <f aca="false">IF($C437="","",COUNTA($C$5:C437))</f>
        <v/>
      </c>
      <c r="C437" s="25"/>
      <c r="D437" s="25"/>
      <c r="E437" s="25"/>
      <c r="F437" s="25"/>
      <c r="G437" s="25"/>
      <c r="H437" s="25"/>
      <c r="I437" s="25"/>
      <c r="J437" s="25"/>
      <c r="K437" s="25"/>
      <c r="L437" s="25" t="str">
        <f aca="false">IF($C437="","",ROUND($J437*0.17,0))</f>
        <v/>
      </c>
      <c r="M437" s="25"/>
      <c r="N437" s="25"/>
      <c r="O437" s="25"/>
      <c r="P437" s="25"/>
      <c r="Q437" s="25"/>
      <c r="R437" s="25"/>
      <c r="S437" s="25" t="str">
        <f aca="false">IF($C437="","",ROUND($J437*2.2,0))</f>
        <v/>
      </c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  <c r="AF437" s="25"/>
      <c r="AG437" s="25"/>
      <c r="AH437" s="25"/>
      <c r="AI437" s="25"/>
      <c r="AJ437" s="25"/>
      <c r="AK437" s="25"/>
      <c r="AL437" s="25"/>
      <c r="AM437" s="25"/>
      <c r="AN437" s="25"/>
    </row>
    <row r="438" customFormat="false" ht="15.75" hidden="false" customHeight="true" outlineLevel="0" collapsed="false">
      <c r="A438" s="25"/>
      <c r="B438" s="25" t="str">
        <f aca="false">IF($C438="","",COUNTA($C$5:C438))</f>
        <v/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 t="str">
        <f aca="false">IF($C438="","",ROUND($J438*0.17,0))</f>
        <v/>
      </c>
      <c r="M438" s="25"/>
      <c r="N438" s="25"/>
      <c r="O438" s="25"/>
      <c r="P438" s="25"/>
      <c r="Q438" s="25"/>
      <c r="R438" s="25"/>
      <c r="S438" s="25" t="str">
        <f aca="false">IF($C438="","",ROUND($J438*2.2,0))</f>
        <v/>
      </c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  <c r="AF438" s="25"/>
      <c r="AG438" s="25"/>
      <c r="AH438" s="25"/>
      <c r="AI438" s="25"/>
      <c r="AJ438" s="25"/>
      <c r="AK438" s="25"/>
      <c r="AL438" s="25"/>
      <c r="AM438" s="25"/>
      <c r="AN438" s="25"/>
    </row>
    <row r="439" customFormat="false" ht="15.75" hidden="false" customHeight="true" outlineLevel="0" collapsed="false">
      <c r="A439" s="25"/>
      <c r="B439" s="25" t="str">
        <f aca="false">IF($C439="","",COUNTA($C$5:C439))</f>
        <v/>
      </c>
      <c r="C439" s="25"/>
      <c r="D439" s="25"/>
      <c r="E439" s="25"/>
      <c r="F439" s="25"/>
      <c r="G439" s="25"/>
      <c r="H439" s="25"/>
      <c r="I439" s="25"/>
      <c r="J439" s="25"/>
      <c r="K439" s="25"/>
      <c r="L439" s="25" t="str">
        <f aca="false">IF($C439="","",ROUND($J439*0.17,0))</f>
        <v/>
      </c>
      <c r="M439" s="25"/>
      <c r="N439" s="25"/>
      <c r="O439" s="25"/>
      <c r="P439" s="25"/>
      <c r="Q439" s="25"/>
      <c r="R439" s="25"/>
      <c r="S439" s="25" t="str">
        <f aca="false">IF($C439="","",ROUND($J439*2.2,0))</f>
        <v/>
      </c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  <c r="AF439" s="25"/>
      <c r="AG439" s="25"/>
      <c r="AH439" s="25"/>
      <c r="AI439" s="25"/>
      <c r="AJ439" s="25"/>
      <c r="AK439" s="25"/>
      <c r="AL439" s="25"/>
      <c r="AM439" s="25"/>
      <c r="AN439" s="25"/>
    </row>
    <row r="440" customFormat="false" ht="15.75" hidden="false" customHeight="true" outlineLevel="0" collapsed="false">
      <c r="A440" s="25"/>
      <c r="B440" s="25" t="str">
        <f aca="false">IF($C440="","",COUNTA($C$5:C440))</f>
        <v/>
      </c>
      <c r="C440" s="25"/>
      <c r="D440" s="25"/>
      <c r="E440" s="25"/>
      <c r="F440" s="25"/>
      <c r="G440" s="25"/>
      <c r="H440" s="25"/>
      <c r="I440" s="25"/>
      <c r="J440" s="25"/>
      <c r="K440" s="25"/>
      <c r="L440" s="25" t="str">
        <f aca="false">IF($C440="","",ROUND($J440*0.17,0))</f>
        <v/>
      </c>
      <c r="M440" s="25"/>
      <c r="N440" s="25"/>
      <c r="O440" s="25"/>
      <c r="P440" s="25"/>
      <c r="Q440" s="25"/>
      <c r="R440" s="25"/>
      <c r="S440" s="25" t="str">
        <f aca="false">IF($C440="","",ROUND($J440*2.2,0))</f>
        <v/>
      </c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  <c r="AF440" s="25"/>
      <c r="AG440" s="25"/>
      <c r="AH440" s="25"/>
      <c r="AI440" s="25"/>
      <c r="AJ440" s="25"/>
      <c r="AK440" s="25"/>
      <c r="AL440" s="25"/>
      <c r="AM440" s="25"/>
      <c r="AN440" s="25"/>
    </row>
    <row r="441" customFormat="false" ht="15.75" hidden="false" customHeight="true" outlineLevel="0" collapsed="false">
      <c r="A441" s="25"/>
      <c r="B441" s="25" t="str">
        <f aca="false">IF($C441="","",COUNTA($C$5:C441))</f>
        <v/>
      </c>
      <c r="C441" s="25"/>
      <c r="D441" s="25"/>
      <c r="E441" s="25"/>
      <c r="F441" s="25"/>
      <c r="G441" s="25"/>
      <c r="H441" s="25"/>
      <c r="I441" s="25"/>
      <c r="J441" s="25"/>
      <c r="K441" s="25"/>
      <c r="L441" s="25" t="str">
        <f aca="false">IF($C441="","",ROUND($J441*0.17,0))</f>
        <v/>
      </c>
      <c r="M441" s="25"/>
      <c r="N441" s="25"/>
      <c r="O441" s="25"/>
      <c r="P441" s="25"/>
      <c r="Q441" s="25"/>
      <c r="R441" s="25"/>
      <c r="S441" s="25" t="str">
        <f aca="false">IF($C441="","",ROUND($J441*2.2,0))</f>
        <v/>
      </c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  <c r="AF441" s="25"/>
      <c r="AG441" s="25"/>
      <c r="AH441" s="25"/>
      <c r="AI441" s="25"/>
      <c r="AJ441" s="25"/>
      <c r="AK441" s="25"/>
      <c r="AL441" s="25"/>
      <c r="AM441" s="25"/>
      <c r="AN441" s="25"/>
    </row>
    <row r="442" customFormat="false" ht="15.75" hidden="false" customHeight="true" outlineLevel="0" collapsed="false">
      <c r="A442" s="25"/>
      <c r="B442" s="25" t="str">
        <f aca="false">IF($C442="","",COUNTA($C$5:C442))</f>
        <v/>
      </c>
      <c r="C442" s="25"/>
      <c r="D442" s="25"/>
      <c r="E442" s="25"/>
      <c r="F442" s="25"/>
      <c r="G442" s="25"/>
      <c r="H442" s="25"/>
      <c r="I442" s="25"/>
      <c r="J442" s="25"/>
      <c r="K442" s="25"/>
      <c r="L442" s="25" t="str">
        <f aca="false">IF($C442="","",ROUND($J442*0.17,0))</f>
        <v/>
      </c>
      <c r="M442" s="25"/>
      <c r="N442" s="25"/>
      <c r="O442" s="25"/>
      <c r="P442" s="25"/>
      <c r="Q442" s="25"/>
      <c r="R442" s="25"/>
      <c r="S442" s="25" t="str">
        <f aca="false">IF($C442="","",ROUND($J442*2.2,0))</f>
        <v/>
      </c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  <c r="AF442" s="25"/>
      <c r="AG442" s="25"/>
      <c r="AH442" s="25"/>
      <c r="AI442" s="25"/>
      <c r="AJ442" s="25"/>
      <c r="AK442" s="25"/>
      <c r="AL442" s="25"/>
      <c r="AM442" s="25"/>
      <c r="AN442" s="25"/>
    </row>
    <row r="443" customFormat="false" ht="15.75" hidden="false" customHeight="true" outlineLevel="0" collapsed="false">
      <c r="A443" s="25"/>
      <c r="B443" s="25" t="str">
        <f aca="false">IF($C443="","",COUNTA($C$5:C443))</f>
        <v/>
      </c>
      <c r="C443" s="25"/>
      <c r="D443" s="25"/>
      <c r="E443" s="25"/>
      <c r="F443" s="25"/>
      <c r="G443" s="25"/>
      <c r="H443" s="25"/>
      <c r="I443" s="25"/>
      <c r="J443" s="25"/>
      <c r="K443" s="25"/>
      <c r="L443" s="25" t="str">
        <f aca="false">IF($C443="","",ROUND($J443*0.17,0))</f>
        <v/>
      </c>
      <c r="M443" s="25"/>
      <c r="N443" s="25"/>
      <c r="O443" s="25"/>
      <c r="P443" s="25"/>
      <c r="Q443" s="25"/>
      <c r="R443" s="25"/>
      <c r="S443" s="25" t="str">
        <f aca="false">IF($C443="","",ROUND($J443*2.2,0))</f>
        <v/>
      </c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  <c r="AF443" s="25"/>
      <c r="AG443" s="25"/>
      <c r="AH443" s="25"/>
      <c r="AI443" s="25"/>
      <c r="AJ443" s="25"/>
      <c r="AK443" s="25"/>
      <c r="AL443" s="25"/>
      <c r="AM443" s="25"/>
      <c r="AN443" s="25"/>
    </row>
    <row r="444" customFormat="false" ht="15.75" hidden="false" customHeight="true" outlineLevel="0" collapsed="false">
      <c r="A444" s="25"/>
      <c r="B444" s="25" t="str">
        <f aca="false">IF($C444="","",COUNTA($C$5:C444))</f>
        <v/>
      </c>
      <c r="C444" s="25"/>
      <c r="D444" s="25"/>
      <c r="E444" s="25"/>
      <c r="F444" s="25"/>
      <c r="G444" s="25"/>
      <c r="H444" s="25"/>
      <c r="I444" s="25"/>
      <c r="J444" s="25"/>
      <c r="K444" s="25"/>
      <c r="L444" s="25" t="str">
        <f aca="false">IF($C444="","",ROUND($J444*0.17,0))</f>
        <v/>
      </c>
      <c r="M444" s="25"/>
      <c r="N444" s="25"/>
      <c r="O444" s="25"/>
      <c r="P444" s="25"/>
      <c r="Q444" s="25"/>
      <c r="R444" s="25"/>
      <c r="S444" s="25" t="str">
        <f aca="false">IF($C444="","",ROUND($J444*2.2,0))</f>
        <v/>
      </c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  <c r="AF444" s="25"/>
      <c r="AG444" s="25"/>
      <c r="AH444" s="25"/>
      <c r="AI444" s="25"/>
      <c r="AJ444" s="25"/>
      <c r="AK444" s="25"/>
      <c r="AL444" s="25"/>
      <c r="AM444" s="25"/>
      <c r="AN444" s="25"/>
    </row>
    <row r="445" customFormat="false" ht="15.75" hidden="false" customHeight="true" outlineLevel="0" collapsed="false">
      <c r="A445" s="25"/>
      <c r="B445" s="25" t="str">
        <f aca="false">IF($C445="","",COUNTA($C$5:C445))</f>
        <v/>
      </c>
      <c r="C445" s="25"/>
      <c r="D445" s="25"/>
      <c r="E445" s="25"/>
      <c r="F445" s="25"/>
      <c r="G445" s="25"/>
      <c r="H445" s="25"/>
      <c r="I445" s="25"/>
      <c r="J445" s="25"/>
      <c r="K445" s="25"/>
      <c r="L445" s="25" t="str">
        <f aca="false">IF($C445="","",ROUND($J445*0.17,0))</f>
        <v/>
      </c>
      <c r="M445" s="25"/>
      <c r="N445" s="25"/>
      <c r="O445" s="25"/>
      <c r="P445" s="25"/>
      <c r="Q445" s="25"/>
      <c r="R445" s="25"/>
      <c r="S445" s="25" t="str">
        <f aca="false">IF($C445="","",ROUND($J445*2.2,0))</f>
        <v/>
      </c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  <c r="AF445" s="25"/>
      <c r="AG445" s="25"/>
      <c r="AH445" s="25"/>
      <c r="AI445" s="25"/>
      <c r="AJ445" s="25"/>
      <c r="AK445" s="25"/>
      <c r="AL445" s="25"/>
      <c r="AM445" s="25"/>
      <c r="AN445" s="25"/>
    </row>
    <row r="446" customFormat="false" ht="15.75" hidden="false" customHeight="true" outlineLevel="0" collapsed="false">
      <c r="A446" s="25"/>
      <c r="B446" s="25" t="str">
        <f aca="false">IF($C446="","",COUNTA($C$5:C446))</f>
        <v/>
      </c>
      <c r="C446" s="25"/>
      <c r="D446" s="25"/>
      <c r="E446" s="25"/>
      <c r="F446" s="25"/>
      <c r="G446" s="25"/>
      <c r="H446" s="25"/>
      <c r="I446" s="25"/>
      <c r="J446" s="25"/>
      <c r="K446" s="25"/>
      <c r="L446" s="25" t="str">
        <f aca="false">IF($C446="","",ROUND($J446*0.17,0))</f>
        <v/>
      </c>
      <c r="M446" s="25"/>
      <c r="N446" s="25"/>
      <c r="O446" s="25"/>
      <c r="P446" s="25"/>
      <c r="Q446" s="25"/>
      <c r="R446" s="25"/>
      <c r="S446" s="25" t="str">
        <f aca="false">IF($C446="","",ROUND($J446*2.2,0))</f>
        <v/>
      </c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  <c r="AF446" s="25"/>
      <c r="AG446" s="25"/>
      <c r="AH446" s="25"/>
      <c r="AI446" s="25"/>
      <c r="AJ446" s="25"/>
      <c r="AK446" s="25"/>
      <c r="AL446" s="25"/>
      <c r="AM446" s="25"/>
      <c r="AN446" s="25"/>
    </row>
    <row r="447" customFormat="false" ht="15.75" hidden="false" customHeight="true" outlineLevel="0" collapsed="false">
      <c r="A447" s="25"/>
      <c r="B447" s="25" t="str">
        <f aca="false">IF($C447="","",COUNTA($C$5:C447))</f>
        <v/>
      </c>
      <c r="C447" s="25"/>
      <c r="D447" s="25"/>
      <c r="E447" s="25"/>
      <c r="F447" s="25"/>
      <c r="G447" s="25"/>
      <c r="H447" s="25"/>
      <c r="I447" s="25"/>
      <c r="J447" s="25"/>
      <c r="K447" s="25"/>
      <c r="L447" s="25" t="str">
        <f aca="false">IF($C447="","",ROUND($J447*0.17,0))</f>
        <v/>
      </c>
      <c r="M447" s="25"/>
      <c r="N447" s="25"/>
      <c r="O447" s="25"/>
      <c r="P447" s="25"/>
      <c r="Q447" s="25"/>
      <c r="R447" s="25"/>
      <c r="S447" s="25" t="str">
        <f aca="false">IF($C447="","",ROUND($J447*2.2,0))</f>
        <v/>
      </c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  <c r="AF447" s="25"/>
      <c r="AG447" s="25"/>
      <c r="AH447" s="25"/>
      <c r="AI447" s="25"/>
      <c r="AJ447" s="25"/>
      <c r="AK447" s="25"/>
      <c r="AL447" s="25"/>
      <c r="AM447" s="25"/>
      <c r="AN447" s="25"/>
    </row>
    <row r="448" customFormat="false" ht="15.75" hidden="false" customHeight="true" outlineLevel="0" collapsed="false">
      <c r="A448" s="25"/>
      <c r="B448" s="25" t="str">
        <f aca="false">IF($C448="","",COUNTA($C$5:C448))</f>
        <v/>
      </c>
      <c r="C448" s="25"/>
      <c r="D448" s="25"/>
      <c r="E448" s="25"/>
      <c r="F448" s="25"/>
      <c r="G448" s="25"/>
      <c r="H448" s="25"/>
      <c r="I448" s="25"/>
      <c r="J448" s="25"/>
      <c r="K448" s="25"/>
      <c r="L448" s="25" t="str">
        <f aca="false">IF($C448="","",ROUND($J448*0.17,0))</f>
        <v/>
      </c>
      <c r="M448" s="25"/>
      <c r="N448" s="25"/>
      <c r="O448" s="25"/>
      <c r="P448" s="25"/>
      <c r="Q448" s="25"/>
      <c r="R448" s="25"/>
      <c r="S448" s="25" t="str">
        <f aca="false">IF($C448="","",ROUND($J448*2.2,0))</f>
        <v/>
      </c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  <c r="AF448" s="25"/>
      <c r="AG448" s="25"/>
      <c r="AH448" s="25"/>
      <c r="AI448" s="25"/>
      <c r="AJ448" s="25"/>
      <c r="AK448" s="25"/>
      <c r="AL448" s="25"/>
      <c r="AM448" s="25"/>
      <c r="AN448" s="25"/>
    </row>
    <row r="449" customFormat="false" ht="15.75" hidden="false" customHeight="true" outlineLevel="0" collapsed="false">
      <c r="A449" s="25"/>
      <c r="B449" s="25" t="str">
        <f aca="false">IF($C449="","",COUNTA($C$5:C449))</f>
        <v/>
      </c>
      <c r="C449" s="25"/>
      <c r="D449" s="25"/>
      <c r="E449" s="25"/>
      <c r="F449" s="25"/>
      <c r="G449" s="25"/>
      <c r="H449" s="25"/>
      <c r="I449" s="25"/>
      <c r="J449" s="25"/>
      <c r="K449" s="25"/>
      <c r="L449" s="25" t="str">
        <f aca="false">IF($C449="","",ROUND($J449*0.17,0))</f>
        <v/>
      </c>
      <c r="M449" s="25"/>
      <c r="N449" s="25"/>
      <c r="O449" s="25"/>
      <c r="P449" s="25"/>
      <c r="Q449" s="25"/>
      <c r="R449" s="25"/>
      <c r="S449" s="25" t="str">
        <f aca="false">IF($C449="","",ROUND($J449*2.2,0))</f>
        <v/>
      </c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  <c r="AF449" s="25"/>
      <c r="AG449" s="25"/>
      <c r="AH449" s="25"/>
      <c r="AI449" s="25"/>
      <c r="AJ449" s="25"/>
      <c r="AK449" s="25"/>
      <c r="AL449" s="25"/>
      <c r="AM449" s="25"/>
      <c r="AN449" s="25"/>
    </row>
    <row r="450" customFormat="false" ht="15.75" hidden="false" customHeight="true" outlineLevel="0" collapsed="false">
      <c r="A450" s="25"/>
      <c r="B450" s="25" t="str">
        <f aca="false">IF($C450="","",COUNTA($C$5:C450))</f>
        <v/>
      </c>
      <c r="C450" s="25"/>
      <c r="D450" s="25"/>
      <c r="E450" s="25"/>
      <c r="F450" s="25"/>
      <c r="G450" s="25"/>
      <c r="H450" s="25"/>
      <c r="I450" s="25"/>
      <c r="J450" s="25"/>
      <c r="K450" s="25"/>
      <c r="L450" s="25" t="str">
        <f aca="false">IF($C450="","",ROUND($J450*0.17,0))</f>
        <v/>
      </c>
      <c r="M450" s="25"/>
      <c r="N450" s="25"/>
      <c r="O450" s="25"/>
      <c r="P450" s="25"/>
      <c r="Q450" s="25"/>
      <c r="R450" s="25"/>
      <c r="S450" s="25" t="str">
        <f aca="false">IF($C450="","",ROUND($J450*2.2,0))</f>
        <v/>
      </c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  <c r="AF450" s="25"/>
      <c r="AG450" s="25"/>
      <c r="AH450" s="25"/>
      <c r="AI450" s="25"/>
      <c r="AJ450" s="25"/>
      <c r="AK450" s="25"/>
      <c r="AL450" s="25"/>
      <c r="AM450" s="25"/>
      <c r="AN450" s="25"/>
    </row>
    <row r="451" customFormat="false" ht="15.75" hidden="false" customHeight="true" outlineLevel="0" collapsed="false">
      <c r="A451" s="25"/>
      <c r="B451" s="25" t="str">
        <f aca="false">IF($C451="","",COUNTA($C$5:C451))</f>
        <v/>
      </c>
      <c r="C451" s="25"/>
      <c r="D451" s="25"/>
      <c r="E451" s="25"/>
      <c r="F451" s="25"/>
      <c r="G451" s="25"/>
      <c r="H451" s="25"/>
      <c r="I451" s="25"/>
      <c r="J451" s="25"/>
      <c r="K451" s="25"/>
      <c r="L451" s="25" t="str">
        <f aca="false">IF($C451="","",ROUND($J451*0.17,0))</f>
        <v/>
      </c>
      <c r="M451" s="25"/>
      <c r="N451" s="25"/>
      <c r="O451" s="25"/>
      <c r="P451" s="25"/>
      <c r="Q451" s="25"/>
      <c r="R451" s="25"/>
      <c r="S451" s="25" t="str">
        <f aca="false">IF($C451="","",ROUND($J451*2.2,0))</f>
        <v/>
      </c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  <c r="AF451" s="25"/>
      <c r="AG451" s="25"/>
      <c r="AH451" s="25"/>
      <c r="AI451" s="25"/>
      <c r="AJ451" s="25"/>
      <c r="AK451" s="25"/>
      <c r="AL451" s="25"/>
      <c r="AM451" s="25"/>
      <c r="AN451" s="25"/>
    </row>
    <row r="452" customFormat="false" ht="15.75" hidden="false" customHeight="true" outlineLevel="0" collapsed="false">
      <c r="A452" s="25"/>
      <c r="B452" s="25" t="str">
        <f aca="false">IF($C452="","",COUNTA($C$5:C452))</f>
        <v/>
      </c>
      <c r="C452" s="25"/>
      <c r="D452" s="25"/>
      <c r="E452" s="25"/>
      <c r="F452" s="25"/>
      <c r="G452" s="25"/>
      <c r="H452" s="25"/>
      <c r="I452" s="25"/>
      <c r="J452" s="25"/>
      <c r="K452" s="25"/>
      <c r="L452" s="25" t="str">
        <f aca="false">IF($C452="","",ROUND($J452*0.17,0))</f>
        <v/>
      </c>
      <c r="M452" s="25"/>
      <c r="N452" s="25"/>
      <c r="O452" s="25"/>
      <c r="P452" s="25"/>
      <c r="Q452" s="25"/>
      <c r="R452" s="25"/>
      <c r="S452" s="25" t="str">
        <f aca="false">IF($C452="","",ROUND($J452*2.2,0))</f>
        <v/>
      </c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  <c r="AF452" s="25"/>
      <c r="AG452" s="25"/>
      <c r="AH452" s="25"/>
      <c r="AI452" s="25"/>
      <c r="AJ452" s="25"/>
      <c r="AK452" s="25"/>
      <c r="AL452" s="25"/>
      <c r="AM452" s="25"/>
      <c r="AN452" s="25"/>
    </row>
    <row r="453" customFormat="false" ht="15.75" hidden="false" customHeight="true" outlineLevel="0" collapsed="false">
      <c r="A453" s="25"/>
      <c r="B453" s="25" t="str">
        <f aca="false">IF($C453="","",COUNTA($C$5:C453))</f>
        <v/>
      </c>
      <c r="C453" s="25"/>
      <c r="D453" s="25"/>
      <c r="E453" s="25"/>
      <c r="F453" s="25"/>
      <c r="G453" s="25"/>
      <c r="H453" s="25"/>
      <c r="I453" s="25"/>
      <c r="J453" s="25"/>
      <c r="K453" s="25"/>
      <c r="L453" s="25" t="str">
        <f aca="false">IF($C453="","",ROUND($J453*0.17,0))</f>
        <v/>
      </c>
      <c r="M453" s="25"/>
      <c r="N453" s="25"/>
      <c r="O453" s="25"/>
      <c r="P453" s="25"/>
      <c r="Q453" s="25"/>
      <c r="R453" s="25"/>
      <c r="S453" s="25" t="str">
        <f aca="false">IF($C453="","",ROUND($J453*2.2,0))</f>
        <v/>
      </c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  <c r="AF453" s="25"/>
      <c r="AG453" s="25"/>
      <c r="AH453" s="25"/>
      <c r="AI453" s="25"/>
      <c r="AJ453" s="25"/>
      <c r="AK453" s="25"/>
      <c r="AL453" s="25"/>
      <c r="AM453" s="25"/>
      <c r="AN453" s="25"/>
    </row>
    <row r="454" customFormat="false" ht="15.75" hidden="false" customHeight="true" outlineLevel="0" collapsed="false">
      <c r="A454" s="25"/>
      <c r="B454" s="25" t="str">
        <f aca="false">IF($C454="","",COUNTA($C$5:C454))</f>
        <v/>
      </c>
      <c r="C454" s="25"/>
      <c r="D454" s="25"/>
      <c r="E454" s="25"/>
      <c r="F454" s="25"/>
      <c r="G454" s="25"/>
      <c r="H454" s="25"/>
      <c r="I454" s="25"/>
      <c r="J454" s="25"/>
      <c r="K454" s="25"/>
      <c r="L454" s="25" t="str">
        <f aca="false">IF($C454="","",ROUND($J454*0.17,0))</f>
        <v/>
      </c>
      <c r="M454" s="25"/>
      <c r="N454" s="25"/>
      <c r="O454" s="25"/>
      <c r="P454" s="25"/>
      <c r="Q454" s="25"/>
      <c r="R454" s="25"/>
      <c r="S454" s="25" t="str">
        <f aca="false">IF($C454="","",ROUND($J454*2.2,0))</f>
        <v/>
      </c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  <c r="AF454" s="25"/>
      <c r="AG454" s="25"/>
      <c r="AH454" s="25"/>
      <c r="AI454" s="25"/>
      <c r="AJ454" s="25"/>
      <c r="AK454" s="25"/>
      <c r="AL454" s="25"/>
      <c r="AM454" s="25"/>
      <c r="AN454" s="25"/>
    </row>
    <row r="455" customFormat="false" ht="15.75" hidden="false" customHeight="true" outlineLevel="0" collapsed="false">
      <c r="A455" s="25"/>
      <c r="B455" s="25" t="str">
        <f aca="false">IF($C455="","",COUNTA($C$5:C455))</f>
        <v/>
      </c>
      <c r="C455" s="25"/>
      <c r="D455" s="25"/>
      <c r="E455" s="25"/>
      <c r="F455" s="25"/>
      <c r="G455" s="25"/>
      <c r="H455" s="25"/>
      <c r="I455" s="25"/>
      <c r="J455" s="25"/>
      <c r="K455" s="25"/>
      <c r="L455" s="25" t="str">
        <f aca="false">IF($C455="","",ROUND($J455*0.17,0))</f>
        <v/>
      </c>
      <c r="M455" s="25"/>
      <c r="N455" s="25"/>
      <c r="O455" s="25"/>
      <c r="P455" s="25"/>
      <c r="Q455" s="25"/>
      <c r="R455" s="25"/>
      <c r="S455" s="25" t="str">
        <f aca="false">IF($C455="","",ROUND($J455*2.2,0))</f>
        <v/>
      </c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  <c r="AF455" s="25"/>
      <c r="AG455" s="25"/>
      <c r="AH455" s="25"/>
      <c r="AI455" s="25"/>
      <c r="AJ455" s="25"/>
      <c r="AK455" s="25"/>
      <c r="AL455" s="25"/>
      <c r="AM455" s="25"/>
      <c r="AN455" s="25"/>
    </row>
    <row r="456" customFormat="false" ht="15.75" hidden="false" customHeight="true" outlineLevel="0" collapsed="false">
      <c r="A456" s="25"/>
      <c r="B456" s="25" t="str">
        <f aca="false">IF($C456="","",COUNTA($C$5:C456))</f>
        <v/>
      </c>
      <c r="C456" s="25"/>
      <c r="D456" s="25"/>
      <c r="E456" s="25"/>
      <c r="F456" s="25"/>
      <c r="G456" s="25"/>
      <c r="H456" s="25"/>
      <c r="I456" s="25"/>
      <c r="J456" s="25"/>
      <c r="K456" s="25"/>
      <c r="L456" s="25" t="str">
        <f aca="false">IF($C456="","",ROUND($J456*0.17,0))</f>
        <v/>
      </c>
      <c r="M456" s="25"/>
      <c r="N456" s="25"/>
      <c r="O456" s="25"/>
      <c r="P456" s="25"/>
      <c r="Q456" s="25"/>
      <c r="R456" s="25"/>
      <c r="S456" s="25" t="str">
        <f aca="false">IF($C456="","",ROUND($J456*2.2,0))</f>
        <v/>
      </c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  <c r="AF456" s="25"/>
      <c r="AG456" s="25"/>
      <c r="AH456" s="25"/>
      <c r="AI456" s="25"/>
      <c r="AJ456" s="25"/>
      <c r="AK456" s="25"/>
      <c r="AL456" s="25"/>
      <c r="AM456" s="25"/>
      <c r="AN456" s="25"/>
    </row>
    <row r="457" customFormat="false" ht="15.75" hidden="false" customHeight="true" outlineLevel="0" collapsed="false">
      <c r="A457" s="25"/>
      <c r="B457" s="25" t="str">
        <f aca="false">IF($C457="","",COUNTA($C$5:C457))</f>
        <v/>
      </c>
      <c r="C457" s="25"/>
      <c r="D457" s="25"/>
      <c r="E457" s="25"/>
      <c r="F457" s="25"/>
      <c r="G457" s="25"/>
      <c r="H457" s="25"/>
      <c r="I457" s="25"/>
      <c r="J457" s="25"/>
      <c r="K457" s="25"/>
      <c r="L457" s="25" t="str">
        <f aca="false">IF($C457="","",ROUND($J457*0.17,0))</f>
        <v/>
      </c>
      <c r="M457" s="25"/>
      <c r="N457" s="25"/>
      <c r="O457" s="25"/>
      <c r="P457" s="25"/>
      <c r="Q457" s="25"/>
      <c r="R457" s="25"/>
      <c r="S457" s="25" t="str">
        <f aca="false">IF($C457="","",ROUND($J457*2.2,0))</f>
        <v/>
      </c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  <c r="AF457" s="25"/>
      <c r="AG457" s="25"/>
      <c r="AH457" s="25"/>
      <c r="AI457" s="25"/>
      <c r="AJ457" s="25"/>
      <c r="AK457" s="25"/>
      <c r="AL457" s="25"/>
      <c r="AM457" s="25"/>
      <c r="AN457" s="25"/>
    </row>
    <row r="458" customFormat="false" ht="15.75" hidden="false" customHeight="true" outlineLevel="0" collapsed="false">
      <c r="A458" s="25"/>
      <c r="B458" s="25" t="str">
        <f aca="false">IF($C458="","",COUNTA($C$5:C458))</f>
        <v/>
      </c>
      <c r="C458" s="25"/>
      <c r="D458" s="25"/>
      <c r="E458" s="25"/>
      <c r="F458" s="25"/>
      <c r="G458" s="25"/>
      <c r="H458" s="25"/>
      <c r="I458" s="25"/>
      <c r="J458" s="25"/>
      <c r="K458" s="25"/>
      <c r="L458" s="25" t="str">
        <f aca="false">IF($C458="","",ROUND($J458*0.17,0))</f>
        <v/>
      </c>
      <c r="M458" s="25"/>
      <c r="N458" s="25"/>
      <c r="O458" s="25"/>
      <c r="P458" s="25"/>
      <c r="Q458" s="25"/>
      <c r="R458" s="25"/>
      <c r="S458" s="25" t="str">
        <f aca="false">IF($C458="","",ROUND($J458*2.2,0))</f>
        <v/>
      </c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  <c r="AF458" s="25"/>
      <c r="AG458" s="25"/>
      <c r="AH458" s="25"/>
      <c r="AI458" s="25"/>
      <c r="AJ458" s="25"/>
      <c r="AK458" s="25"/>
      <c r="AL458" s="25"/>
      <c r="AM458" s="25"/>
      <c r="AN458" s="25"/>
    </row>
    <row r="459" customFormat="false" ht="15.75" hidden="false" customHeight="true" outlineLevel="0" collapsed="false">
      <c r="A459" s="25"/>
      <c r="B459" s="25" t="str">
        <f aca="false">IF($C459="","",COUNTA($C$5:C459))</f>
        <v/>
      </c>
      <c r="C459" s="25"/>
      <c r="D459" s="25"/>
      <c r="E459" s="25"/>
      <c r="F459" s="25"/>
      <c r="G459" s="25"/>
      <c r="H459" s="25"/>
      <c r="I459" s="25"/>
      <c r="J459" s="25"/>
      <c r="K459" s="25"/>
      <c r="L459" s="25" t="str">
        <f aca="false">IF($C459="","",ROUND($J459*0.17,0))</f>
        <v/>
      </c>
      <c r="M459" s="25"/>
      <c r="N459" s="25"/>
      <c r="O459" s="25"/>
      <c r="P459" s="25"/>
      <c r="Q459" s="25"/>
      <c r="R459" s="25"/>
      <c r="S459" s="25" t="str">
        <f aca="false">IF($C459="","",ROUND($J459*2.2,0))</f>
        <v/>
      </c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  <c r="AF459" s="25"/>
      <c r="AG459" s="25"/>
      <c r="AH459" s="25"/>
      <c r="AI459" s="25"/>
      <c r="AJ459" s="25"/>
      <c r="AK459" s="25"/>
      <c r="AL459" s="25"/>
      <c r="AM459" s="25"/>
      <c r="AN459" s="25"/>
    </row>
    <row r="460" customFormat="false" ht="15.75" hidden="false" customHeight="true" outlineLevel="0" collapsed="false">
      <c r="A460" s="25"/>
      <c r="B460" s="25" t="str">
        <f aca="false">IF($C460="","",COUNTA($C$5:C460))</f>
        <v/>
      </c>
      <c r="C460" s="25"/>
      <c r="D460" s="25"/>
      <c r="E460" s="25"/>
      <c r="F460" s="25"/>
      <c r="G460" s="25"/>
      <c r="H460" s="25"/>
      <c r="I460" s="25"/>
      <c r="J460" s="25"/>
      <c r="K460" s="25"/>
      <c r="L460" s="25" t="str">
        <f aca="false">IF($C460="","",ROUND($J460*0.17,0))</f>
        <v/>
      </c>
      <c r="M460" s="25"/>
      <c r="N460" s="25"/>
      <c r="O460" s="25"/>
      <c r="P460" s="25"/>
      <c r="Q460" s="25"/>
      <c r="R460" s="25"/>
      <c r="S460" s="25" t="str">
        <f aca="false">IF($C460="","",ROUND($J460*2.2,0))</f>
        <v/>
      </c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  <c r="AF460" s="25"/>
      <c r="AG460" s="25"/>
      <c r="AH460" s="25"/>
      <c r="AI460" s="25"/>
      <c r="AJ460" s="25"/>
      <c r="AK460" s="25"/>
      <c r="AL460" s="25"/>
      <c r="AM460" s="25"/>
      <c r="AN460" s="25"/>
    </row>
    <row r="461" customFormat="false" ht="15.75" hidden="false" customHeight="true" outlineLevel="0" collapsed="false">
      <c r="A461" s="25"/>
      <c r="B461" s="25" t="str">
        <f aca="false">IF($C461="","",COUNTA($C$5:C461))</f>
        <v/>
      </c>
      <c r="C461" s="25"/>
      <c r="D461" s="25"/>
      <c r="E461" s="25"/>
      <c r="F461" s="25"/>
      <c r="G461" s="25"/>
      <c r="H461" s="25"/>
      <c r="I461" s="25"/>
      <c r="J461" s="25"/>
      <c r="K461" s="25"/>
      <c r="L461" s="25" t="str">
        <f aca="false">IF($C461="","",ROUND($J461*0.17,0))</f>
        <v/>
      </c>
      <c r="M461" s="25"/>
      <c r="N461" s="25"/>
      <c r="O461" s="25"/>
      <c r="P461" s="25"/>
      <c r="Q461" s="25"/>
      <c r="R461" s="25"/>
      <c r="S461" s="25" t="str">
        <f aca="false">IF($C461="","",ROUND($J461*2.2,0))</f>
        <v/>
      </c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  <c r="AF461" s="25"/>
      <c r="AG461" s="25"/>
      <c r="AH461" s="25"/>
      <c r="AI461" s="25"/>
      <c r="AJ461" s="25"/>
      <c r="AK461" s="25"/>
      <c r="AL461" s="25"/>
      <c r="AM461" s="25"/>
      <c r="AN461" s="25"/>
    </row>
    <row r="462" customFormat="false" ht="15.75" hidden="false" customHeight="true" outlineLevel="0" collapsed="false">
      <c r="A462" s="25"/>
      <c r="B462" s="25" t="str">
        <f aca="false">IF($C462="","",COUNTA($C$5:C462))</f>
        <v/>
      </c>
      <c r="C462" s="25"/>
      <c r="D462" s="25"/>
      <c r="E462" s="25"/>
      <c r="F462" s="25"/>
      <c r="G462" s="25"/>
      <c r="H462" s="25"/>
      <c r="I462" s="25"/>
      <c r="J462" s="25"/>
      <c r="K462" s="25"/>
      <c r="L462" s="25" t="str">
        <f aca="false">IF($C462="","",ROUND($J462*0.17,0))</f>
        <v/>
      </c>
      <c r="M462" s="25"/>
      <c r="N462" s="25"/>
      <c r="O462" s="25"/>
      <c r="P462" s="25"/>
      <c r="Q462" s="25"/>
      <c r="R462" s="25"/>
      <c r="S462" s="25" t="str">
        <f aca="false">IF($C462="","",ROUND($J462*2.2,0))</f>
        <v/>
      </c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  <c r="AF462" s="25"/>
      <c r="AG462" s="25"/>
      <c r="AH462" s="25"/>
      <c r="AI462" s="25"/>
      <c r="AJ462" s="25"/>
      <c r="AK462" s="25"/>
      <c r="AL462" s="25"/>
      <c r="AM462" s="25"/>
      <c r="AN462" s="25"/>
    </row>
    <row r="463" customFormat="false" ht="15.75" hidden="false" customHeight="true" outlineLevel="0" collapsed="false">
      <c r="A463" s="25"/>
      <c r="B463" s="25" t="str">
        <f aca="false">IF($C463="","",COUNTA($C$5:C463))</f>
        <v/>
      </c>
      <c r="C463" s="25"/>
      <c r="D463" s="25"/>
      <c r="E463" s="25"/>
      <c r="F463" s="25"/>
      <c r="G463" s="25"/>
      <c r="H463" s="25"/>
      <c r="I463" s="25"/>
      <c r="J463" s="25"/>
      <c r="K463" s="25"/>
      <c r="L463" s="25" t="str">
        <f aca="false">IF($C463="","",ROUND($J463*0.17,0))</f>
        <v/>
      </c>
      <c r="M463" s="25"/>
      <c r="N463" s="25"/>
      <c r="O463" s="25"/>
      <c r="P463" s="25"/>
      <c r="Q463" s="25"/>
      <c r="R463" s="25"/>
      <c r="S463" s="25" t="str">
        <f aca="false">IF($C463="","",ROUND($J463*2.2,0))</f>
        <v/>
      </c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  <c r="AF463" s="25"/>
      <c r="AG463" s="25"/>
      <c r="AH463" s="25"/>
      <c r="AI463" s="25"/>
      <c r="AJ463" s="25"/>
      <c r="AK463" s="25"/>
      <c r="AL463" s="25"/>
      <c r="AM463" s="25"/>
      <c r="AN463" s="25"/>
    </row>
    <row r="464" customFormat="false" ht="15.75" hidden="false" customHeight="true" outlineLevel="0" collapsed="false">
      <c r="A464" s="25"/>
      <c r="B464" s="25" t="str">
        <f aca="false">IF($C464="","",COUNTA($C$5:C464))</f>
        <v/>
      </c>
      <c r="C464" s="25"/>
      <c r="D464" s="25"/>
      <c r="E464" s="25"/>
      <c r="F464" s="25"/>
      <c r="G464" s="25"/>
      <c r="H464" s="25"/>
      <c r="I464" s="25"/>
      <c r="J464" s="25"/>
      <c r="K464" s="25"/>
      <c r="L464" s="25" t="str">
        <f aca="false">IF($C464="","",ROUND($J464*0.17,0))</f>
        <v/>
      </c>
      <c r="M464" s="25"/>
      <c r="N464" s="25"/>
      <c r="O464" s="25"/>
      <c r="P464" s="25"/>
      <c r="Q464" s="25"/>
      <c r="R464" s="25"/>
      <c r="S464" s="25" t="str">
        <f aca="false">IF($C464="","",ROUND($J464*2.2,0))</f>
        <v/>
      </c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  <c r="AF464" s="25"/>
      <c r="AG464" s="25"/>
      <c r="AH464" s="25"/>
      <c r="AI464" s="25"/>
      <c r="AJ464" s="25"/>
      <c r="AK464" s="25"/>
      <c r="AL464" s="25"/>
      <c r="AM464" s="25"/>
      <c r="AN464" s="25"/>
    </row>
    <row r="465" customFormat="false" ht="15.75" hidden="false" customHeight="true" outlineLevel="0" collapsed="false">
      <c r="A465" s="25"/>
      <c r="B465" s="25" t="str">
        <f aca="false">IF($C465="","",COUNTA($C$5:C465))</f>
        <v/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 t="str">
        <f aca="false">IF($C465="","",ROUND($J465*0.17,0))</f>
        <v/>
      </c>
      <c r="M465" s="25"/>
      <c r="N465" s="25"/>
      <c r="O465" s="25"/>
      <c r="P465" s="25"/>
      <c r="Q465" s="25"/>
      <c r="R465" s="25"/>
      <c r="S465" s="25" t="str">
        <f aca="false">IF($C465="","",ROUND($J465*2.2,0))</f>
        <v/>
      </c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  <c r="AF465" s="25"/>
      <c r="AG465" s="25"/>
      <c r="AH465" s="25"/>
      <c r="AI465" s="25"/>
      <c r="AJ465" s="25"/>
      <c r="AK465" s="25"/>
      <c r="AL465" s="25"/>
      <c r="AM465" s="25"/>
      <c r="AN465" s="25"/>
    </row>
    <row r="466" customFormat="false" ht="15.75" hidden="false" customHeight="true" outlineLevel="0" collapsed="false">
      <c r="A466" s="25"/>
      <c r="B466" s="25" t="str">
        <f aca="false">IF($C466="","",COUNTA($C$5:C466))</f>
        <v/>
      </c>
      <c r="C466" s="25"/>
      <c r="D466" s="25"/>
      <c r="E466" s="25"/>
      <c r="F466" s="25"/>
      <c r="G466" s="25"/>
      <c r="H466" s="25"/>
      <c r="I466" s="25"/>
      <c r="J466" s="25"/>
      <c r="K466" s="25"/>
      <c r="L466" s="25" t="str">
        <f aca="false">IF($C466="","",ROUND($J466*0.17,0))</f>
        <v/>
      </c>
      <c r="M466" s="25"/>
      <c r="N466" s="25"/>
      <c r="O466" s="25"/>
      <c r="P466" s="25"/>
      <c r="Q466" s="25"/>
      <c r="R466" s="25"/>
      <c r="S466" s="25" t="str">
        <f aca="false">IF($C466="","",ROUND($J466*2.2,0))</f>
        <v/>
      </c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  <c r="AF466" s="25"/>
      <c r="AG466" s="25"/>
      <c r="AH466" s="25"/>
      <c r="AI466" s="25"/>
      <c r="AJ466" s="25"/>
      <c r="AK466" s="25"/>
      <c r="AL466" s="25"/>
      <c r="AM466" s="25"/>
      <c r="AN466" s="25"/>
    </row>
    <row r="467" customFormat="false" ht="15.75" hidden="false" customHeight="true" outlineLevel="0" collapsed="false">
      <c r="A467" s="25"/>
      <c r="B467" s="25" t="str">
        <f aca="false">IF($C467="","",COUNTA($C$5:C467))</f>
        <v/>
      </c>
      <c r="C467" s="25"/>
      <c r="D467" s="25"/>
      <c r="E467" s="25"/>
      <c r="F467" s="25"/>
      <c r="G467" s="25"/>
      <c r="H467" s="25"/>
      <c r="I467" s="25"/>
      <c r="J467" s="25"/>
      <c r="K467" s="25"/>
      <c r="L467" s="25" t="str">
        <f aca="false">IF($C467="","",ROUND($J467*0.17,0))</f>
        <v/>
      </c>
      <c r="M467" s="25"/>
      <c r="N467" s="25"/>
      <c r="O467" s="25"/>
      <c r="P467" s="25"/>
      <c r="Q467" s="25"/>
      <c r="R467" s="25"/>
      <c r="S467" s="25" t="str">
        <f aca="false">IF($C467="","",ROUND($J467*2.2,0))</f>
        <v/>
      </c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  <c r="AF467" s="25"/>
      <c r="AG467" s="25"/>
      <c r="AH467" s="25"/>
      <c r="AI467" s="25"/>
      <c r="AJ467" s="25"/>
      <c r="AK467" s="25"/>
      <c r="AL467" s="25"/>
      <c r="AM467" s="25"/>
      <c r="AN467" s="25"/>
    </row>
    <row r="468" customFormat="false" ht="15.75" hidden="false" customHeight="true" outlineLevel="0" collapsed="false">
      <c r="A468" s="25"/>
      <c r="B468" s="25" t="str">
        <f aca="false">IF($C468="","",COUNTA($C$5:C468))</f>
        <v/>
      </c>
      <c r="C468" s="25"/>
      <c r="D468" s="25"/>
      <c r="E468" s="25"/>
      <c r="F468" s="25"/>
      <c r="G468" s="25"/>
      <c r="H468" s="25"/>
      <c r="I468" s="25"/>
      <c r="J468" s="25"/>
      <c r="K468" s="25"/>
      <c r="L468" s="25" t="str">
        <f aca="false">IF($C468="","",ROUND($J468*0.17,0))</f>
        <v/>
      </c>
      <c r="M468" s="25"/>
      <c r="N468" s="25"/>
      <c r="O468" s="25"/>
      <c r="P468" s="25"/>
      <c r="Q468" s="25"/>
      <c r="R468" s="25"/>
      <c r="S468" s="25" t="str">
        <f aca="false">IF($C468="","",ROUND($J468*2.2,0))</f>
        <v/>
      </c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  <c r="AF468" s="25"/>
      <c r="AG468" s="25"/>
      <c r="AH468" s="25"/>
      <c r="AI468" s="25"/>
      <c r="AJ468" s="25"/>
      <c r="AK468" s="25"/>
      <c r="AL468" s="25"/>
      <c r="AM468" s="25"/>
      <c r="AN468" s="25"/>
    </row>
    <row r="469" customFormat="false" ht="15.75" hidden="false" customHeight="true" outlineLevel="0" collapsed="false">
      <c r="A469" s="25"/>
      <c r="B469" s="25" t="str">
        <f aca="false">IF($C469="","",COUNTA($C$5:C469))</f>
        <v/>
      </c>
      <c r="C469" s="25"/>
      <c r="D469" s="25"/>
      <c r="E469" s="25"/>
      <c r="F469" s="25"/>
      <c r="G469" s="25"/>
      <c r="H469" s="25"/>
      <c r="I469" s="25"/>
      <c r="J469" s="25"/>
      <c r="K469" s="25"/>
      <c r="L469" s="25" t="str">
        <f aca="false">IF($C469="","",ROUND($J469*0.17,0))</f>
        <v/>
      </c>
      <c r="M469" s="25"/>
      <c r="N469" s="25"/>
      <c r="O469" s="25"/>
      <c r="P469" s="25"/>
      <c r="Q469" s="25"/>
      <c r="R469" s="25"/>
      <c r="S469" s="25" t="str">
        <f aca="false">IF($C469="","",ROUND($J469*2.2,0))</f>
        <v/>
      </c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  <c r="AF469" s="25"/>
      <c r="AG469" s="25"/>
      <c r="AH469" s="25"/>
      <c r="AI469" s="25"/>
      <c r="AJ469" s="25"/>
      <c r="AK469" s="25"/>
      <c r="AL469" s="25"/>
      <c r="AM469" s="25"/>
      <c r="AN469" s="25"/>
    </row>
    <row r="470" customFormat="false" ht="15.75" hidden="false" customHeight="true" outlineLevel="0" collapsed="false">
      <c r="A470" s="25"/>
      <c r="B470" s="25" t="str">
        <f aca="false">IF($C470="","",COUNTA($C$5:C470))</f>
        <v/>
      </c>
      <c r="C470" s="25"/>
      <c r="D470" s="25"/>
      <c r="E470" s="25"/>
      <c r="F470" s="25"/>
      <c r="G470" s="25"/>
      <c r="H470" s="25"/>
      <c r="I470" s="25"/>
      <c r="J470" s="25"/>
      <c r="K470" s="25"/>
      <c r="L470" s="25" t="str">
        <f aca="false">IF($C470="","",ROUND($J470*0.17,0))</f>
        <v/>
      </c>
      <c r="M470" s="25"/>
      <c r="N470" s="25"/>
      <c r="O470" s="25"/>
      <c r="P470" s="25"/>
      <c r="Q470" s="25"/>
      <c r="R470" s="25"/>
      <c r="S470" s="25" t="str">
        <f aca="false">IF($C470="","",ROUND($J470*2.2,0))</f>
        <v/>
      </c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  <c r="AF470" s="25"/>
      <c r="AG470" s="25"/>
      <c r="AH470" s="25"/>
      <c r="AI470" s="25"/>
      <c r="AJ470" s="25"/>
      <c r="AK470" s="25"/>
      <c r="AL470" s="25"/>
      <c r="AM470" s="25"/>
      <c r="AN470" s="25"/>
    </row>
    <row r="471" customFormat="false" ht="15.75" hidden="false" customHeight="true" outlineLevel="0" collapsed="false">
      <c r="A471" s="25"/>
      <c r="B471" s="25" t="str">
        <f aca="false">IF($C471="","",COUNTA($C$5:C471))</f>
        <v/>
      </c>
      <c r="C471" s="25"/>
      <c r="D471" s="25"/>
      <c r="E471" s="25"/>
      <c r="F471" s="25"/>
      <c r="G471" s="25"/>
      <c r="H471" s="25"/>
      <c r="I471" s="25"/>
      <c r="J471" s="25"/>
      <c r="K471" s="25"/>
      <c r="L471" s="25" t="str">
        <f aca="false">IF($C471="","",ROUND($J471*0.17,0))</f>
        <v/>
      </c>
      <c r="M471" s="25"/>
      <c r="N471" s="25"/>
      <c r="O471" s="25"/>
      <c r="P471" s="25"/>
      <c r="Q471" s="25"/>
      <c r="R471" s="25"/>
      <c r="S471" s="25" t="str">
        <f aca="false">IF($C471="","",ROUND($J471*2.2,0))</f>
        <v/>
      </c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  <c r="AF471" s="25"/>
      <c r="AG471" s="25"/>
      <c r="AH471" s="25"/>
      <c r="AI471" s="25"/>
      <c r="AJ471" s="25"/>
      <c r="AK471" s="25"/>
      <c r="AL471" s="25"/>
      <c r="AM471" s="25"/>
      <c r="AN471" s="25"/>
    </row>
    <row r="472" customFormat="false" ht="15.75" hidden="false" customHeight="true" outlineLevel="0" collapsed="false">
      <c r="A472" s="25"/>
      <c r="B472" s="25" t="str">
        <f aca="false">IF($C472="","",COUNTA($C$5:C472))</f>
        <v/>
      </c>
      <c r="C472" s="25"/>
      <c r="D472" s="25"/>
      <c r="E472" s="25"/>
      <c r="F472" s="25"/>
      <c r="G472" s="25"/>
      <c r="H472" s="25"/>
      <c r="I472" s="25"/>
      <c r="J472" s="25"/>
      <c r="K472" s="25"/>
      <c r="L472" s="25" t="str">
        <f aca="false">IF($C472="","",ROUND($J472*0.17,0))</f>
        <v/>
      </c>
      <c r="M472" s="25"/>
      <c r="N472" s="25"/>
      <c r="O472" s="25"/>
      <c r="P472" s="25"/>
      <c r="Q472" s="25"/>
      <c r="R472" s="25"/>
      <c r="S472" s="25" t="str">
        <f aca="false">IF($C472="","",ROUND($J472*2.2,0))</f>
        <v/>
      </c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  <c r="AF472" s="25"/>
      <c r="AG472" s="25"/>
      <c r="AH472" s="25"/>
      <c r="AI472" s="25"/>
      <c r="AJ472" s="25"/>
      <c r="AK472" s="25"/>
      <c r="AL472" s="25"/>
      <c r="AM472" s="25"/>
      <c r="AN472" s="25"/>
    </row>
    <row r="473" customFormat="false" ht="15.75" hidden="false" customHeight="true" outlineLevel="0" collapsed="false">
      <c r="A473" s="25"/>
      <c r="B473" s="25" t="str">
        <f aca="false">IF($C473="","",COUNTA($C$5:C473))</f>
        <v/>
      </c>
      <c r="C473" s="25"/>
      <c r="D473" s="25"/>
      <c r="E473" s="25"/>
      <c r="F473" s="25"/>
      <c r="G473" s="25"/>
      <c r="H473" s="25"/>
      <c r="I473" s="25"/>
      <c r="J473" s="25"/>
      <c r="K473" s="25"/>
      <c r="L473" s="25" t="str">
        <f aca="false">IF($C473="","",ROUND($J473*0.17,0))</f>
        <v/>
      </c>
      <c r="M473" s="25"/>
      <c r="N473" s="25"/>
      <c r="O473" s="25"/>
      <c r="P473" s="25"/>
      <c r="Q473" s="25"/>
      <c r="R473" s="25"/>
      <c r="S473" s="25" t="str">
        <f aca="false">IF($C473="","",ROUND($J473*2.2,0))</f>
        <v/>
      </c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  <c r="AF473" s="25"/>
      <c r="AG473" s="25"/>
      <c r="AH473" s="25"/>
      <c r="AI473" s="25"/>
      <c r="AJ473" s="25"/>
      <c r="AK473" s="25"/>
      <c r="AL473" s="25"/>
      <c r="AM473" s="25"/>
      <c r="AN473" s="25"/>
    </row>
    <row r="474" customFormat="false" ht="15.75" hidden="false" customHeight="true" outlineLevel="0" collapsed="false">
      <c r="A474" s="25"/>
      <c r="B474" s="25" t="str">
        <f aca="false">IF($C474="","",COUNTA($C$5:C474))</f>
        <v/>
      </c>
      <c r="C474" s="25"/>
      <c r="D474" s="25"/>
      <c r="E474" s="25"/>
      <c r="F474" s="25"/>
      <c r="G474" s="25"/>
      <c r="H474" s="25"/>
      <c r="I474" s="25"/>
      <c r="J474" s="25"/>
      <c r="K474" s="25"/>
      <c r="L474" s="25" t="str">
        <f aca="false">IF($C474="","",ROUND($J474*0.17,0))</f>
        <v/>
      </c>
      <c r="M474" s="25"/>
      <c r="N474" s="25"/>
      <c r="O474" s="25"/>
      <c r="P474" s="25"/>
      <c r="Q474" s="25"/>
      <c r="R474" s="25"/>
      <c r="S474" s="25" t="str">
        <f aca="false">IF($C474="","",ROUND($J474*2.2,0))</f>
        <v/>
      </c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  <c r="AF474" s="25"/>
      <c r="AG474" s="25"/>
      <c r="AH474" s="25"/>
      <c r="AI474" s="25"/>
      <c r="AJ474" s="25"/>
      <c r="AK474" s="25"/>
      <c r="AL474" s="25"/>
      <c r="AM474" s="25"/>
      <c r="AN474" s="25"/>
    </row>
    <row r="475" customFormat="false" ht="15.75" hidden="false" customHeight="true" outlineLevel="0" collapsed="false">
      <c r="A475" s="25"/>
      <c r="B475" s="25" t="str">
        <f aca="false">IF($C475="","",COUNTA($C$5:C475))</f>
        <v/>
      </c>
      <c r="C475" s="25"/>
      <c r="D475" s="25"/>
      <c r="E475" s="25"/>
      <c r="F475" s="25"/>
      <c r="G475" s="25"/>
      <c r="H475" s="25"/>
      <c r="I475" s="25"/>
      <c r="J475" s="25"/>
      <c r="K475" s="25"/>
      <c r="L475" s="25" t="str">
        <f aca="false">IF($C475="","",ROUND($J475*0.17,0))</f>
        <v/>
      </c>
      <c r="M475" s="25"/>
      <c r="N475" s="25"/>
      <c r="O475" s="25"/>
      <c r="P475" s="25"/>
      <c r="Q475" s="25"/>
      <c r="R475" s="25"/>
      <c r="S475" s="25" t="str">
        <f aca="false">IF($C475="","",ROUND($J475*2.2,0))</f>
        <v/>
      </c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  <c r="AF475" s="25"/>
      <c r="AG475" s="25"/>
      <c r="AH475" s="25"/>
      <c r="AI475" s="25"/>
      <c r="AJ475" s="25"/>
      <c r="AK475" s="25"/>
      <c r="AL475" s="25"/>
      <c r="AM475" s="25"/>
      <c r="AN475" s="25"/>
    </row>
    <row r="476" customFormat="false" ht="15.75" hidden="false" customHeight="true" outlineLevel="0" collapsed="false">
      <c r="A476" s="25"/>
      <c r="B476" s="25" t="str">
        <f aca="false">IF($C476="","",COUNTA($C$5:C476))</f>
        <v/>
      </c>
      <c r="C476" s="25"/>
      <c r="D476" s="25"/>
      <c r="E476" s="25"/>
      <c r="F476" s="25"/>
      <c r="G476" s="25"/>
      <c r="H476" s="25"/>
      <c r="I476" s="25"/>
      <c r="J476" s="25"/>
      <c r="K476" s="25"/>
      <c r="L476" s="25" t="str">
        <f aca="false">IF($C476="","",ROUND($J476*0.17,0))</f>
        <v/>
      </c>
      <c r="M476" s="25"/>
      <c r="N476" s="25"/>
      <c r="O476" s="25"/>
      <c r="P476" s="25"/>
      <c r="Q476" s="25"/>
      <c r="R476" s="25"/>
      <c r="S476" s="25" t="str">
        <f aca="false">IF($C476="","",ROUND($J476*2.2,0))</f>
        <v/>
      </c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  <c r="AF476" s="25"/>
      <c r="AG476" s="25"/>
      <c r="AH476" s="25"/>
      <c r="AI476" s="25"/>
      <c r="AJ476" s="25"/>
      <c r="AK476" s="25"/>
      <c r="AL476" s="25"/>
      <c r="AM476" s="25"/>
      <c r="AN476" s="25"/>
    </row>
    <row r="477" customFormat="false" ht="15.75" hidden="false" customHeight="true" outlineLevel="0" collapsed="false">
      <c r="A477" s="25"/>
      <c r="B477" s="25" t="str">
        <f aca="false">IF($C477="","",COUNTA($C$5:C477))</f>
        <v/>
      </c>
      <c r="C477" s="25"/>
      <c r="D477" s="25"/>
      <c r="E477" s="25"/>
      <c r="F477" s="25"/>
      <c r="G477" s="25"/>
      <c r="H477" s="25"/>
      <c r="I477" s="25"/>
      <c r="J477" s="25"/>
      <c r="K477" s="25"/>
      <c r="L477" s="25" t="str">
        <f aca="false">IF($C477="","",ROUND($J477*0.17,0))</f>
        <v/>
      </c>
      <c r="M477" s="25"/>
      <c r="N477" s="25"/>
      <c r="O477" s="25"/>
      <c r="P477" s="25"/>
      <c r="Q477" s="25"/>
      <c r="R477" s="25"/>
      <c r="S477" s="25" t="str">
        <f aca="false">IF($C477="","",ROUND($J477*2.2,0))</f>
        <v/>
      </c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  <c r="AF477" s="25"/>
      <c r="AG477" s="25"/>
      <c r="AH477" s="25"/>
      <c r="AI477" s="25"/>
      <c r="AJ477" s="25"/>
      <c r="AK477" s="25"/>
      <c r="AL477" s="25"/>
      <c r="AM477" s="25"/>
      <c r="AN477" s="25"/>
    </row>
    <row r="478" customFormat="false" ht="15.75" hidden="false" customHeight="true" outlineLevel="0" collapsed="false">
      <c r="A478" s="25"/>
      <c r="B478" s="25" t="str">
        <f aca="false">IF($C478="","",COUNTA($C$5:C478))</f>
        <v/>
      </c>
      <c r="C478" s="25"/>
      <c r="D478" s="25"/>
      <c r="E478" s="25"/>
      <c r="F478" s="25"/>
      <c r="G478" s="25"/>
      <c r="H478" s="25"/>
      <c r="I478" s="25"/>
      <c r="J478" s="25"/>
      <c r="K478" s="25"/>
      <c r="L478" s="25" t="str">
        <f aca="false">IF($C478="","",ROUND($J478*0.17,0))</f>
        <v/>
      </c>
      <c r="M478" s="25"/>
      <c r="N478" s="25"/>
      <c r="O478" s="25"/>
      <c r="P478" s="25"/>
      <c r="Q478" s="25"/>
      <c r="R478" s="25"/>
      <c r="S478" s="25" t="str">
        <f aca="false">IF($C478="","",ROUND($J478*2.2,0))</f>
        <v/>
      </c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  <c r="AF478" s="25"/>
      <c r="AG478" s="25"/>
      <c r="AH478" s="25"/>
      <c r="AI478" s="25"/>
      <c r="AJ478" s="25"/>
      <c r="AK478" s="25"/>
      <c r="AL478" s="25"/>
      <c r="AM478" s="25"/>
      <c r="AN478" s="25"/>
    </row>
    <row r="479" customFormat="false" ht="15.75" hidden="false" customHeight="true" outlineLevel="0" collapsed="false">
      <c r="A479" s="25"/>
      <c r="B479" s="25" t="str">
        <f aca="false">IF($C479="","",COUNTA($C$5:C479))</f>
        <v/>
      </c>
      <c r="C479" s="25"/>
      <c r="D479" s="25"/>
      <c r="E479" s="25"/>
      <c r="F479" s="25"/>
      <c r="G479" s="25"/>
      <c r="H479" s="25"/>
      <c r="I479" s="25"/>
      <c r="J479" s="25"/>
      <c r="K479" s="25"/>
      <c r="L479" s="25" t="str">
        <f aca="false">IF($C479="","",ROUND($J479*0.17,0))</f>
        <v/>
      </c>
      <c r="M479" s="25"/>
      <c r="N479" s="25"/>
      <c r="O479" s="25"/>
      <c r="P479" s="25"/>
      <c r="Q479" s="25"/>
      <c r="R479" s="25"/>
      <c r="S479" s="25" t="str">
        <f aca="false">IF($C479="","",ROUND($J479*2.2,0))</f>
        <v/>
      </c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  <c r="AF479" s="25"/>
      <c r="AG479" s="25"/>
      <c r="AH479" s="25"/>
      <c r="AI479" s="25"/>
      <c r="AJ479" s="25"/>
      <c r="AK479" s="25"/>
      <c r="AL479" s="25"/>
      <c r="AM479" s="25"/>
      <c r="AN479" s="25"/>
    </row>
    <row r="480" customFormat="false" ht="15.75" hidden="false" customHeight="true" outlineLevel="0" collapsed="false">
      <c r="A480" s="25"/>
      <c r="B480" s="25" t="str">
        <f aca="false">IF($C480="","",COUNTA($C$5:C480))</f>
        <v/>
      </c>
      <c r="C480" s="25"/>
      <c r="D480" s="25"/>
      <c r="E480" s="25"/>
      <c r="F480" s="25"/>
      <c r="G480" s="25"/>
      <c r="H480" s="25"/>
      <c r="I480" s="25"/>
      <c r="J480" s="25"/>
      <c r="K480" s="25"/>
      <c r="L480" s="25" t="str">
        <f aca="false">IF($C480="","",ROUND($J480*0.17,0))</f>
        <v/>
      </c>
      <c r="M480" s="25"/>
      <c r="N480" s="25"/>
      <c r="O480" s="25"/>
      <c r="P480" s="25"/>
      <c r="Q480" s="25"/>
      <c r="R480" s="25"/>
      <c r="S480" s="25" t="str">
        <f aca="false">IF($C480="","",ROUND($J480*2.2,0))</f>
        <v/>
      </c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  <c r="AF480" s="25"/>
      <c r="AG480" s="25"/>
      <c r="AH480" s="25"/>
      <c r="AI480" s="25"/>
      <c r="AJ480" s="25"/>
      <c r="AK480" s="25"/>
      <c r="AL480" s="25"/>
      <c r="AM480" s="25"/>
      <c r="AN480" s="25"/>
    </row>
    <row r="481" customFormat="false" ht="15.75" hidden="false" customHeight="true" outlineLevel="0" collapsed="false">
      <c r="A481" s="25"/>
      <c r="B481" s="25" t="str">
        <f aca="false">IF($C481="","",COUNTA($C$5:C481))</f>
        <v/>
      </c>
      <c r="C481" s="25"/>
      <c r="D481" s="25"/>
      <c r="E481" s="25"/>
      <c r="F481" s="25"/>
      <c r="G481" s="25"/>
      <c r="H481" s="25"/>
      <c r="I481" s="25"/>
      <c r="J481" s="25"/>
      <c r="K481" s="25"/>
      <c r="L481" s="25" t="str">
        <f aca="false">IF($C481="","",ROUND($J481*0.17,0))</f>
        <v/>
      </c>
      <c r="M481" s="25"/>
      <c r="N481" s="25"/>
      <c r="O481" s="25"/>
      <c r="P481" s="25"/>
      <c r="Q481" s="25"/>
      <c r="R481" s="25"/>
      <c r="S481" s="25" t="str">
        <f aca="false">IF($C481="","",ROUND($J481*2.2,0))</f>
        <v/>
      </c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  <c r="AF481" s="25"/>
      <c r="AG481" s="25"/>
      <c r="AH481" s="25"/>
      <c r="AI481" s="25"/>
      <c r="AJ481" s="25"/>
      <c r="AK481" s="25"/>
      <c r="AL481" s="25"/>
      <c r="AM481" s="25"/>
      <c r="AN481" s="25"/>
    </row>
    <row r="482" customFormat="false" ht="15.75" hidden="false" customHeight="true" outlineLevel="0" collapsed="false">
      <c r="A482" s="25"/>
      <c r="B482" s="25" t="str">
        <f aca="false">IF($C482="","",COUNTA($C$5:C482))</f>
        <v/>
      </c>
      <c r="C482" s="25"/>
      <c r="D482" s="25"/>
      <c r="E482" s="25"/>
      <c r="F482" s="25"/>
      <c r="G482" s="25"/>
      <c r="H482" s="25"/>
      <c r="I482" s="25"/>
      <c r="J482" s="25"/>
      <c r="K482" s="25"/>
      <c r="L482" s="25" t="str">
        <f aca="false">IF($C482="","",ROUND($J482*0.17,0))</f>
        <v/>
      </c>
      <c r="M482" s="25"/>
      <c r="N482" s="25"/>
      <c r="O482" s="25"/>
      <c r="P482" s="25"/>
      <c r="Q482" s="25"/>
      <c r="R482" s="25"/>
      <c r="S482" s="25" t="str">
        <f aca="false">IF($C482="","",ROUND($J482*2.2,0))</f>
        <v/>
      </c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  <c r="AF482" s="25"/>
      <c r="AG482" s="25"/>
      <c r="AH482" s="25"/>
      <c r="AI482" s="25"/>
      <c r="AJ482" s="25"/>
      <c r="AK482" s="25"/>
      <c r="AL482" s="25"/>
      <c r="AM482" s="25"/>
      <c r="AN482" s="25"/>
    </row>
    <row r="483" customFormat="false" ht="15.75" hidden="false" customHeight="true" outlineLevel="0" collapsed="false">
      <c r="A483" s="25"/>
      <c r="B483" s="25" t="str">
        <f aca="false">IF($C483="","",COUNTA($C$5:C483))</f>
        <v/>
      </c>
      <c r="C483" s="25"/>
      <c r="D483" s="25"/>
      <c r="E483" s="25"/>
      <c r="F483" s="25"/>
      <c r="G483" s="25"/>
      <c r="H483" s="25"/>
      <c r="I483" s="25"/>
      <c r="J483" s="25"/>
      <c r="K483" s="25"/>
      <c r="L483" s="25" t="str">
        <f aca="false">IF($C483="","",ROUND($J483*0.17,0))</f>
        <v/>
      </c>
      <c r="M483" s="25"/>
      <c r="N483" s="25"/>
      <c r="O483" s="25"/>
      <c r="P483" s="25"/>
      <c r="Q483" s="25"/>
      <c r="R483" s="25"/>
      <c r="S483" s="25" t="str">
        <f aca="false">IF($C483="","",ROUND($J483*2.2,0))</f>
        <v/>
      </c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  <c r="AF483" s="25"/>
      <c r="AG483" s="25"/>
      <c r="AH483" s="25"/>
      <c r="AI483" s="25"/>
      <c r="AJ483" s="25"/>
      <c r="AK483" s="25"/>
      <c r="AL483" s="25"/>
      <c r="AM483" s="25"/>
      <c r="AN483" s="25"/>
    </row>
    <row r="484" customFormat="false" ht="15.75" hidden="false" customHeight="true" outlineLevel="0" collapsed="false">
      <c r="A484" s="25"/>
      <c r="B484" s="25" t="str">
        <f aca="false">IF($C484="","",COUNTA($C$5:C484))</f>
        <v/>
      </c>
      <c r="C484" s="25"/>
      <c r="D484" s="25"/>
      <c r="E484" s="25"/>
      <c r="F484" s="25"/>
      <c r="G484" s="25"/>
      <c r="H484" s="25"/>
      <c r="I484" s="25"/>
      <c r="J484" s="25"/>
      <c r="K484" s="25"/>
      <c r="L484" s="25" t="str">
        <f aca="false">IF($C484="","",ROUND($J484*0.17,0))</f>
        <v/>
      </c>
      <c r="M484" s="25"/>
      <c r="N484" s="25"/>
      <c r="O484" s="25"/>
      <c r="P484" s="25"/>
      <c r="Q484" s="25"/>
      <c r="R484" s="25"/>
      <c r="S484" s="25" t="str">
        <f aca="false">IF($C484="","",ROUND($J484*2.2,0))</f>
        <v/>
      </c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  <c r="AF484" s="25"/>
      <c r="AG484" s="25"/>
      <c r="AH484" s="25"/>
      <c r="AI484" s="25"/>
      <c r="AJ484" s="25"/>
      <c r="AK484" s="25"/>
      <c r="AL484" s="25"/>
      <c r="AM484" s="25"/>
      <c r="AN484" s="25"/>
    </row>
    <row r="485" customFormat="false" ht="15.75" hidden="false" customHeight="true" outlineLevel="0" collapsed="false">
      <c r="A485" s="25"/>
      <c r="B485" s="25" t="str">
        <f aca="false">IF($C485="","",COUNTA($C$5:C485))</f>
        <v/>
      </c>
      <c r="C485" s="25"/>
      <c r="D485" s="25"/>
      <c r="E485" s="25"/>
      <c r="F485" s="25"/>
      <c r="G485" s="25"/>
      <c r="H485" s="25"/>
      <c r="I485" s="25"/>
      <c r="J485" s="25"/>
      <c r="K485" s="25"/>
      <c r="L485" s="25" t="str">
        <f aca="false">IF($C485="","",ROUND($J485*0.17,0))</f>
        <v/>
      </c>
      <c r="M485" s="25"/>
      <c r="N485" s="25"/>
      <c r="O485" s="25"/>
      <c r="P485" s="25"/>
      <c r="Q485" s="25"/>
      <c r="R485" s="25"/>
      <c r="S485" s="25" t="str">
        <f aca="false">IF($C485="","",ROUND($J485*2.2,0))</f>
        <v/>
      </c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  <c r="AF485" s="25"/>
      <c r="AG485" s="25"/>
      <c r="AH485" s="25"/>
      <c r="AI485" s="25"/>
      <c r="AJ485" s="25"/>
      <c r="AK485" s="25"/>
      <c r="AL485" s="25"/>
      <c r="AM485" s="25"/>
      <c r="AN485" s="25"/>
    </row>
    <row r="486" customFormat="false" ht="15.75" hidden="false" customHeight="true" outlineLevel="0" collapsed="false">
      <c r="A486" s="25"/>
      <c r="B486" s="25" t="str">
        <f aca="false">IF($C486="","",COUNTA($C$5:C486))</f>
        <v/>
      </c>
      <c r="C486" s="25"/>
      <c r="D486" s="25"/>
      <c r="E486" s="25"/>
      <c r="F486" s="25"/>
      <c r="G486" s="25"/>
      <c r="H486" s="25"/>
      <c r="I486" s="25"/>
      <c r="J486" s="25"/>
      <c r="K486" s="25"/>
      <c r="L486" s="25" t="str">
        <f aca="false">IF($C486="","",ROUND($J486*0.17,0))</f>
        <v/>
      </c>
      <c r="M486" s="25"/>
      <c r="N486" s="25"/>
      <c r="O486" s="25"/>
      <c r="P486" s="25"/>
      <c r="Q486" s="25"/>
      <c r="R486" s="25"/>
      <c r="S486" s="25" t="str">
        <f aca="false">IF($C486="","",ROUND($J486*2.2,0))</f>
        <v/>
      </c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  <c r="AF486" s="25"/>
      <c r="AG486" s="25"/>
      <c r="AH486" s="25"/>
      <c r="AI486" s="25"/>
      <c r="AJ486" s="25"/>
      <c r="AK486" s="25"/>
      <c r="AL486" s="25"/>
      <c r="AM486" s="25"/>
      <c r="AN486" s="25"/>
    </row>
    <row r="487" customFormat="false" ht="15.75" hidden="false" customHeight="true" outlineLevel="0" collapsed="false">
      <c r="A487" s="25"/>
      <c r="B487" s="25" t="str">
        <f aca="false">IF($C487="","",COUNTA($C$5:C487))</f>
        <v/>
      </c>
      <c r="C487" s="25"/>
      <c r="D487" s="25"/>
      <c r="E487" s="25"/>
      <c r="F487" s="25"/>
      <c r="G487" s="25"/>
      <c r="H487" s="25"/>
      <c r="I487" s="25"/>
      <c r="J487" s="25"/>
      <c r="K487" s="25"/>
      <c r="L487" s="25" t="str">
        <f aca="false">IF($C487="","",ROUND($J487*0.17,0))</f>
        <v/>
      </c>
      <c r="M487" s="25"/>
      <c r="N487" s="25"/>
      <c r="O487" s="25"/>
      <c r="P487" s="25"/>
      <c r="Q487" s="25"/>
      <c r="R487" s="25"/>
      <c r="S487" s="25" t="str">
        <f aca="false">IF($C487="","",ROUND($J487*2.2,0))</f>
        <v/>
      </c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  <c r="AF487" s="25"/>
      <c r="AG487" s="25"/>
      <c r="AH487" s="25"/>
      <c r="AI487" s="25"/>
      <c r="AJ487" s="25"/>
      <c r="AK487" s="25"/>
      <c r="AL487" s="25"/>
      <c r="AM487" s="25"/>
      <c r="AN487" s="25"/>
    </row>
    <row r="488" customFormat="false" ht="15.75" hidden="false" customHeight="true" outlineLevel="0" collapsed="false">
      <c r="A488" s="25"/>
      <c r="B488" s="25" t="str">
        <f aca="false">IF($C488="","",COUNTA($C$5:C488))</f>
        <v/>
      </c>
      <c r="C488" s="25"/>
      <c r="D488" s="25"/>
      <c r="E488" s="25"/>
      <c r="F488" s="25"/>
      <c r="G488" s="25"/>
      <c r="H488" s="25"/>
      <c r="I488" s="25"/>
      <c r="J488" s="25"/>
      <c r="K488" s="25"/>
      <c r="L488" s="25" t="str">
        <f aca="false">IF($C488="","",ROUND($J488*0.17,0))</f>
        <v/>
      </c>
      <c r="M488" s="25"/>
      <c r="N488" s="25"/>
      <c r="O488" s="25"/>
      <c r="P488" s="25"/>
      <c r="Q488" s="25"/>
      <c r="R488" s="25"/>
      <c r="S488" s="25" t="str">
        <f aca="false">IF($C488="","",ROUND($J488*2.2,0))</f>
        <v/>
      </c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  <c r="AF488" s="25"/>
      <c r="AG488" s="25"/>
      <c r="AH488" s="25"/>
      <c r="AI488" s="25"/>
      <c r="AJ488" s="25"/>
      <c r="AK488" s="25"/>
      <c r="AL488" s="25"/>
      <c r="AM488" s="25"/>
      <c r="AN488" s="25"/>
    </row>
    <row r="489" customFormat="false" ht="15.75" hidden="false" customHeight="true" outlineLevel="0" collapsed="false">
      <c r="A489" s="25"/>
      <c r="B489" s="25" t="str">
        <f aca="false">IF($C489="","",COUNTA($C$5:C489))</f>
        <v/>
      </c>
      <c r="C489" s="25"/>
      <c r="D489" s="25"/>
      <c r="E489" s="25"/>
      <c r="F489" s="25"/>
      <c r="G489" s="25"/>
      <c r="H489" s="25"/>
      <c r="I489" s="25"/>
      <c r="J489" s="25"/>
      <c r="K489" s="25"/>
      <c r="L489" s="25" t="str">
        <f aca="false">IF($C489="","",ROUND($J489*0.17,0))</f>
        <v/>
      </c>
      <c r="M489" s="25"/>
      <c r="N489" s="25"/>
      <c r="O489" s="25"/>
      <c r="P489" s="25"/>
      <c r="Q489" s="25"/>
      <c r="R489" s="25"/>
      <c r="S489" s="25" t="str">
        <f aca="false">IF($C489="","",ROUND($J489*2.2,0))</f>
        <v/>
      </c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  <c r="AF489" s="25"/>
      <c r="AG489" s="25"/>
      <c r="AH489" s="25"/>
      <c r="AI489" s="25"/>
      <c r="AJ489" s="25"/>
      <c r="AK489" s="25"/>
      <c r="AL489" s="25"/>
      <c r="AM489" s="25"/>
      <c r="AN489" s="25"/>
    </row>
    <row r="490" customFormat="false" ht="15.75" hidden="false" customHeight="true" outlineLevel="0" collapsed="false">
      <c r="A490" s="25"/>
      <c r="B490" s="25" t="str">
        <f aca="false">IF($C490="","",COUNTA($C$5:C490))</f>
        <v/>
      </c>
      <c r="C490" s="25"/>
      <c r="D490" s="25"/>
      <c r="E490" s="25"/>
      <c r="F490" s="25"/>
      <c r="G490" s="25"/>
      <c r="H490" s="25"/>
      <c r="I490" s="25"/>
      <c r="J490" s="25"/>
      <c r="K490" s="25"/>
      <c r="L490" s="25" t="str">
        <f aca="false">IF($C490="","",ROUND($J490*0.17,0))</f>
        <v/>
      </c>
      <c r="M490" s="25"/>
      <c r="N490" s="25"/>
      <c r="O490" s="25"/>
      <c r="P490" s="25"/>
      <c r="Q490" s="25"/>
      <c r="R490" s="25"/>
      <c r="S490" s="25" t="str">
        <f aca="false">IF($C490="","",ROUND($J490*2.2,0))</f>
        <v/>
      </c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  <c r="AF490" s="25"/>
      <c r="AG490" s="25"/>
      <c r="AH490" s="25"/>
      <c r="AI490" s="25"/>
      <c r="AJ490" s="25"/>
      <c r="AK490" s="25"/>
      <c r="AL490" s="25"/>
      <c r="AM490" s="25"/>
      <c r="AN490" s="25"/>
    </row>
    <row r="491" customFormat="false" ht="15.75" hidden="false" customHeight="true" outlineLevel="0" collapsed="false">
      <c r="A491" s="25"/>
      <c r="B491" s="25" t="str">
        <f aca="false">IF($C491="","",COUNTA($C$5:C491))</f>
        <v/>
      </c>
      <c r="C491" s="25"/>
      <c r="D491" s="25"/>
      <c r="E491" s="25"/>
      <c r="F491" s="25"/>
      <c r="G491" s="25"/>
      <c r="H491" s="25"/>
      <c r="I491" s="25"/>
      <c r="J491" s="25"/>
      <c r="K491" s="25"/>
      <c r="L491" s="25" t="str">
        <f aca="false">IF($C491="","",ROUND($J491*0.17,0))</f>
        <v/>
      </c>
      <c r="M491" s="25"/>
      <c r="N491" s="25"/>
      <c r="O491" s="25"/>
      <c r="P491" s="25"/>
      <c r="Q491" s="25"/>
      <c r="R491" s="25"/>
      <c r="S491" s="25" t="str">
        <f aca="false">IF($C491="","",ROUND($J491*2.2,0))</f>
        <v/>
      </c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  <c r="AF491" s="25"/>
      <c r="AG491" s="25"/>
      <c r="AH491" s="25"/>
      <c r="AI491" s="25"/>
      <c r="AJ491" s="25"/>
      <c r="AK491" s="25"/>
      <c r="AL491" s="25"/>
      <c r="AM491" s="25"/>
      <c r="AN491" s="25"/>
    </row>
    <row r="492" customFormat="false" ht="15.75" hidden="false" customHeight="true" outlineLevel="0" collapsed="false">
      <c r="A492" s="25"/>
      <c r="B492" s="25" t="str">
        <f aca="false">IF($C492="","",COUNTA($C$5:C492))</f>
        <v/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 t="str">
        <f aca="false">IF($C492="","",ROUND($J492*0.17,0))</f>
        <v/>
      </c>
      <c r="M492" s="25"/>
      <c r="N492" s="25"/>
      <c r="O492" s="25"/>
      <c r="P492" s="25"/>
      <c r="Q492" s="25"/>
      <c r="R492" s="25"/>
      <c r="S492" s="25" t="str">
        <f aca="false">IF($C492="","",ROUND($J492*2.2,0))</f>
        <v/>
      </c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  <c r="AF492" s="25"/>
      <c r="AG492" s="25"/>
      <c r="AH492" s="25"/>
      <c r="AI492" s="25"/>
      <c r="AJ492" s="25"/>
      <c r="AK492" s="25"/>
      <c r="AL492" s="25"/>
      <c r="AM492" s="25"/>
      <c r="AN492" s="25"/>
    </row>
    <row r="493" customFormat="false" ht="15.75" hidden="false" customHeight="true" outlineLevel="0" collapsed="false">
      <c r="A493" s="25"/>
      <c r="B493" s="25" t="str">
        <f aca="false">IF($C493="","",COUNTA($C$5:C493))</f>
        <v/>
      </c>
      <c r="C493" s="25"/>
      <c r="D493" s="25"/>
      <c r="E493" s="25"/>
      <c r="F493" s="25"/>
      <c r="G493" s="25"/>
      <c r="H493" s="25"/>
      <c r="I493" s="25"/>
      <c r="J493" s="25"/>
      <c r="K493" s="25"/>
      <c r="L493" s="25" t="str">
        <f aca="false">IF($C493="","",ROUND($J493*0.17,0))</f>
        <v/>
      </c>
      <c r="M493" s="25"/>
      <c r="N493" s="25"/>
      <c r="O493" s="25"/>
      <c r="P493" s="25"/>
      <c r="Q493" s="25"/>
      <c r="R493" s="25"/>
      <c r="S493" s="25" t="str">
        <f aca="false">IF($C493="","",ROUND($J493*2.2,0))</f>
        <v/>
      </c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  <c r="AF493" s="25"/>
      <c r="AG493" s="25"/>
      <c r="AH493" s="25"/>
      <c r="AI493" s="25"/>
      <c r="AJ493" s="25"/>
      <c r="AK493" s="25"/>
      <c r="AL493" s="25"/>
      <c r="AM493" s="25"/>
      <c r="AN493" s="25"/>
    </row>
    <row r="494" customFormat="false" ht="15.75" hidden="false" customHeight="true" outlineLevel="0" collapsed="false">
      <c r="A494" s="25"/>
      <c r="B494" s="25" t="str">
        <f aca="false">IF($C494="","",COUNTA($C$5:C494))</f>
        <v/>
      </c>
      <c r="C494" s="25"/>
      <c r="D494" s="25"/>
      <c r="E494" s="25"/>
      <c r="F494" s="25"/>
      <c r="G494" s="25"/>
      <c r="H494" s="25"/>
      <c r="I494" s="25"/>
      <c r="J494" s="25"/>
      <c r="K494" s="25"/>
      <c r="L494" s="25" t="str">
        <f aca="false">IF($C494="","",ROUND($J494*0.17,0))</f>
        <v/>
      </c>
      <c r="M494" s="25"/>
      <c r="N494" s="25"/>
      <c r="O494" s="25"/>
      <c r="P494" s="25"/>
      <c r="Q494" s="25"/>
      <c r="R494" s="25"/>
      <c r="S494" s="25" t="str">
        <f aca="false">IF($C494="","",ROUND($J494*2.2,0))</f>
        <v/>
      </c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  <c r="AF494" s="25"/>
      <c r="AG494" s="25"/>
      <c r="AH494" s="25"/>
      <c r="AI494" s="25"/>
      <c r="AJ494" s="25"/>
      <c r="AK494" s="25"/>
      <c r="AL494" s="25"/>
      <c r="AM494" s="25"/>
      <c r="AN494" s="25"/>
    </row>
    <row r="495" customFormat="false" ht="15.75" hidden="false" customHeight="true" outlineLevel="0" collapsed="false">
      <c r="A495" s="25"/>
      <c r="B495" s="25" t="str">
        <f aca="false">IF($C495="","",COUNTA($C$5:C495))</f>
        <v/>
      </c>
      <c r="C495" s="25"/>
      <c r="D495" s="25"/>
      <c r="E495" s="25"/>
      <c r="F495" s="25"/>
      <c r="G495" s="25"/>
      <c r="H495" s="25"/>
      <c r="I495" s="25"/>
      <c r="J495" s="25"/>
      <c r="K495" s="25"/>
      <c r="L495" s="25" t="str">
        <f aca="false">IF($C495="","",ROUND($J495*0.17,0))</f>
        <v/>
      </c>
      <c r="M495" s="25"/>
      <c r="N495" s="25"/>
      <c r="O495" s="25"/>
      <c r="P495" s="25"/>
      <c r="Q495" s="25"/>
      <c r="R495" s="25"/>
      <c r="S495" s="25" t="str">
        <f aca="false">IF($C495="","",ROUND($J495*2.2,0))</f>
        <v/>
      </c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  <c r="AF495" s="25"/>
      <c r="AG495" s="25"/>
      <c r="AH495" s="25"/>
      <c r="AI495" s="25"/>
      <c r="AJ495" s="25"/>
      <c r="AK495" s="25"/>
      <c r="AL495" s="25"/>
      <c r="AM495" s="25"/>
      <c r="AN495" s="25"/>
    </row>
    <row r="496" customFormat="false" ht="15.75" hidden="false" customHeight="true" outlineLevel="0" collapsed="false">
      <c r="A496" s="25"/>
      <c r="B496" s="25" t="str">
        <f aca="false">IF($C496="","",COUNTA($C$5:C496))</f>
        <v/>
      </c>
      <c r="C496" s="25"/>
      <c r="D496" s="25"/>
      <c r="E496" s="25"/>
      <c r="F496" s="25"/>
      <c r="G496" s="25"/>
      <c r="H496" s="25"/>
      <c r="I496" s="25"/>
      <c r="J496" s="25"/>
      <c r="K496" s="25"/>
      <c r="L496" s="25" t="str">
        <f aca="false">IF($C496="","",ROUND($J496*0.17,0))</f>
        <v/>
      </c>
      <c r="M496" s="25"/>
      <c r="N496" s="25"/>
      <c r="O496" s="25"/>
      <c r="P496" s="25"/>
      <c r="Q496" s="25"/>
      <c r="R496" s="25"/>
      <c r="S496" s="25" t="str">
        <f aca="false">IF($C496="","",ROUND($J496*2.2,0))</f>
        <v/>
      </c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  <c r="AF496" s="25"/>
      <c r="AG496" s="25"/>
      <c r="AH496" s="25"/>
      <c r="AI496" s="25"/>
      <c r="AJ496" s="25"/>
      <c r="AK496" s="25"/>
      <c r="AL496" s="25"/>
      <c r="AM496" s="25"/>
      <c r="AN496" s="25"/>
    </row>
    <row r="497" customFormat="false" ht="15.75" hidden="false" customHeight="true" outlineLevel="0" collapsed="false">
      <c r="A497" s="25"/>
      <c r="B497" s="25" t="str">
        <f aca="false">IF($C497="","",COUNTA($C$5:C497))</f>
        <v/>
      </c>
      <c r="C497" s="25"/>
      <c r="D497" s="25"/>
      <c r="E497" s="25"/>
      <c r="F497" s="25"/>
      <c r="G497" s="25"/>
      <c r="H497" s="25"/>
      <c r="I497" s="25"/>
      <c r="J497" s="25"/>
      <c r="K497" s="25"/>
      <c r="L497" s="25" t="str">
        <f aca="false">IF($C497="","",ROUND($J497*0.17,0))</f>
        <v/>
      </c>
      <c r="M497" s="25"/>
      <c r="N497" s="25"/>
      <c r="O497" s="25"/>
      <c r="P497" s="25"/>
      <c r="Q497" s="25"/>
      <c r="R497" s="25"/>
      <c r="S497" s="25" t="str">
        <f aca="false">IF($C497="","",ROUND($J497*2.2,0))</f>
        <v/>
      </c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  <c r="AF497" s="25"/>
      <c r="AG497" s="25"/>
      <c r="AH497" s="25"/>
      <c r="AI497" s="25"/>
      <c r="AJ497" s="25"/>
      <c r="AK497" s="25"/>
      <c r="AL497" s="25"/>
      <c r="AM497" s="25"/>
      <c r="AN497" s="25"/>
    </row>
    <row r="498" customFormat="false" ht="15.75" hidden="false" customHeight="true" outlineLevel="0" collapsed="false">
      <c r="A498" s="25"/>
      <c r="B498" s="25" t="str">
        <f aca="false">IF($C498="","",COUNTA($C$5:C498))</f>
        <v/>
      </c>
      <c r="C498" s="25"/>
      <c r="D498" s="25"/>
      <c r="E498" s="25"/>
      <c r="F498" s="25"/>
      <c r="G498" s="25"/>
      <c r="H498" s="25"/>
      <c r="I498" s="25"/>
      <c r="J498" s="25"/>
      <c r="K498" s="25"/>
      <c r="L498" s="25" t="str">
        <f aca="false">IF($C498="","",ROUND($J498*0.17,0))</f>
        <v/>
      </c>
      <c r="M498" s="25"/>
      <c r="N498" s="25"/>
      <c r="O498" s="25"/>
      <c r="P498" s="25"/>
      <c r="Q498" s="25"/>
      <c r="R498" s="25"/>
      <c r="S498" s="25" t="str">
        <f aca="false">IF($C498="","",ROUND($J498*2.2,0))</f>
        <v/>
      </c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  <c r="AF498" s="25"/>
      <c r="AG498" s="25"/>
      <c r="AH498" s="25"/>
      <c r="AI498" s="25"/>
      <c r="AJ498" s="25"/>
      <c r="AK498" s="25"/>
      <c r="AL498" s="25"/>
      <c r="AM498" s="25"/>
      <c r="AN498" s="25"/>
    </row>
    <row r="499" customFormat="false" ht="15.75" hidden="false" customHeight="true" outlineLevel="0" collapsed="false">
      <c r="A499" s="25"/>
      <c r="B499" s="25" t="str">
        <f aca="false">IF($C499="","",COUNTA($C$5:C499))</f>
        <v/>
      </c>
      <c r="C499" s="25"/>
      <c r="D499" s="25"/>
      <c r="E499" s="25"/>
      <c r="F499" s="25"/>
      <c r="G499" s="25"/>
      <c r="H499" s="25"/>
      <c r="I499" s="25"/>
      <c r="J499" s="25"/>
      <c r="K499" s="25"/>
      <c r="L499" s="25" t="str">
        <f aca="false">IF($C499="","",ROUND($J499*0.17,0))</f>
        <v/>
      </c>
      <c r="M499" s="25"/>
      <c r="N499" s="25"/>
      <c r="O499" s="25"/>
      <c r="P499" s="25"/>
      <c r="Q499" s="25"/>
      <c r="R499" s="25"/>
      <c r="S499" s="25" t="str">
        <f aca="false">IF($C499="","",ROUND($J499*2.2,0))</f>
        <v/>
      </c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  <c r="AF499" s="25"/>
      <c r="AG499" s="25"/>
      <c r="AH499" s="25"/>
      <c r="AI499" s="25"/>
      <c r="AJ499" s="25"/>
      <c r="AK499" s="25"/>
      <c r="AL499" s="25"/>
      <c r="AM499" s="25"/>
      <c r="AN499" s="25"/>
    </row>
    <row r="500" customFormat="false" ht="15.75" hidden="false" customHeight="true" outlineLevel="0" collapsed="false">
      <c r="A500" s="25"/>
      <c r="B500" s="25" t="str">
        <f aca="false">IF($C500="","",COUNTA($C$5:C500))</f>
        <v/>
      </c>
      <c r="C500" s="25"/>
      <c r="D500" s="25"/>
      <c r="E500" s="25"/>
      <c r="F500" s="25"/>
      <c r="G500" s="25"/>
      <c r="H500" s="25"/>
      <c r="I500" s="25"/>
      <c r="J500" s="25"/>
      <c r="K500" s="25"/>
      <c r="L500" s="25" t="str">
        <f aca="false">IF($C500="","",ROUND($J500*0.17,0))</f>
        <v/>
      </c>
      <c r="M500" s="25"/>
      <c r="N500" s="25"/>
      <c r="O500" s="25"/>
      <c r="P500" s="25"/>
      <c r="Q500" s="25"/>
      <c r="R500" s="25"/>
      <c r="S500" s="25" t="str">
        <f aca="false">IF($C500="","",ROUND($J500*2.2,0))</f>
        <v/>
      </c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  <c r="AF500" s="25"/>
      <c r="AG500" s="25"/>
      <c r="AH500" s="25"/>
      <c r="AI500" s="25"/>
      <c r="AJ500" s="25"/>
      <c r="AK500" s="25"/>
      <c r="AL500" s="25"/>
      <c r="AM500" s="25"/>
      <c r="AN500" s="25"/>
    </row>
    <row r="501" customFormat="false" ht="15.7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  <c r="AF501" s="25"/>
      <c r="AG501" s="25"/>
      <c r="AH501" s="25"/>
      <c r="AI501" s="25"/>
      <c r="AJ501" s="25"/>
      <c r="AK501" s="25"/>
      <c r="AL501" s="25"/>
      <c r="AM501" s="25"/>
      <c r="AN501" s="25"/>
    </row>
    <row r="502" customFormat="false" ht="15.7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  <c r="AF502" s="25"/>
      <c r="AG502" s="25"/>
      <c r="AH502" s="25"/>
      <c r="AI502" s="25"/>
      <c r="AJ502" s="25"/>
      <c r="AK502" s="25"/>
      <c r="AL502" s="25"/>
      <c r="AM502" s="25"/>
      <c r="AN502" s="25"/>
    </row>
    <row r="503" customFormat="false" ht="15.7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  <c r="AF503" s="25"/>
      <c r="AG503" s="25"/>
      <c r="AH503" s="25"/>
      <c r="AI503" s="25"/>
      <c r="AJ503" s="25"/>
      <c r="AK503" s="25"/>
      <c r="AL503" s="25"/>
      <c r="AM503" s="25"/>
      <c r="AN503" s="25"/>
    </row>
    <row r="504" customFormat="false" ht="15.7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  <c r="AF504" s="25"/>
      <c r="AG504" s="25"/>
      <c r="AH504" s="25"/>
      <c r="AI504" s="25"/>
      <c r="AJ504" s="25"/>
      <c r="AK504" s="25"/>
      <c r="AL504" s="25"/>
      <c r="AM504" s="25"/>
      <c r="AN504" s="25"/>
    </row>
    <row r="505" customFormat="false" ht="15.7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  <c r="AF505" s="25"/>
      <c r="AG505" s="25"/>
      <c r="AH505" s="25"/>
      <c r="AI505" s="25"/>
      <c r="AJ505" s="25"/>
      <c r="AK505" s="25"/>
      <c r="AL505" s="25"/>
      <c r="AM505" s="25"/>
      <c r="AN505" s="25"/>
    </row>
    <row r="506" customFormat="false" ht="15.7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  <c r="AF506" s="25"/>
      <c r="AG506" s="25"/>
      <c r="AH506" s="25"/>
      <c r="AI506" s="25"/>
      <c r="AJ506" s="25"/>
      <c r="AK506" s="25"/>
      <c r="AL506" s="25"/>
      <c r="AM506" s="25"/>
      <c r="AN506" s="25"/>
    </row>
    <row r="507" customFormat="false" ht="15.7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  <c r="AF507" s="25"/>
      <c r="AG507" s="25"/>
      <c r="AH507" s="25"/>
      <c r="AI507" s="25"/>
      <c r="AJ507" s="25"/>
      <c r="AK507" s="25"/>
      <c r="AL507" s="25"/>
      <c r="AM507" s="25"/>
      <c r="AN507" s="25"/>
    </row>
    <row r="508" customFormat="false" ht="15.7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  <c r="AF508" s="25"/>
      <c r="AG508" s="25"/>
      <c r="AH508" s="25"/>
      <c r="AI508" s="25"/>
      <c r="AJ508" s="25"/>
      <c r="AK508" s="25"/>
      <c r="AL508" s="25"/>
      <c r="AM508" s="25"/>
      <c r="AN508" s="25"/>
    </row>
    <row r="509" customFormat="false" ht="15.7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  <c r="AF509" s="25"/>
      <c r="AG509" s="25"/>
      <c r="AH509" s="25"/>
      <c r="AI509" s="25"/>
      <c r="AJ509" s="25"/>
      <c r="AK509" s="25"/>
      <c r="AL509" s="25"/>
      <c r="AM509" s="25"/>
      <c r="AN509" s="25"/>
    </row>
    <row r="510" customFormat="false" ht="15.7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  <c r="AF510" s="25"/>
      <c r="AG510" s="25"/>
      <c r="AH510" s="25"/>
      <c r="AI510" s="25"/>
      <c r="AJ510" s="25"/>
      <c r="AK510" s="25"/>
      <c r="AL510" s="25"/>
      <c r="AM510" s="25"/>
      <c r="AN510" s="25"/>
    </row>
    <row r="511" customFormat="false" ht="15.7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  <c r="AF511" s="25"/>
      <c r="AG511" s="25"/>
      <c r="AH511" s="25"/>
      <c r="AI511" s="25"/>
      <c r="AJ511" s="25"/>
      <c r="AK511" s="25"/>
      <c r="AL511" s="25"/>
      <c r="AM511" s="25"/>
      <c r="AN511" s="25"/>
    </row>
    <row r="512" customFormat="false" ht="15.7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  <c r="AF512" s="25"/>
      <c r="AG512" s="25"/>
      <c r="AH512" s="25"/>
      <c r="AI512" s="25"/>
      <c r="AJ512" s="25"/>
      <c r="AK512" s="25"/>
      <c r="AL512" s="25"/>
      <c r="AM512" s="25"/>
      <c r="AN512" s="25"/>
    </row>
    <row r="513" customFormat="false" ht="15.7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  <c r="AF513" s="25"/>
      <c r="AG513" s="25"/>
      <c r="AH513" s="25"/>
      <c r="AI513" s="25"/>
      <c r="AJ513" s="25"/>
      <c r="AK513" s="25"/>
      <c r="AL513" s="25"/>
      <c r="AM513" s="25"/>
      <c r="AN513" s="25"/>
    </row>
    <row r="514" customFormat="false" ht="15.7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  <c r="AF514" s="25"/>
      <c r="AG514" s="25"/>
      <c r="AH514" s="25"/>
      <c r="AI514" s="25"/>
      <c r="AJ514" s="25"/>
      <c r="AK514" s="25"/>
      <c r="AL514" s="25"/>
      <c r="AM514" s="25"/>
      <c r="AN514" s="25"/>
    </row>
    <row r="515" customFormat="false" ht="15.7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  <c r="AF515" s="25"/>
      <c r="AG515" s="25"/>
      <c r="AH515" s="25"/>
      <c r="AI515" s="25"/>
      <c r="AJ515" s="25"/>
      <c r="AK515" s="25"/>
      <c r="AL515" s="25"/>
      <c r="AM515" s="25"/>
      <c r="AN515" s="25"/>
    </row>
    <row r="516" customFormat="false" ht="15.7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  <c r="AF516" s="25"/>
      <c r="AG516" s="25"/>
      <c r="AH516" s="25"/>
      <c r="AI516" s="25"/>
      <c r="AJ516" s="25"/>
      <c r="AK516" s="25"/>
      <c r="AL516" s="25"/>
      <c r="AM516" s="25"/>
      <c r="AN516" s="25"/>
    </row>
    <row r="517" customFormat="false" ht="15.7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  <c r="AF517" s="25"/>
      <c r="AG517" s="25"/>
      <c r="AH517" s="25"/>
      <c r="AI517" s="25"/>
      <c r="AJ517" s="25"/>
      <c r="AK517" s="25"/>
      <c r="AL517" s="25"/>
      <c r="AM517" s="25"/>
      <c r="AN517" s="25"/>
    </row>
    <row r="518" customFormat="false" ht="15.7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  <c r="AF518" s="25"/>
      <c r="AG518" s="25"/>
      <c r="AH518" s="25"/>
      <c r="AI518" s="25"/>
      <c r="AJ518" s="25"/>
      <c r="AK518" s="25"/>
      <c r="AL518" s="25"/>
      <c r="AM518" s="25"/>
      <c r="AN518" s="25"/>
    </row>
    <row r="519" customFormat="false" ht="15.7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  <c r="AF519" s="25"/>
      <c r="AG519" s="25"/>
      <c r="AH519" s="25"/>
      <c r="AI519" s="25"/>
      <c r="AJ519" s="25"/>
      <c r="AK519" s="25"/>
      <c r="AL519" s="25"/>
      <c r="AM519" s="25"/>
      <c r="AN519" s="25"/>
    </row>
    <row r="520" customFormat="false" ht="15.7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  <c r="AF520" s="25"/>
      <c r="AG520" s="25"/>
      <c r="AH520" s="25"/>
      <c r="AI520" s="25"/>
      <c r="AJ520" s="25"/>
      <c r="AK520" s="25"/>
      <c r="AL520" s="25"/>
      <c r="AM520" s="25"/>
      <c r="AN520" s="25"/>
    </row>
    <row r="521" customFormat="false" ht="15.7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  <c r="AF521" s="25"/>
      <c r="AG521" s="25"/>
      <c r="AH521" s="25"/>
      <c r="AI521" s="25"/>
      <c r="AJ521" s="25"/>
      <c r="AK521" s="25"/>
      <c r="AL521" s="25"/>
      <c r="AM521" s="25"/>
      <c r="AN521" s="25"/>
    </row>
    <row r="522" customFormat="false" ht="15.7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  <c r="AF522" s="25"/>
      <c r="AG522" s="25"/>
      <c r="AH522" s="25"/>
      <c r="AI522" s="25"/>
      <c r="AJ522" s="25"/>
      <c r="AK522" s="25"/>
      <c r="AL522" s="25"/>
      <c r="AM522" s="25"/>
      <c r="AN522" s="25"/>
    </row>
    <row r="523" customFormat="false" ht="15.7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  <c r="AF523" s="25"/>
      <c r="AG523" s="25"/>
      <c r="AH523" s="25"/>
      <c r="AI523" s="25"/>
      <c r="AJ523" s="25"/>
      <c r="AK523" s="25"/>
      <c r="AL523" s="25"/>
      <c r="AM523" s="25"/>
      <c r="AN523" s="25"/>
    </row>
    <row r="524" customFormat="false" ht="15.7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  <c r="AF524" s="25"/>
      <c r="AG524" s="25"/>
      <c r="AH524" s="25"/>
      <c r="AI524" s="25"/>
      <c r="AJ524" s="25"/>
      <c r="AK524" s="25"/>
      <c r="AL524" s="25"/>
      <c r="AM524" s="25"/>
      <c r="AN524" s="25"/>
    </row>
    <row r="525" customFormat="false" ht="15.7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  <c r="AF525" s="25"/>
      <c r="AG525" s="25"/>
      <c r="AH525" s="25"/>
      <c r="AI525" s="25"/>
      <c r="AJ525" s="25"/>
      <c r="AK525" s="25"/>
      <c r="AL525" s="25"/>
      <c r="AM525" s="25"/>
      <c r="AN525" s="25"/>
    </row>
    <row r="526" customFormat="false" ht="15.7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  <c r="AF526" s="25"/>
      <c r="AG526" s="25"/>
      <c r="AH526" s="25"/>
      <c r="AI526" s="25"/>
      <c r="AJ526" s="25"/>
      <c r="AK526" s="25"/>
      <c r="AL526" s="25"/>
      <c r="AM526" s="25"/>
      <c r="AN526" s="25"/>
    </row>
    <row r="527" customFormat="false" ht="15.7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  <c r="AF527" s="25"/>
      <c r="AG527" s="25"/>
      <c r="AH527" s="25"/>
      <c r="AI527" s="25"/>
      <c r="AJ527" s="25"/>
      <c r="AK527" s="25"/>
      <c r="AL527" s="25"/>
      <c r="AM527" s="25"/>
      <c r="AN527" s="25"/>
    </row>
    <row r="528" customFormat="false" ht="15.7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  <c r="AF528" s="25"/>
      <c r="AG528" s="25"/>
      <c r="AH528" s="25"/>
      <c r="AI528" s="25"/>
      <c r="AJ528" s="25"/>
      <c r="AK528" s="25"/>
      <c r="AL528" s="25"/>
      <c r="AM528" s="25"/>
      <c r="AN528" s="25"/>
    </row>
    <row r="529" customFormat="false" ht="15.7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  <c r="AF529" s="25"/>
      <c r="AG529" s="25"/>
      <c r="AH529" s="25"/>
      <c r="AI529" s="25"/>
      <c r="AJ529" s="25"/>
      <c r="AK529" s="25"/>
      <c r="AL529" s="25"/>
      <c r="AM529" s="25"/>
      <c r="AN529" s="25"/>
    </row>
    <row r="530" customFormat="false" ht="15.7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  <c r="AF530" s="25"/>
      <c r="AG530" s="25"/>
      <c r="AH530" s="25"/>
      <c r="AI530" s="25"/>
      <c r="AJ530" s="25"/>
      <c r="AK530" s="25"/>
      <c r="AL530" s="25"/>
      <c r="AM530" s="25"/>
      <c r="AN530" s="25"/>
    </row>
    <row r="531" customFormat="false" ht="15.7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  <c r="AF531" s="25"/>
      <c r="AG531" s="25"/>
      <c r="AH531" s="25"/>
      <c r="AI531" s="25"/>
      <c r="AJ531" s="25"/>
      <c r="AK531" s="25"/>
      <c r="AL531" s="25"/>
      <c r="AM531" s="25"/>
      <c r="AN531" s="25"/>
    </row>
    <row r="532" customFormat="false" ht="15.7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  <c r="AF532" s="25"/>
      <c r="AG532" s="25"/>
      <c r="AH532" s="25"/>
      <c r="AI532" s="25"/>
      <c r="AJ532" s="25"/>
      <c r="AK532" s="25"/>
      <c r="AL532" s="25"/>
      <c r="AM532" s="25"/>
      <c r="AN532" s="25"/>
    </row>
    <row r="533" customFormat="false" ht="15.7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  <c r="AF533" s="25"/>
      <c r="AG533" s="25"/>
      <c r="AH533" s="25"/>
      <c r="AI533" s="25"/>
      <c r="AJ533" s="25"/>
      <c r="AK533" s="25"/>
      <c r="AL533" s="25"/>
      <c r="AM533" s="25"/>
      <c r="AN533" s="25"/>
    </row>
    <row r="534" customFormat="false" ht="15.7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  <c r="AF534" s="25"/>
      <c r="AG534" s="25"/>
      <c r="AH534" s="25"/>
      <c r="AI534" s="25"/>
      <c r="AJ534" s="25"/>
      <c r="AK534" s="25"/>
      <c r="AL534" s="25"/>
      <c r="AM534" s="25"/>
      <c r="AN534" s="25"/>
    </row>
    <row r="535" customFormat="false" ht="15.7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  <c r="AF535" s="25"/>
      <c r="AG535" s="25"/>
      <c r="AH535" s="25"/>
      <c r="AI535" s="25"/>
      <c r="AJ535" s="25"/>
      <c r="AK535" s="25"/>
      <c r="AL535" s="25"/>
      <c r="AM535" s="25"/>
      <c r="AN535" s="25"/>
    </row>
    <row r="536" customFormat="false" ht="15.7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  <c r="AF536" s="25"/>
      <c r="AG536" s="25"/>
      <c r="AH536" s="25"/>
      <c r="AI536" s="25"/>
      <c r="AJ536" s="25"/>
      <c r="AK536" s="25"/>
      <c r="AL536" s="25"/>
      <c r="AM536" s="25"/>
      <c r="AN536" s="25"/>
    </row>
    <row r="537" customFormat="false" ht="15.7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  <c r="AF537" s="25"/>
      <c r="AG537" s="25"/>
      <c r="AH537" s="25"/>
      <c r="AI537" s="25"/>
      <c r="AJ537" s="25"/>
      <c r="AK537" s="25"/>
      <c r="AL537" s="25"/>
      <c r="AM537" s="25"/>
      <c r="AN537" s="25"/>
    </row>
    <row r="538" customFormat="false" ht="15.7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  <c r="AF538" s="25"/>
      <c r="AG538" s="25"/>
      <c r="AH538" s="25"/>
      <c r="AI538" s="25"/>
      <c r="AJ538" s="25"/>
      <c r="AK538" s="25"/>
      <c r="AL538" s="25"/>
      <c r="AM538" s="25"/>
      <c r="AN538" s="25"/>
    </row>
    <row r="539" customFormat="false" ht="15.7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  <c r="AF539" s="25"/>
      <c r="AG539" s="25"/>
      <c r="AH539" s="25"/>
      <c r="AI539" s="25"/>
      <c r="AJ539" s="25"/>
      <c r="AK539" s="25"/>
      <c r="AL539" s="25"/>
      <c r="AM539" s="25"/>
      <c r="AN539" s="25"/>
    </row>
    <row r="540" customFormat="false" ht="15.7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  <c r="AF540" s="25"/>
      <c r="AG540" s="25"/>
      <c r="AH540" s="25"/>
      <c r="AI540" s="25"/>
      <c r="AJ540" s="25"/>
      <c r="AK540" s="25"/>
      <c r="AL540" s="25"/>
      <c r="AM540" s="25"/>
      <c r="AN540" s="25"/>
    </row>
    <row r="541" customFormat="false" ht="15.7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  <c r="AF541" s="25"/>
      <c r="AG541" s="25"/>
      <c r="AH541" s="25"/>
      <c r="AI541" s="25"/>
      <c r="AJ541" s="25"/>
      <c r="AK541" s="25"/>
      <c r="AL541" s="25"/>
      <c r="AM541" s="25"/>
      <c r="AN541" s="25"/>
    </row>
    <row r="542" customFormat="false" ht="15.7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  <c r="AF542" s="25"/>
      <c r="AG542" s="25"/>
      <c r="AH542" s="25"/>
      <c r="AI542" s="25"/>
      <c r="AJ542" s="25"/>
      <c r="AK542" s="25"/>
      <c r="AL542" s="25"/>
      <c r="AM542" s="25"/>
      <c r="AN542" s="25"/>
    </row>
    <row r="543" customFormat="false" ht="15.7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  <c r="AF543" s="25"/>
      <c r="AG543" s="25"/>
      <c r="AH543" s="25"/>
      <c r="AI543" s="25"/>
      <c r="AJ543" s="25"/>
      <c r="AK543" s="25"/>
      <c r="AL543" s="25"/>
      <c r="AM543" s="25"/>
      <c r="AN543" s="25"/>
    </row>
    <row r="544" customFormat="false" ht="15.7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  <c r="AF544" s="25"/>
      <c r="AG544" s="25"/>
      <c r="AH544" s="25"/>
      <c r="AI544" s="25"/>
      <c r="AJ544" s="25"/>
      <c r="AK544" s="25"/>
      <c r="AL544" s="25"/>
      <c r="AM544" s="25"/>
      <c r="AN544" s="25"/>
    </row>
    <row r="545" customFormat="false" ht="15.7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  <c r="AF545" s="25"/>
      <c r="AG545" s="25"/>
      <c r="AH545" s="25"/>
      <c r="AI545" s="25"/>
      <c r="AJ545" s="25"/>
      <c r="AK545" s="25"/>
      <c r="AL545" s="25"/>
      <c r="AM545" s="25"/>
      <c r="AN545" s="25"/>
    </row>
    <row r="546" customFormat="false" ht="15.7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  <c r="AF546" s="25"/>
      <c r="AG546" s="25"/>
      <c r="AH546" s="25"/>
      <c r="AI546" s="25"/>
      <c r="AJ546" s="25"/>
      <c r="AK546" s="25"/>
      <c r="AL546" s="25"/>
      <c r="AM546" s="25"/>
      <c r="AN546" s="25"/>
    </row>
    <row r="547" customFormat="false" ht="15.7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  <c r="AF547" s="25"/>
      <c r="AG547" s="25"/>
      <c r="AH547" s="25"/>
      <c r="AI547" s="25"/>
      <c r="AJ547" s="25"/>
      <c r="AK547" s="25"/>
      <c r="AL547" s="25"/>
      <c r="AM547" s="25"/>
      <c r="AN547" s="25"/>
    </row>
    <row r="548" customFormat="false" ht="15.7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  <c r="AF548" s="25"/>
      <c r="AG548" s="25"/>
      <c r="AH548" s="25"/>
      <c r="AI548" s="25"/>
      <c r="AJ548" s="25"/>
      <c r="AK548" s="25"/>
      <c r="AL548" s="25"/>
      <c r="AM548" s="25"/>
      <c r="AN548" s="25"/>
    </row>
    <row r="549" customFormat="false" ht="15.7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  <c r="AF549" s="25"/>
      <c r="AG549" s="25"/>
      <c r="AH549" s="25"/>
      <c r="AI549" s="25"/>
      <c r="AJ549" s="25"/>
      <c r="AK549" s="25"/>
      <c r="AL549" s="25"/>
      <c r="AM549" s="25"/>
      <c r="AN549" s="25"/>
    </row>
    <row r="550" customFormat="false" ht="15.7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  <c r="AF550" s="25"/>
      <c r="AG550" s="25"/>
      <c r="AH550" s="25"/>
      <c r="AI550" s="25"/>
      <c r="AJ550" s="25"/>
      <c r="AK550" s="25"/>
      <c r="AL550" s="25"/>
      <c r="AM550" s="25"/>
      <c r="AN550" s="25"/>
    </row>
    <row r="551" customFormat="false" ht="15.7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  <c r="AF551" s="25"/>
      <c r="AG551" s="25"/>
      <c r="AH551" s="25"/>
      <c r="AI551" s="25"/>
      <c r="AJ551" s="25"/>
      <c r="AK551" s="25"/>
      <c r="AL551" s="25"/>
      <c r="AM551" s="25"/>
      <c r="AN551" s="25"/>
    </row>
    <row r="552" customFormat="false" ht="15.7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  <c r="AF552" s="25"/>
      <c r="AG552" s="25"/>
      <c r="AH552" s="25"/>
      <c r="AI552" s="25"/>
      <c r="AJ552" s="25"/>
      <c r="AK552" s="25"/>
      <c r="AL552" s="25"/>
      <c r="AM552" s="25"/>
      <c r="AN552" s="25"/>
    </row>
    <row r="553" customFormat="false" ht="15.7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  <c r="AF553" s="25"/>
      <c r="AG553" s="25"/>
      <c r="AH553" s="25"/>
      <c r="AI553" s="25"/>
      <c r="AJ553" s="25"/>
      <c r="AK553" s="25"/>
      <c r="AL553" s="25"/>
      <c r="AM553" s="25"/>
      <c r="AN553" s="25"/>
    </row>
    <row r="554" customFormat="false" ht="15.7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  <c r="AF554" s="25"/>
      <c r="AG554" s="25"/>
      <c r="AH554" s="25"/>
      <c r="AI554" s="25"/>
      <c r="AJ554" s="25"/>
      <c r="AK554" s="25"/>
      <c r="AL554" s="25"/>
      <c r="AM554" s="25"/>
      <c r="AN554" s="25"/>
    </row>
    <row r="555" customFormat="false" ht="15.7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  <c r="AF555" s="25"/>
      <c r="AG555" s="25"/>
      <c r="AH555" s="25"/>
      <c r="AI555" s="25"/>
      <c r="AJ555" s="25"/>
      <c r="AK555" s="25"/>
      <c r="AL555" s="25"/>
      <c r="AM555" s="25"/>
      <c r="AN555" s="25"/>
    </row>
    <row r="556" customFormat="false" ht="15.7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  <c r="AF556" s="25"/>
      <c r="AG556" s="25"/>
      <c r="AH556" s="25"/>
      <c r="AI556" s="25"/>
      <c r="AJ556" s="25"/>
      <c r="AK556" s="25"/>
      <c r="AL556" s="25"/>
      <c r="AM556" s="25"/>
      <c r="AN556" s="25"/>
    </row>
    <row r="557" customFormat="false" ht="15.7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  <c r="AF557" s="25"/>
      <c r="AG557" s="25"/>
      <c r="AH557" s="25"/>
      <c r="AI557" s="25"/>
      <c r="AJ557" s="25"/>
      <c r="AK557" s="25"/>
      <c r="AL557" s="25"/>
      <c r="AM557" s="25"/>
      <c r="AN557" s="25"/>
    </row>
    <row r="558" customFormat="false" ht="15.7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  <c r="AF558" s="25"/>
      <c r="AG558" s="25"/>
      <c r="AH558" s="25"/>
      <c r="AI558" s="25"/>
      <c r="AJ558" s="25"/>
      <c r="AK558" s="25"/>
      <c r="AL558" s="25"/>
      <c r="AM558" s="25"/>
      <c r="AN558" s="25"/>
    </row>
    <row r="559" customFormat="false" ht="15.7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  <c r="AF559" s="25"/>
      <c r="AG559" s="25"/>
      <c r="AH559" s="25"/>
      <c r="AI559" s="25"/>
      <c r="AJ559" s="25"/>
      <c r="AK559" s="25"/>
      <c r="AL559" s="25"/>
      <c r="AM559" s="25"/>
      <c r="AN559" s="25"/>
    </row>
    <row r="560" customFormat="false" ht="15.7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  <c r="AF560" s="25"/>
      <c r="AG560" s="25"/>
      <c r="AH560" s="25"/>
      <c r="AI560" s="25"/>
      <c r="AJ560" s="25"/>
      <c r="AK560" s="25"/>
      <c r="AL560" s="25"/>
      <c r="AM560" s="25"/>
      <c r="AN560" s="25"/>
    </row>
    <row r="561" customFormat="false" ht="15.7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  <c r="AF561" s="25"/>
      <c r="AG561" s="25"/>
      <c r="AH561" s="25"/>
      <c r="AI561" s="25"/>
      <c r="AJ561" s="25"/>
      <c r="AK561" s="25"/>
      <c r="AL561" s="25"/>
      <c r="AM561" s="25"/>
      <c r="AN561" s="25"/>
    </row>
    <row r="562" customFormat="false" ht="15.7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  <c r="AF562" s="25"/>
      <c r="AG562" s="25"/>
      <c r="AH562" s="25"/>
      <c r="AI562" s="25"/>
      <c r="AJ562" s="25"/>
      <c r="AK562" s="25"/>
      <c r="AL562" s="25"/>
      <c r="AM562" s="25"/>
      <c r="AN562" s="25"/>
    </row>
    <row r="563" customFormat="false" ht="15.7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  <c r="AF563" s="25"/>
      <c r="AG563" s="25"/>
      <c r="AH563" s="25"/>
      <c r="AI563" s="25"/>
      <c r="AJ563" s="25"/>
      <c r="AK563" s="25"/>
      <c r="AL563" s="25"/>
      <c r="AM563" s="25"/>
      <c r="AN563" s="25"/>
    </row>
    <row r="564" customFormat="false" ht="15.7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  <c r="AF564" s="25"/>
      <c r="AG564" s="25"/>
      <c r="AH564" s="25"/>
      <c r="AI564" s="25"/>
      <c r="AJ564" s="25"/>
      <c r="AK564" s="25"/>
      <c r="AL564" s="25"/>
      <c r="AM564" s="25"/>
      <c r="AN564" s="25"/>
    </row>
    <row r="565" customFormat="false" ht="15.7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  <c r="AF565" s="25"/>
      <c r="AG565" s="25"/>
      <c r="AH565" s="25"/>
      <c r="AI565" s="25"/>
      <c r="AJ565" s="25"/>
      <c r="AK565" s="25"/>
      <c r="AL565" s="25"/>
      <c r="AM565" s="25"/>
      <c r="AN565" s="25"/>
    </row>
    <row r="566" customFormat="false" ht="15.7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  <c r="AF566" s="25"/>
      <c r="AG566" s="25"/>
      <c r="AH566" s="25"/>
      <c r="AI566" s="25"/>
      <c r="AJ566" s="25"/>
      <c r="AK566" s="25"/>
      <c r="AL566" s="25"/>
      <c r="AM566" s="25"/>
      <c r="AN566" s="25"/>
    </row>
    <row r="567" customFormat="false" ht="15.7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  <c r="AF567" s="25"/>
      <c r="AG567" s="25"/>
      <c r="AH567" s="25"/>
      <c r="AI567" s="25"/>
      <c r="AJ567" s="25"/>
      <c r="AK567" s="25"/>
      <c r="AL567" s="25"/>
      <c r="AM567" s="25"/>
      <c r="AN567" s="25"/>
    </row>
    <row r="568" customFormat="false" ht="15.7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  <c r="AF568" s="25"/>
      <c r="AG568" s="25"/>
      <c r="AH568" s="25"/>
      <c r="AI568" s="25"/>
      <c r="AJ568" s="25"/>
      <c r="AK568" s="25"/>
      <c r="AL568" s="25"/>
      <c r="AM568" s="25"/>
      <c r="AN568" s="25"/>
    </row>
    <row r="569" customFormat="false" ht="15.7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  <c r="AF569" s="25"/>
      <c r="AG569" s="25"/>
      <c r="AH569" s="25"/>
      <c r="AI569" s="25"/>
      <c r="AJ569" s="25"/>
      <c r="AK569" s="25"/>
      <c r="AL569" s="25"/>
      <c r="AM569" s="25"/>
      <c r="AN569" s="25"/>
    </row>
    <row r="570" customFormat="false" ht="15.7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  <c r="AF570" s="25"/>
      <c r="AG570" s="25"/>
      <c r="AH570" s="25"/>
      <c r="AI570" s="25"/>
      <c r="AJ570" s="25"/>
      <c r="AK570" s="25"/>
      <c r="AL570" s="25"/>
      <c r="AM570" s="25"/>
      <c r="AN570" s="25"/>
    </row>
    <row r="571" customFormat="false" ht="15.7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  <c r="AF571" s="25"/>
      <c r="AG571" s="25"/>
      <c r="AH571" s="25"/>
      <c r="AI571" s="25"/>
      <c r="AJ571" s="25"/>
      <c r="AK571" s="25"/>
      <c r="AL571" s="25"/>
      <c r="AM571" s="25"/>
      <c r="AN571" s="25"/>
    </row>
    <row r="572" customFormat="false" ht="15.7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  <c r="AF572" s="25"/>
      <c r="AG572" s="25"/>
      <c r="AH572" s="25"/>
      <c r="AI572" s="25"/>
      <c r="AJ572" s="25"/>
      <c r="AK572" s="25"/>
      <c r="AL572" s="25"/>
      <c r="AM572" s="25"/>
      <c r="AN572" s="25"/>
    </row>
    <row r="573" customFormat="false" ht="15.7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  <c r="AF573" s="25"/>
      <c r="AG573" s="25"/>
      <c r="AH573" s="25"/>
      <c r="AI573" s="25"/>
      <c r="AJ573" s="25"/>
      <c r="AK573" s="25"/>
      <c r="AL573" s="25"/>
      <c r="AM573" s="25"/>
      <c r="AN573" s="25"/>
    </row>
    <row r="574" customFormat="false" ht="15.7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  <c r="AF574" s="25"/>
      <c r="AG574" s="25"/>
      <c r="AH574" s="25"/>
      <c r="AI574" s="25"/>
      <c r="AJ574" s="25"/>
      <c r="AK574" s="25"/>
      <c r="AL574" s="25"/>
      <c r="AM574" s="25"/>
      <c r="AN574" s="25"/>
    </row>
    <row r="575" customFormat="false" ht="15.7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  <c r="AF575" s="25"/>
      <c r="AG575" s="25"/>
      <c r="AH575" s="25"/>
      <c r="AI575" s="25"/>
      <c r="AJ575" s="25"/>
      <c r="AK575" s="25"/>
      <c r="AL575" s="25"/>
      <c r="AM575" s="25"/>
      <c r="AN575" s="25"/>
    </row>
    <row r="576" customFormat="false" ht="15.7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  <c r="AF576" s="25"/>
      <c r="AG576" s="25"/>
      <c r="AH576" s="25"/>
      <c r="AI576" s="25"/>
      <c r="AJ576" s="25"/>
      <c r="AK576" s="25"/>
      <c r="AL576" s="25"/>
      <c r="AM576" s="25"/>
      <c r="AN576" s="25"/>
    </row>
    <row r="577" customFormat="false" ht="15.7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  <c r="AF577" s="25"/>
      <c r="AG577" s="25"/>
      <c r="AH577" s="25"/>
      <c r="AI577" s="25"/>
      <c r="AJ577" s="25"/>
      <c r="AK577" s="25"/>
      <c r="AL577" s="25"/>
      <c r="AM577" s="25"/>
      <c r="AN577" s="25"/>
    </row>
    <row r="578" customFormat="false" ht="15.7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  <c r="AF578" s="25"/>
      <c r="AG578" s="25"/>
      <c r="AH578" s="25"/>
      <c r="AI578" s="25"/>
      <c r="AJ578" s="25"/>
      <c r="AK578" s="25"/>
      <c r="AL578" s="25"/>
      <c r="AM578" s="25"/>
      <c r="AN578" s="25"/>
    </row>
    <row r="579" customFormat="false" ht="15.7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  <c r="AF579" s="25"/>
      <c r="AG579" s="25"/>
      <c r="AH579" s="25"/>
      <c r="AI579" s="25"/>
      <c r="AJ579" s="25"/>
      <c r="AK579" s="25"/>
      <c r="AL579" s="25"/>
      <c r="AM579" s="25"/>
      <c r="AN579" s="25"/>
    </row>
    <row r="580" customFormat="false" ht="15.7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  <c r="AF580" s="25"/>
      <c r="AG580" s="25"/>
      <c r="AH580" s="25"/>
      <c r="AI580" s="25"/>
      <c r="AJ580" s="25"/>
      <c r="AK580" s="25"/>
      <c r="AL580" s="25"/>
      <c r="AM580" s="25"/>
      <c r="AN580" s="25"/>
    </row>
    <row r="581" customFormat="false" ht="15.7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  <c r="AF581" s="25"/>
      <c r="AG581" s="25"/>
      <c r="AH581" s="25"/>
      <c r="AI581" s="25"/>
      <c r="AJ581" s="25"/>
      <c r="AK581" s="25"/>
      <c r="AL581" s="25"/>
      <c r="AM581" s="25"/>
      <c r="AN581" s="25"/>
    </row>
    <row r="582" customFormat="false" ht="15.7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  <c r="AF582" s="25"/>
      <c r="AG582" s="25"/>
      <c r="AH582" s="25"/>
      <c r="AI582" s="25"/>
      <c r="AJ582" s="25"/>
      <c r="AK582" s="25"/>
      <c r="AL582" s="25"/>
      <c r="AM582" s="25"/>
      <c r="AN582" s="25"/>
    </row>
    <row r="583" customFormat="false" ht="15.7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  <c r="AF583" s="25"/>
      <c r="AG583" s="25"/>
      <c r="AH583" s="25"/>
      <c r="AI583" s="25"/>
      <c r="AJ583" s="25"/>
      <c r="AK583" s="25"/>
      <c r="AL583" s="25"/>
      <c r="AM583" s="25"/>
      <c r="AN583" s="25"/>
    </row>
    <row r="584" customFormat="false" ht="15.7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  <c r="AF584" s="25"/>
      <c r="AG584" s="25"/>
      <c r="AH584" s="25"/>
      <c r="AI584" s="25"/>
      <c r="AJ584" s="25"/>
      <c r="AK584" s="25"/>
      <c r="AL584" s="25"/>
      <c r="AM584" s="25"/>
      <c r="AN584" s="25"/>
    </row>
    <row r="585" customFormat="false" ht="15.7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  <c r="AF585" s="25"/>
      <c r="AG585" s="25"/>
      <c r="AH585" s="25"/>
      <c r="AI585" s="25"/>
      <c r="AJ585" s="25"/>
      <c r="AK585" s="25"/>
      <c r="AL585" s="25"/>
      <c r="AM585" s="25"/>
      <c r="AN585" s="25"/>
    </row>
    <row r="586" customFormat="false" ht="15.7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  <c r="AF586" s="25"/>
      <c r="AG586" s="25"/>
      <c r="AH586" s="25"/>
      <c r="AI586" s="25"/>
      <c r="AJ586" s="25"/>
      <c r="AK586" s="25"/>
      <c r="AL586" s="25"/>
      <c r="AM586" s="25"/>
      <c r="AN586" s="25"/>
    </row>
    <row r="587" customFormat="false" ht="15.7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  <c r="AF587" s="25"/>
      <c r="AG587" s="25"/>
      <c r="AH587" s="25"/>
      <c r="AI587" s="25"/>
      <c r="AJ587" s="25"/>
      <c r="AK587" s="25"/>
      <c r="AL587" s="25"/>
      <c r="AM587" s="25"/>
      <c r="AN587" s="25"/>
    </row>
    <row r="588" customFormat="false" ht="15.7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  <c r="AF588" s="25"/>
      <c r="AG588" s="25"/>
      <c r="AH588" s="25"/>
      <c r="AI588" s="25"/>
      <c r="AJ588" s="25"/>
      <c r="AK588" s="25"/>
      <c r="AL588" s="25"/>
      <c r="AM588" s="25"/>
      <c r="AN588" s="25"/>
    </row>
    <row r="589" customFormat="false" ht="15.7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  <c r="AF589" s="25"/>
      <c r="AG589" s="25"/>
      <c r="AH589" s="25"/>
      <c r="AI589" s="25"/>
      <c r="AJ589" s="25"/>
      <c r="AK589" s="25"/>
      <c r="AL589" s="25"/>
      <c r="AM589" s="25"/>
      <c r="AN589" s="25"/>
    </row>
    <row r="590" customFormat="false" ht="15.7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  <c r="AF590" s="25"/>
      <c r="AG590" s="25"/>
      <c r="AH590" s="25"/>
      <c r="AI590" s="25"/>
      <c r="AJ590" s="25"/>
      <c r="AK590" s="25"/>
      <c r="AL590" s="25"/>
      <c r="AM590" s="25"/>
      <c r="AN590" s="25"/>
    </row>
    <row r="591" customFormat="false" ht="15.7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  <c r="AF591" s="25"/>
      <c r="AG591" s="25"/>
      <c r="AH591" s="25"/>
      <c r="AI591" s="25"/>
      <c r="AJ591" s="25"/>
      <c r="AK591" s="25"/>
      <c r="AL591" s="25"/>
      <c r="AM591" s="25"/>
      <c r="AN591" s="25"/>
    </row>
    <row r="592" customFormat="false" ht="15.7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  <c r="AF592" s="25"/>
      <c r="AG592" s="25"/>
      <c r="AH592" s="25"/>
      <c r="AI592" s="25"/>
      <c r="AJ592" s="25"/>
      <c r="AK592" s="25"/>
      <c r="AL592" s="25"/>
      <c r="AM592" s="25"/>
      <c r="AN592" s="25"/>
    </row>
    <row r="593" customFormat="false" ht="15.7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  <c r="AF593" s="25"/>
      <c r="AG593" s="25"/>
      <c r="AH593" s="25"/>
      <c r="AI593" s="25"/>
      <c r="AJ593" s="25"/>
      <c r="AK593" s="25"/>
      <c r="AL593" s="25"/>
      <c r="AM593" s="25"/>
      <c r="AN593" s="25"/>
    </row>
    <row r="594" customFormat="false" ht="15.7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  <c r="AF594" s="25"/>
      <c r="AG594" s="25"/>
      <c r="AH594" s="25"/>
      <c r="AI594" s="25"/>
      <c r="AJ594" s="25"/>
      <c r="AK594" s="25"/>
      <c r="AL594" s="25"/>
      <c r="AM594" s="25"/>
      <c r="AN594" s="25"/>
    </row>
    <row r="595" customFormat="false" ht="15.7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  <c r="AF595" s="25"/>
      <c r="AG595" s="25"/>
      <c r="AH595" s="25"/>
      <c r="AI595" s="25"/>
      <c r="AJ595" s="25"/>
      <c r="AK595" s="25"/>
      <c r="AL595" s="25"/>
      <c r="AM595" s="25"/>
      <c r="AN595" s="25"/>
    </row>
    <row r="596" customFormat="false" ht="15.7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  <c r="AF596" s="25"/>
      <c r="AG596" s="25"/>
      <c r="AH596" s="25"/>
      <c r="AI596" s="25"/>
      <c r="AJ596" s="25"/>
      <c r="AK596" s="25"/>
      <c r="AL596" s="25"/>
      <c r="AM596" s="25"/>
      <c r="AN596" s="25"/>
    </row>
    <row r="597" customFormat="false" ht="15.7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  <c r="AF597" s="25"/>
      <c r="AG597" s="25"/>
      <c r="AH597" s="25"/>
      <c r="AI597" s="25"/>
      <c r="AJ597" s="25"/>
      <c r="AK597" s="25"/>
      <c r="AL597" s="25"/>
      <c r="AM597" s="25"/>
      <c r="AN597" s="25"/>
    </row>
    <row r="598" customFormat="false" ht="15.7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  <c r="AF598" s="25"/>
      <c r="AG598" s="25"/>
      <c r="AH598" s="25"/>
      <c r="AI598" s="25"/>
      <c r="AJ598" s="25"/>
      <c r="AK598" s="25"/>
      <c r="AL598" s="25"/>
      <c r="AM598" s="25"/>
      <c r="AN598" s="25"/>
    </row>
    <row r="599" customFormat="false" ht="15.7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  <c r="AF599" s="25"/>
      <c r="AG599" s="25"/>
      <c r="AH599" s="25"/>
      <c r="AI599" s="25"/>
      <c r="AJ599" s="25"/>
      <c r="AK599" s="25"/>
      <c r="AL599" s="25"/>
      <c r="AM599" s="25"/>
      <c r="AN599" s="25"/>
    </row>
    <row r="600" customFormat="false" ht="15.7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  <c r="AF600" s="25"/>
      <c r="AG600" s="25"/>
      <c r="AH600" s="25"/>
      <c r="AI600" s="25"/>
      <c r="AJ600" s="25"/>
      <c r="AK600" s="25"/>
      <c r="AL600" s="25"/>
      <c r="AM600" s="25"/>
      <c r="AN600" s="25"/>
    </row>
    <row r="601" customFormat="false" ht="15.7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  <c r="AF601" s="25"/>
      <c r="AG601" s="25"/>
      <c r="AH601" s="25"/>
      <c r="AI601" s="25"/>
      <c r="AJ601" s="25"/>
      <c r="AK601" s="25"/>
      <c r="AL601" s="25"/>
      <c r="AM601" s="25"/>
      <c r="AN601" s="25"/>
    </row>
    <row r="602" customFormat="false" ht="15.7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  <c r="AF602" s="25"/>
      <c r="AG602" s="25"/>
      <c r="AH602" s="25"/>
      <c r="AI602" s="25"/>
      <c r="AJ602" s="25"/>
      <c r="AK602" s="25"/>
      <c r="AL602" s="25"/>
      <c r="AM602" s="25"/>
      <c r="AN602" s="25"/>
    </row>
    <row r="603" customFormat="false" ht="15.7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  <c r="AF603" s="25"/>
      <c r="AG603" s="25"/>
      <c r="AH603" s="25"/>
      <c r="AI603" s="25"/>
      <c r="AJ603" s="25"/>
      <c r="AK603" s="25"/>
      <c r="AL603" s="25"/>
      <c r="AM603" s="25"/>
      <c r="AN603" s="25"/>
    </row>
    <row r="604" customFormat="false" ht="15.7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  <c r="AF604" s="25"/>
      <c r="AG604" s="25"/>
      <c r="AH604" s="25"/>
      <c r="AI604" s="25"/>
      <c r="AJ604" s="25"/>
      <c r="AK604" s="25"/>
      <c r="AL604" s="25"/>
      <c r="AM604" s="25"/>
      <c r="AN604" s="25"/>
    </row>
    <row r="605" customFormat="false" ht="15.7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  <c r="AF605" s="25"/>
      <c r="AG605" s="25"/>
      <c r="AH605" s="25"/>
      <c r="AI605" s="25"/>
      <c r="AJ605" s="25"/>
      <c r="AK605" s="25"/>
      <c r="AL605" s="25"/>
      <c r="AM605" s="25"/>
      <c r="AN605" s="25"/>
    </row>
    <row r="606" customFormat="false" ht="15.7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  <c r="AF606" s="25"/>
      <c r="AG606" s="25"/>
      <c r="AH606" s="25"/>
      <c r="AI606" s="25"/>
      <c r="AJ606" s="25"/>
      <c r="AK606" s="25"/>
      <c r="AL606" s="25"/>
      <c r="AM606" s="25"/>
      <c r="AN606" s="25"/>
    </row>
    <row r="607" customFormat="false" ht="15.7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  <c r="AF607" s="25"/>
      <c r="AG607" s="25"/>
      <c r="AH607" s="25"/>
      <c r="AI607" s="25"/>
      <c r="AJ607" s="25"/>
      <c r="AK607" s="25"/>
      <c r="AL607" s="25"/>
      <c r="AM607" s="25"/>
      <c r="AN607" s="25"/>
    </row>
    <row r="608" customFormat="false" ht="15.7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  <c r="AF608" s="25"/>
      <c r="AG608" s="25"/>
      <c r="AH608" s="25"/>
      <c r="AI608" s="25"/>
      <c r="AJ608" s="25"/>
      <c r="AK608" s="25"/>
      <c r="AL608" s="25"/>
      <c r="AM608" s="25"/>
      <c r="AN608" s="25"/>
    </row>
    <row r="609" customFormat="false" ht="15.7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  <c r="AF609" s="25"/>
      <c r="AG609" s="25"/>
      <c r="AH609" s="25"/>
      <c r="AI609" s="25"/>
      <c r="AJ609" s="25"/>
      <c r="AK609" s="25"/>
      <c r="AL609" s="25"/>
      <c r="AM609" s="25"/>
      <c r="AN609" s="25"/>
    </row>
    <row r="610" customFormat="false" ht="15.7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  <c r="AF610" s="25"/>
      <c r="AG610" s="25"/>
      <c r="AH610" s="25"/>
      <c r="AI610" s="25"/>
      <c r="AJ610" s="25"/>
      <c r="AK610" s="25"/>
      <c r="AL610" s="25"/>
      <c r="AM610" s="25"/>
      <c r="AN610" s="25"/>
    </row>
    <row r="611" customFormat="false" ht="15.7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  <c r="AF611" s="25"/>
      <c r="AG611" s="25"/>
      <c r="AH611" s="25"/>
      <c r="AI611" s="25"/>
      <c r="AJ611" s="25"/>
      <c r="AK611" s="25"/>
      <c r="AL611" s="25"/>
      <c r="AM611" s="25"/>
      <c r="AN611" s="25"/>
    </row>
    <row r="612" customFormat="false" ht="15.7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  <c r="AF612" s="25"/>
      <c r="AG612" s="25"/>
      <c r="AH612" s="25"/>
      <c r="AI612" s="25"/>
      <c r="AJ612" s="25"/>
      <c r="AK612" s="25"/>
      <c r="AL612" s="25"/>
      <c r="AM612" s="25"/>
      <c r="AN612" s="25"/>
    </row>
    <row r="613" customFormat="false" ht="15.7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  <c r="AF613" s="25"/>
      <c r="AG613" s="25"/>
      <c r="AH613" s="25"/>
      <c r="AI613" s="25"/>
      <c r="AJ613" s="25"/>
      <c r="AK613" s="25"/>
      <c r="AL613" s="25"/>
      <c r="AM613" s="25"/>
      <c r="AN613" s="25"/>
    </row>
    <row r="614" customFormat="false" ht="15.7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  <c r="AF614" s="25"/>
      <c r="AG614" s="25"/>
      <c r="AH614" s="25"/>
      <c r="AI614" s="25"/>
      <c r="AJ614" s="25"/>
      <c r="AK614" s="25"/>
      <c r="AL614" s="25"/>
      <c r="AM614" s="25"/>
      <c r="AN614" s="25"/>
    </row>
    <row r="615" customFormat="false" ht="15.7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  <c r="AF615" s="25"/>
      <c r="AG615" s="25"/>
      <c r="AH615" s="25"/>
      <c r="AI615" s="25"/>
      <c r="AJ615" s="25"/>
      <c r="AK615" s="25"/>
      <c r="AL615" s="25"/>
      <c r="AM615" s="25"/>
      <c r="AN615" s="25"/>
    </row>
    <row r="616" customFormat="false" ht="15.7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  <c r="AF616" s="25"/>
      <c r="AG616" s="25"/>
      <c r="AH616" s="25"/>
      <c r="AI616" s="25"/>
      <c r="AJ616" s="25"/>
      <c r="AK616" s="25"/>
      <c r="AL616" s="25"/>
      <c r="AM616" s="25"/>
      <c r="AN616" s="25"/>
    </row>
    <row r="617" customFormat="false" ht="15.7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  <c r="AF617" s="25"/>
      <c r="AG617" s="25"/>
      <c r="AH617" s="25"/>
      <c r="AI617" s="25"/>
      <c r="AJ617" s="25"/>
      <c r="AK617" s="25"/>
      <c r="AL617" s="25"/>
      <c r="AM617" s="25"/>
      <c r="AN617" s="25"/>
    </row>
    <row r="618" customFormat="false" ht="15.7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  <c r="AF618" s="25"/>
      <c r="AG618" s="25"/>
      <c r="AH618" s="25"/>
      <c r="AI618" s="25"/>
      <c r="AJ618" s="25"/>
      <c r="AK618" s="25"/>
      <c r="AL618" s="25"/>
      <c r="AM618" s="25"/>
      <c r="AN618" s="25"/>
    </row>
    <row r="619" customFormat="false" ht="15.7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  <c r="AF619" s="25"/>
      <c r="AG619" s="25"/>
      <c r="AH619" s="25"/>
      <c r="AI619" s="25"/>
      <c r="AJ619" s="25"/>
      <c r="AK619" s="25"/>
      <c r="AL619" s="25"/>
      <c r="AM619" s="25"/>
      <c r="AN619" s="25"/>
    </row>
    <row r="620" customFormat="false" ht="15.7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  <c r="AF620" s="25"/>
      <c r="AG620" s="25"/>
      <c r="AH620" s="25"/>
      <c r="AI620" s="25"/>
      <c r="AJ620" s="25"/>
      <c r="AK620" s="25"/>
      <c r="AL620" s="25"/>
      <c r="AM620" s="25"/>
      <c r="AN620" s="25"/>
    </row>
    <row r="621" customFormat="false" ht="15.7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  <c r="AF621" s="25"/>
      <c r="AG621" s="25"/>
      <c r="AH621" s="25"/>
      <c r="AI621" s="25"/>
      <c r="AJ621" s="25"/>
      <c r="AK621" s="25"/>
      <c r="AL621" s="25"/>
      <c r="AM621" s="25"/>
      <c r="AN621" s="25"/>
    </row>
    <row r="622" customFormat="false" ht="15.7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  <c r="AF622" s="25"/>
      <c r="AG622" s="25"/>
      <c r="AH622" s="25"/>
      <c r="AI622" s="25"/>
      <c r="AJ622" s="25"/>
      <c r="AK622" s="25"/>
      <c r="AL622" s="25"/>
      <c r="AM622" s="25"/>
      <c r="AN622" s="25"/>
    </row>
    <row r="623" customFormat="false" ht="15.7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  <c r="AF623" s="25"/>
      <c r="AG623" s="25"/>
      <c r="AH623" s="25"/>
      <c r="AI623" s="25"/>
      <c r="AJ623" s="25"/>
      <c r="AK623" s="25"/>
      <c r="AL623" s="25"/>
      <c r="AM623" s="25"/>
      <c r="AN623" s="25"/>
    </row>
    <row r="624" customFormat="false" ht="15.7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  <c r="AF624" s="25"/>
      <c r="AG624" s="25"/>
      <c r="AH624" s="25"/>
      <c r="AI624" s="25"/>
      <c r="AJ624" s="25"/>
      <c r="AK624" s="25"/>
      <c r="AL624" s="25"/>
      <c r="AM624" s="25"/>
      <c r="AN624" s="25"/>
    </row>
    <row r="625" customFormat="false" ht="15.7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  <c r="AF625" s="25"/>
      <c r="AG625" s="25"/>
      <c r="AH625" s="25"/>
      <c r="AI625" s="25"/>
      <c r="AJ625" s="25"/>
      <c r="AK625" s="25"/>
      <c r="AL625" s="25"/>
      <c r="AM625" s="25"/>
      <c r="AN625" s="25"/>
    </row>
    <row r="626" customFormat="false" ht="15.7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  <c r="AF626" s="25"/>
      <c r="AG626" s="25"/>
      <c r="AH626" s="25"/>
      <c r="AI626" s="25"/>
      <c r="AJ626" s="25"/>
      <c r="AK626" s="25"/>
      <c r="AL626" s="25"/>
      <c r="AM626" s="25"/>
      <c r="AN626" s="25"/>
    </row>
    <row r="627" customFormat="false" ht="15.7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  <c r="AF627" s="25"/>
      <c r="AG627" s="25"/>
      <c r="AH627" s="25"/>
      <c r="AI627" s="25"/>
      <c r="AJ627" s="25"/>
      <c r="AK627" s="25"/>
      <c r="AL627" s="25"/>
      <c r="AM627" s="25"/>
      <c r="AN627" s="25"/>
    </row>
    <row r="628" customFormat="false" ht="15.7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  <c r="AF628" s="25"/>
      <c r="AG628" s="25"/>
      <c r="AH628" s="25"/>
      <c r="AI628" s="25"/>
      <c r="AJ628" s="25"/>
      <c r="AK628" s="25"/>
      <c r="AL628" s="25"/>
      <c r="AM628" s="25"/>
      <c r="AN628" s="25"/>
    </row>
    <row r="629" customFormat="false" ht="15.7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  <c r="AF629" s="25"/>
      <c r="AG629" s="25"/>
      <c r="AH629" s="25"/>
      <c r="AI629" s="25"/>
      <c r="AJ629" s="25"/>
      <c r="AK629" s="25"/>
      <c r="AL629" s="25"/>
      <c r="AM629" s="25"/>
      <c r="AN629" s="25"/>
    </row>
    <row r="630" customFormat="false" ht="15.7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  <c r="AF630" s="25"/>
      <c r="AG630" s="25"/>
      <c r="AH630" s="25"/>
      <c r="AI630" s="25"/>
      <c r="AJ630" s="25"/>
      <c r="AK630" s="25"/>
      <c r="AL630" s="25"/>
      <c r="AM630" s="25"/>
      <c r="AN630" s="25"/>
    </row>
    <row r="631" customFormat="false" ht="15.7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  <c r="AF631" s="25"/>
      <c r="AG631" s="25"/>
      <c r="AH631" s="25"/>
      <c r="AI631" s="25"/>
      <c r="AJ631" s="25"/>
      <c r="AK631" s="25"/>
      <c r="AL631" s="25"/>
      <c r="AM631" s="25"/>
      <c r="AN631" s="25"/>
    </row>
    <row r="632" customFormat="false" ht="15.7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  <c r="AF632" s="25"/>
      <c r="AG632" s="25"/>
      <c r="AH632" s="25"/>
      <c r="AI632" s="25"/>
      <c r="AJ632" s="25"/>
      <c r="AK632" s="25"/>
      <c r="AL632" s="25"/>
      <c r="AM632" s="25"/>
      <c r="AN632" s="25"/>
    </row>
    <row r="633" customFormat="false" ht="15.7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  <c r="AF633" s="25"/>
      <c r="AG633" s="25"/>
      <c r="AH633" s="25"/>
      <c r="AI633" s="25"/>
      <c r="AJ633" s="25"/>
      <c r="AK633" s="25"/>
      <c r="AL633" s="25"/>
      <c r="AM633" s="25"/>
      <c r="AN633" s="25"/>
    </row>
    <row r="634" customFormat="false" ht="15.7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  <c r="AF634" s="25"/>
      <c r="AG634" s="25"/>
      <c r="AH634" s="25"/>
      <c r="AI634" s="25"/>
      <c r="AJ634" s="25"/>
      <c r="AK634" s="25"/>
      <c r="AL634" s="25"/>
      <c r="AM634" s="25"/>
      <c r="AN634" s="25"/>
    </row>
    <row r="635" customFormat="false" ht="15.7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  <c r="AF635" s="25"/>
      <c r="AG635" s="25"/>
      <c r="AH635" s="25"/>
      <c r="AI635" s="25"/>
      <c r="AJ635" s="25"/>
      <c r="AK635" s="25"/>
      <c r="AL635" s="25"/>
      <c r="AM635" s="25"/>
      <c r="AN635" s="25"/>
    </row>
    <row r="636" customFormat="false" ht="15.7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  <c r="AF636" s="25"/>
      <c r="AG636" s="25"/>
      <c r="AH636" s="25"/>
      <c r="AI636" s="25"/>
      <c r="AJ636" s="25"/>
      <c r="AK636" s="25"/>
      <c r="AL636" s="25"/>
      <c r="AM636" s="25"/>
      <c r="AN636" s="25"/>
    </row>
    <row r="637" customFormat="false" ht="15.7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  <c r="AF637" s="25"/>
      <c r="AG637" s="25"/>
      <c r="AH637" s="25"/>
      <c r="AI637" s="25"/>
      <c r="AJ637" s="25"/>
      <c r="AK637" s="25"/>
      <c r="AL637" s="25"/>
      <c r="AM637" s="25"/>
      <c r="AN637" s="25"/>
    </row>
    <row r="638" customFormat="false" ht="15.7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  <c r="AF638" s="25"/>
      <c r="AG638" s="25"/>
      <c r="AH638" s="25"/>
      <c r="AI638" s="25"/>
      <c r="AJ638" s="25"/>
      <c r="AK638" s="25"/>
      <c r="AL638" s="25"/>
      <c r="AM638" s="25"/>
      <c r="AN638" s="25"/>
    </row>
    <row r="639" customFormat="false" ht="15.7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  <c r="AF639" s="25"/>
      <c r="AG639" s="25"/>
      <c r="AH639" s="25"/>
      <c r="AI639" s="25"/>
      <c r="AJ639" s="25"/>
      <c r="AK639" s="25"/>
      <c r="AL639" s="25"/>
      <c r="AM639" s="25"/>
      <c r="AN639" s="25"/>
    </row>
    <row r="640" customFormat="false" ht="15.7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  <c r="AF640" s="25"/>
      <c r="AG640" s="25"/>
      <c r="AH640" s="25"/>
      <c r="AI640" s="25"/>
      <c r="AJ640" s="25"/>
      <c r="AK640" s="25"/>
      <c r="AL640" s="25"/>
      <c r="AM640" s="25"/>
      <c r="AN640" s="25"/>
    </row>
    <row r="641" customFormat="false" ht="15.7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  <c r="AF641" s="25"/>
      <c r="AG641" s="25"/>
      <c r="AH641" s="25"/>
      <c r="AI641" s="25"/>
      <c r="AJ641" s="25"/>
      <c r="AK641" s="25"/>
      <c r="AL641" s="25"/>
      <c r="AM641" s="25"/>
      <c r="AN641" s="25"/>
    </row>
    <row r="642" customFormat="false" ht="15.7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  <c r="AF642" s="25"/>
      <c r="AG642" s="25"/>
      <c r="AH642" s="25"/>
      <c r="AI642" s="25"/>
      <c r="AJ642" s="25"/>
      <c r="AK642" s="25"/>
      <c r="AL642" s="25"/>
      <c r="AM642" s="25"/>
      <c r="AN642" s="25"/>
    </row>
    <row r="643" customFormat="false" ht="15.7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  <c r="AF643" s="25"/>
      <c r="AG643" s="25"/>
      <c r="AH643" s="25"/>
      <c r="AI643" s="25"/>
      <c r="AJ643" s="25"/>
      <c r="AK643" s="25"/>
      <c r="AL643" s="25"/>
      <c r="AM643" s="25"/>
      <c r="AN643" s="25"/>
    </row>
    <row r="644" customFormat="false" ht="15.7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  <c r="AF644" s="25"/>
      <c r="AG644" s="25"/>
      <c r="AH644" s="25"/>
      <c r="AI644" s="25"/>
      <c r="AJ644" s="25"/>
      <c r="AK644" s="25"/>
      <c r="AL644" s="25"/>
      <c r="AM644" s="25"/>
      <c r="AN644" s="25"/>
    </row>
    <row r="645" customFormat="false" ht="15.7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  <c r="AF645" s="25"/>
      <c r="AG645" s="25"/>
      <c r="AH645" s="25"/>
      <c r="AI645" s="25"/>
      <c r="AJ645" s="25"/>
      <c r="AK645" s="25"/>
      <c r="AL645" s="25"/>
      <c r="AM645" s="25"/>
      <c r="AN645" s="25"/>
    </row>
    <row r="646" customFormat="false" ht="15.7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  <c r="AF646" s="25"/>
      <c r="AG646" s="25"/>
      <c r="AH646" s="25"/>
      <c r="AI646" s="25"/>
      <c r="AJ646" s="25"/>
      <c r="AK646" s="25"/>
      <c r="AL646" s="25"/>
      <c r="AM646" s="25"/>
      <c r="AN646" s="25"/>
    </row>
    <row r="647" customFormat="false" ht="15.7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  <c r="AF647" s="25"/>
      <c r="AG647" s="25"/>
      <c r="AH647" s="25"/>
      <c r="AI647" s="25"/>
      <c r="AJ647" s="25"/>
      <c r="AK647" s="25"/>
      <c r="AL647" s="25"/>
      <c r="AM647" s="25"/>
      <c r="AN647" s="25"/>
    </row>
    <row r="648" customFormat="false" ht="15.7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  <c r="AF648" s="25"/>
      <c r="AG648" s="25"/>
      <c r="AH648" s="25"/>
      <c r="AI648" s="25"/>
      <c r="AJ648" s="25"/>
      <c r="AK648" s="25"/>
      <c r="AL648" s="25"/>
      <c r="AM648" s="25"/>
      <c r="AN648" s="25"/>
    </row>
    <row r="649" customFormat="false" ht="15.7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  <c r="AF649" s="25"/>
      <c r="AG649" s="25"/>
      <c r="AH649" s="25"/>
      <c r="AI649" s="25"/>
      <c r="AJ649" s="25"/>
      <c r="AK649" s="25"/>
      <c r="AL649" s="25"/>
      <c r="AM649" s="25"/>
      <c r="AN649" s="25"/>
    </row>
    <row r="650" customFormat="false" ht="15.7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  <c r="AF650" s="25"/>
      <c r="AG650" s="25"/>
      <c r="AH650" s="25"/>
      <c r="AI650" s="25"/>
      <c r="AJ650" s="25"/>
      <c r="AK650" s="25"/>
      <c r="AL650" s="25"/>
      <c r="AM650" s="25"/>
      <c r="AN650" s="25"/>
    </row>
    <row r="651" customFormat="false" ht="15.7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  <c r="AF651" s="25"/>
      <c r="AG651" s="25"/>
      <c r="AH651" s="25"/>
      <c r="AI651" s="25"/>
      <c r="AJ651" s="25"/>
      <c r="AK651" s="25"/>
      <c r="AL651" s="25"/>
      <c r="AM651" s="25"/>
      <c r="AN651" s="25"/>
    </row>
    <row r="652" customFormat="false" ht="15.7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  <c r="AF652" s="25"/>
      <c r="AG652" s="25"/>
      <c r="AH652" s="25"/>
      <c r="AI652" s="25"/>
      <c r="AJ652" s="25"/>
      <c r="AK652" s="25"/>
      <c r="AL652" s="25"/>
      <c r="AM652" s="25"/>
      <c r="AN652" s="25"/>
    </row>
    <row r="653" customFormat="false" ht="15.7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  <c r="AF653" s="25"/>
      <c r="AG653" s="25"/>
      <c r="AH653" s="25"/>
      <c r="AI653" s="25"/>
      <c r="AJ653" s="25"/>
      <c r="AK653" s="25"/>
      <c r="AL653" s="25"/>
      <c r="AM653" s="25"/>
      <c r="AN653" s="25"/>
    </row>
    <row r="654" customFormat="false" ht="15.7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  <c r="AF654" s="25"/>
      <c r="AG654" s="25"/>
      <c r="AH654" s="25"/>
      <c r="AI654" s="25"/>
      <c r="AJ654" s="25"/>
      <c r="AK654" s="25"/>
      <c r="AL654" s="25"/>
      <c r="AM654" s="25"/>
      <c r="AN654" s="25"/>
    </row>
    <row r="655" customFormat="false" ht="15.7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  <c r="AF655" s="25"/>
      <c r="AG655" s="25"/>
      <c r="AH655" s="25"/>
      <c r="AI655" s="25"/>
      <c r="AJ655" s="25"/>
      <c r="AK655" s="25"/>
      <c r="AL655" s="25"/>
      <c r="AM655" s="25"/>
      <c r="AN655" s="25"/>
    </row>
    <row r="656" customFormat="false" ht="15.7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  <c r="AF656" s="25"/>
      <c r="AG656" s="25"/>
      <c r="AH656" s="25"/>
      <c r="AI656" s="25"/>
      <c r="AJ656" s="25"/>
      <c r="AK656" s="25"/>
      <c r="AL656" s="25"/>
      <c r="AM656" s="25"/>
      <c r="AN656" s="25"/>
    </row>
    <row r="657" customFormat="false" ht="15.7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  <c r="AF657" s="25"/>
      <c r="AG657" s="25"/>
      <c r="AH657" s="25"/>
      <c r="AI657" s="25"/>
      <c r="AJ657" s="25"/>
      <c r="AK657" s="25"/>
      <c r="AL657" s="25"/>
      <c r="AM657" s="25"/>
      <c r="AN657" s="25"/>
    </row>
    <row r="658" customFormat="false" ht="15.7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  <c r="AF658" s="25"/>
      <c r="AG658" s="25"/>
      <c r="AH658" s="25"/>
      <c r="AI658" s="25"/>
      <c r="AJ658" s="25"/>
      <c r="AK658" s="25"/>
      <c r="AL658" s="25"/>
      <c r="AM658" s="25"/>
      <c r="AN658" s="25"/>
    </row>
    <row r="659" customFormat="false" ht="15.7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  <c r="AF659" s="25"/>
      <c r="AG659" s="25"/>
      <c r="AH659" s="25"/>
      <c r="AI659" s="25"/>
      <c r="AJ659" s="25"/>
      <c r="AK659" s="25"/>
      <c r="AL659" s="25"/>
      <c r="AM659" s="25"/>
      <c r="AN659" s="25"/>
    </row>
    <row r="660" customFormat="false" ht="15.7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  <c r="AF660" s="25"/>
      <c r="AG660" s="25"/>
      <c r="AH660" s="25"/>
      <c r="AI660" s="25"/>
      <c r="AJ660" s="25"/>
      <c r="AK660" s="25"/>
      <c r="AL660" s="25"/>
      <c r="AM660" s="25"/>
      <c r="AN660" s="25"/>
    </row>
    <row r="661" customFormat="false" ht="15.7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  <c r="AF661" s="25"/>
      <c r="AG661" s="25"/>
      <c r="AH661" s="25"/>
      <c r="AI661" s="25"/>
      <c r="AJ661" s="25"/>
      <c r="AK661" s="25"/>
      <c r="AL661" s="25"/>
      <c r="AM661" s="25"/>
      <c r="AN661" s="25"/>
    </row>
    <row r="662" customFormat="false" ht="15.7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  <c r="AF662" s="25"/>
      <c r="AG662" s="25"/>
      <c r="AH662" s="25"/>
      <c r="AI662" s="25"/>
      <c r="AJ662" s="25"/>
      <c r="AK662" s="25"/>
      <c r="AL662" s="25"/>
      <c r="AM662" s="25"/>
      <c r="AN662" s="25"/>
    </row>
    <row r="663" customFormat="false" ht="15.7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  <c r="AF663" s="25"/>
      <c r="AG663" s="25"/>
      <c r="AH663" s="25"/>
      <c r="AI663" s="25"/>
      <c r="AJ663" s="25"/>
      <c r="AK663" s="25"/>
      <c r="AL663" s="25"/>
      <c r="AM663" s="25"/>
      <c r="AN663" s="25"/>
    </row>
    <row r="664" customFormat="false" ht="15.7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  <c r="AF664" s="25"/>
      <c r="AG664" s="25"/>
      <c r="AH664" s="25"/>
      <c r="AI664" s="25"/>
      <c r="AJ664" s="25"/>
      <c r="AK664" s="25"/>
      <c r="AL664" s="25"/>
      <c r="AM664" s="25"/>
      <c r="AN664" s="25"/>
    </row>
    <row r="665" customFormat="false" ht="15.7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  <c r="AF665" s="25"/>
      <c r="AG665" s="25"/>
      <c r="AH665" s="25"/>
      <c r="AI665" s="25"/>
      <c r="AJ665" s="25"/>
      <c r="AK665" s="25"/>
      <c r="AL665" s="25"/>
      <c r="AM665" s="25"/>
      <c r="AN665" s="25"/>
    </row>
    <row r="666" customFormat="false" ht="15.7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  <c r="AF666" s="25"/>
      <c r="AG666" s="25"/>
      <c r="AH666" s="25"/>
      <c r="AI666" s="25"/>
      <c r="AJ666" s="25"/>
      <c r="AK666" s="25"/>
      <c r="AL666" s="25"/>
      <c r="AM666" s="25"/>
      <c r="AN666" s="25"/>
    </row>
    <row r="667" customFormat="false" ht="15.7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  <c r="AF667" s="25"/>
      <c r="AG667" s="25"/>
      <c r="AH667" s="25"/>
      <c r="AI667" s="25"/>
      <c r="AJ667" s="25"/>
      <c r="AK667" s="25"/>
      <c r="AL667" s="25"/>
      <c r="AM667" s="25"/>
      <c r="AN667" s="25"/>
    </row>
    <row r="668" customFormat="false" ht="15.7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  <c r="AF668" s="25"/>
      <c r="AG668" s="25"/>
      <c r="AH668" s="25"/>
      <c r="AI668" s="25"/>
      <c r="AJ668" s="25"/>
      <c r="AK668" s="25"/>
      <c r="AL668" s="25"/>
      <c r="AM668" s="25"/>
      <c r="AN668" s="25"/>
    </row>
    <row r="669" customFormat="false" ht="15.7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  <c r="AF669" s="25"/>
      <c r="AG669" s="25"/>
      <c r="AH669" s="25"/>
      <c r="AI669" s="25"/>
      <c r="AJ669" s="25"/>
      <c r="AK669" s="25"/>
      <c r="AL669" s="25"/>
      <c r="AM669" s="25"/>
      <c r="AN669" s="25"/>
    </row>
    <row r="670" customFormat="false" ht="15.7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  <c r="AF670" s="25"/>
      <c r="AG670" s="25"/>
      <c r="AH670" s="25"/>
      <c r="AI670" s="25"/>
      <c r="AJ670" s="25"/>
      <c r="AK670" s="25"/>
      <c r="AL670" s="25"/>
      <c r="AM670" s="25"/>
      <c r="AN670" s="25"/>
    </row>
    <row r="671" customFormat="false" ht="15.7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  <c r="AF671" s="25"/>
      <c r="AG671" s="25"/>
      <c r="AH671" s="25"/>
      <c r="AI671" s="25"/>
      <c r="AJ671" s="25"/>
      <c r="AK671" s="25"/>
      <c r="AL671" s="25"/>
      <c r="AM671" s="25"/>
      <c r="AN671" s="25"/>
    </row>
    <row r="672" customFormat="false" ht="15.7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  <c r="AF672" s="25"/>
      <c r="AG672" s="25"/>
      <c r="AH672" s="25"/>
      <c r="AI672" s="25"/>
      <c r="AJ672" s="25"/>
      <c r="AK672" s="25"/>
      <c r="AL672" s="25"/>
      <c r="AM672" s="25"/>
      <c r="AN672" s="25"/>
    </row>
    <row r="673" customFormat="false" ht="15.7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  <c r="AF673" s="25"/>
      <c r="AG673" s="25"/>
      <c r="AH673" s="25"/>
      <c r="AI673" s="25"/>
      <c r="AJ673" s="25"/>
      <c r="AK673" s="25"/>
      <c r="AL673" s="25"/>
      <c r="AM673" s="25"/>
      <c r="AN673" s="25"/>
    </row>
    <row r="674" customFormat="false" ht="15.7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  <c r="AF674" s="25"/>
      <c r="AG674" s="25"/>
      <c r="AH674" s="25"/>
      <c r="AI674" s="25"/>
      <c r="AJ674" s="25"/>
      <c r="AK674" s="25"/>
      <c r="AL674" s="25"/>
      <c r="AM674" s="25"/>
      <c r="AN674" s="25"/>
    </row>
    <row r="675" customFormat="false" ht="15.7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  <c r="AF675" s="25"/>
      <c r="AG675" s="25"/>
      <c r="AH675" s="25"/>
      <c r="AI675" s="25"/>
      <c r="AJ675" s="25"/>
      <c r="AK675" s="25"/>
      <c r="AL675" s="25"/>
      <c r="AM675" s="25"/>
      <c r="AN675" s="25"/>
    </row>
    <row r="676" customFormat="false" ht="15.7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  <c r="AF676" s="25"/>
      <c r="AG676" s="25"/>
      <c r="AH676" s="25"/>
      <c r="AI676" s="25"/>
      <c r="AJ676" s="25"/>
      <c r="AK676" s="25"/>
      <c r="AL676" s="25"/>
      <c r="AM676" s="25"/>
      <c r="AN676" s="25"/>
    </row>
    <row r="677" customFormat="false" ht="15.7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  <c r="AF677" s="25"/>
      <c r="AG677" s="25"/>
      <c r="AH677" s="25"/>
      <c r="AI677" s="25"/>
      <c r="AJ677" s="25"/>
      <c r="AK677" s="25"/>
      <c r="AL677" s="25"/>
      <c r="AM677" s="25"/>
      <c r="AN677" s="25"/>
    </row>
    <row r="678" customFormat="false" ht="15.7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  <c r="AF678" s="25"/>
      <c r="AG678" s="25"/>
      <c r="AH678" s="25"/>
      <c r="AI678" s="25"/>
      <c r="AJ678" s="25"/>
      <c r="AK678" s="25"/>
      <c r="AL678" s="25"/>
      <c r="AM678" s="25"/>
      <c r="AN678" s="25"/>
    </row>
    <row r="679" customFormat="false" ht="15.7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  <c r="AF679" s="25"/>
      <c r="AG679" s="25"/>
      <c r="AH679" s="25"/>
      <c r="AI679" s="25"/>
      <c r="AJ679" s="25"/>
      <c r="AK679" s="25"/>
      <c r="AL679" s="25"/>
      <c r="AM679" s="25"/>
      <c r="AN679" s="25"/>
    </row>
    <row r="680" customFormat="false" ht="15.7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  <c r="AF680" s="25"/>
      <c r="AG680" s="25"/>
      <c r="AH680" s="25"/>
      <c r="AI680" s="25"/>
      <c r="AJ680" s="25"/>
      <c r="AK680" s="25"/>
      <c r="AL680" s="25"/>
      <c r="AM680" s="25"/>
      <c r="AN680" s="25"/>
    </row>
    <row r="681" customFormat="false" ht="15.7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  <c r="AF681" s="25"/>
      <c r="AG681" s="25"/>
      <c r="AH681" s="25"/>
      <c r="AI681" s="25"/>
      <c r="AJ681" s="25"/>
      <c r="AK681" s="25"/>
      <c r="AL681" s="25"/>
      <c r="AM681" s="25"/>
      <c r="AN681" s="25"/>
    </row>
    <row r="682" customFormat="false" ht="15.7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  <c r="AF682" s="25"/>
      <c r="AG682" s="25"/>
      <c r="AH682" s="25"/>
      <c r="AI682" s="25"/>
      <c r="AJ682" s="25"/>
      <c r="AK682" s="25"/>
      <c r="AL682" s="25"/>
      <c r="AM682" s="25"/>
      <c r="AN682" s="25"/>
    </row>
    <row r="683" customFormat="false" ht="15.7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  <c r="AF683" s="25"/>
      <c r="AG683" s="25"/>
      <c r="AH683" s="25"/>
      <c r="AI683" s="25"/>
      <c r="AJ683" s="25"/>
      <c r="AK683" s="25"/>
      <c r="AL683" s="25"/>
      <c r="AM683" s="25"/>
      <c r="AN683" s="25"/>
    </row>
    <row r="684" customFormat="false" ht="15.7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  <c r="AF684" s="25"/>
      <c r="AG684" s="25"/>
      <c r="AH684" s="25"/>
      <c r="AI684" s="25"/>
      <c r="AJ684" s="25"/>
      <c r="AK684" s="25"/>
      <c r="AL684" s="25"/>
      <c r="AM684" s="25"/>
      <c r="AN684" s="25"/>
    </row>
    <row r="685" customFormat="false" ht="15.7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  <c r="AF685" s="25"/>
      <c r="AG685" s="25"/>
      <c r="AH685" s="25"/>
      <c r="AI685" s="25"/>
      <c r="AJ685" s="25"/>
      <c r="AK685" s="25"/>
      <c r="AL685" s="25"/>
      <c r="AM685" s="25"/>
      <c r="AN685" s="25"/>
    </row>
    <row r="686" customFormat="false" ht="15.7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  <c r="AF686" s="25"/>
      <c r="AG686" s="25"/>
      <c r="AH686" s="25"/>
      <c r="AI686" s="25"/>
      <c r="AJ686" s="25"/>
      <c r="AK686" s="25"/>
      <c r="AL686" s="25"/>
      <c r="AM686" s="25"/>
      <c r="AN686" s="25"/>
    </row>
    <row r="687" customFormat="false" ht="15.7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  <c r="AF687" s="25"/>
      <c r="AG687" s="25"/>
      <c r="AH687" s="25"/>
      <c r="AI687" s="25"/>
      <c r="AJ687" s="25"/>
      <c r="AK687" s="25"/>
      <c r="AL687" s="25"/>
      <c r="AM687" s="25"/>
      <c r="AN687" s="25"/>
    </row>
    <row r="688" customFormat="false" ht="15.7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  <c r="AF688" s="25"/>
      <c r="AG688" s="25"/>
      <c r="AH688" s="25"/>
      <c r="AI688" s="25"/>
      <c r="AJ688" s="25"/>
      <c r="AK688" s="25"/>
      <c r="AL688" s="25"/>
      <c r="AM688" s="25"/>
      <c r="AN688" s="25"/>
    </row>
    <row r="689" customFormat="false" ht="15.7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  <c r="AF689" s="25"/>
      <c r="AG689" s="25"/>
      <c r="AH689" s="25"/>
      <c r="AI689" s="25"/>
      <c r="AJ689" s="25"/>
      <c r="AK689" s="25"/>
      <c r="AL689" s="25"/>
      <c r="AM689" s="25"/>
      <c r="AN689" s="25"/>
    </row>
    <row r="690" customFormat="false" ht="15.7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  <c r="AF690" s="25"/>
      <c r="AG690" s="25"/>
      <c r="AH690" s="25"/>
      <c r="AI690" s="25"/>
      <c r="AJ690" s="25"/>
      <c r="AK690" s="25"/>
      <c r="AL690" s="25"/>
      <c r="AM690" s="25"/>
      <c r="AN690" s="25"/>
    </row>
    <row r="691" customFormat="false" ht="15.7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  <c r="AF691" s="25"/>
      <c r="AG691" s="25"/>
      <c r="AH691" s="25"/>
      <c r="AI691" s="25"/>
      <c r="AJ691" s="25"/>
      <c r="AK691" s="25"/>
      <c r="AL691" s="25"/>
      <c r="AM691" s="25"/>
      <c r="AN691" s="25"/>
    </row>
    <row r="692" customFormat="false" ht="15.7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  <c r="AF692" s="25"/>
      <c r="AG692" s="25"/>
      <c r="AH692" s="25"/>
      <c r="AI692" s="25"/>
      <c r="AJ692" s="25"/>
      <c r="AK692" s="25"/>
      <c r="AL692" s="25"/>
      <c r="AM692" s="25"/>
      <c r="AN692" s="25"/>
    </row>
    <row r="693" customFormat="false" ht="15.7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  <c r="AF693" s="25"/>
      <c r="AG693" s="25"/>
      <c r="AH693" s="25"/>
      <c r="AI693" s="25"/>
      <c r="AJ693" s="25"/>
      <c r="AK693" s="25"/>
      <c r="AL693" s="25"/>
      <c r="AM693" s="25"/>
      <c r="AN693" s="25"/>
    </row>
    <row r="694" customFormat="false" ht="15.7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  <c r="AF694" s="25"/>
      <c r="AG694" s="25"/>
      <c r="AH694" s="25"/>
      <c r="AI694" s="25"/>
      <c r="AJ694" s="25"/>
      <c r="AK694" s="25"/>
      <c r="AL694" s="25"/>
      <c r="AM694" s="25"/>
      <c r="AN694" s="25"/>
    </row>
    <row r="695" customFormat="false" ht="15.7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  <c r="AF695" s="25"/>
      <c r="AG695" s="25"/>
      <c r="AH695" s="25"/>
      <c r="AI695" s="25"/>
      <c r="AJ695" s="25"/>
      <c r="AK695" s="25"/>
      <c r="AL695" s="25"/>
      <c r="AM695" s="25"/>
      <c r="AN695" s="25"/>
    </row>
    <row r="696" customFormat="false" ht="15.7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  <c r="AF696" s="25"/>
      <c r="AG696" s="25"/>
      <c r="AH696" s="25"/>
      <c r="AI696" s="25"/>
      <c r="AJ696" s="25"/>
      <c r="AK696" s="25"/>
      <c r="AL696" s="25"/>
      <c r="AM696" s="25"/>
      <c r="AN696" s="25"/>
    </row>
    <row r="697" customFormat="false" ht="15.7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  <c r="AF697" s="25"/>
      <c r="AG697" s="25"/>
      <c r="AH697" s="25"/>
      <c r="AI697" s="25"/>
      <c r="AJ697" s="25"/>
      <c r="AK697" s="25"/>
      <c r="AL697" s="25"/>
      <c r="AM697" s="25"/>
      <c r="AN697" s="25"/>
    </row>
    <row r="698" customFormat="false" ht="15.7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  <c r="AF698" s="25"/>
      <c r="AG698" s="25"/>
      <c r="AH698" s="25"/>
      <c r="AI698" s="25"/>
      <c r="AJ698" s="25"/>
      <c r="AK698" s="25"/>
      <c r="AL698" s="25"/>
      <c r="AM698" s="25"/>
      <c r="AN698" s="25"/>
    </row>
    <row r="699" customFormat="false" ht="15.7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  <c r="AF699" s="25"/>
      <c r="AG699" s="25"/>
      <c r="AH699" s="25"/>
      <c r="AI699" s="25"/>
      <c r="AJ699" s="25"/>
      <c r="AK699" s="25"/>
      <c r="AL699" s="25"/>
      <c r="AM699" s="25"/>
      <c r="AN699" s="25"/>
    </row>
    <row r="700" customFormat="false" ht="15.7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  <c r="AF700" s="25"/>
      <c r="AG700" s="25"/>
      <c r="AH700" s="25"/>
      <c r="AI700" s="25"/>
      <c r="AJ700" s="25"/>
      <c r="AK700" s="25"/>
      <c r="AL700" s="25"/>
      <c r="AM700" s="25"/>
      <c r="AN700" s="25"/>
    </row>
    <row r="701" customFormat="false" ht="15.7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</row>
    <row r="702" customFormat="false" ht="15.7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</row>
    <row r="703" customFormat="false" ht="15.7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  <c r="AF703" s="25"/>
      <c r="AG703" s="25"/>
      <c r="AH703" s="25"/>
      <c r="AI703" s="25"/>
      <c r="AJ703" s="25"/>
      <c r="AK703" s="25"/>
      <c r="AL703" s="25"/>
      <c r="AM703" s="25"/>
      <c r="AN703" s="25"/>
    </row>
    <row r="704" customFormat="false" ht="15.7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  <c r="AF704" s="25"/>
      <c r="AG704" s="25"/>
      <c r="AH704" s="25"/>
      <c r="AI704" s="25"/>
      <c r="AJ704" s="25"/>
      <c r="AK704" s="25"/>
      <c r="AL704" s="25"/>
      <c r="AM704" s="25"/>
      <c r="AN704" s="25"/>
    </row>
    <row r="705" customFormat="false" ht="15.7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  <c r="AF705" s="25"/>
      <c r="AG705" s="25"/>
      <c r="AH705" s="25"/>
      <c r="AI705" s="25"/>
      <c r="AJ705" s="25"/>
      <c r="AK705" s="25"/>
      <c r="AL705" s="25"/>
      <c r="AM705" s="25"/>
      <c r="AN705" s="25"/>
    </row>
    <row r="706" customFormat="false" ht="15.7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  <c r="AF706" s="25"/>
      <c r="AG706" s="25"/>
      <c r="AH706" s="25"/>
      <c r="AI706" s="25"/>
      <c r="AJ706" s="25"/>
      <c r="AK706" s="25"/>
      <c r="AL706" s="25"/>
      <c r="AM706" s="25"/>
      <c r="AN706" s="25"/>
    </row>
    <row r="707" customFormat="false" ht="15.7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  <c r="AF707" s="25"/>
      <c r="AG707" s="25"/>
      <c r="AH707" s="25"/>
      <c r="AI707" s="25"/>
      <c r="AJ707" s="25"/>
      <c r="AK707" s="25"/>
      <c r="AL707" s="25"/>
      <c r="AM707" s="25"/>
      <c r="AN707" s="25"/>
    </row>
    <row r="708" customFormat="false" ht="15.7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  <c r="AF708" s="25"/>
      <c r="AG708" s="25"/>
      <c r="AH708" s="25"/>
      <c r="AI708" s="25"/>
      <c r="AJ708" s="25"/>
      <c r="AK708" s="25"/>
      <c r="AL708" s="25"/>
      <c r="AM708" s="25"/>
      <c r="AN708" s="25"/>
    </row>
    <row r="709" customFormat="false" ht="15.7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  <c r="AF709" s="25"/>
      <c r="AG709" s="25"/>
      <c r="AH709" s="25"/>
      <c r="AI709" s="25"/>
      <c r="AJ709" s="25"/>
      <c r="AK709" s="25"/>
      <c r="AL709" s="25"/>
      <c r="AM709" s="25"/>
      <c r="AN709" s="25"/>
    </row>
    <row r="710" customFormat="false" ht="15.7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  <c r="AF710" s="25"/>
      <c r="AG710" s="25"/>
      <c r="AH710" s="25"/>
      <c r="AI710" s="25"/>
      <c r="AJ710" s="25"/>
      <c r="AK710" s="25"/>
      <c r="AL710" s="25"/>
      <c r="AM710" s="25"/>
      <c r="AN710" s="25"/>
    </row>
    <row r="711" customFormat="false" ht="15.7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  <c r="AF711" s="25"/>
      <c r="AG711" s="25"/>
      <c r="AH711" s="25"/>
      <c r="AI711" s="25"/>
      <c r="AJ711" s="25"/>
      <c r="AK711" s="25"/>
      <c r="AL711" s="25"/>
      <c r="AM711" s="25"/>
      <c r="AN711" s="25"/>
    </row>
    <row r="712" customFormat="false" ht="15.7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  <c r="AF712" s="25"/>
      <c r="AG712" s="25"/>
      <c r="AH712" s="25"/>
      <c r="AI712" s="25"/>
      <c r="AJ712" s="25"/>
      <c r="AK712" s="25"/>
      <c r="AL712" s="25"/>
      <c r="AM712" s="25"/>
      <c r="AN712" s="25"/>
    </row>
    <row r="713" customFormat="false" ht="15.7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  <c r="AF713" s="25"/>
      <c r="AG713" s="25"/>
      <c r="AH713" s="25"/>
      <c r="AI713" s="25"/>
      <c r="AJ713" s="25"/>
      <c r="AK713" s="25"/>
      <c r="AL713" s="25"/>
      <c r="AM713" s="25"/>
      <c r="AN713" s="25"/>
    </row>
    <row r="714" customFormat="false" ht="15.7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  <c r="AF714" s="25"/>
      <c r="AG714" s="25"/>
      <c r="AH714" s="25"/>
      <c r="AI714" s="25"/>
      <c r="AJ714" s="25"/>
      <c r="AK714" s="25"/>
      <c r="AL714" s="25"/>
      <c r="AM714" s="25"/>
      <c r="AN714" s="25"/>
    </row>
    <row r="715" customFormat="false" ht="15.7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  <c r="AF715" s="25"/>
      <c r="AG715" s="25"/>
      <c r="AH715" s="25"/>
      <c r="AI715" s="25"/>
      <c r="AJ715" s="25"/>
      <c r="AK715" s="25"/>
      <c r="AL715" s="25"/>
      <c r="AM715" s="25"/>
      <c r="AN715" s="25"/>
    </row>
    <row r="716" customFormat="false" ht="15.7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  <c r="AF716" s="25"/>
      <c r="AG716" s="25"/>
      <c r="AH716" s="25"/>
      <c r="AI716" s="25"/>
      <c r="AJ716" s="25"/>
      <c r="AK716" s="25"/>
      <c r="AL716" s="25"/>
      <c r="AM716" s="25"/>
      <c r="AN716" s="25"/>
    </row>
    <row r="717" customFormat="false" ht="15.7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  <c r="AF717" s="25"/>
      <c r="AG717" s="25"/>
      <c r="AH717" s="25"/>
      <c r="AI717" s="25"/>
      <c r="AJ717" s="25"/>
      <c r="AK717" s="25"/>
      <c r="AL717" s="25"/>
      <c r="AM717" s="25"/>
      <c r="AN717" s="25"/>
    </row>
    <row r="718" customFormat="false" ht="15.7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  <c r="AF718" s="25"/>
      <c r="AG718" s="25"/>
      <c r="AH718" s="25"/>
      <c r="AI718" s="25"/>
      <c r="AJ718" s="25"/>
      <c r="AK718" s="25"/>
      <c r="AL718" s="25"/>
      <c r="AM718" s="25"/>
      <c r="AN718" s="25"/>
    </row>
    <row r="719" customFormat="false" ht="15.7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  <c r="AF719" s="25"/>
      <c r="AG719" s="25"/>
      <c r="AH719" s="25"/>
      <c r="AI719" s="25"/>
      <c r="AJ719" s="25"/>
      <c r="AK719" s="25"/>
      <c r="AL719" s="25"/>
      <c r="AM719" s="25"/>
      <c r="AN719" s="25"/>
    </row>
    <row r="720" customFormat="false" ht="15.7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  <c r="AF720" s="25"/>
      <c r="AG720" s="25"/>
      <c r="AH720" s="25"/>
      <c r="AI720" s="25"/>
      <c r="AJ720" s="25"/>
      <c r="AK720" s="25"/>
      <c r="AL720" s="25"/>
      <c r="AM720" s="25"/>
      <c r="AN720" s="25"/>
    </row>
    <row r="721" customFormat="false" ht="15.7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  <c r="AF721" s="25"/>
      <c r="AG721" s="25"/>
      <c r="AH721" s="25"/>
      <c r="AI721" s="25"/>
      <c r="AJ721" s="25"/>
      <c r="AK721" s="25"/>
      <c r="AL721" s="25"/>
      <c r="AM721" s="25"/>
      <c r="AN721" s="25"/>
    </row>
    <row r="722" customFormat="false" ht="15.7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  <c r="AF722" s="25"/>
      <c r="AG722" s="25"/>
      <c r="AH722" s="25"/>
      <c r="AI722" s="25"/>
      <c r="AJ722" s="25"/>
      <c r="AK722" s="25"/>
      <c r="AL722" s="25"/>
      <c r="AM722" s="25"/>
      <c r="AN722" s="25"/>
    </row>
    <row r="723" customFormat="false" ht="15.7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  <c r="AF723" s="25"/>
      <c r="AG723" s="25"/>
      <c r="AH723" s="25"/>
      <c r="AI723" s="25"/>
      <c r="AJ723" s="25"/>
      <c r="AK723" s="25"/>
      <c r="AL723" s="25"/>
      <c r="AM723" s="25"/>
      <c r="AN723" s="25"/>
    </row>
    <row r="724" customFormat="false" ht="15.7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  <c r="AF724" s="25"/>
      <c r="AG724" s="25"/>
      <c r="AH724" s="25"/>
      <c r="AI724" s="25"/>
      <c r="AJ724" s="25"/>
      <c r="AK724" s="25"/>
      <c r="AL724" s="25"/>
      <c r="AM724" s="25"/>
      <c r="AN724" s="25"/>
    </row>
    <row r="725" customFormat="false" ht="15.7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  <c r="AF725" s="25"/>
      <c r="AG725" s="25"/>
      <c r="AH725" s="25"/>
      <c r="AI725" s="25"/>
      <c r="AJ725" s="25"/>
      <c r="AK725" s="25"/>
      <c r="AL725" s="25"/>
      <c r="AM725" s="25"/>
      <c r="AN725" s="25"/>
    </row>
    <row r="726" customFormat="false" ht="15.7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  <c r="AF726" s="25"/>
      <c r="AG726" s="25"/>
      <c r="AH726" s="25"/>
      <c r="AI726" s="25"/>
      <c r="AJ726" s="25"/>
      <c r="AK726" s="25"/>
      <c r="AL726" s="25"/>
      <c r="AM726" s="25"/>
      <c r="AN726" s="25"/>
    </row>
    <row r="727" customFormat="false" ht="15.7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  <c r="AF727" s="25"/>
      <c r="AG727" s="25"/>
      <c r="AH727" s="25"/>
      <c r="AI727" s="25"/>
      <c r="AJ727" s="25"/>
      <c r="AK727" s="25"/>
      <c r="AL727" s="25"/>
      <c r="AM727" s="25"/>
      <c r="AN727" s="25"/>
    </row>
    <row r="728" customFormat="false" ht="15.7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  <c r="AF728" s="25"/>
      <c r="AG728" s="25"/>
      <c r="AH728" s="25"/>
      <c r="AI728" s="25"/>
      <c r="AJ728" s="25"/>
      <c r="AK728" s="25"/>
      <c r="AL728" s="25"/>
      <c r="AM728" s="25"/>
      <c r="AN728" s="25"/>
    </row>
    <row r="729" customFormat="false" ht="15.7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  <c r="AF729" s="25"/>
      <c r="AG729" s="25"/>
      <c r="AH729" s="25"/>
      <c r="AI729" s="25"/>
      <c r="AJ729" s="25"/>
      <c r="AK729" s="25"/>
      <c r="AL729" s="25"/>
      <c r="AM729" s="25"/>
      <c r="AN729" s="25"/>
    </row>
    <row r="730" customFormat="false" ht="15.7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  <c r="AF730" s="25"/>
      <c r="AG730" s="25"/>
      <c r="AH730" s="25"/>
      <c r="AI730" s="25"/>
      <c r="AJ730" s="25"/>
      <c r="AK730" s="25"/>
      <c r="AL730" s="25"/>
      <c r="AM730" s="25"/>
      <c r="AN730" s="25"/>
    </row>
    <row r="731" customFormat="false" ht="15.7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  <c r="AF731" s="25"/>
      <c r="AG731" s="25"/>
      <c r="AH731" s="25"/>
      <c r="AI731" s="25"/>
      <c r="AJ731" s="25"/>
      <c r="AK731" s="25"/>
      <c r="AL731" s="25"/>
      <c r="AM731" s="25"/>
      <c r="AN731" s="25"/>
    </row>
    <row r="732" customFormat="false" ht="15.7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  <c r="AF732" s="25"/>
      <c r="AG732" s="25"/>
      <c r="AH732" s="25"/>
      <c r="AI732" s="25"/>
      <c r="AJ732" s="25"/>
      <c r="AK732" s="25"/>
      <c r="AL732" s="25"/>
      <c r="AM732" s="25"/>
      <c r="AN732" s="25"/>
    </row>
    <row r="733" customFormat="false" ht="15.7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  <c r="AF733" s="25"/>
      <c r="AG733" s="25"/>
      <c r="AH733" s="25"/>
      <c r="AI733" s="25"/>
      <c r="AJ733" s="25"/>
      <c r="AK733" s="25"/>
      <c r="AL733" s="25"/>
      <c r="AM733" s="25"/>
      <c r="AN733" s="25"/>
    </row>
    <row r="734" customFormat="false" ht="15.7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  <c r="AF734" s="25"/>
      <c r="AG734" s="25"/>
      <c r="AH734" s="25"/>
      <c r="AI734" s="25"/>
      <c r="AJ734" s="25"/>
      <c r="AK734" s="25"/>
      <c r="AL734" s="25"/>
      <c r="AM734" s="25"/>
      <c r="AN734" s="25"/>
    </row>
    <row r="735" customFormat="false" ht="15.7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  <c r="AF735" s="25"/>
      <c r="AG735" s="25"/>
      <c r="AH735" s="25"/>
      <c r="AI735" s="25"/>
      <c r="AJ735" s="25"/>
      <c r="AK735" s="25"/>
      <c r="AL735" s="25"/>
      <c r="AM735" s="25"/>
      <c r="AN735" s="25"/>
    </row>
    <row r="736" customFormat="false" ht="15.7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  <c r="AF736" s="25"/>
      <c r="AG736" s="25"/>
      <c r="AH736" s="25"/>
      <c r="AI736" s="25"/>
      <c r="AJ736" s="25"/>
      <c r="AK736" s="25"/>
      <c r="AL736" s="25"/>
      <c r="AM736" s="25"/>
      <c r="AN736" s="25"/>
    </row>
    <row r="737" customFormat="false" ht="15.7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  <c r="AF737" s="25"/>
      <c r="AG737" s="25"/>
      <c r="AH737" s="25"/>
      <c r="AI737" s="25"/>
      <c r="AJ737" s="25"/>
      <c r="AK737" s="25"/>
      <c r="AL737" s="25"/>
      <c r="AM737" s="25"/>
      <c r="AN737" s="25"/>
    </row>
    <row r="738" customFormat="false" ht="15.7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  <c r="AF738" s="25"/>
      <c r="AG738" s="25"/>
      <c r="AH738" s="25"/>
      <c r="AI738" s="25"/>
      <c r="AJ738" s="25"/>
      <c r="AK738" s="25"/>
      <c r="AL738" s="25"/>
      <c r="AM738" s="25"/>
      <c r="AN738" s="25"/>
    </row>
    <row r="739" customFormat="false" ht="15.7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  <c r="AF739" s="25"/>
      <c r="AG739" s="25"/>
      <c r="AH739" s="25"/>
      <c r="AI739" s="25"/>
      <c r="AJ739" s="25"/>
      <c r="AK739" s="25"/>
      <c r="AL739" s="25"/>
      <c r="AM739" s="25"/>
      <c r="AN739" s="25"/>
    </row>
    <row r="740" customFormat="false" ht="15.7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  <c r="AF740" s="25"/>
      <c r="AG740" s="25"/>
      <c r="AH740" s="25"/>
      <c r="AI740" s="25"/>
      <c r="AJ740" s="25"/>
      <c r="AK740" s="25"/>
      <c r="AL740" s="25"/>
      <c r="AM740" s="25"/>
      <c r="AN740" s="25"/>
    </row>
    <row r="741" customFormat="false" ht="15.7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  <c r="AF741" s="25"/>
      <c r="AG741" s="25"/>
      <c r="AH741" s="25"/>
      <c r="AI741" s="25"/>
      <c r="AJ741" s="25"/>
      <c r="AK741" s="25"/>
      <c r="AL741" s="25"/>
      <c r="AM741" s="25"/>
      <c r="AN741" s="25"/>
    </row>
    <row r="742" customFormat="false" ht="15.7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  <c r="AF742" s="25"/>
      <c r="AG742" s="25"/>
      <c r="AH742" s="25"/>
      <c r="AI742" s="25"/>
      <c r="AJ742" s="25"/>
      <c r="AK742" s="25"/>
      <c r="AL742" s="25"/>
      <c r="AM742" s="25"/>
      <c r="AN742" s="25"/>
    </row>
    <row r="743" customFormat="false" ht="15.7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  <c r="AF743" s="25"/>
      <c r="AG743" s="25"/>
      <c r="AH743" s="25"/>
      <c r="AI743" s="25"/>
      <c r="AJ743" s="25"/>
      <c r="AK743" s="25"/>
      <c r="AL743" s="25"/>
      <c r="AM743" s="25"/>
      <c r="AN743" s="25"/>
    </row>
    <row r="744" customFormat="false" ht="15.7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  <c r="AF744" s="25"/>
      <c r="AG744" s="25"/>
      <c r="AH744" s="25"/>
      <c r="AI744" s="25"/>
      <c r="AJ744" s="25"/>
      <c r="AK744" s="25"/>
      <c r="AL744" s="25"/>
      <c r="AM744" s="25"/>
      <c r="AN744" s="25"/>
    </row>
    <row r="745" customFormat="false" ht="15.7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  <c r="AF745" s="25"/>
      <c r="AG745" s="25"/>
      <c r="AH745" s="25"/>
      <c r="AI745" s="25"/>
      <c r="AJ745" s="25"/>
      <c r="AK745" s="25"/>
      <c r="AL745" s="25"/>
      <c r="AM745" s="25"/>
      <c r="AN745" s="25"/>
    </row>
    <row r="746" customFormat="false" ht="15.7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  <c r="AF746" s="25"/>
      <c r="AG746" s="25"/>
      <c r="AH746" s="25"/>
      <c r="AI746" s="25"/>
      <c r="AJ746" s="25"/>
      <c r="AK746" s="25"/>
      <c r="AL746" s="25"/>
      <c r="AM746" s="25"/>
      <c r="AN746" s="25"/>
    </row>
    <row r="747" customFormat="false" ht="15.7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  <c r="AF747" s="25"/>
      <c r="AG747" s="25"/>
      <c r="AH747" s="25"/>
      <c r="AI747" s="25"/>
      <c r="AJ747" s="25"/>
      <c r="AK747" s="25"/>
      <c r="AL747" s="25"/>
      <c r="AM747" s="25"/>
      <c r="AN747" s="25"/>
    </row>
    <row r="748" customFormat="false" ht="15.7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  <c r="AF748" s="25"/>
      <c r="AG748" s="25"/>
      <c r="AH748" s="25"/>
      <c r="AI748" s="25"/>
      <c r="AJ748" s="25"/>
      <c r="AK748" s="25"/>
      <c r="AL748" s="25"/>
      <c r="AM748" s="25"/>
      <c r="AN748" s="25"/>
    </row>
    <row r="749" customFormat="false" ht="15.7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  <c r="AF749" s="25"/>
      <c r="AG749" s="25"/>
      <c r="AH749" s="25"/>
      <c r="AI749" s="25"/>
      <c r="AJ749" s="25"/>
      <c r="AK749" s="25"/>
      <c r="AL749" s="25"/>
      <c r="AM749" s="25"/>
      <c r="AN749" s="25"/>
    </row>
    <row r="750" customFormat="false" ht="15.7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  <c r="AF750" s="25"/>
      <c r="AG750" s="25"/>
      <c r="AH750" s="25"/>
      <c r="AI750" s="25"/>
      <c r="AJ750" s="25"/>
      <c r="AK750" s="25"/>
      <c r="AL750" s="25"/>
      <c r="AM750" s="25"/>
      <c r="AN750" s="25"/>
    </row>
    <row r="751" customFormat="false" ht="15.7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  <c r="AF751" s="25"/>
      <c r="AG751" s="25"/>
      <c r="AH751" s="25"/>
      <c r="AI751" s="25"/>
      <c r="AJ751" s="25"/>
      <c r="AK751" s="25"/>
      <c r="AL751" s="25"/>
      <c r="AM751" s="25"/>
      <c r="AN751" s="25"/>
    </row>
    <row r="752" customFormat="false" ht="15.7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  <c r="AF752" s="25"/>
      <c r="AG752" s="25"/>
      <c r="AH752" s="25"/>
      <c r="AI752" s="25"/>
      <c r="AJ752" s="25"/>
      <c r="AK752" s="25"/>
      <c r="AL752" s="25"/>
      <c r="AM752" s="25"/>
      <c r="AN752" s="25"/>
    </row>
    <row r="753" customFormat="false" ht="15.7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  <c r="AF753" s="25"/>
      <c r="AG753" s="25"/>
      <c r="AH753" s="25"/>
      <c r="AI753" s="25"/>
      <c r="AJ753" s="25"/>
      <c r="AK753" s="25"/>
      <c r="AL753" s="25"/>
      <c r="AM753" s="25"/>
      <c r="AN753" s="25"/>
    </row>
    <row r="754" customFormat="false" ht="15.7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  <c r="AF754" s="25"/>
      <c r="AG754" s="25"/>
      <c r="AH754" s="25"/>
      <c r="AI754" s="25"/>
      <c r="AJ754" s="25"/>
      <c r="AK754" s="25"/>
      <c r="AL754" s="25"/>
      <c r="AM754" s="25"/>
      <c r="AN754" s="25"/>
    </row>
    <row r="755" customFormat="false" ht="15.7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  <c r="AF755" s="25"/>
      <c r="AG755" s="25"/>
      <c r="AH755" s="25"/>
      <c r="AI755" s="25"/>
      <c r="AJ755" s="25"/>
      <c r="AK755" s="25"/>
      <c r="AL755" s="25"/>
      <c r="AM755" s="25"/>
      <c r="AN755" s="25"/>
    </row>
    <row r="756" customFormat="false" ht="15.7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  <c r="AF756" s="25"/>
      <c r="AG756" s="25"/>
      <c r="AH756" s="25"/>
      <c r="AI756" s="25"/>
      <c r="AJ756" s="25"/>
      <c r="AK756" s="25"/>
      <c r="AL756" s="25"/>
      <c r="AM756" s="25"/>
      <c r="AN756" s="25"/>
    </row>
    <row r="757" customFormat="false" ht="15.7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  <c r="AF757" s="25"/>
      <c r="AG757" s="25"/>
      <c r="AH757" s="25"/>
      <c r="AI757" s="25"/>
      <c r="AJ757" s="25"/>
      <c r="AK757" s="25"/>
      <c r="AL757" s="25"/>
      <c r="AM757" s="25"/>
      <c r="AN757" s="25"/>
    </row>
    <row r="758" customFormat="false" ht="15.7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  <c r="AF758" s="25"/>
      <c r="AG758" s="25"/>
      <c r="AH758" s="25"/>
      <c r="AI758" s="25"/>
      <c r="AJ758" s="25"/>
      <c r="AK758" s="25"/>
      <c r="AL758" s="25"/>
      <c r="AM758" s="25"/>
      <c r="AN758" s="25"/>
    </row>
    <row r="759" customFormat="false" ht="15.7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  <c r="AF759" s="25"/>
      <c r="AG759" s="25"/>
      <c r="AH759" s="25"/>
      <c r="AI759" s="25"/>
      <c r="AJ759" s="25"/>
      <c r="AK759" s="25"/>
      <c r="AL759" s="25"/>
      <c r="AM759" s="25"/>
      <c r="AN759" s="25"/>
    </row>
    <row r="760" customFormat="false" ht="15.7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  <c r="AF760" s="25"/>
      <c r="AG760" s="25"/>
      <c r="AH760" s="25"/>
      <c r="AI760" s="25"/>
      <c r="AJ760" s="25"/>
      <c r="AK760" s="25"/>
      <c r="AL760" s="25"/>
      <c r="AM760" s="25"/>
      <c r="AN760" s="25"/>
    </row>
    <row r="761" customFormat="false" ht="15.7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  <c r="AF761" s="25"/>
      <c r="AG761" s="25"/>
      <c r="AH761" s="25"/>
      <c r="AI761" s="25"/>
      <c r="AJ761" s="25"/>
      <c r="AK761" s="25"/>
      <c r="AL761" s="25"/>
      <c r="AM761" s="25"/>
      <c r="AN761" s="25"/>
    </row>
    <row r="762" customFormat="false" ht="15.7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  <c r="AF762" s="25"/>
      <c r="AG762" s="25"/>
      <c r="AH762" s="25"/>
      <c r="AI762" s="25"/>
      <c r="AJ762" s="25"/>
      <c r="AK762" s="25"/>
      <c r="AL762" s="25"/>
      <c r="AM762" s="25"/>
      <c r="AN762" s="25"/>
    </row>
    <row r="763" customFormat="false" ht="15.7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  <c r="AF763" s="25"/>
      <c r="AG763" s="25"/>
      <c r="AH763" s="25"/>
      <c r="AI763" s="25"/>
      <c r="AJ763" s="25"/>
      <c r="AK763" s="25"/>
      <c r="AL763" s="25"/>
      <c r="AM763" s="25"/>
      <c r="AN763" s="25"/>
    </row>
    <row r="764" customFormat="false" ht="15.7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  <c r="AF764" s="25"/>
      <c r="AG764" s="25"/>
      <c r="AH764" s="25"/>
      <c r="AI764" s="25"/>
      <c r="AJ764" s="25"/>
      <c r="AK764" s="25"/>
      <c r="AL764" s="25"/>
      <c r="AM764" s="25"/>
      <c r="AN764" s="25"/>
    </row>
    <row r="765" customFormat="false" ht="15.7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  <c r="AF765" s="25"/>
      <c r="AG765" s="25"/>
      <c r="AH765" s="25"/>
      <c r="AI765" s="25"/>
      <c r="AJ765" s="25"/>
      <c r="AK765" s="25"/>
      <c r="AL765" s="25"/>
      <c r="AM765" s="25"/>
      <c r="AN765" s="25"/>
    </row>
    <row r="766" customFormat="false" ht="15.7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  <c r="AF766" s="25"/>
      <c r="AG766" s="25"/>
      <c r="AH766" s="25"/>
      <c r="AI766" s="25"/>
      <c r="AJ766" s="25"/>
      <c r="AK766" s="25"/>
      <c r="AL766" s="25"/>
      <c r="AM766" s="25"/>
      <c r="AN766" s="25"/>
    </row>
    <row r="767" customFormat="false" ht="15.7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  <c r="AF767" s="25"/>
      <c r="AG767" s="25"/>
      <c r="AH767" s="25"/>
      <c r="AI767" s="25"/>
      <c r="AJ767" s="25"/>
      <c r="AK767" s="25"/>
      <c r="AL767" s="25"/>
      <c r="AM767" s="25"/>
      <c r="AN767" s="25"/>
    </row>
    <row r="768" customFormat="false" ht="15.7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  <c r="AF768" s="25"/>
      <c r="AG768" s="25"/>
      <c r="AH768" s="25"/>
      <c r="AI768" s="25"/>
      <c r="AJ768" s="25"/>
      <c r="AK768" s="25"/>
      <c r="AL768" s="25"/>
      <c r="AM768" s="25"/>
      <c r="AN768" s="25"/>
    </row>
    <row r="769" customFormat="false" ht="15.7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  <c r="AF769" s="25"/>
      <c r="AG769" s="25"/>
      <c r="AH769" s="25"/>
      <c r="AI769" s="25"/>
      <c r="AJ769" s="25"/>
      <c r="AK769" s="25"/>
      <c r="AL769" s="25"/>
      <c r="AM769" s="25"/>
      <c r="AN769" s="25"/>
    </row>
    <row r="770" customFormat="false" ht="15.7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  <c r="AF770" s="25"/>
      <c r="AG770" s="25"/>
      <c r="AH770" s="25"/>
      <c r="AI770" s="25"/>
      <c r="AJ770" s="25"/>
      <c r="AK770" s="25"/>
      <c r="AL770" s="25"/>
      <c r="AM770" s="25"/>
      <c r="AN770" s="25"/>
    </row>
    <row r="771" customFormat="false" ht="15.7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  <c r="AF771" s="25"/>
      <c r="AG771" s="25"/>
      <c r="AH771" s="25"/>
      <c r="AI771" s="25"/>
      <c r="AJ771" s="25"/>
      <c r="AK771" s="25"/>
      <c r="AL771" s="25"/>
      <c r="AM771" s="25"/>
      <c r="AN771" s="25"/>
    </row>
    <row r="772" customFormat="false" ht="15.7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  <c r="AF772" s="25"/>
      <c r="AG772" s="25"/>
      <c r="AH772" s="25"/>
      <c r="AI772" s="25"/>
      <c r="AJ772" s="25"/>
      <c r="AK772" s="25"/>
      <c r="AL772" s="25"/>
      <c r="AM772" s="25"/>
      <c r="AN772" s="25"/>
    </row>
    <row r="773" customFormat="false" ht="15.7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  <c r="AF773" s="25"/>
      <c r="AG773" s="25"/>
      <c r="AH773" s="25"/>
      <c r="AI773" s="25"/>
      <c r="AJ773" s="25"/>
      <c r="AK773" s="25"/>
      <c r="AL773" s="25"/>
      <c r="AM773" s="25"/>
      <c r="AN773" s="25"/>
    </row>
    <row r="774" customFormat="false" ht="15.7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  <c r="AF774" s="25"/>
      <c r="AG774" s="25"/>
      <c r="AH774" s="25"/>
      <c r="AI774" s="25"/>
      <c r="AJ774" s="25"/>
      <c r="AK774" s="25"/>
      <c r="AL774" s="25"/>
      <c r="AM774" s="25"/>
      <c r="AN774" s="25"/>
    </row>
    <row r="775" customFormat="false" ht="15.7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  <c r="AF775" s="25"/>
      <c r="AG775" s="25"/>
      <c r="AH775" s="25"/>
      <c r="AI775" s="25"/>
      <c r="AJ775" s="25"/>
      <c r="AK775" s="25"/>
      <c r="AL775" s="25"/>
      <c r="AM775" s="25"/>
      <c r="AN775" s="25"/>
    </row>
    <row r="776" customFormat="false" ht="15.7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  <c r="AF776" s="25"/>
      <c r="AG776" s="25"/>
      <c r="AH776" s="25"/>
      <c r="AI776" s="25"/>
      <c r="AJ776" s="25"/>
      <c r="AK776" s="25"/>
      <c r="AL776" s="25"/>
      <c r="AM776" s="25"/>
      <c r="AN776" s="25"/>
    </row>
    <row r="777" customFormat="false" ht="15.7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  <c r="AF777" s="25"/>
      <c r="AG777" s="25"/>
      <c r="AH777" s="25"/>
      <c r="AI777" s="25"/>
      <c r="AJ777" s="25"/>
      <c r="AK777" s="25"/>
      <c r="AL777" s="25"/>
      <c r="AM777" s="25"/>
      <c r="AN777" s="25"/>
    </row>
    <row r="778" customFormat="false" ht="15.7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  <c r="AF778" s="25"/>
      <c r="AG778" s="25"/>
      <c r="AH778" s="25"/>
      <c r="AI778" s="25"/>
      <c r="AJ778" s="25"/>
      <c r="AK778" s="25"/>
      <c r="AL778" s="25"/>
      <c r="AM778" s="25"/>
      <c r="AN778" s="25"/>
    </row>
    <row r="779" customFormat="false" ht="15.7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  <c r="AF779" s="25"/>
      <c r="AG779" s="25"/>
      <c r="AH779" s="25"/>
      <c r="AI779" s="25"/>
      <c r="AJ779" s="25"/>
      <c r="AK779" s="25"/>
      <c r="AL779" s="25"/>
      <c r="AM779" s="25"/>
      <c r="AN779" s="25"/>
    </row>
    <row r="780" customFormat="false" ht="15.7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  <c r="AF780" s="25"/>
      <c r="AG780" s="25"/>
      <c r="AH780" s="25"/>
      <c r="AI780" s="25"/>
      <c r="AJ780" s="25"/>
      <c r="AK780" s="25"/>
      <c r="AL780" s="25"/>
      <c r="AM780" s="25"/>
      <c r="AN780" s="25"/>
    </row>
    <row r="781" customFormat="false" ht="15.7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  <c r="AF781" s="25"/>
      <c r="AG781" s="25"/>
      <c r="AH781" s="25"/>
      <c r="AI781" s="25"/>
      <c r="AJ781" s="25"/>
      <c r="AK781" s="25"/>
      <c r="AL781" s="25"/>
      <c r="AM781" s="25"/>
      <c r="AN781" s="25"/>
    </row>
    <row r="782" customFormat="false" ht="15.7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  <c r="AF782" s="25"/>
      <c r="AG782" s="25"/>
      <c r="AH782" s="25"/>
      <c r="AI782" s="25"/>
      <c r="AJ782" s="25"/>
      <c r="AK782" s="25"/>
      <c r="AL782" s="25"/>
      <c r="AM782" s="25"/>
      <c r="AN782" s="25"/>
    </row>
    <row r="783" customFormat="false" ht="15.7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  <c r="AF783" s="25"/>
      <c r="AG783" s="25"/>
      <c r="AH783" s="25"/>
      <c r="AI783" s="25"/>
      <c r="AJ783" s="25"/>
      <c r="AK783" s="25"/>
      <c r="AL783" s="25"/>
      <c r="AM783" s="25"/>
      <c r="AN783" s="25"/>
    </row>
    <row r="784" customFormat="false" ht="15.7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  <c r="AF784" s="25"/>
      <c r="AG784" s="25"/>
      <c r="AH784" s="25"/>
      <c r="AI784" s="25"/>
      <c r="AJ784" s="25"/>
      <c r="AK784" s="25"/>
      <c r="AL784" s="25"/>
      <c r="AM784" s="25"/>
      <c r="AN784" s="25"/>
    </row>
    <row r="785" customFormat="false" ht="15.7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  <c r="AF785" s="25"/>
      <c r="AG785" s="25"/>
      <c r="AH785" s="25"/>
      <c r="AI785" s="25"/>
      <c r="AJ785" s="25"/>
      <c r="AK785" s="25"/>
      <c r="AL785" s="25"/>
      <c r="AM785" s="25"/>
      <c r="AN785" s="25"/>
    </row>
    <row r="786" customFormat="false" ht="15.7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  <c r="AF786" s="25"/>
      <c r="AG786" s="25"/>
      <c r="AH786" s="25"/>
      <c r="AI786" s="25"/>
      <c r="AJ786" s="25"/>
      <c r="AK786" s="25"/>
      <c r="AL786" s="25"/>
      <c r="AM786" s="25"/>
      <c r="AN786" s="25"/>
    </row>
    <row r="787" customFormat="false" ht="15.7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  <c r="AF787" s="25"/>
      <c r="AG787" s="25"/>
      <c r="AH787" s="25"/>
      <c r="AI787" s="25"/>
      <c r="AJ787" s="25"/>
      <c r="AK787" s="25"/>
      <c r="AL787" s="25"/>
      <c r="AM787" s="25"/>
      <c r="AN787" s="25"/>
    </row>
    <row r="788" customFormat="false" ht="15.7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  <c r="AF788" s="25"/>
      <c r="AG788" s="25"/>
      <c r="AH788" s="25"/>
      <c r="AI788" s="25"/>
      <c r="AJ788" s="25"/>
      <c r="AK788" s="25"/>
      <c r="AL788" s="25"/>
      <c r="AM788" s="25"/>
      <c r="AN788" s="25"/>
    </row>
    <row r="789" customFormat="false" ht="15.7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  <c r="AF789" s="25"/>
      <c r="AG789" s="25"/>
      <c r="AH789" s="25"/>
      <c r="AI789" s="25"/>
      <c r="AJ789" s="25"/>
      <c r="AK789" s="25"/>
      <c r="AL789" s="25"/>
      <c r="AM789" s="25"/>
      <c r="AN789" s="25"/>
    </row>
    <row r="790" customFormat="false" ht="15.7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  <c r="AF790" s="25"/>
      <c r="AG790" s="25"/>
      <c r="AH790" s="25"/>
      <c r="AI790" s="25"/>
      <c r="AJ790" s="25"/>
      <c r="AK790" s="25"/>
      <c r="AL790" s="25"/>
      <c r="AM790" s="25"/>
      <c r="AN790" s="25"/>
    </row>
    <row r="791" customFormat="false" ht="15.7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  <c r="AF791" s="25"/>
      <c r="AG791" s="25"/>
      <c r="AH791" s="25"/>
      <c r="AI791" s="25"/>
      <c r="AJ791" s="25"/>
      <c r="AK791" s="25"/>
      <c r="AL791" s="25"/>
      <c r="AM791" s="25"/>
      <c r="AN791" s="25"/>
    </row>
    <row r="792" customFormat="false" ht="15.7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  <c r="AF792" s="25"/>
      <c r="AG792" s="25"/>
      <c r="AH792" s="25"/>
      <c r="AI792" s="25"/>
      <c r="AJ792" s="25"/>
      <c r="AK792" s="25"/>
      <c r="AL792" s="25"/>
      <c r="AM792" s="25"/>
      <c r="AN792" s="25"/>
    </row>
    <row r="793" customFormat="false" ht="15.7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  <c r="AF793" s="25"/>
      <c r="AG793" s="25"/>
      <c r="AH793" s="25"/>
      <c r="AI793" s="25"/>
      <c r="AJ793" s="25"/>
      <c r="AK793" s="25"/>
      <c r="AL793" s="25"/>
      <c r="AM793" s="25"/>
      <c r="AN793" s="25"/>
    </row>
    <row r="794" customFormat="false" ht="15.7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  <c r="AF794" s="25"/>
      <c r="AG794" s="25"/>
      <c r="AH794" s="25"/>
      <c r="AI794" s="25"/>
      <c r="AJ794" s="25"/>
      <c r="AK794" s="25"/>
      <c r="AL794" s="25"/>
      <c r="AM794" s="25"/>
      <c r="AN794" s="25"/>
    </row>
    <row r="795" customFormat="false" ht="15.7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  <c r="AF795" s="25"/>
      <c r="AG795" s="25"/>
      <c r="AH795" s="25"/>
      <c r="AI795" s="25"/>
      <c r="AJ795" s="25"/>
      <c r="AK795" s="25"/>
      <c r="AL795" s="25"/>
      <c r="AM795" s="25"/>
      <c r="AN795" s="25"/>
    </row>
    <row r="796" customFormat="false" ht="15.7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  <c r="AF796" s="25"/>
      <c r="AG796" s="25"/>
      <c r="AH796" s="25"/>
      <c r="AI796" s="25"/>
      <c r="AJ796" s="25"/>
      <c r="AK796" s="25"/>
      <c r="AL796" s="25"/>
      <c r="AM796" s="25"/>
      <c r="AN796" s="25"/>
    </row>
    <row r="797" customFormat="false" ht="15.7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  <c r="AF797" s="25"/>
      <c r="AG797" s="25"/>
      <c r="AH797" s="25"/>
      <c r="AI797" s="25"/>
      <c r="AJ797" s="25"/>
      <c r="AK797" s="25"/>
      <c r="AL797" s="25"/>
      <c r="AM797" s="25"/>
      <c r="AN797" s="25"/>
    </row>
    <row r="798" customFormat="false" ht="15.7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  <c r="AF798" s="25"/>
      <c r="AG798" s="25"/>
      <c r="AH798" s="25"/>
      <c r="AI798" s="25"/>
      <c r="AJ798" s="25"/>
      <c r="AK798" s="25"/>
      <c r="AL798" s="25"/>
      <c r="AM798" s="25"/>
      <c r="AN798" s="25"/>
    </row>
    <row r="799" customFormat="false" ht="15.7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  <c r="AF799" s="25"/>
      <c r="AG799" s="25"/>
      <c r="AH799" s="25"/>
      <c r="AI799" s="25"/>
      <c r="AJ799" s="25"/>
      <c r="AK799" s="25"/>
      <c r="AL799" s="25"/>
      <c r="AM799" s="25"/>
      <c r="AN799" s="25"/>
    </row>
    <row r="800" customFormat="false" ht="15.7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  <c r="AF800" s="25"/>
      <c r="AG800" s="25"/>
      <c r="AH800" s="25"/>
      <c r="AI800" s="25"/>
      <c r="AJ800" s="25"/>
      <c r="AK800" s="25"/>
      <c r="AL800" s="25"/>
      <c r="AM800" s="25"/>
      <c r="AN800" s="25"/>
    </row>
    <row r="801" customFormat="false" ht="15.7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  <c r="AF801" s="25"/>
      <c r="AG801" s="25"/>
      <c r="AH801" s="25"/>
      <c r="AI801" s="25"/>
      <c r="AJ801" s="25"/>
      <c r="AK801" s="25"/>
      <c r="AL801" s="25"/>
      <c r="AM801" s="25"/>
      <c r="AN801" s="25"/>
    </row>
    <row r="802" customFormat="false" ht="15.7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  <c r="AF802" s="25"/>
      <c r="AG802" s="25"/>
      <c r="AH802" s="25"/>
      <c r="AI802" s="25"/>
      <c r="AJ802" s="25"/>
      <c r="AK802" s="25"/>
      <c r="AL802" s="25"/>
      <c r="AM802" s="25"/>
      <c r="AN802" s="25"/>
    </row>
    <row r="803" customFormat="false" ht="15.7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  <c r="AF803" s="25"/>
      <c r="AG803" s="25"/>
      <c r="AH803" s="25"/>
      <c r="AI803" s="25"/>
      <c r="AJ803" s="25"/>
      <c r="AK803" s="25"/>
      <c r="AL803" s="25"/>
      <c r="AM803" s="25"/>
      <c r="AN803" s="25"/>
    </row>
    <row r="804" customFormat="false" ht="15.7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  <c r="AF804" s="25"/>
      <c r="AG804" s="25"/>
      <c r="AH804" s="25"/>
      <c r="AI804" s="25"/>
      <c r="AJ804" s="25"/>
      <c r="AK804" s="25"/>
      <c r="AL804" s="25"/>
      <c r="AM804" s="25"/>
      <c r="AN804" s="25"/>
    </row>
    <row r="805" customFormat="false" ht="15.7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  <c r="AF805" s="25"/>
      <c r="AG805" s="25"/>
      <c r="AH805" s="25"/>
      <c r="AI805" s="25"/>
      <c r="AJ805" s="25"/>
      <c r="AK805" s="25"/>
      <c r="AL805" s="25"/>
      <c r="AM805" s="25"/>
      <c r="AN805" s="25"/>
    </row>
    <row r="806" customFormat="false" ht="15.7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  <c r="AF806" s="25"/>
      <c r="AG806" s="25"/>
      <c r="AH806" s="25"/>
      <c r="AI806" s="25"/>
      <c r="AJ806" s="25"/>
      <c r="AK806" s="25"/>
      <c r="AL806" s="25"/>
      <c r="AM806" s="25"/>
      <c r="AN806" s="25"/>
    </row>
    <row r="807" customFormat="false" ht="15.7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  <c r="AF807" s="25"/>
      <c r="AG807" s="25"/>
      <c r="AH807" s="25"/>
      <c r="AI807" s="25"/>
      <c r="AJ807" s="25"/>
      <c r="AK807" s="25"/>
      <c r="AL807" s="25"/>
      <c r="AM807" s="25"/>
      <c r="AN807" s="25"/>
    </row>
    <row r="808" customFormat="false" ht="15.7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  <c r="AF808" s="25"/>
      <c r="AG808" s="25"/>
      <c r="AH808" s="25"/>
      <c r="AI808" s="25"/>
      <c r="AJ808" s="25"/>
      <c r="AK808" s="25"/>
      <c r="AL808" s="25"/>
      <c r="AM808" s="25"/>
      <c r="AN808" s="25"/>
    </row>
    <row r="809" customFormat="false" ht="15.7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  <c r="AF809" s="25"/>
      <c r="AG809" s="25"/>
      <c r="AH809" s="25"/>
      <c r="AI809" s="25"/>
      <c r="AJ809" s="25"/>
      <c r="AK809" s="25"/>
      <c r="AL809" s="25"/>
      <c r="AM809" s="25"/>
      <c r="AN809" s="25"/>
    </row>
    <row r="810" customFormat="false" ht="15.7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  <c r="AF810" s="25"/>
      <c r="AG810" s="25"/>
      <c r="AH810" s="25"/>
      <c r="AI810" s="25"/>
      <c r="AJ810" s="25"/>
      <c r="AK810" s="25"/>
      <c r="AL810" s="25"/>
      <c r="AM810" s="25"/>
      <c r="AN810" s="25"/>
    </row>
    <row r="811" customFormat="false" ht="15.7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  <c r="AF811" s="25"/>
      <c r="AG811" s="25"/>
      <c r="AH811" s="25"/>
      <c r="AI811" s="25"/>
      <c r="AJ811" s="25"/>
      <c r="AK811" s="25"/>
      <c r="AL811" s="25"/>
      <c r="AM811" s="25"/>
      <c r="AN811" s="25"/>
    </row>
    <row r="812" customFormat="false" ht="15.7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  <c r="AF812" s="25"/>
      <c r="AG812" s="25"/>
      <c r="AH812" s="25"/>
      <c r="AI812" s="25"/>
      <c r="AJ812" s="25"/>
      <c r="AK812" s="25"/>
      <c r="AL812" s="25"/>
      <c r="AM812" s="25"/>
      <c r="AN812" s="25"/>
    </row>
    <row r="813" customFormat="false" ht="15.7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  <c r="AF813" s="25"/>
      <c r="AG813" s="25"/>
      <c r="AH813" s="25"/>
      <c r="AI813" s="25"/>
      <c r="AJ813" s="25"/>
      <c r="AK813" s="25"/>
      <c r="AL813" s="25"/>
      <c r="AM813" s="25"/>
      <c r="AN813" s="25"/>
    </row>
    <row r="814" customFormat="false" ht="15.7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  <c r="AF814" s="25"/>
      <c r="AG814" s="25"/>
      <c r="AH814" s="25"/>
      <c r="AI814" s="25"/>
      <c r="AJ814" s="25"/>
      <c r="AK814" s="25"/>
      <c r="AL814" s="25"/>
      <c r="AM814" s="25"/>
      <c r="AN814" s="25"/>
    </row>
    <row r="815" customFormat="false" ht="15.7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  <c r="AF815" s="25"/>
      <c r="AG815" s="25"/>
      <c r="AH815" s="25"/>
      <c r="AI815" s="25"/>
      <c r="AJ815" s="25"/>
      <c r="AK815" s="25"/>
      <c r="AL815" s="25"/>
      <c r="AM815" s="25"/>
      <c r="AN815" s="25"/>
    </row>
    <row r="816" customFormat="false" ht="15.7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  <c r="AF816" s="25"/>
      <c r="AG816" s="25"/>
      <c r="AH816" s="25"/>
      <c r="AI816" s="25"/>
      <c r="AJ816" s="25"/>
      <c r="AK816" s="25"/>
      <c r="AL816" s="25"/>
      <c r="AM816" s="25"/>
      <c r="AN816" s="25"/>
    </row>
    <row r="817" customFormat="false" ht="15.7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  <c r="AF817" s="25"/>
      <c r="AG817" s="25"/>
      <c r="AH817" s="25"/>
      <c r="AI817" s="25"/>
      <c r="AJ817" s="25"/>
      <c r="AK817" s="25"/>
      <c r="AL817" s="25"/>
      <c r="AM817" s="25"/>
      <c r="AN817" s="25"/>
    </row>
    <row r="818" customFormat="false" ht="15.7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  <c r="AF818" s="25"/>
      <c r="AG818" s="25"/>
      <c r="AH818" s="25"/>
      <c r="AI818" s="25"/>
      <c r="AJ818" s="25"/>
      <c r="AK818" s="25"/>
      <c r="AL818" s="25"/>
      <c r="AM818" s="25"/>
      <c r="AN818" s="25"/>
    </row>
    <row r="819" customFormat="false" ht="15.7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  <c r="AF819" s="25"/>
      <c r="AG819" s="25"/>
      <c r="AH819" s="25"/>
      <c r="AI819" s="25"/>
      <c r="AJ819" s="25"/>
      <c r="AK819" s="25"/>
      <c r="AL819" s="25"/>
      <c r="AM819" s="25"/>
      <c r="AN819" s="25"/>
    </row>
    <row r="820" customFormat="false" ht="15.7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  <c r="AF820" s="25"/>
      <c r="AG820" s="25"/>
      <c r="AH820" s="25"/>
      <c r="AI820" s="25"/>
      <c r="AJ820" s="25"/>
      <c r="AK820" s="25"/>
      <c r="AL820" s="25"/>
      <c r="AM820" s="25"/>
      <c r="AN820" s="25"/>
    </row>
    <row r="821" customFormat="false" ht="15.7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  <c r="AF821" s="25"/>
      <c r="AG821" s="25"/>
      <c r="AH821" s="25"/>
      <c r="AI821" s="25"/>
      <c r="AJ821" s="25"/>
      <c r="AK821" s="25"/>
      <c r="AL821" s="25"/>
      <c r="AM821" s="25"/>
      <c r="AN821" s="25"/>
    </row>
    <row r="822" customFormat="false" ht="15.7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  <c r="AF822" s="25"/>
      <c r="AG822" s="25"/>
      <c r="AH822" s="25"/>
      <c r="AI822" s="25"/>
      <c r="AJ822" s="25"/>
      <c r="AK822" s="25"/>
      <c r="AL822" s="25"/>
      <c r="AM822" s="25"/>
      <c r="AN822" s="25"/>
    </row>
    <row r="823" customFormat="false" ht="15.7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  <c r="AF823" s="25"/>
      <c r="AG823" s="25"/>
      <c r="AH823" s="25"/>
      <c r="AI823" s="25"/>
      <c r="AJ823" s="25"/>
      <c r="AK823" s="25"/>
      <c r="AL823" s="25"/>
      <c r="AM823" s="25"/>
      <c r="AN823" s="25"/>
    </row>
    <row r="824" customFormat="false" ht="15.7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  <c r="AF824" s="25"/>
      <c r="AG824" s="25"/>
      <c r="AH824" s="25"/>
      <c r="AI824" s="25"/>
      <c r="AJ824" s="25"/>
      <c r="AK824" s="25"/>
      <c r="AL824" s="25"/>
      <c r="AM824" s="25"/>
      <c r="AN824" s="25"/>
    </row>
    <row r="825" customFormat="false" ht="15.7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  <c r="AF825" s="25"/>
      <c r="AG825" s="25"/>
      <c r="AH825" s="25"/>
      <c r="AI825" s="25"/>
      <c r="AJ825" s="25"/>
      <c r="AK825" s="25"/>
      <c r="AL825" s="25"/>
      <c r="AM825" s="25"/>
      <c r="AN825" s="25"/>
    </row>
    <row r="826" customFormat="false" ht="15.7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  <c r="AF826" s="25"/>
      <c r="AG826" s="25"/>
      <c r="AH826" s="25"/>
      <c r="AI826" s="25"/>
      <c r="AJ826" s="25"/>
      <c r="AK826" s="25"/>
      <c r="AL826" s="25"/>
      <c r="AM826" s="25"/>
      <c r="AN826" s="25"/>
    </row>
    <row r="827" customFormat="false" ht="15.7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  <c r="AF827" s="25"/>
      <c r="AG827" s="25"/>
      <c r="AH827" s="25"/>
      <c r="AI827" s="25"/>
      <c r="AJ827" s="25"/>
      <c r="AK827" s="25"/>
      <c r="AL827" s="25"/>
      <c r="AM827" s="25"/>
      <c r="AN827" s="25"/>
    </row>
    <row r="828" customFormat="false" ht="15.7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  <c r="AF828" s="25"/>
      <c r="AG828" s="25"/>
      <c r="AH828" s="25"/>
      <c r="AI828" s="25"/>
      <c r="AJ828" s="25"/>
      <c r="AK828" s="25"/>
      <c r="AL828" s="25"/>
      <c r="AM828" s="25"/>
      <c r="AN828" s="25"/>
    </row>
    <row r="829" customFormat="false" ht="15.7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  <c r="AF829" s="25"/>
      <c r="AG829" s="25"/>
      <c r="AH829" s="25"/>
      <c r="AI829" s="25"/>
      <c r="AJ829" s="25"/>
      <c r="AK829" s="25"/>
      <c r="AL829" s="25"/>
      <c r="AM829" s="25"/>
      <c r="AN829" s="25"/>
    </row>
    <row r="830" customFormat="false" ht="15.7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  <c r="AF830" s="25"/>
      <c r="AG830" s="25"/>
      <c r="AH830" s="25"/>
      <c r="AI830" s="25"/>
      <c r="AJ830" s="25"/>
      <c r="AK830" s="25"/>
      <c r="AL830" s="25"/>
      <c r="AM830" s="25"/>
      <c r="AN830" s="25"/>
    </row>
    <row r="831" customFormat="false" ht="15.7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  <c r="AF831" s="25"/>
      <c r="AG831" s="25"/>
      <c r="AH831" s="25"/>
      <c r="AI831" s="25"/>
      <c r="AJ831" s="25"/>
      <c r="AK831" s="25"/>
      <c r="AL831" s="25"/>
      <c r="AM831" s="25"/>
      <c r="AN831" s="25"/>
    </row>
    <row r="832" customFormat="false" ht="15.7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  <c r="AF832" s="25"/>
      <c r="AG832" s="25"/>
      <c r="AH832" s="25"/>
      <c r="AI832" s="25"/>
      <c r="AJ832" s="25"/>
      <c r="AK832" s="25"/>
      <c r="AL832" s="25"/>
      <c r="AM832" s="25"/>
      <c r="AN832" s="25"/>
    </row>
    <row r="833" customFormat="false" ht="15.7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  <c r="AF833" s="25"/>
      <c r="AG833" s="25"/>
      <c r="AH833" s="25"/>
      <c r="AI833" s="25"/>
      <c r="AJ833" s="25"/>
      <c r="AK833" s="25"/>
      <c r="AL833" s="25"/>
      <c r="AM833" s="25"/>
      <c r="AN833" s="25"/>
    </row>
    <row r="834" customFormat="false" ht="15.7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  <c r="AF834" s="25"/>
      <c r="AG834" s="25"/>
      <c r="AH834" s="25"/>
      <c r="AI834" s="25"/>
      <c r="AJ834" s="25"/>
      <c r="AK834" s="25"/>
      <c r="AL834" s="25"/>
      <c r="AM834" s="25"/>
      <c r="AN834" s="25"/>
    </row>
    <row r="835" customFormat="false" ht="15.7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  <c r="AF835" s="25"/>
      <c r="AG835" s="25"/>
      <c r="AH835" s="25"/>
      <c r="AI835" s="25"/>
      <c r="AJ835" s="25"/>
      <c r="AK835" s="25"/>
      <c r="AL835" s="25"/>
      <c r="AM835" s="25"/>
      <c r="AN835" s="25"/>
    </row>
    <row r="836" customFormat="false" ht="15.7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  <c r="AF836" s="25"/>
      <c r="AG836" s="25"/>
      <c r="AH836" s="25"/>
      <c r="AI836" s="25"/>
      <c r="AJ836" s="25"/>
      <c r="AK836" s="25"/>
      <c r="AL836" s="25"/>
      <c r="AM836" s="25"/>
      <c r="AN836" s="25"/>
    </row>
    <row r="837" customFormat="false" ht="15.7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  <c r="AF837" s="25"/>
      <c r="AG837" s="25"/>
      <c r="AH837" s="25"/>
      <c r="AI837" s="25"/>
      <c r="AJ837" s="25"/>
      <c r="AK837" s="25"/>
      <c r="AL837" s="25"/>
      <c r="AM837" s="25"/>
      <c r="AN837" s="25"/>
    </row>
    <row r="838" customFormat="false" ht="15.7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  <c r="AF838" s="25"/>
      <c r="AG838" s="25"/>
      <c r="AH838" s="25"/>
      <c r="AI838" s="25"/>
      <c r="AJ838" s="25"/>
      <c r="AK838" s="25"/>
      <c r="AL838" s="25"/>
      <c r="AM838" s="25"/>
      <c r="AN838" s="25"/>
    </row>
    <row r="839" customFormat="false" ht="15.7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  <c r="AF839" s="25"/>
      <c r="AG839" s="25"/>
      <c r="AH839" s="25"/>
      <c r="AI839" s="25"/>
      <c r="AJ839" s="25"/>
      <c r="AK839" s="25"/>
      <c r="AL839" s="25"/>
      <c r="AM839" s="25"/>
      <c r="AN839" s="25"/>
    </row>
    <row r="840" customFormat="false" ht="15.7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  <c r="AF840" s="25"/>
      <c r="AG840" s="25"/>
      <c r="AH840" s="25"/>
      <c r="AI840" s="25"/>
      <c r="AJ840" s="25"/>
      <c r="AK840" s="25"/>
      <c r="AL840" s="25"/>
      <c r="AM840" s="25"/>
      <c r="AN840" s="25"/>
    </row>
    <row r="841" customFormat="false" ht="15.7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  <c r="AF841" s="25"/>
      <c r="AG841" s="25"/>
      <c r="AH841" s="25"/>
      <c r="AI841" s="25"/>
      <c r="AJ841" s="25"/>
      <c r="AK841" s="25"/>
      <c r="AL841" s="25"/>
      <c r="AM841" s="25"/>
      <c r="AN841" s="25"/>
    </row>
    <row r="842" customFormat="false" ht="15.7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  <c r="AF842" s="25"/>
      <c r="AG842" s="25"/>
      <c r="AH842" s="25"/>
      <c r="AI842" s="25"/>
      <c r="AJ842" s="25"/>
      <c r="AK842" s="25"/>
      <c r="AL842" s="25"/>
      <c r="AM842" s="25"/>
      <c r="AN842" s="25"/>
    </row>
    <row r="843" customFormat="false" ht="15.7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  <c r="AF843" s="25"/>
      <c r="AG843" s="25"/>
      <c r="AH843" s="25"/>
      <c r="AI843" s="25"/>
      <c r="AJ843" s="25"/>
      <c r="AK843" s="25"/>
      <c r="AL843" s="25"/>
      <c r="AM843" s="25"/>
      <c r="AN843" s="25"/>
    </row>
    <row r="844" customFormat="false" ht="15.7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  <c r="AF844" s="25"/>
      <c r="AG844" s="25"/>
      <c r="AH844" s="25"/>
      <c r="AI844" s="25"/>
      <c r="AJ844" s="25"/>
      <c r="AK844" s="25"/>
      <c r="AL844" s="25"/>
      <c r="AM844" s="25"/>
      <c r="AN844" s="25"/>
    </row>
    <row r="845" customFormat="false" ht="15.7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  <c r="AF845" s="25"/>
      <c r="AG845" s="25"/>
      <c r="AH845" s="25"/>
      <c r="AI845" s="25"/>
      <c r="AJ845" s="25"/>
      <c r="AK845" s="25"/>
      <c r="AL845" s="25"/>
      <c r="AM845" s="25"/>
      <c r="AN845" s="25"/>
    </row>
    <row r="846" customFormat="false" ht="15.7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  <c r="AF846" s="25"/>
      <c r="AG846" s="25"/>
      <c r="AH846" s="25"/>
      <c r="AI846" s="25"/>
      <c r="AJ846" s="25"/>
      <c r="AK846" s="25"/>
      <c r="AL846" s="25"/>
      <c r="AM846" s="25"/>
      <c r="AN846" s="25"/>
    </row>
    <row r="847" customFormat="false" ht="15.7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  <c r="AF847" s="25"/>
      <c r="AG847" s="25"/>
      <c r="AH847" s="25"/>
      <c r="AI847" s="25"/>
      <c r="AJ847" s="25"/>
      <c r="AK847" s="25"/>
      <c r="AL847" s="25"/>
      <c r="AM847" s="25"/>
      <c r="AN847" s="25"/>
    </row>
    <row r="848" customFormat="false" ht="15.7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  <c r="AF848" s="25"/>
      <c r="AG848" s="25"/>
      <c r="AH848" s="25"/>
      <c r="AI848" s="25"/>
      <c r="AJ848" s="25"/>
      <c r="AK848" s="25"/>
      <c r="AL848" s="25"/>
      <c r="AM848" s="25"/>
      <c r="AN848" s="25"/>
    </row>
    <row r="849" customFormat="false" ht="15.7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  <c r="AF849" s="25"/>
      <c r="AG849" s="25"/>
      <c r="AH849" s="25"/>
      <c r="AI849" s="25"/>
      <c r="AJ849" s="25"/>
      <c r="AK849" s="25"/>
      <c r="AL849" s="25"/>
      <c r="AM849" s="25"/>
      <c r="AN849" s="25"/>
    </row>
    <row r="850" customFormat="false" ht="15.7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  <c r="AF850" s="25"/>
      <c r="AG850" s="25"/>
      <c r="AH850" s="25"/>
      <c r="AI850" s="25"/>
      <c r="AJ850" s="25"/>
      <c r="AK850" s="25"/>
      <c r="AL850" s="25"/>
      <c r="AM850" s="25"/>
      <c r="AN850" s="25"/>
    </row>
    <row r="851" customFormat="false" ht="15.7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  <c r="AF851" s="25"/>
      <c r="AG851" s="25"/>
      <c r="AH851" s="25"/>
      <c r="AI851" s="25"/>
      <c r="AJ851" s="25"/>
      <c r="AK851" s="25"/>
      <c r="AL851" s="25"/>
      <c r="AM851" s="25"/>
      <c r="AN851" s="25"/>
    </row>
    <row r="852" customFormat="false" ht="15.7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  <c r="AF852" s="25"/>
      <c r="AG852" s="25"/>
      <c r="AH852" s="25"/>
      <c r="AI852" s="25"/>
      <c r="AJ852" s="25"/>
      <c r="AK852" s="25"/>
      <c r="AL852" s="25"/>
      <c r="AM852" s="25"/>
      <c r="AN852" s="25"/>
    </row>
    <row r="853" customFormat="false" ht="15.7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  <c r="AF853" s="25"/>
      <c r="AG853" s="25"/>
      <c r="AH853" s="25"/>
      <c r="AI853" s="25"/>
      <c r="AJ853" s="25"/>
      <c r="AK853" s="25"/>
      <c r="AL853" s="25"/>
      <c r="AM853" s="25"/>
      <c r="AN853" s="25"/>
    </row>
    <row r="854" customFormat="false" ht="15.7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  <c r="AF854" s="25"/>
      <c r="AG854" s="25"/>
      <c r="AH854" s="25"/>
      <c r="AI854" s="25"/>
      <c r="AJ854" s="25"/>
      <c r="AK854" s="25"/>
      <c r="AL854" s="25"/>
      <c r="AM854" s="25"/>
      <c r="AN854" s="25"/>
    </row>
    <row r="855" customFormat="false" ht="15.7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  <c r="AF855" s="25"/>
      <c r="AG855" s="25"/>
      <c r="AH855" s="25"/>
      <c r="AI855" s="25"/>
      <c r="AJ855" s="25"/>
      <c r="AK855" s="25"/>
      <c r="AL855" s="25"/>
      <c r="AM855" s="25"/>
      <c r="AN855" s="25"/>
    </row>
    <row r="856" customFormat="false" ht="15.7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  <c r="AF856" s="25"/>
      <c r="AG856" s="25"/>
      <c r="AH856" s="25"/>
      <c r="AI856" s="25"/>
      <c r="AJ856" s="25"/>
      <c r="AK856" s="25"/>
      <c r="AL856" s="25"/>
      <c r="AM856" s="25"/>
      <c r="AN856" s="25"/>
    </row>
    <row r="857" customFormat="false" ht="15.7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  <c r="AF857" s="25"/>
      <c r="AG857" s="25"/>
      <c r="AH857" s="25"/>
      <c r="AI857" s="25"/>
      <c r="AJ857" s="25"/>
      <c r="AK857" s="25"/>
      <c r="AL857" s="25"/>
      <c r="AM857" s="25"/>
      <c r="AN857" s="25"/>
    </row>
    <row r="858" customFormat="false" ht="15.7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  <c r="AF858" s="25"/>
      <c r="AG858" s="25"/>
      <c r="AH858" s="25"/>
      <c r="AI858" s="25"/>
      <c r="AJ858" s="25"/>
      <c r="AK858" s="25"/>
      <c r="AL858" s="25"/>
      <c r="AM858" s="25"/>
      <c r="AN858" s="25"/>
    </row>
    <row r="859" customFormat="false" ht="15.7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  <c r="AF859" s="25"/>
      <c r="AG859" s="25"/>
      <c r="AH859" s="25"/>
      <c r="AI859" s="25"/>
      <c r="AJ859" s="25"/>
      <c r="AK859" s="25"/>
      <c r="AL859" s="25"/>
      <c r="AM859" s="25"/>
      <c r="AN859" s="25"/>
    </row>
    <row r="860" customFormat="false" ht="15.7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  <c r="AF860" s="25"/>
      <c r="AG860" s="25"/>
      <c r="AH860" s="25"/>
      <c r="AI860" s="25"/>
      <c r="AJ860" s="25"/>
      <c r="AK860" s="25"/>
      <c r="AL860" s="25"/>
      <c r="AM860" s="25"/>
      <c r="AN860" s="25"/>
    </row>
    <row r="861" customFormat="false" ht="15.7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  <c r="AF861" s="25"/>
      <c r="AG861" s="25"/>
      <c r="AH861" s="25"/>
      <c r="AI861" s="25"/>
      <c r="AJ861" s="25"/>
      <c r="AK861" s="25"/>
      <c r="AL861" s="25"/>
      <c r="AM861" s="25"/>
      <c r="AN861" s="25"/>
    </row>
    <row r="862" customFormat="false" ht="15.7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  <c r="AF862" s="25"/>
      <c r="AG862" s="25"/>
      <c r="AH862" s="25"/>
      <c r="AI862" s="25"/>
      <c r="AJ862" s="25"/>
      <c r="AK862" s="25"/>
      <c r="AL862" s="25"/>
      <c r="AM862" s="25"/>
      <c r="AN862" s="25"/>
    </row>
    <row r="863" customFormat="false" ht="15.7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  <c r="AF863" s="25"/>
      <c r="AG863" s="25"/>
      <c r="AH863" s="25"/>
      <c r="AI863" s="25"/>
      <c r="AJ863" s="25"/>
      <c r="AK863" s="25"/>
      <c r="AL863" s="25"/>
      <c r="AM863" s="25"/>
      <c r="AN863" s="25"/>
    </row>
    <row r="864" customFormat="false" ht="15.7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  <c r="AF864" s="25"/>
      <c r="AG864" s="25"/>
      <c r="AH864" s="25"/>
      <c r="AI864" s="25"/>
      <c r="AJ864" s="25"/>
      <c r="AK864" s="25"/>
      <c r="AL864" s="25"/>
      <c r="AM864" s="25"/>
      <c r="AN864" s="25"/>
    </row>
    <row r="865" customFormat="false" ht="15.7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  <c r="AF865" s="25"/>
      <c r="AG865" s="25"/>
      <c r="AH865" s="25"/>
      <c r="AI865" s="25"/>
      <c r="AJ865" s="25"/>
      <c r="AK865" s="25"/>
      <c r="AL865" s="25"/>
      <c r="AM865" s="25"/>
      <c r="AN865" s="25"/>
    </row>
    <row r="866" customFormat="false" ht="15.7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  <c r="AF866" s="25"/>
      <c r="AG866" s="25"/>
      <c r="AH866" s="25"/>
      <c r="AI866" s="25"/>
      <c r="AJ866" s="25"/>
      <c r="AK866" s="25"/>
      <c r="AL866" s="25"/>
      <c r="AM866" s="25"/>
      <c r="AN866" s="25"/>
    </row>
    <row r="867" customFormat="false" ht="15.7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  <c r="AF867" s="25"/>
      <c r="AG867" s="25"/>
      <c r="AH867" s="25"/>
      <c r="AI867" s="25"/>
      <c r="AJ867" s="25"/>
      <c r="AK867" s="25"/>
      <c r="AL867" s="25"/>
      <c r="AM867" s="25"/>
      <c r="AN867" s="25"/>
    </row>
    <row r="868" customFormat="false" ht="15.7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  <c r="AF868" s="25"/>
      <c r="AG868" s="25"/>
      <c r="AH868" s="25"/>
      <c r="AI868" s="25"/>
      <c r="AJ868" s="25"/>
      <c r="AK868" s="25"/>
      <c r="AL868" s="25"/>
      <c r="AM868" s="25"/>
      <c r="AN868" s="25"/>
    </row>
    <row r="869" customFormat="false" ht="15.7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  <c r="AF869" s="25"/>
      <c r="AG869" s="25"/>
      <c r="AH869" s="25"/>
      <c r="AI869" s="25"/>
      <c r="AJ869" s="25"/>
      <c r="AK869" s="25"/>
      <c r="AL869" s="25"/>
      <c r="AM869" s="25"/>
      <c r="AN869" s="25"/>
    </row>
    <row r="870" customFormat="false" ht="15.7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  <c r="AF870" s="25"/>
      <c r="AG870" s="25"/>
      <c r="AH870" s="25"/>
      <c r="AI870" s="25"/>
      <c r="AJ870" s="25"/>
      <c r="AK870" s="25"/>
      <c r="AL870" s="25"/>
      <c r="AM870" s="25"/>
      <c r="AN870" s="25"/>
    </row>
    <row r="871" customFormat="false" ht="15.7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  <c r="AF871" s="25"/>
      <c r="AG871" s="25"/>
      <c r="AH871" s="25"/>
      <c r="AI871" s="25"/>
      <c r="AJ871" s="25"/>
      <c r="AK871" s="25"/>
      <c r="AL871" s="25"/>
      <c r="AM871" s="25"/>
      <c r="AN871" s="25"/>
    </row>
    <row r="872" customFormat="false" ht="15.7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  <c r="AF872" s="25"/>
      <c r="AG872" s="25"/>
      <c r="AH872" s="25"/>
      <c r="AI872" s="25"/>
      <c r="AJ872" s="25"/>
      <c r="AK872" s="25"/>
      <c r="AL872" s="25"/>
      <c r="AM872" s="25"/>
      <c r="AN872" s="25"/>
    </row>
    <row r="873" customFormat="false" ht="15.7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  <c r="AF873" s="25"/>
      <c r="AG873" s="25"/>
      <c r="AH873" s="25"/>
      <c r="AI873" s="25"/>
      <c r="AJ873" s="25"/>
      <c r="AK873" s="25"/>
      <c r="AL873" s="25"/>
      <c r="AM873" s="25"/>
      <c r="AN873" s="25"/>
    </row>
    <row r="874" customFormat="false" ht="15.7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  <c r="AF874" s="25"/>
      <c r="AG874" s="25"/>
      <c r="AH874" s="25"/>
      <c r="AI874" s="25"/>
      <c r="AJ874" s="25"/>
      <c r="AK874" s="25"/>
      <c r="AL874" s="25"/>
      <c r="AM874" s="25"/>
      <c r="AN874" s="25"/>
    </row>
    <row r="875" customFormat="false" ht="15.7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  <c r="AF875" s="25"/>
      <c r="AG875" s="25"/>
      <c r="AH875" s="25"/>
      <c r="AI875" s="25"/>
      <c r="AJ875" s="25"/>
      <c r="AK875" s="25"/>
      <c r="AL875" s="25"/>
      <c r="AM875" s="25"/>
      <c r="AN875" s="25"/>
    </row>
    <row r="876" customFormat="false" ht="15.7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  <c r="AF876" s="25"/>
      <c r="AG876" s="25"/>
      <c r="AH876" s="25"/>
      <c r="AI876" s="25"/>
      <c r="AJ876" s="25"/>
      <c r="AK876" s="25"/>
      <c r="AL876" s="25"/>
      <c r="AM876" s="25"/>
      <c r="AN876" s="25"/>
    </row>
    <row r="877" customFormat="false" ht="15.7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  <c r="AF877" s="25"/>
      <c r="AG877" s="25"/>
      <c r="AH877" s="25"/>
      <c r="AI877" s="25"/>
      <c r="AJ877" s="25"/>
      <c r="AK877" s="25"/>
      <c r="AL877" s="25"/>
      <c r="AM877" s="25"/>
      <c r="AN877" s="25"/>
    </row>
    <row r="878" customFormat="false" ht="15.7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  <c r="AF878" s="25"/>
      <c r="AG878" s="25"/>
      <c r="AH878" s="25"/>
      <c r="AI878" s="25"/>
      <c r="AJ878" s="25"/>
      <c r="AK878" s="25"/>
      <c r="AL878" s="25"/>
      <c r="AM878" s="25"/>
      <c r="AN878" s="25"/>
    </row>
    <row r="879" customFormat="false" ht="15.7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  <c r="AF879" s="25"/>
      <c r="AG879" s="25"/>
      <c r="AH879" s="25"/>
      <c r="AI879" s="25"/>
      <c r="AJ879" s="25"/>
      <c r="AK879" s="25"/>
      <c r="AL879" s="25"/>
      <c r="AM879" s="25"/>
      <c r="AN879" s="25"/>
    </row>
    <row r="880" customFormat="false" ht="15.7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  <c r="AF880" s="25"/>
      <c r="AG880" s="25"/>
      <c r="AH880" s="25"/>
      <c r="AI880" s="25"/>
      <c r="AJ880" s="25"/>
      <c r="AK880" s="25"/>
      <c r="AL880" s="25"/>
      <c r="AM880" s="25"/>
      <c r="AN880" s="25"/>
    </row>
    <row r="881" customFormat="false" ht="15.7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  <c r="AF881" s="25"/>
      <c r="AG881" s="25"/>
      <c r="AH881" s="25"/>
      <c r="AI881" s="25"/>
      <c r="AJ881" s="25"/>
      <c r="AK881" s="25"/>
      <c r="AL881" s="25"/>
      <c r="AM881" s="25"/>
      <c r="AN881" s="25"/>
    </row>
    <row r="882" customFormat="false" ht="15.7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  <c r="AF882" s="25"/>
      <c r="AG882" s="25"/>
      <c r="AH882" s="25"/>
      <c r="AI882" s="25"/>
      <c r="AJ882" s="25"/>
      <c r="AK882" s="25"/>
      <c r="AL882" s="25"/>
      <c r="AM882" s="25"/>
      <c r="AN882" s="25"/>
    </row>
    <row r="883" customFormat="false" ht="15.7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  <c r="AF883" s="25"/>
      <c r="AG883" s="25"/>
      <c r="AH883" s="25"/>
      <c r="AI883" s="25"/>
      <c r="AJ883" s="25"/>
      <c r="AK883" s="25"/>
      <c r="AL883" s="25"/>
      <c r="AM883" s="25"/>
      <c r="AN883" s="25"/>
    </row>
    <row r="884" customFormat="false" ht="15.7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  <c r="AF884" s="25"/>
      <c r="AG884" s="25"/>
      <c r="AH884" s="25"/>
      <c r="AI884" s="25"/>
      <c r="AJ884" s="25"/>
      <c r="AK884" s="25"/>
      <c r="AL884" s="25"/>
      <c r="AM884" s="25"/>
      <c r="AN884" s="25"/>
    </row>
    <row r="885" customFormat="false" ht="15.7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  <c r="AF885" s="25"/>
      <c r="AG885" s="25"/>
      <c r="AH885" s="25"/>
      <c r="AI885" s="25"/>
      <c r="AJ885" s="25"/>
      <c r="AK885" s="25"/>
      <c r="AL885" s="25"/>
      <c r="AM885" s="25"/>
      <c r="AN885" s="25"/>
    </row>
    <row r="886" customFormat="false" ht="15.7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  <c r="AF886" s="25"/>
      <c r="AG886" s="25"/>
      <c r="AH886" s="25"/>
      <c r="AI886" s="25"/>
      <c r="AJ886" s="25"/>
      <c r="AK886" s="25"/>
      <c r="AL886" s="25"/>
      <c r="AM886" s="25"/>
      <c r="AN886" s="25"/>
    </row>
    <row r="887" customFormat="false" ht="15.7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  <c r="AF887" s="25"/>
      <c r="AG887" s="25"/>
      <c r="AH887" s="25"/>
      <c r="AI887" s="25"/>
      <c r="AJ887" s="25"/>
      <c r="AK887" s="25"/>
      <c r="AL887" s="25"/>
      <c r="AM887" s="25"/>
      <c r="AN887" s="25"/>
    </row>
    <row r="888" customFormat="false" ht="15.7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  <c r="AF888" s="25"/>
      <c r="AG888" s="25"/>
      <c r="AH888" s="25"/>
      <c r="AI888" s="25"/>
      <c r="AJ888" s="25"/>
      <c r="AK888" s="25"/>
      <c r="AL888" s="25"/>
      <c r="AM888" s="25"/>
      <c r="AN888" s="25"/>
    </row>
    <row r="889" customFormat="false" ht="15.7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  <c r="AF889" s="25"/>
      <c r="AG889" s="25"/>
      <c r="AH889" s="25"/>
      <c r="AI889" s="25"/>
      <c r="AJ889" s="25"/>
      <c r="AK889" s="25"/>
      <c r="AL889" s="25"/>
      <c r="AM889" s="25"/>
      <c r="AN889" s="25"/>
    </row>
    <row r="890" customFormat="false" ht="15.7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  <c r="AF890" s="25"/>
      <c r="AG890" s="25"/>
      <c r="AH890" s="25"/>
      <c r="AI890" s="25"/>
      <c r="AJ890" s="25"/>
      <c r="AK890" s="25"/>
      <c r="AL890" s="25"/>
      <c r="AM890" s="25"/>
      <c r="AN890" s="25"/>
    </row>
    <row r="891" customFormat="false" ht="15.7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  <c r="AF891" s="25"/>
      <c r="AG891" s="25"/>
      <c r="AH891" s="25"/>
      <c r="AI891" s="25"/>
      <c r="AJ891" s="25"/>
      <c r="AK891" s="25"/>
      <c r="AL891" s="25"/>
      <c r="AM891" s="25"/>
      <c r="AN891" s="25"/>
    </row>
    <row r="892" customFormat="false" ht="15.7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  <c r="AF892" s="25"/>
      <c r="AG892" s="25"/>
      <c r="AH892" s="25"/>
      <c r="AI892" s="25"/>
      <c r="AJ892" s="25"/>
      <c r="AK892" s="25"/>
      <c r="AL892" s="25"/>
      <c r="AM892" s="25"/>
      <c r="AN892" s="25"/>
    </row>
    <row r="893" customFormat="false" ht="15.7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  <c r="AF893" s="25"/>
      <c r="AG893" s="25"/>
      <c r="AH893" s="25"/>
      <c r="AI893" s="25"/>
      <c r="AJ893" s="25"/>
      <c r="AK893" s="25"/>
      <c r="AL893" s="25"/>
      <c r="AM893" s="25"/>
      <c r="AN893" s="25"/>
    </row>
    <row r="894" customFormat="false" ht="15.7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  <c r="AF894" s="25"/>
      <c r="AG894" s="25"/>
      <c r="AH894" s="25"/>
      <c r="AI894" s="25"/>
      <c r="AJ894" s="25"/>
      <c r="AK894" s="25"/>
      <c r="AL894" s="25"/>
      <c r="AM894" s="25"/>
      <c r="AN894" s="25"/>
    </row>
    <row r="895" customFormat="false" ht="15.7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  <c r="AF895" s="25"/>
      <c r="AG895" s="25"/>
      <c r="AH895" s="25"/>
      <c r="AI895" s="25"/>
      <c r="AJ895" s="25"/>
      <c r="AK895" s="25"/>
      <c r="AL895" s="25"/>
      <c r="AM895" s="25"/>
      <c r="AN895" s="25"/>
    </row>
    <row r="896" customFormat="false" ht="15.7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  <c r="AF896" s="25"/>
      <c r="AG896" s="25"/>
      <c r="AH896" s="25"/>
      <c r="AI896" s="25"/>
      <c r="AJ896" s="25"/>
      <c r="AK896" s="25"/>
      <c r="AL896" s="25"/>
      <c r="AM896" s="25"/>
      <c r="AN896" s="25"/>
    </row>
    <row r="897" customFormat="false" ht="15.7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  <c r="AF897" s="25"/>
      <c r="AG897" s="25"/>
      <c r="AH897" s="25"/>
      <c r="AI897" s="25"/>
      <c r="AJ897" s="25"/>
      <c r="AK897" s="25"/>
      <c r="AL897" s="25"/>
      <c r="AM897" s="25"/>
      <c r="AN897" s="25"/>
    </row>
    <row r="898" customFormat="false" ht="15.7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  <c r="AF898" s="25"/>
      <c r="AG898" s="25"/>
      <c r="AH898" s="25"/>
      <c r="AI898" s="25"/>
      <c r="AJ898" s="25"/>
      <c r="AK898" s="25"/>
      <c r="AL898" s="25"/>
      <c r="AM898" s="25"/>
      <c r="AN898" s="25"/>
    </row>
    <row r="899" customFormat="false" ht="15.7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  <c r="AF899" s="25"/>
      <c r="AG899" s="25"/>
      <c r="AH899" s="25"/>
      <c r="AI899" s="25"/>
      <c r="AJ899" s="25"/>
      <c r="AK899" s="25"/>
      <c r="AL899" s="25"/>
      <c r="AM899" s="25"/>
      <c r="AN899" s="25"/>
    </row>
    <row r="900" customFormat="false" ht="15.7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  <c r="AF900" s="25"/>
      <c r="AG900" s="25"/>
      <c r="AH900" s="25"/>
      <c r="AI900" s="25"/>
      <c r="AJ900" s="25"/>
      <c r="AK900" s="25"/>
      <c r="AL900" s="25"/>
      <c r="AM900" s="25"/>
      <c r="AN900" s="25"/>
    </row>
    <row r="901" customFormat="false" ht="15.7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  <c r="AF901" s="25"/>
      <c r="AG901" s="25"/>
      <c r="AH901" s="25"/>
      <c r="AI901" s="25"/>
      <c r="AJ901" s="25"/>
      <c r="AK901" s="25"/>
      <c r="AL901" s="25"/>
      <c r="AM901" s="25"/>
      <c r="AN901" s="25"/>
    </row>
    <row r="902" customFormat="false" ht="15.7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  <c r="AF902" s="25"/>
      <c r="AG902" s="25"/>
      <c r="AH902" s="25"/>
      <c r="AI902" s="25"/>
      <c r="AJ902" s="25"/>
      <c r="AK902" s="25"/>
      <c r="AL902" s="25"/>
      <c r="AM902" s="25"/>
      <c r="AN902" s="25"/>
    </row>
    <row r="903" customFormat="false" ht="15.7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  <c r="AF903" s="25"/>
      <c r="AG903" s="25"/>
      <c r="AH903" s="25"/>
      <c r="AI903" s="25"/>
      <c r="AJ903" s="25"/>
      <c r="AK903" s="25"/>
      <c r="AL903" s="25"/>
      <c r="AM903" s="25"/>
      <c r="AN903" s="25"/>
    </row>
    <row r="904" customFormat="false" ht="15.7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  <c r="AF904" s="25"/>
      <c r="AG904" s="25"/>
      <c r="AH904" s="25"/>
      <c r="AI904" s="25"/>
      <c r="AJ904" s="25"/>
      <c r="AK904" s="25"/>
      <c r="AL904" s="25"/>
      <c r="AM904" s="25"/>
      <c r="AN904" s="25"/>
    </row>
    <row r="905" customFormat="false" ht="15.7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  <c r="AF905" s="25"/>
      <c r="AG905" s="25"/>
      <c r="AH905" s="25"/>
      <c r="AI905" s="25"/>
      <c r="AJ905" s="25"/>
      <c r="AK905" s="25"/>
      <c r="AL905" s="25"/>
      <c r="AM905" s="25"/>
      <c r="AN905" s="25"/>
    </row>
    <row r="906" customFormat="false" ht="15.7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  <c r="AF906" s="25"/>
      <c r="AG906" s="25"/>
      <c r="AH906" s="25"/>
      <c r="AI906" s="25"/>
      <c r="AJ906" s="25"/>
      <c r="AK906" s="25"/>
      <c r="AL906" s="25"/>
      <c r="AM906" s="25"/>
      <c r="AN906" s="25"/>
    </row>
    <row r="907" customFormat="false" ht="15.7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  <c r="AF907" s="25"/>
      <c r="AG907" s="25"/>
      <c r="AH907" s="25"/>
      <c r="AI907" s="25"/>
      <c r="AJ907" s="25"/>
      <c r="AK907" s="25"/>
      <c r="AL907" s="25"/>
      <c r="AM907" s="25"/>
      <c r="AN907" s="25"/>
    </row>
    <row r="908" customFormat="false" ht="15.7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  <c r="AF908" s="25"/>
      <c r="AG908" s="25"/>
      <c r="AH908" s="25"/>
      <c r="AI908" s="25"/>
      <c r="AJ908" s="25"/>
      <c r="AK908" s="25"/>
      <c r="AL908" s="25"/>
      <c r="AM908" s="25"/>
      <c r="AN908" s="25"/>
    </row>
    <row r="909" customFormat="false" ht="15.7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  <c r="AF909" s="25"/>
      <c r="AG909" s="25"/>
      <c r="AH909" s="25"/>
      <c r="AI909" s="25"/>
      <c r="AJ909" s="25"/>
      <c r="AK909" s="25"/>
      <c r="AL909" s="25"/>
      <c r="AM909" s="25"/>
      <c r="AN909" s="25"/>
    </row>
    <row r="910" customFormat="false" ht="15.7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  <c r="AF910" s="25"/>
      <c r="AG910" s="25"/>
      <c r="AH910" s="25"/>
      <c r="AI910" s="25"/>
      <c r="AJ910" s="25"/>
      <c r="AK910" s="25"/>
      <c r="AL910" s="25"/>
      <c r="AM910" s="25"/>
      <c r="AN910" s="25"/>
    </row>
    <row r="911" customFormat="false" ht="15.7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  <c r="AF911" s="25"/>
      <c r="AG911" s="25"/>
      <c r="AH911" s="25"/>
      <c r="AI911" s="25"/>
      <c r="AJ911" s="25"/>
      <c r="AK911" s="25"/>
      <c r="AL911" s="25"/>
      <c r="AM911" s="25"/>
      <c r="AN911" s="25"/>
    </row>
    <row r="912" customFormat="false" ht="15.7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  <c r="AF912" s="25"/>
      <c r="AG912" s="25"/>
      <c r="AH912" s="25"/>
      <c r="AI912" s="25"/>
      <c r="AJ912" s="25"/>
      <c r="AK912" s="25"/>
      <c r="AL912" s="25"/>
      <c r="AM912" s="25"/>
      <c r="AN912" s="25"/>
    </row>
    <row r="913" customFormat="false" ht="15.7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  <c r="AF913" s="25"/>
      <c r="AG913" s="25"/>
      <c r="AH913" s="25"/>
      <c r="AI913" s="25"/>
      <c r="AJ913" s="25"/>
      <c r="AK913" s="25"/>
      <c r="AL913" s="25"/>
      <c r="AM913" s="25"/>
      <c r="AN913" s="25"/>
    </row>
    <row r="914" customFormat="false" ht="15.7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  <c r="AF914" s="25"/>
      <c r="AG914" s="25"/>
      <c r="AH914" s="25"/>
      <c r="AI914" s="25"/>
      <c r="AJ914" s="25"/>
      <c r="AK914" s="25"/>
      <c r="AL914" s="25"/>
      <c r="AM914" s="25"/>
      <c r="AN914" s="25"/>
    </row>
    <row r="915" customFormat="false" ht="15.7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  <c r="AF915" s="25"/>
      <c r="AG915" s="25"/>
      <c r="AH915" s="25"/>
      <c r="AI915" s="25"/>
      <c r="AJ915" s="25"/>
      <c r="AK915" s="25"/>
      <c r="AL915" s="25"/>
      <c r="AM915" s="25"/>
      <c r="AN915" s="25"/>
    </row>
    <row r="916" customFormat="false" ht="15.7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  <c r="AF916" s="25"/>
      <c r="AG916" s="25"/>
      <c r="AH916" s="25"/>
      <c r="AI916" s="25"/>
      <c r="AJ916" s="25"/>
      <c r="AK916" s="25"/>
      <c r="AL916" s="25"/>
      <c r="AM916" s="25"/>
      <c r="AN916" s="25"/>
    </row>
    <row r="917" customFormat="false" ht="15.7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  <c r="AF917" s="25"/>
      <c r="AG917" s="25"/>
      <c r="AH917" s="25"/>
      <c r="AI917" s="25"/>
      <c r="AJ917" s="25"/>
      <c r="AK917" s="25"/>
      <c r="AL917" s="25"/>
      <c r="AM917" s="25"/>
      <c r="AN917" s="25"/>
    </row>
    <row r="918" customFormat="false" ht="15.7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  <c r="AF918" s="25"/>
      <c r="AG918" s="25"/>
      <c r="AH918" s="25"/>
      <c r="AI918" s="25"/>
      <c r="AJ918" s="25"/>
      <c r="AK918" s="25"/>
      <c r="AL918" s="25"/>
      <c r="AM918" s="25"/>
      <c r="AN918" s="25"/>
    </row>
    <row r="919" customFormat="false" ht="15.7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  <c r="AF919" s="25"/>
      <c r="AG919" s="25"/>
      <c r="AH919" s="25"/>
      <c r="AI919" s="25"/>
      <c r="AJ919" s="25"/>
      <c r="AK919" s="25"/>
      <c r="AL919" s="25"/>
      <c r="AM919" s="25"/>
      <c r="AN919" s="25"/>
    </row>
    <row r="920" customFormat="false" ht="15.7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  <c r="AF920" s="25"/>
      <c r="AG920" s="25"/>
      <c r="AH920" s="25"/>
      <c r="AI920" s="25"/>
      <c r="AJ920" s="25"/>
      <c r="AK920" s="25"/>
      <c r="AL920" s="25"/>
      <c r="AM920" s="25"/>
      <c r="AN920" s="25"/>
    </row>
    <row r="921" customFormat="false" ht="15.7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  <c r="AF921" s="25"/>
      <c r="AG921" s="25"/>
      <c r="AH921" s="25"/>
      <c r="AI921" s="25"/>
      <c r="AJ921" s="25"/>
      <c r="AK921" s="25"/>
      <c r="AL921" s="25"/>
      <c r="AM921" s="25"/>
      <c r="AN921" s="25"/>
    </row>
    <row r="922" customFormat="false" ht="15.7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  <c r="AF922" s="25"/>
      <c r="AG922" s="25"/>
      <c r="AH922" s="25"/>
      <c r="AI922" s="25"/>
      <c r="AJ922" s="25"/>
      <c r="AK922" s="25"/>
      <c r="AL922" s="25"/>
      <c r="AM922" s="25"/>
      <c r="AN922" s="25"/>
    </row>
    <row r="923" customFormat="false" ht="15.7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  <c r="AF923" s="25"/>
      <c r="AG923" s="25"/>
      <c r="AH923" s="25"/>
      <c r="AI923" s="25"/>
      <c r="AJ923" s="25"/>
      <c r="AK923" s="25"/>
      <c r="AL923" s="25"/>
      <c r="AM923" s="25"/>
      <c r="AN923" s="25"/>
    </row>
    <row r="924" customFormat="false" ht="15.7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  <c r="AF924" s="25"/>
      <c r="AG924" s="25"/>
      <c r="AH924" s="25"/>
      <c r="AI924" s="25"/>
      <c r="AJ924" s="25"/>
      <c r="AK924" s="25"/>
      <c r="AL924" s="25"/>
      <c r="AM924" s="25"/>
      <c r="AN924" s="25"/>
    </row>
    <row r="925" customFormat="false" ht="15.7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  <c r="AF925" s="25"/>
      <c r="AG925" s="25"/>
      <c r="AH925" s="25"/>
      <c r="AI925" s="25"/>
      <c r="AJ925" s="25"/>
      <c r="AK925" s="25"/>
      <c r="AL925" s="25"/>
      <c r="AM925" s="25"/>
      <c r="AN925" s="25"/>
    </row>
    <row r="926" customFormat="false" ht="15.7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  <c r="AF926" s="25"/>
      <c r="AG926" s="25"/>
      <c r="AH926" s="25"/>
      <c r="AI926" s="25"/>
      <c r="AJ926" s="25"/>
      <c r="AK926" s="25"/>
      <c r="AL926" s="25"/>
      <c r="AM926" s="25"/>
      <c r="AN926" s="25"/>
    </row>
    <row r="927" customFormat="false" ht="15.7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  <c r="AF927" s="25"/>
      <c r="AG927" s="25"/>
      <c r="AH927" s="25"/>
      <c r="AI927" s="25"/>
      <c r="AJ927" s="25"/>
      <c r="AK927" s="25"/>
      <c r="AL927" s="25"/>
      <c r="AM927" s="25"/>
      <c r="AN927" s="25"/>
    </row>
    <row r="928" customFormat="false" ht="15.7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  <c r="AF928" s="25"/>
      <c r="AG928" s="25"/>
      <c r="AH928" s="25"/>
      <c r="AI928" s="25"/>
      <c r="AJ928" s="25"/>
      <c r="AK928" s="25"/>
      <c r="AL928" s="25"/>
      <c r="AM928" s="25"/>
      <c r="AN928" s="25"/>
    </row>
    <row r="929" customFormat="false" ht="15.7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  <c r="AF929" s="25"/>
      <c r="AG929" s="25"/>
      <c r="AH929" s="25"/>
      <c r="AI929" s="25"/>
      <c r="AJ929" s="25"/>
      <c r="AK929" s="25"/>
      <c r="AL929" s="25"/>
      <c r="AM929" s="25"/>
      <c r="AN929" s="25"/>
    </row>
    <row r="930" customFormat="false" ht="15.7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  <c r="AF930" s="25"/>
      <c r="AG930" s="25"/>
      <c r="AH930" s="25"/>
      <c r="AI930" s="25"/>
      <c r="AJ930" s="25"/>
      <c r="AK930" s="25"/>
      <c r="AL930" s="25"/>
      <c r="AM930" s="25"/>
      <c r="AN930" s="25"/>
    </row>
    <row r="931" customFormat="false" ht="15.7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  <c r="AF931" s="25"/>
      <c r="AG931" s="25"/>
      <c r="AH931" s="25"/>
      <c r="AI931" s="25"/>
      <c r="AJ931" s="25"/>
      <c r="AK931" s="25"/>
      <c r="AL931" s="25"/>
      <c r="AM931" s="25"/>
      <c r="AN931" s="25"/>
    </row>
    <row r="932" customFormat="false" ht="15.7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  <c r="AF932" s="25"/>
      <c r="AG932" s="25"/>
      <c r="AH932" s="25"/>
      <c r="AI932" s="25"/>
      <c r="AJ932" s="25"/>
      <c r="AK932" s="25"/>
      <c r="AL932" s="25"/>
      <c r="AM932" s="25"/>
      <c r="AN932" s="25"/>
    </row>
    <row r="933" customFormat="false" ht="15.7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  <c r="AF933" s="25"/>
      <c r="AG933" s="25"/>
      <c r="AH933" s="25"/>
      <c r="AI933" s="25"/>
      <c r="AJ933" s="25"/>
      <c r="AK933" s="25"/>
      <c r="AL933" s="25"/>
      <c r="AM933" s="25"/>
      <c r="AN933" s="25"/>
    </row>
    <row r="934" customFormat="false" ht="15.7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  <c r="AF934" s="25"/>
      <c r="AG934" s="25"/>
      <c r="AH934" s="25"/>
      <c r="AI934" s="25"/>
      <c r="AJ934" s="25"/>
      <c r="AK934" s="25"/>
      <c r="AL934" s="25"/>
      <c r="AM934" s="25"/>
      <c r="AN934" s="25"/>
    </row>
    <row r="935" customFormat="false" ht="15.7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  <c r="AF935" s="25"/>
      <c r="AG935" s="25"/>
      <c r="AH935" s="25"/>
      <c r="AI935" s="25"/>
      <c r="AJ935" s="25"/>
      <c r="AK935" s="25"/>
      <c r="AL935" s="25"/>
      <c r="AM935" s="25"/>
      <c r="AN935" s="25"/>
    </row>
    <row r="936" customFormat="false" ht="15.7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  <c r="AF936" s="25"/>
      <c r="AG936" s="25"/>
      <c r="AH936" s="25"/>
      <c r="AI936" s="25"/>
      <c r="AJ936" s="25"/>
      <c r="AK936" s="25"/>
      <c r="AL936" s="25"/>
      <c r="AM936" s="25"/>
      <c r="AN936" s="25"/>
    </row>
    <row r="937" customFormat="false" ht="15.7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  <c r="AF937" s="25"/>
      <c r="AG937" s="25"/>
      <c r="AH937" s="25"/>
      <c r="AI937" s="25"/>
      <c r="AJ937" s="25"/>
      <c r="AK937" s="25"/>
      <c r="AL937" s="25"/>
      <c r="AM937" s="25"/>
      <c r="AN937" s="25"/>
    </row>
    <row r="938" customFormat="false" ht="15.7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  <c r="AF938" s="25"/>
      <c r="AG938" s="25"/>
      <c r="AH938" s="25"/>
      <c r="AI938" s="25"/>
      <c r="AJ938" s="25"/>
      <c r="AK938" s="25"/>
      <c r="AL938" s="25"/>
      <c r="AM938" s="25"/>
      <c r="AN938" s="25"/>
    </row>
    <row r="939" customFormat="false" ht="15.7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  <c r="AF939" s="25"/>
      <c r="AG939" s="25"/>
      <c r="AH939" s="25"/>
      <c r="AI939" s="25"/>
      <c r="AJ939" s="25"/>
      <c r="AK939" s="25"/>
      <c r="AL939" s="25"/>
      <c r="AM939" s="25"/>
      <c r="AN939" s="25"/>
    </row>
    <row r="940" customFormat="false" ht="15.7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  <c r="AF940" s="25"/>
      <c r="AG940" s="25"/>
      <c r="AH940" s="25"/>
      <c r="AI940" s="25"/>
      <c r="AJ940" s="25"/>
      <c r="AK940" s="25"/>
      <c r="AL940" s="25"/>
      <c r="AM940" s="25"/>
      <c r="AN940" s="25"/>
    </row>
    <row r="941" customFormat="false" ht="15.7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  <c r="AF941" s="25"/>
      <c r="AG941" s="25"/>
      <c r="AH941" s="25"/>
      <c r="AI941" s="25"/>
      <c r="AJ941" s="25"/>
      <c r="AK941" s="25"/>
      <c r="AL941" s="25"/>
      <c r="AM941" s="25"/>
      <c r="AN941" s="25"/>
    </row>
    <row r="942" customFormat="false" ht="15.7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  <c r="AF942" s="25"/>
      <c r="AG942" s="25"/>
      <c r="AH942" s="25"/>
      <c r="AI942" s="25"/>
      <c r="AJ942" s="25"/>
      <c r="AK942" s="25"/>
      <c r="AL942" s="25"/>
      <c r="AM942" s="25"/>
      <c r="AN942" s="25"/>
    </row>
    <row r="943" customFormat="false" ht="15.7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  <c r="AF943" s="25"/>
      <c r="AG943" s="25"/>
      <c r="AH943" s="25"/>
      <c r="AI943" s="25"/>
      <c r="AJ943" s="25"/>
      <c r="AK943" s="25"/>
      <c r="AL943" s="25"/>
      <c r="AM943" s="25"/>
      <c r="AN943" s="25"/>
    </row>
    <row r="944" customFormat="false" ht="15.7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  <c r="AF944" s="25"/>
      <c r="AG944" s="25"/>
      <c r="AH944" s="25"/>
      <c r="AI944" s="25"/>
      <c r="AJ944" s="25"/>
      <c r="AK944" s="25"/>
      <c r="AL944" s="25"/>
      <c r="AM944" s="25"/>
      <c r="AN944" s="25"/>
    </row>
    <row r="945" customFormat="false" ht="15.7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  <c r="AF945" s="25"/>
      <c r="AG945" s="25"/>
      <c r="AH945" s="25"/>
      <c r="AI945" s="25"/>
      <c r="AJ945" s="25"/>
      <c r="AK945" s="25"/>
      <c r="AL945" s="25"/>
      <c r="AM945" s="25"/>
      <c r="AN945" s="25"/>
    </row>
    <row r="946" customFormat="false" ht="15.7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  <c r="AF946" s="25"/>
      <c r="AG946" s="25"/>
      <c r="AH946" s="25"/>
      <c r="AI946" s="25"/>
      <c r="AJ946" s="25"/>
      <c r="AK946" s="25"/>
      <c r="AL946" s="25"/>
      <c r="AM946" s="25"/>
      <c r="AN946" s="25"/>
    </row>
    <row r="947" customFormat="false" ht="15.7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  <c r="AF947" s="25"/>
      <c r="AG947" s="25"/>
      <c r="AH947" s="25"/>
      <c r="AI947" s="25"/>
      <c r="AJ947" s="25"/>
      <c r="AK947" s="25"/>
      <c r="AL947" s="25"/>
      <c r="AM947" s="25"/>
      <c r="AN947" s="25"/>
    </row>
    <row r="948" customFormat="false" ht="15.7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  <c r="AF948" s="25"/>
      <c r="AG948" s="25"/>
      <c r="AH948" s="25"/>
      <c r="AI948" s="25"/>
      <c r="AJ948" s="25"/>
      <c r="AK948" s="25"/>
      <c r="AL948" s="25"/>
      <c r="AM948" s="25"/>
      <c r="AN948" s="25"/>
    </row>
    <row r="949" customFormat="false" ht="15.7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  <c r="AF949" s="25"/>
      <c r="AG949" s="25"/>
      <c r="AH949" s="25"/>
      <c r="AI949" s="25"/>
      <c r="AJ949" s="25"/>
      <c r="AK949" s="25"/>
      <c r="AL949" s="25"/>
      <c r="AM949" s="25"/>
      <c r="AN949" s="25"/>
    </row>
    <row r="950" customFormat="false" ht="15.7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  <c r="AF950" s="25"/>
      <c r="AG950" s="25"/>
      <c r="AH950" s="25"/>
      <c r="AI950" s="25"/>
      <c r="AJ950" s="25"/>
      <c r="AK950" s="25"/>
      <c r="AL950" s="25"/>
      <c r="AM950" s="25"/>
      <c r="AN950" s="25"/>
    </row>
    <row r="951" customFormat="false" ht="15.7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  <c r="AF951" s="25"/>
      <c r="AG951" s="25"/>
      <c r="AH951" s="25"/>
      <c r="AI951" s="25"/>
      <c r="AJ951" s="25"/>
      <c r="AK951" s="25"/>
      <c r="AL951" s="25"/>
      <c r="AM951" s="25"/>
      <c r="AN951" s="25"/>
    </row>
    <row r="952" customFormat="false" ht="15.7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  <c r="AF952" s="25"/>
      <c r="AG952" s="25"/>
      <c r="AH952" s="25"/>
      <c r="AI952" s="25"/>
      <c r="AJ952" s="25"/>
      <c r="AK952" s="25"/>
      <c r="AL952" s="25"/>
      <c r="AM952" s="25"/>
      <c r="AN952" s="25"/>
    </row>
    <row r="953" customFormat="false" ht="15.7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  <c r="AF953" s="25"/>
      <c r="AG953" s="25"/>
      <c r="AH953" s="25"/>
      <c r="AI953" s="25"/>
      <c r="AJ953" s="25"/>
      <c r="AK953" s="25"/>
      <c r="AL953" s="25"/>
      <c r="AM953" s="25"/>
      <c r="AN953" s="25"/>
    </row>
    <row r="954" customFormat="false" ht="15.7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  <c r="AF954" s="25"/>
      <c r="AG954" s="25"/>
      <c r="AH954" s="25"/>
      <c r="AI954" s="25"/>
      <c r="AJ954" s="25"/>
      <c r="AK954" s="25"/>
      <c r="AL954" s="25"/>
      <c r="AM954" s="25"/>
      <c r="AN954" s="25"/>
    </row>
    <row r="955" customFormat="false" ht="15.7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  <c r="AF955" s="25"/>
      <c r="AG955" s="25"/>
      <c r="AH955" s="25"/>
      <c r="AI955" s="25"/>
      <c r="AJ955" s="25"/>
      <c r="AK955" s="25"/>
      <c r="AL955" s="25"/>
      <c r="AM955" s="25"/>
      <c r="AN955" s="25"/>
    </row>
    <row r="956" customFormat="false" ht="15.7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  <c r="AF956" s="25"/>
      <c r="AG956" s="25"/>
      <c r="AH956" s="25"/>
      <c r="AI956" s="25"/>
      <c r="AJ956" s="25"/>
      <c r="AK956" s="25"/>
      <c r="AL956" s="25"/>
      <c r="AM956" s="25"/>
      <c r="AN956" s="25"/>
    </row>
    <row r="957" customFormat="false" ht="15.7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  <c r="AF957" s="25"/>
      <c r="AG957" s="25"/>
      <c r="AH957" s="25"/>
      <c r="AI957" s="25"/>
      <c r="AJ957" s="25"/>
      <c r="AK957" s="25"/>
      <c r="AL957" s="25"/>
      <c r="AM957" s="25"/>
      <c r="AN957" s="25"/>
    </row>
    <row r="958" customFormat="false" ht="15.7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  <c r="AF958" s="25"/>
      <c r="AG958" s="25"/>
      <c r="AH958" s="25"/>
      <c r="AI958" s="25"/>
      <c r="AJ958" s="25"/>
      <c r="AK958" s="25"/>
      <c r="AL958" s="25"/>
      <c r="AM958" s="25"/>
      <c r="AN958" s="25"/>
    </row>
    <row r="959" customFormat="false" ht="15.7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  <c r="AF959" s="25"/>
      <c r="AG959" s="25"/>
      <c r="AH959" s="25"/>
      <c r="AI959" s="25"/>
      <c r="AJ959" s="25"/>
      <c r="AK959" s="25"/>
      <c r="AL959" s="25"/>
      <c r="AM959" s="25"/>
      <c r="AN959" s="25"/>
    </row>
    <row r="960" customFormat="false" ht="15.7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  <c r="AF960" s="25"/>
      <c r="AG960" s="25"/>
      <c r="AH960" s="25"/>
      <c r="AI960" s="25"/>
      <c r="AJ960" s="25"/>
      <c r="AK960" s="25"/>
      <c r="AL960" s="25"/>
      <c r="AM960" s="25"/>
      <c r="AN960" s="25"/>
    </row>
    <row r="961" customFormat="false" ht="15.7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  <c r="AF961" s="25"/>
      <c r="AG961" s="25"/>
      <c r="AH961" s="25"/>
      <c r="AI961" s="25"/>
      <c r="AJ961" s="25"/>
      <c r="AK961" s="25"/>
      <c r="AL961" s="25"/>
      <c r="AM961" s="25"/>
      <c r="AN961" s="25"/>
    </row>
    <row r="962" customFormat="false" ht="15.7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  <c r="AF962" s="25"/>
      <c r="AG962" s="25"/>
      <c r="AH962" s="25"/>
      <c r="AI962" s="25"/>
      <c r="AJ962" s="25"/>
      <c r="AK962" s="25"/>
      <c r="AL962" s="25"/>
      <c r="AM962" s="25"/>
      <c r="AN962" s="25"/>
    </row>
    <row r="963" customFormat="false" ht="15.7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  <c r="AF963" s="25"/>
      <c r="AG963" s="25"/>
      <c r="AH963" s="25"/>
      <c r="AI963" s="25"/>
      <c r="AJ963" s="25"/>
      <c r="AK963" s="25"/>
      <c r="AL963" s="25"/>
      <c r="AM963" s="25"/>
      <c r="AN963" s="25"/>
    </row>
    <row r="964" customFormat="false" ht="15.7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  <c r="AF964" s="25"/>
      <c r="AG964" s="25"/>
      <c r="AH964" s="25"/>
      <c r="AI964" s="25"/>
      <c r="AJ964" s="25"/>
      <c r="AK964" s="25"/>
      <c r="AL964" s="25"/>
      <c r="AM964" s="25"/>
      <c r="AN964" s="25"/>
    </row>
    <row r="965" customFormat="false" ht="15.7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  <c r="AF965" s="25"/>
      <c r="AG965" s="25"/>
      <c r="AH965" s="25"/>
      <c r="AI965" s="25"/>
      <c r="AJ965" s="25"/>
      <c r="AK965" s="25"/>
      <c r="AL965" s="25"/>
      <c r="AM965" s="25"/>
      <c r="AN965" s="25"/>
    </row>
    <row r="966" customFormat="false" ht="15.7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  <c r="AF966" s="25"/>
      <c r="AG966" s="25"/>
      <c r="AH966" s="25"/>
      <c r="AI966" s="25"/>
      <c r="AJ966" s="25"/>
      <c r="AK966" s="25"/>
      <c r="AL966" s="25"/>
      <c r="AM966" s="25"/>
      <c r="AN966" s="25"/>
    </row>
    <row r="967" customFormat="false" ht="15.7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  <c r="AF967" s="25"/>
      <c r="AG967" s="25"/>
      <c r="AH967" s="25"/>
      <c r="AI967" s="25"/>
      <c r="AJ967" s="25"/>
      <c r="AK967" s="25"/>
      <c r="AL967" s="25"/>
      <c r="AM967" s="25"/>
      <c r="AN967" s="25"/>
    </row>
    <row r="968" customFormat="false" ht="15.7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  <c r="AF968" s="25"/>
      <c r="AG968" s="25"/>
      <c r="AH968" s="25"/>
      <c r="AI968" s="25"/>
      <c r="AJ968" s="25"/>
      <c r="AK968" s="25"/>
      <c r="AL968" s="25"/>
      <c r="AM968" s="25"/>
      <c r="AN968" s="25"/>
    </row>
    <row r="969" customFormat="false" ht="15.7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  <c r="AF969" s="25"/>
      <c r="AG969" s="25"/>
      <c r="AH969" s="25"/>
      <c r="AI969" s="25"/>
      <c r="AJ969" s="25"/>
      <c r="AK969" s="25"/>
      <c r="AL969" s="25"/>
      <c r="AM969" s="25"/>
      <c r="AN969" s="25"/>
    </row>
    <row r="970" customFormat="false" ht="15.7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  <c r="AF970" s="25"/>
      <c r="AG970" s="25"/>
      <c r="AH970" s="25"/>
      <c r="AI970" s="25"/>
      <c r="AJ970" s="25"/>
      <c r="AK970" s="25"/>
      <c r="AL970" s="25"/>
      <c r="AM970" s="25"/>
      <c r="AN970" s="25"/>
    </row>
    <row r="971" customFormat="false" ht="15.7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  <c r="AF971" s="25"/>
      <c r="AG971" s="25"/>
      <c r="AH971" s="25"/>
      <c r="AI971" s="25"/>
      <c r="AJ971" s="25"/>
      <c r="AK971" s="25"/>
      <c r="AL971" s="25"/>
      <c r="AM971" s="25"/>
      <c r="AN971" s="25"/>
    </row>
    <row r="972" customFormat="false" ht="15.7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  <c r="AF972" s="25"/>
      <c r="AG972" s="25"/>
      <c r="AH972" s="25"/>
      <c r="AI972" s="25"/>
      <c r="AJ972" s="25"/>
      <c r="AK972" s="25"/>
      <c r="AL972" s="25"/>
      <c r="AM972" s="25"/>
      <c r="AN972" s="25"/>
    </row>
    <row r="973" customFormat="false" ht="15.7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  <c r="AF973" s="25"/>
      <c r="AG973" s="25"/>
      <c r="AH973" s="25"/>
      <c r="AI973" s="25"/>
      <c r="AJ973" s="25"/>
      <c r="AK973" s="25"/>
      <c r="AL973" s="25"/>
      <c r="AM973" s="25"/>
      <c r="AN973" s="25"/>
    </row>
    <row r="974" customFormat="false" ht="15.7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  <c r="AF974" s="25"/>
      <c r="AG974" s="25"/>
      <c r="AH974" s="25"/>
      <c r="AI974" s="25"/>
      <c r="AJ974" s="25"/>
      <c r="AK974" s="25"/>
      <c r="AL974" s="25"/>
      <c r="AM974" s="25"/>
      <c r="AN974" s="25"/>
    </row>
    <row r="975" customFormat="false" ht="15.7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  <c r="AF975" s="25"/>
      <c r="AG975" s="25"/>
      <c r="AH975" s="25"/>
      <c r="AI975" s="25"/>
      <c r="AJ975" s="25"/>
      <c r="AK975" s="25"/>
      <c r="AL975" s="25"/>
      <c r="AM975" s="25"/>
      <c r="AN975" s="25"/>
    </row>
    <row r="976" customFormat="false" ht="15.7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  <c r="AF976" s="25"/>
      <c r="AG976" s="25"/>
      <c r="AH976" s="25"/>
      <c r="AI976" s="25"/>
      <c r="AJ976" s="25"/>
      <c r="AK976" s="25"/>
      <c r="AL976" s="25"/>
      <c r="AM976" s="25"/>
      <c r="AN976" s="25"/>
    </row>
    <row r="977" customFormat="false" ht="15.7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  <c r="AF977" s="25"/>
      <c r="AG977" s="25"/>
      <c r="AH977" s="25"/>
      <c r="AI977" s="25"/>
      <c r="AJ977" s="25"/>
      <c r="AK977" s="25"/>
      <c r="AL977" s="25"/>
      <c r="AM977" s="25"/>
      <c r="AN977" s="25"/>
    </row>
    <row r="978" customFormat="false" ht="15.7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  <c r="AF978" s="25"/>
      <c r="AG978" s="25"/>
      <c r="AH978" s="25"/>
      <c r="AI978" s="25"/>
      <c r="AJ978" s="25"/>
      <c r="AK978" s="25"/>
      <c r="AL978" s="25"/>
      <c r="AM978" s="25"/>
      <c r="AN978" s="25"/>
    </row>
    <row r="979" customFormat="false" ht="15.7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  <c r="AF979" s="25"/>
      <c r="AG979" s="25"/>
      <c r="AH979" s="25"/>
      <c r="AI979" s="25"/>
      <c r="AJ979" s="25"/>
      <c r="AK979" s="25"/>
      <c r="AL979" s="25"/>
      <c r="AM979" s="25"/>
      <c r="AN979" s="25"/>
    </row>
    <row r="980" customFormat="false" ht="15.7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  <c r="AF980" s="25"/>
      <c r="AG980" s="25"/>
      <c r="AH980" s="25"/>
      <c r="AI980" s="25"/>
      <c r="AJ980" s="25"/>
      <c r="AK980" s="25"/>
      <c r="AL980" s="25"/>
      <c r="AM980" s="25"/>
      <c r="AN980" s="25"/>
    </row>
    <row r="981" customFormat="false" ht="15.7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  <c r="AF981" s="25"/>
      <c r="AG981" s="25"/>
      <c r="AH981" s="25"/>
      <c r="AI981" s="25"/>
      <c r="AJ981" s="25"/>
      <c r="AK981" s="25"/>
      <c r="AL981" s="25"/>
      <c r="AM981" s="25"/>
      <c r="AN981" s="25"/>
    </row>
    <row r="982" customFormat="false" ht="15.7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  <c r="AF982" s="25"/>
      <c r="AG982" s="25"/>
      <c r="AH982" s="25"/>
      <c r="AI982" s="25"/>
      <c r="AJ982" s="25"/>
      <c r="AK982" s="25"/>
      <c r="AL982" s="25"/>
      <c r="AM982" s="25"/>
      <c r="AN982" s="25"/>
    </row>
    <row r="983" customFormat="false" ht="15.7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  <c r="AF983" s="25"/>
      <c r="AG983" s="25"/>
      <c r="AH983" s="25"/>
      <c r="AI983" s="25"/>
      <c r="AJ983" s="25"/>
      <c r="AK983" s="25"/>
      <c r="AL983" s="25"/>
      <c r="AM983" s="25"/>
      <c r="AN983" s="25"/>
    </row>
    <row r="984" customFormat="false" ht="15.7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  <c r="AF984" s="25"/>
      <c r="AG984" s="25"/>
      <c r="AH984" s="25"/>
      <c r="AI984" s="25"/>
      <c r="AJ984" s="25"/>
      <c r="AK984" s="25"/>
      <c r="AL984" s="25"/>
      <c r="AM984" s="25"/>
      <c r="AN984" s="25"/>
    </row>
    <row r="985" customFormat="false" ht="15.7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  <c r="AF985" s="25"/>
      <c r="AG985" s="25"/>
      <c r="AH985" s="25"/>
      <c r="AI985" s="25"/>
      <c r="AJ985" s="25"/>
      <c r="AK985" s="25"/>
      <c r="AL985" s="25"/>
      <c r="AM985" s="25"/>
      <c r="AN985" s="25"/>
    </row>
    <row r="986" customFormat="false" ht="15.7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  <c r="AF986" s="25"/>
      <c r="AG986" s="25"/>
      <c r="AH986" s="25"/>
      <c r="AI986" s="25"/>
      <c r="AJ986" s="25"/>
      <c r="AK986" s="25"/>
      <c r="AL986" s="25"/>
      <c r="AM986" s="25"/>
      <c r="AN986" s="25"/>
    </row>
    <row r="987" customFormat="false" ht="15.7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  <c r="AF987" s="25"/>
      <c r="AG987" s="25"/>
      <c r="AH987" s="25"/>
      <c r="AI987" s="25"/>
      <c r="AJ987" s="25"/>
      <c r="AK987" s="25"/>
      <c r="AL987" s="25"/>
      <c r="AM987" s="25"/>
      <c r="AN987" s="25"/>
    </row>
    <row r="988" customFormat="false" ht="15.7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  <c r="AF988" s="25"/>
      <c r="AG988" s="25"/>
      <c r="AH988" s="25"/>
      <c r="AI988" s="25"/>
      <c r="AJ988" s="25"/>
      <c r="AK988" s="25"/>
      <c r="AL988" s="25"/>
      <c r="AM988" s="25"/>
      <c r="AN988" s="25"/>
    </row>
    <row r="989" customFormat="false" ht="15.7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  <c r="AF989" s="25"/>
      <c r="AG989" s="25"/>
      <c r="AH989" s="25"/>
      <c r="AI989" s="25"/>
      <c r="AJ989" s="25"/>
      <c r="AK989" s="25"/>
      <c r="AL989" s="25"/>
      <c r="AM989" s="25"/>
      <c r="AN989" s="25"/>
    </row>
    <row r="990" customFormat="false" ht="15.75" hidden="false" customHeight="true" outlineLevel="0" collapsed="false">
      <c r="A990" s="25"/>
      <c r="B990" s="78"/>
      <c r="C990" s="79"/>
      <c r="D990" s="79"/>
      <c r="E990" s="79"/>
      <c r="F990" s="79"/>
      <c r="G990" s="79"/>
      <c r="H990" s="79"/>
      <c r="I990" s="79"/>
      <c r="J990" s="79"/>
      <c r="K990" s="79"/>
      <c r="L990" s="79"/>
      <c r="M990" s="79"/>
      <c r="N990" s="79"/>
      <c r="O990" s="79"/>
      <c r="P990" s="79"/>
      <c r="Q990" s="79"/>
      <c r="R990" s="79"/>
      <c r="S990" s="80"/>
      <c r="T990" s="79"/>
      <c r="U990" s="79"/>
      <c r="V990" s="79"/>
      <c r="W990" s="79"/>
      <c r="X990" s="79"/>
      <c r="Y990" s="64"/>
      <c r="Z990" s="64"/>
      <c r="AA990" s="79"/>
      <c r="AB990" s="79"/>
      <c r="AC990" s="79"/>
      <c r="AD990" s="79"/>
      <c r="AE990" s="79"/>
      <c r="AF990" s="79"/>
      <c r="AG990" s="79"/>
      <c r="AH990" s="79"/>
      <c r="AI990" s="79"/>
      <c r="AJ990" s="79"/>
      <c r="AK990" s="79"/>
      <c r="AL990" s="79"/>
      <c r="AM990" s="25"/>
      <c r="AN990" s="25"/>
    </row>
    <row r="991" customFormat="false" ht="15.75" hidden="false" customHeight="true" outlineLevel="0" collapsed="false">
      <c r="A991" s="25"/>
      <c r="B991" s="66"/>
      <c r="C991" s="67"/>
      <c r="D991" s="67"/>
      <c r="E991" s="67"/>
      <c r="F991" s="67"/>
      <c r="G991" s="67"/>
      <c r="H991" s="67"/>
      <c r="I991" s="67"/>
      <c r="J991" s="67"/>
      <c r="K991" s="67"/>
      <c r="L991" s="67"/>
      <c r="M991" s="67"/>
      <c r="N991" s="67"/>
      <c r="O991" s="67"/>
      <c r="P991" s="67"/>
      <c r="Q991" s="67"/>
      <c r="R991" s="67"/>
      <c r="S991" s="68"/>
      <c r="T991" s="67"/>
      <c r="U991" s="67"/>
      <c r="V991" s="67"/>
      <c r="W991" s="67"/>
      <c r="X991" s="67"/>
      <c r="Y991" s="69"/>
      <c r="Z991" s="69"/>
      <c r="AA991" s="67"/>
      <c r="AB991" s="67"/>
      <c r="AC991" s="67"/>
      <c r="AD991" s="67"/>
      <c r="AE991" s="67"/>
      <c r="AF991" s="67"/>
      <c r="AG991" s="67"/>
      <c r="AH991" s="67"/>
      <c r="AI991" s="67"/>
      <c r="AJ991" s="67"/>
      <c r="AK991" s="67"/>
      <c r="AL991" s="67"/>
      <c r="AM991" s="25"/>
      <c r="AN991" s="25"/>
    </row>
    <row r="992" customFormat="false" ht="15.75" hidden="false" customHeight="true" outlineLevel="0" collapsed="false">
      <c r="A992" s="25"/>
      <c r="B992" s="55"/>
      <c r="C992" s="56"/>
      <c r="D992" s="56"/>
      <c r="E992" s="56"/>
      <c r="F992" s="56"/>
      <c r="G992" s="56"/>
      <c r="H992" s="56"/>
      <c r="I992" s="56"/>
      <c r="J992" s="57"/>
      <c r="K992" s="57"/>
      <c r="L992" s="57"/>
      <c r="M992" s="57"/>
      <c r="N992" s="57"/>
      <c r="O992" s="57"/>
      <c r="P992" s="57"/>
      <c r="Q992" s="57"/>
      <c r="R992" s="57"/>
      <c r="S992" s="57"/>
      <c r="T992" s="57"/>
      <c r="U992" s="57"/>
      <c r="V992" s="57"/>
      <c r="W992" s="57"/>
      <c r="X992" s="56"/>
      <c r="Y992" s="58"/>
      <c r="Z992" s="58"/>
      <c r="AA992" s="56"/>
      <c r="AB992" s="56"/>
      <c r="AC992" s="56"/>
      <c r="AD992" s="56"/>
      <c r="AE992" s="56"/>
      <c r="AF992" s="56"/>
      <c r="AG992" s="56"/>
      <c r="AH992" s="56"/>
      <c r="AI992" s="56"/>
      <c r="AJ992" s="56"/>
      <c r="AK992" s="56"/>
      <c r="AL992" s="56"/>
      <c r="AM992" s="25"/>
      <c r="AN992" s="25"/>
    </row>
    <row r="993" customFormat="false" ht="15.75" hidden="false" customHeight="true" outlineLevel="0" collapsed="false">
      <c r="A993" s="25"/>
      <c r="B993" s="72"/>
      <c r="C993" s="73"/>
      <c r="D993" s="73"/>
      <c r="E993" s="73"/>
      <c r="F993" s="73"/>
      <c r="G993" s="73"/>
      <c r="H993" s="73"/>
      <c r="I993" s="73"/>
      <c r="J993" s="73"/>
      <c r="K993" s="73"/>
      <c r="L993" s="74"/>
      <c r="M993" s="73"/>
      <c r="N993" s="73"/>
      <c r="O993" s="73"/>
      <c r="P993" s="73"/>
      <c r="Q993" s="73"/>
      <c r="R993" s="73"/>
      <c r="S993" s="74"/>
      <c r="T993" s="73"/>
      <c r="U993" s="73"/>
      <c r="V993" s="73"/>
      <c r="W993" s="73"/>
      <c r="X993" s="73"/>
      <c r="Y993" s="75"/>
      <c r="Z993" s="75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6"/>
      <c r="AL993" s="73"/>
      <c r="AM993" s="25"/>
      <c r="AN993" s="25"/>
    </row>
    <row r="994" customFormat="false" ht="15.75" hidden="false" customHeight="true" outlineLevel="0" collapsed="false">
      <c r="A994" s="25"/>
      <c r="B994" s="55"/>
      <c r="C994" s="56"/>
      <c r="D994" s="56"/>
      <c r="E994" s="56"/>
      <c r="F994" s="56"/>
      <c r="G994" s="56"/>
      <c r="H994" s="56"/>
      <c r="I994" s="56"/>
      <c r="J994" s="57"/>
      <c r="K994" s="57"/>
      <c r="L994" s="57"/>
      <c r="M994" s="57"/>
      <c r="N994" s="57"/>
      <c r="O994" s="57"/>
      <c r="P994" s="57"/>
      <c r="Q994" s="57"/>
      <c r="R994" s="57"/>
      <c r="S994" s="57"/>
      <c r="T994" s="57"/>
      <c r="U994" s="57"/>
      <c r="V994" s="57"/>
      <c r="W994" s="57"/>
      <c r="X994" s="56"/>
      <c r="Y994" s="58"/>
      <c r="Z994" s="58"/>
      <c r="AA994" s="56"/>
      <c r="AB994" s="56"/>
      <c r="AC994" s="56"/>
      <c r="AD994" s="56"/>
      <c r="AE994" s="56"/>
      <c r="AF994" s="56"/>
      <c r="AG994" s="56"/>
      <c r="AH994" s="56"/>
      <c r="AI994" s="56"/>
      <c r="AJ994" s="56"/>
      <c r="AK994" s="60"/>
      <c r="AL994" s="56"/>
      <c r="AM994" s="25"/>
      <c r="AN994" s="25"/>
    </row>
    <row r="995" customFormat="false" ht="15.75" hidden="false" customHeight="true" outlineLevel="0" collapsed="false">
      <c r="A995" s="25"/>
      <c r="B995" s="66"/>
      <c r="C995" s="67"/>
      <c r="D995" s="67"/>
      <c r="E995" s="67"/>
      <c r="F995" s="67"/>
      <c r="G995" s="67"/>
      <c r="H995" s="67"/>
      <c r="I995" s="67"/>
      <c r="J995" s="67"/>
      <c r="K995" s="67"/>
      <c r="L995" s="68"/>
      <c r="M995" s="67"/>
      <c r="N995" s="67"/>
      <c r="O995" s="67"/>
      <c r="P995" s="67"/>
      <c r="Q995" s="67"/>
      <c r="R995" s="67"/>
      <c r="S995" s="68"/>
      <c r="T995" s="67"/>
      <c r="U995" s="67"/>
      <c r="V995" s="67"/>
      <c r="W995" s="67"/>
      <c r="X995" s="67"/>
      <c r="Y995" s="69"/>
      <c r="Z995" s="69"/>
      <c r="AA995" s="67"/>
      <c r="AB995" s="67"/>
      <c r="AC995" s="67"/>
      <c r="AD995" s="67"/>
      <c r="AE995" s="67"/>
      <c r="AF995" s="67"/>
      <c r="AG995" s="67"/>
      <c r="AH995" s="67"/>
      <c r="AI995" s="67"/>
      <c r="AJ995" s="67"/>
      <c r="AK995" s="70"/>
      <c r="AL995" s="67"/>
      <c r="AM995" s="25"/>
      <c r="AN995" s="25"/>
    </row>
    <row r="996" customFormat="false" ht="15.75" hidden="false" customHeight="true" outlineLevel="0" collapsed="false">
      <c r="A996" s="25"/>
      <c r="B996" s="66"/>
      <c r="C996" s="67"/>
      <c r="D996" s="67"/>
      <c r="E996" s="67"/>
      <c r="F996" s="67"/>
      <c r="G996" s="67"/>
      <c r="H996" s="67"/>
      <c r="I996" s="67"/>
      <c r="J996" s="67"/>
      <c r="K996" s="67"/>
      <c r="L996" s="68"/>
      <c r="M996" s="67"/>
      <c r="N996" s="67"/>
      <c r="O996" s="67"/>
      <c r="P996" s="67"/>
      <c r="Q996" s="67"/>
      <c r="R996" s="67"/>
      <c r="S996" s="68"/>
      <c r="T996" s="67"/>
      <c r="U996" s="67"/>
      <c r="V996" s="67"/>
      <c r="W996" s="67"/>
      <c r="X996" s="67"/>
      <c r="Y996" s="69"/>
      <c r="Z996" s="69"/>
      <c r="AA996" s="67"/>
      <c r="AB996" s="67"/>
      <c r="AC996" s="67"/>
      <c r="AD996" s="67"/>
      <c r="AE996" s="67"/>
      <c r="AF996" s="67"/>
      <c r="AG996" s="67"/>
      <c r="AH996" s="67"/>
      <c r="AI996" s="67"/>
      <c r="AJ996" s="67"/>
      <c r="AK996" s="67"/>
      <c r="AL996" s="67"/>
      <c r="AM996" s="25"/>
      <c r="AN996" s="25"/>
    </row>
    <row r="997" customFormat="false" ht="15.75" hidden="false" customHeight="true" outlineLevel="0" collapsed="false">
      <c r="A997" s="25"/>
      <c r="B997" s="72"/>
      <c r="C997" s="73"/>
      <c r="D997" s="73"/>
      <c r="E997" s="73"/>
      <c r="F997" s="73"/>
      <c r="G997" s="73"/>
      <c r="H997" s="73"/>
      <c r="I997" s="73"/>
      <c r="J997" s="73"/>
      <c r="K997" s="73"/>
      <c r="L997" s="73"/>
      <c r="M997" s="73"/>
      <c r="N997" s="73"/>
      <c r="O997" s="73"/>
      <c r="P997" s="73"/>
      <c r="Q997" s="73"/>
      <c r="R997" s="73"/>
      <c r="S997" s="74"/>
      <c r="T997" s="73"/>
      <c r="U997" s="73"/>
      <c r="V997" s="73"/>
      <c r="W997" s="73"/>
      <c r="X997" s="73"/>
      <c r="Y997" s="75"/>
      <c r="Z997" s="75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25"/>
      <c r="AN997" s="25"/>
    </row>
    <row r="998" customFormat="false" ht="15.7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  <c r="AF998" s="25"/>
      <c r="AG998" s="25"/>
      <c r="AH998" s="25"/>
      <c r="AI998" s="25"/>
      <c r="AJ998" s="25"/>
      <c r="AK998" s="25"/>
      <c r="AL998" s="25"/>
      <c r="AM998" s="25"/>
      <c r="AN998" s="25"/>
    </row>
    <row r="999" customFormat="false" ht="15.7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  <c r="AF999" s="25"/>
      <c r="AG999" s="25"/>
      <c r="AH999" s="25"/>
      <c r="AI999" s="25"/>
      <c r="AJ999" s="25"/>
      <c r="AK999" s="25"/>
      <c r="AL999" s="25"/>
      <c r="AM999" s="25"/>
      <c r="AN999" s="25"/>
    </row>
    <row r="1000" customFormat="false" ht="15.7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  <c r="AF1000" s="25"/>
      <c r="AG1000" s="25"/>
      <c r="AH1000" s="25"/>
      <c r="AI1000" s="25"/>
      <c r="AJ1000" s="25"/>
      <c r="AK1000" s="25"/>
      <c r="AL1000" s="25"/>
      <c r="AM1000" s="25"/>
      <c r="AN1000" s="25"/>
    </row>
  </sheetData>
  <autoFilter ref="C4:X165"/>
  <dataValidations count="6">
    <dataValidation allowBlank="true" errorStyle="stop" operator="between" showDropDown="false" showErrorMessage="true" showInputMessage="false" sqref="X5:X193 X990:X997" type="list">
      <formula1>"1 platform,2 platforms,4 platforms,3 platforms,5 platforms,6 platforms,0 platforms"</formula1>
      <formula2>0</formula2>
    </dataValidation>
    <dataValidation allowBlank="true" errorStyle="stop" operator="between" showDropDown="false" showErrorMessage="true" showInputMessage="false" sqref="G5:G193 G990:G997" type="list">
      <formula1>"American,Australian,German / Syrian,Saudi Arabia,United Kingdom,Tongan,French/Iranian,Russian,North Macedonia,Bosnian,French,Danish,Romanian,Serbian,North Macedonian,Slovakia,Jordanian,American / Chinese,Canada,British,Spanish,Saudi,Taiwan,Italian,Japanes"&amp;"e,Japan,Mexican,South Korean,China,American/Hungarian,Thailand,Philippines,Egypt,Indonesian,Nethelands,Brasilian,Turkish,Morrocan / Canadian,South Korea,Chilean,Pakistan,Filipino,Bulgarian,Canadian,Dutch,Norwegian,Mexican/American,German,Vietnamese,Bahrai"&amp;"ni"</formula1>
      <formula2>0</formula2>
    </dataValidation>
    <dataValidation allowBlank="true" errorStyle="stop" operator="between" showDropDown="false" showErrorMessage="true" showInputMessage="false" sqref="D5:D193 D990:D997" type="list">
      <formula1>"Manager,Head Coach,Player,Analyst,Assistant Coach,Coach,Influencer"</formula1>
      <formula2>0</formula2>
    </dataValidation>
    <dataValidation allowBlank="true" errorStyle="stop" operator="between" showDropDown="false" showErrorMessage="false" showInputMessage="false" sqref="Y5:Y200 Y990:Y997" type="list">
      <formula1>"10%,15%,20%,25%,30%,35%,40%,45%,50%,75%,Custom"</formula1>
      <formula2>0</formula2>
    </dataValidation>
    <dataValidation allowBlank="true" errorStyle="stop" operator="between" showDropDown="false" showErrorMessage="false" showInputMessage="false" sqref="Z5:Z200 Z990:Z997" type="list">
      <formula1>"25%,50%,75%,100%,125%,150%,200%,Custom"</formula1>
      <formula2>0</formula2>
    </dataValidation>
    <dataValidation allowBlank="true" errorStyle="stop" operator="between" showDropDown="false" showErrorMessage="true" showInputMessage="false" sqref="I5:I193 I990:I997" type="list">
      <formula1>"Tier 3,Tier 2,Tier 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6"/>
    <col collapsed="false" customWidth="true" hidden="false" outlineLevel="0" max="3" min="3" style="1" width="18"/>
    <col collapsed="false" customWidth="true" hidden="false" outlineLevel="0" max="4" min="4" style="1" width="13"/>
    <col collapsed="false" customWidth="true" hidden="false" outlineLevel="0" max="5" min="5" style="1" width="18"/>
    <col collapsed="false" customWidth="true" hidden="false" outlineLevel="0" max="7" min="6" style="1" width="14"/>
    <col collapsed="false" customWidth="true" hidden="false" outlineLevel="0" max="8" min="8" style="1" width="12"/>
    <col collapsed="false" customWidth="true" hidden="false" outlineLevel="0" max="9" min="9" style="1" width="14"/>
    <col collapsed="false" customWidth="true" hidden="false" outlineLevel="0" max="16" min="10" style="1" width="11"/>
    <col collapsed="false" customWidth="true" hidden="false" outlineLevel="0" max="18" min="17" style="1" width="12"/>
  </cols>
  <sheetData>
    <row r="1" customFormat="false" ht="7.5" hidden="false" customHeight="true" outlineLevel="0" collapsed="false"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customFormat="false" ht="25.5" hidden="false" customHeight="true" outlineLevel="0" collapsed="false">
      <c r="B2" s="90" t="str">
        <f aca="false">"CREATOR RATE CARD — "&amp;COUNTA($C$5:$C$500)&amp;" ENTRIES"</f>
        <v>CREATOR RATE CARD — 17 ENTRIES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</row>
    <row r="3" customFormat="false" ht="19.5" hidden="false" customHeight="true" outlineLevel="0" collapsed="false">
      <c r="A3" s="91" t="s">
        <v>51</v>
      </c>
      <c r="B3" s="92" t="s">
        <v>1117</v>
      </c>
    </row>
    <row r="4" customFormat="false" ht="31.5" hidden="false" customHeight="true" outlineLevel="0" collapsed="false">
      <c r="B4" s="93" t="s">
        <v>58</v>
      </c>
      <c r="C4" s="93" t="s">
        <v>49</v>
      </c>
      <c r="D4" s="93" t="s">
        <v>1118</v>
      </c>
      <c r="E4" s="93" t="s">
        <v>65</v>
      </c>
      <c r="F4" s="93" t="s">
        <v>1119</v>
      </c>
      <c r="G4" s="93" t="s">
        <v>1120</v>
      </c>
      <c r="H4" s="93" t="s">
        <v>1121</v>
      </c>
      <c r="I4" s="93" t="s">
        <v>1122</v>
      </c>
      <c r="J4" s="93" t="s">
        <v>1123</v>
      </c>
      <c r="K4" s="93" t="s">
        <v>1124</v>
      </c>
      <c r="L4" s="93" t="s">
        <v>1125</v>
      </c>
      <c r="M4" s="93" t="s">
        <v>1126</v>
      </c>
      <c r="N4" s="93" t="s">
        <v>1127</v>
      </c>
      <c r="O4" s="93" t="s">
        <v>1128</v>
      </c>
      <c r="P4" s="93" t="s">
        <v>1129</v>
      </c>
      <c r="Q4" s="93" t="s">
        <v>1130</v>
      </c>
      <c r="R4" s="93" t="s">
        <v>1131</v>
      </c>
    </row>
    <row r="5" customFormat="false" ht="15" hidden="false" customHeight="true" outlineLevel="0" collapsed="false">
      <c r="B5" s="94" t="n">
        <f aca="false">IF($C5="","",COUNTA($C$5:C5))</f>
        <v>1</v>
      </c>
      <c r="C5" s="95" t="s">
        <v>1132</v>
      </c>
      <c r="D5" s="96" t="n">
        <v>98</v>
      </c>
      <c r="E5" s="97" t="s">
        <v>1133</v>
      </c>
      <c r="F5" s="96" t="n">
        <v>56250</v>
      </c>
      <c r="G5" s="96" t="n">
        <v>22500</v>
      </c>
      <c r="H5" s="96" t="n">
        <v>28125</v>
      </c>
      <c r="I5" s="96" t="n">
        <v>16875</v>
      </c>
      <c r="J5" s="96" t="n">
        <v>28125</v>
      </c>
      <c r="K5" s="96" t="n">
        <v>67500</v>
      </c>
      <c r="L5" s="96" t="n">
        <v>50625</v>
      </c>
      <c r="M5" s="96" t="n">
        <v>39375</v>
      </c>
      <c r="N5" s="96" t="n">
        <v>31500</v>
      </c>
      <c r="O5" s="96" t="n">
        <v>14063</v>
      </c>
      <c r="P5" s="96" t="n">
        <v>28125</v>
      </c>
      <c r="Q5" s="96" t="n">
        <v>11250</v>
      </c>
      <c r="R5" s="96" t="n">
        <v>39375</v>
      </c>
    </row>
    <row r="6" customFormat="false" ht="15" hidden="false" customHeight="true" outlineLevel="0" collapsed="false">
      <c r="B6" s="94" t="n">
        <f aca="false">IF($C6="","",COUNTA($C$5:C6))</f>
        <v>2</v>
      </c>
      <c r="C6" s="95" t="s">
        <v>1134</v>
      </c>
      <c r="D6" s="96" t="n">
        <v>72</v>
      </c>
      <c r="E6" s="97" t="s">
        <v>219</v>
      </c>
      <c r="F6" s="96" t="n">
        <v>22500</v>
      </c>
      <c r="G6" s="96" t="n">
        <v>9000</v>
      </c>
      <c r="H6" s="96" t="n">
        <v>11250</v>
      </c>
      <c r="I6" s="96" t="n">
        <v>6750</v>
      </c>
      <c r="J6" s="96" t="n">
        <v>11250</v>
      </c>
      <c r="K6" s="96" t="n">
        <v>27000</v>
      </c>
      <c r="L6" s="96" t="n">
        <v>20250</v>
      </c>
      <c r="M6" s="96" t="n">
        <v>15750</v>
      </c>
      <c r="N6" s="96" t="n">
        <v>12600</v>
      </c>
      <c r="O6" s="96" t="n">
        <v>5625</v>
      </c>
      <c r="P6" s="96" t="n">
        <v>11250</v>
      </c>
      <c r="Q6" s="96" t="n">
        <v>4500</v>
      </c>
      <c r="R6" s="96" t="n">
        <v>15750</v>
      </c>
    </row>
    <row r="7" customFormat="false" ht="15" hidden="false" customHeight="true" outlineLevel="0" collapsed="false">
      <c r="B7" s="94" t="n">
        <f aca="false">IF($C7="","",COUNTA($C$5:C7))</f>
        <v>3</v>
      </c>
      <c r="C7" s="95" t="s">
        <v>1135</v>
      </c>
      <c r="D7" s="96" t="n">
        <v>72</v>
      </c>
      <c r="E7" s="97" t="s">
        <v>219</v>
      </c>
      <c r="F7" s="96" t="n">
        <v>22500</v>
      </c>
      <c r="G7" s="96" t="n">
        <v>9000</v>
      </c>
      <c r="H7" s="96" t="n">
        <v>11250</v>
      </c>
      <c r="I7" s="96" t="n">
        <v>6750</v>
      </c>
      <c r="J7" s="96" t="n">
        <v>11250</v>
      </c>
      <c r="K7" s="96" t="n">
        <v>27000</v>
      </c>
      <c r="L7" s="96" t="n">
        <v>20250</v>
      </c>
      <c r="M7" s="96" t="n">
        <v>15750</v>
      </c>
      <c r="N7" s="96" t="n">
        <v>12600</v>
      </c>
      <c r="O7" s="96" t="n">
        <v>5625</v>
      </c>
      <c r="P7" s="96" t="n">
        <v>11250</v>
      </c>
      <c r="Q7" s="96" t="n">
        <v>4500</v>
      </c>
      <c r="R7" s="96" t="n">
        <v>15750</v>
      </c>
    </row>
    <row r="8" customFormat="false" ht="15" hidden="false" customHeight="true" outlineLevel="0" collapsed="false">
      <c r="B8" s="94" t="n">
        <f aca="false">IF($C8="","",COUNTA($C$5:C8))</f>
        <v>4</v>
      </c>
      <c r="C8" s="95" t="s">
        <v>1136</v>
      </c>
      <c r="D8" s="96" t="n">
        <v>68</v>
      </c>
      <c r="E8" s="97" t="s">
        <v>219</v>
      </c>
      <c r="F8" s="96" t="n">
        <v>18000</v>
      </c>
      <c r="G8" s="96" t="n">
        <v>7200</v>
      </c>
      <c r="H8" s="96" t="n">
        <v>9000</v>
      </c>
      <c r="I8" s="96" t="n">
        <v>5400</v>
      </c>
      <c r="J8" s="96" t="n">
        <v>9000</v>
      </c>
      <c r="K8" s="96" t="n">
        <v>21600</v>
      </c>
      <c r="L8" s="96" t="n">
        <v>16200</v>
      </c>
      <c r="M8" s="96" t="n">
        <v>12600</v>
      </c>
      <c r="N8" s="96" t="n">
        <v>10080</v>
      </c>
      <c r="O8" s="96" t="n">
        <v>4500</v>
      </c>
      <c r="P8" s="96" t="n">
        <v>9000</v>
      </c>
      <c r="Q8" s="96" t="n">
        <v>3600</v>
      </c>
      <c r="R8" s="96" t="n">
        <v>12600</v>
      </c>
    </row>
    <row r="9" customFormat="false" ht="15" hidden="false" customHeight="true" outlineLevel="0" collapsed="false">
      <c r="B9" s="94" t="n">
        <f aca="false">IF($C9="","",COUNTA($C$5:C9))</f>
        <v>5</v>
      </c>
      <c r="C9" s="95" t="s">
        <v>1137</v>
      </c>
      <c r="D9" s="96" t="n">
        <v>68</v>
      </c>
      <c r="E9" s="97" t="s">
        <v>219</v>
      </c>
      <c r="F9" s="96" t="n">
        <v>18000</v>
      </c>
      <c r="G9" s="96" t="n">
        <v>7200</v>
      </c>
      <c r="H9" s="96" t="n">
        <v>9000</v>
      </c>
      <c r="I9" s="96" t="n">
        <v>5400</v>
      </c>
      <c r="J9" s="96" t="n">
        <v>9000</v>
      </c>
      <c r="K9" s="96" t="n">
        <v>21600</v>
      </c>
      <c r="L9" s="96" t="n">
        <v>16200</v>
      </c>
      <c r="M9" s="96" t="n">
        <v>12600</v>
      </c>
      <c r="N9" s="96" t="n">
        <v>10080</v>
      </c>
      <c r="O9" s="96" t="n">
        <v>4500</v>
      </c>
      <c r="P9" s="96" t="n">
        <v>9000</v>
      </c>
      <c r="Q9" s="96" t="n">
        <v>3600</v>
      </c>
      <c r="R9" s="96" t="n">
        <v>12600</v>
      </c>
    </row>
    <row r="10" customFormat="false" ht="15" hidden="false" customHeight="true" outlineLevel="0" collapsed="false">
      <c r="B10" s="94" t="n">
        <f aca="false">IF($C10="","",COUNTA($C$5:C10))</f>
        <v>6</v>
      </c>
      <c r="C10" s="95" t="s">
        <v>1138</v>
      </c>
      <c r="D10" s="96" t="n">
        <v>60</v>
      </c>
      <c r="E10" s="97" t="s">
        <v>151</v>
      </c>
      <c r="F10" s="96" t="n">
        <v>11250</v>
      </c>
      <c r="G10" s="96" t="n">
        <v>4500</v>
      </c>
      <c r="H10" s="96" t="n">
        <v>5625</v>
      </c>
      <c r="I10" s="96" t="n">
        <v>3375</v>
      </c>
      <c r="J10" s="96" t="n">
        <v>5625</v>
      </c>
      <c r="K10" s="96" t="n">
        <v>13500</v>
      </c>
      <c r="L10" s="96" t="n">
        <v>10125</v>
      </c>
      <c r="M10" s="96" t="n">
        <v>7875</v>
      </c>
      <c r="N10" s="96" t="n">
        <v>6300</v>
      </c>
      <c r="O10" s="96" t="n">
        <v>2813</v>
      </c>
      <c r="P10" s="96" t="n">
        <v>5625</v>
      </c>
      <c r="Q10" s="96" t="n">
        <v>2250</v>
      </c>
      <c r="R10" s="96" t="n">
        <v>7875</v>
      </c>
    </row>
    <row r="11" customFormat="false" ht="15" hidden="false" customHeight="true" outlineLevel="0" collapsed="false">
      <c r="B11" s="94" t="n">
        <f aca="false">IF($C11="","",COUNTA($C$5:C11))</f>
        <v>7</v>
      </c>
      <c r="C11" s="95" t="s">
        <v>1139</v>
      </c>
      <c r="D11" s="96" t="n">
        <v>58</v>
      </c>
      <c r="E11" s="97" t="s">
        <v>151</v>
      </c>
      <c r="F11" s="96" t="n">
        <v>10125</v>
      </c>
      <c r="G11" s="96" t="n">
        <v>4050</v>
      </c>
      <c r="H11" s="96" t="n">
        <v>5063</v>
      </c>
      <c r="I11" s="96" t="n">
        <v>3038</v>
      </c>
      <c r="J11" s="96" t="n">
        <v>5063</v>
      </c>
      <c r="K11" s="96" t="n">
        <v>12150</v>
      </c>
      <c r="L11" s="96" t="n">
        <v>9113</v>
      </c>
      <c r="M11" s="96" t="n">
        <v>7088</v>
      </c>
      <c r="N11" s="96" t="n">
        <v>5670</v>
      </c>
      <c r="O11" s="96" t="n">
        <v>2531</v>
      </c>
      <c r="P11" s="96" t="n">
        <v>5063</v>
      </c>
      <c r="Q11" s="96" t="n">
        <v>2025</v>
      </c>
      <c r="R11" s="96" t="n">
        <v>7088</v>
      </c>
    </row>
    <row r="12" customFormat="false" ht="15" hidden="false" customHeight="true" outlineLevel="0" collapsed="false">
      <c r="B12" s="94" t="n">
        <f aca="false">IF($C12="","",COUNTA($C$5:C12))</f>
        <v>8</v>
      </c>
      <c r="C12" s="95" t="s">
        <v>1140</v>
      </c>
      <c r="D12" s="96" t="n">
        <v>55</v>
      </c>
      <c r="E12" s="97" t="s">
        <v>151</v>
      </c>
      <c r="F12" s="96" t="n">
        <v>9000</v>
      </c>
      <c r="G12" s="96" t="n">
        <v>3600</v>
      </c>
      <c r="H12" s="96" t="n">
        <v>4500</v>
      </c>
      <c r="I12" s="96" t="n">
        <v>2700</v>
      </c>
      <c r="J12" s="96" t="n">
        <v>4500</v>
      </c>
      <c r="K12" s="96" t="n">
        <v>10800</v>
      </c>
      <c r="L12" s="96" t="n">
        <v>8100</v>
      </c>
      <c r="M12" s="96" t="n">
        <v>6300</v>
      </c>
      <c r="N12" s="96" t="n">
        <v>5040</v>
      </c>
      <c r="O12" s="96" t="n">
        <v>2250</v>
      </c>
      <c r="P12" s="96" t="n">
        <v>4500</v>
      </c>
      <c r="Q12" s="96" t="n">
        <v>1800</v>
      </c>
      <c r="R12" s="96" t="n">
        <v>6300</v>
      </c>
    </row>
    <row r="13" customFormat="false" ht="15" hidden="false" customHeight="true" outlineLevel="0" collapsed="false">
      <c r="B13" s="94" t="n">
        <f aca="false">IF($C13="","",COUNTA($C$5:C13))</f>
        <v>9</v>
      </c>
      <c r="C13" s="95" t="s">
        <v>1141</v>
      </c>
      <c r="D13" s="96" t="n">
        <v>52</v>
      </c>
      <c r="E13" s="97" t="s">
        <v>151</v>
      </c>
      <c r="F13" s="96" t="n">
        <v>7875</v>
      </c>
      <c r="G13" s="96" t="n">
        <v>3150</v>
      </c>
      <c r="H13" s="96" t="n">
        <v>3938</v>
      </c>
      <c r="I13" s="96" t="n">
        <v>2363</v>
      </c>
      <c r="J13" s="96" t="n">
        <v>3938</v>
      </c>
      <c r="K13" s="96" t="n">
        <v>9450</v>
      </c>
      <c r="L13" s="96" t="n">
        <v>7088</v>
      </c>
      <c r="M13" s="96" t="n">
        <v>5513</v>
      </c>
      <c r="N13" s="96" t="n">
        <v>4410</v>
      </c>
      <c r="O13" s="96" t="n">
        <v>1969</v>
      </c>
      <c r="P13" s="96" t="n">
        <v>3938</v>
      </c>
      <c r="Q13" s="96" t="n">
        <v>1575</v>
      </c>
      <c r="R13" s="96" t="n">
        <v>5513</v>
      </c>
    </row>
    <row r="14" customFormat="false" ht="15" hidden="false" customHeight="true" outlineLevel="0" collapsed="false">
      <c r="B14" s="94" t="n">
        <f aca="false">IF($C14="","",COUNTA($C$5:C14))</f>
        <v>10</v>
      </c>
      <c r="C14" s="95" t="s">
        <v>1142</v>
      </c>
      <c r="D14" s="96" t="n">
        <v>50</v>
      </c>
      <c r="E14" s="97" t="s">
        <v>151</v>
      </c>
      <c r="F14" s="96" t="n">
        <v>6750</v>
      </c>
      <c r="G14" s="96" t="n">
        <v>2700</v>
      </c>
      <c r="H14" s="96" t="n">
        <v>3375</v>
      </c>
      <c r="I14" s="96" t="n">
        <v>2025</v>
      </c>
      <c r="J14" s="96" t="n">
        <v>3375</v>
      </c>
      <c r="K14" s="96" t="n">
        <v>8100</v>
      </c>
      <c r="L14" s="96" t="n">
        <v>6075</v>
      </c>
      <c r="M14" s="96" t="n">
        <v>4725</v>
      </c>
      <c r="N14" s="96" t="n">
        <v>3780</v>
      </c>
      <c r="O14" s="96" t="n">
        <v>1688</v>
      </c>
      <c r="P14" s="96" t="n">
        <v>3375</v>
      </c>
      <c r="Q14" s="96" t="n">
        <v>1350</v>
      </c>
      <c r="R14" s="96" t="n">
        <v>4725</v>
      </c>
    </row>
    <row r="15" customFormat="false" ht="15" hidden="false" customHeight="true" outlineLevel="0" collapsed="false">
      <c r="B15" s="94" t="n">
        <f aca="false">IF($C15="","",COUNTA($C$5:C15))</f>
        <v>11</v>
      </c>
      <c r="C15" s="95" t="s">
        <v>1143</v>
      </c>
      <c r="D15" s="96" t="n">
        <v>48</v>
      </c>
      <c r="E15" s="97" t="s">
        <v>151</v>
      </c>
      <c r="F15" s="96" t="n">
        <v>6188</v>
      </c>
      <c r="G15" s="96" t="n">
        <v>2475</v>
      </c>
      <c r="H15" s="96" t="n">
        <v>3094</v>
      </c>
      <c r="I15" s="96" t="n">
        <v>1856</v>
      </c>
      <c r="J15" s="96" t="n">
        <v>3094</v>
      </c>
      <c r="K15" s="96" t="n">
        <v>7425</v>
      </c>
      <c r="L15" s="96" t="n">
        <v>5569</v>
      </c>
      <c r="M15" s="96" t="n">
        <v>4331</v>
      </c>
      <c r="N15" s="96" t="n">
        <v>3465</v>
      </c>
      <c r="O15" s="96" t="n">
        <v>1547</v>
      </c>
      <c r="P15" s="96" t="n">
        <v>3094</v>
      </c>
      <c r="Q15" s="96" t="n">
        <v>1238</v>
      </c>
      <c r="R15" s="96" t="n">
        <v>4331</v>
      </c>
    </row>
    <row r="16" customFormat="false" ht="15" hidden="false" customHeight="true" outlineLevel="0" collapsed="false">
      <c r="B16" s="94" t="n">
        <f aca="false">IF($C16="","",COUNTA($C$5:C16))</f>
        <v>12</v>
      </c>
      <c r="C16" s="95" t="s">
        <v>1144</v>
      </c>
      <c r="D16" s="96" t="n">
        <v>45</v>
      </c>
      <c r="E16" s="97" t="s">
        <v>151</v>
      </c>
      <c r="F16" s="96" t="n">
        <v>5625</v>
      </c>
      <c r="G16" s="96" t="n">
        <v>2250</v>
      </c>
      <c r="H16" s="96" t="n">
        <v>2813</v>
      </c>
      <c r="I16" s="96" t="n">
        <v>1688</v>
      </c>
      <c r="J16" s="96" t="n">
        <v>2813</v>
      </c>
      <c r="K16" s="96" t="n">
        <v>6750</v>
      </c>
      <c r="L16" s="96" t="n">
        <v>5063</v>
      </c>
      <c r="M16" s="96" t="n">
        <v>3938</v>
      </c>
      <c r="N16" s="96" t="n">
        <v>3150</v>
      </c>
      <c r="O16" s="96" t="n">
        <v>1406</v>
      </c>
      <c r="P16" s="96" t="n">
        <v>2813</v>
      </c>
      <c r="Q16" s="96" t="n">
        <v>1125</v>
      </c>
      <c r="R16" s="96" t="n">
        <v>3938</v>
      </c>
    </row>
    <row r="17" customFormat="false" ht="15" hidden="false" customHeight="true" outlineLevel="0" collapsed="false">
      <c r="B17" s="94" t="n">
        <f aca="false">IF($C17="","",COUNTA($C$5:C17))</f>
        <v>13</v>
      </c>
      <c r="C17" s="95" t="s">
        <v>1145</v>
      </c>
      <c r="D17" s="96" t="n">
        <v>42</v>
      </c>
      <c r="E17" s="97" t="s">
        <v>97</v>
      </c>
      <c r="F17" s="96" t="n">
        <v>4500</v>
      </c>
      <c r="G17" s="96" t="n">
        <v>1800</v>
      </c>
      <c r="H17" s="96" t="n">
        <v>2250</v>
      </c>
      <c r="I17" s="96" t="n">
        <v>1350</v>
      </c>
      <c r="J17" s="96" t="n">
        <v>2250</v>
      </c>
      <c r="K17" s="96" t="n">
        <v>5400</v>
      </c>
      <c r="L17" s="96" t="n">
        <v>4050</v>
      </c>
      <c r="M17" s="96" t="n">
        <v>3150</v>
      </c>
      <c r="N17" s="96" t="n">
        <v>2520</v>
      </c>
      <c r="O17" s="96" t="n">
        <v>1125</v>
      </c>
      <c r="P17" s="96" t="n">
        <v>2250</v>
      </c>
      <c r="Q17" s="96" t="n">
        <v>900</v>
      </c>
      <c r="R17" s="96" t="n">
        <v>3150</v>
      </c>
    </row>
    <row r="18" customFormat="false" ht="15" hidden="false" customHeight="true" outlineLevel="0" collapsed="false">
      <c r="B18" s="94" t="n">
        <f aca="false">IF($C18="","",COUNTA($C$5:C18))</f>
        <v>14</v>
      </c>
      <c r="C18" s="95" t="s">
        <v>1146</v>
      </c>
      <c r="D18" s="96" t="n">
        <v>40</v>
      </c>
      <c r="E18" s="97" t="s">
        <v>97</v>
      </c>
      <c r="F18" s="96" t="n">
        <v>3938</v>
      </c>
      <c r="G18" s="96" t="n">
        <v>1575</v>
      </c>
      <c r="H18" s="96" t="n">
        <v>1969</v>
      </c>
      <c r="I18" s="96" t="n">
        <v>1181</v>
      </c>
      <c r="J18" s="96" t="n">
        <v>1969</v>
      </c>
      <c r="K18" s="96" t="n">
        <v>4725</v>
      </c>
      <c r="L18" s="96" t="n">
        <v>3544</v>
      </c>
      <c r="M18" s="96" t="n">
        <v>2756</v>
      </c>
      <c r="N18" s="96" t="n">
        <v>2205</v>
      </c>
      <c r="O18" s="96" t="n">
        <v>984</v>
      </c>
      <c r="P18" s="96" t="n">
        <v>1969</v>
      </c>
      <c r="Q18" s="96" t="n">
        <v>788</v>
      </c>
      <c r="R18" s="96" t="n">
        <v>2756</v>
      </c>
    </row>
    <row r="19" customFormat="false" ht="15" hidden="false" customHeight="true" outlineLevel="0" collapsed="false">
      <c r="B19" s="94" t="n">
        <f aca="false">IF($C19="","",COUNTA($C$5:C19))</f>
        <v>15</v>
      </c>
      <c r="C19" s="95" t="s">
        <v>1147</v>
      </c>
      <c r="D19" s="96" t="n">
        <v>38</v>
      </c>
      <c r="E19" s="97" t="s">
        <v>97</v>
      </c>
      <c r="F19" s="96" t="n">
        <v>3375</v>
      </c>
      <c r="G19" s="96" t="n">
        <v>1350</v>
      </c>
      <c r="H19" s="96" t="n">
        <v>1688</v>
      </c>
      <c r="I19" s="96" t="n">
        <v>1013</v>
      </c>
      <c r="J19" s="96" t="n">
        <v>1688</v>
      </c>
      <c r="K19" s="96" t="n">
        <v>4050</v>
      </c>
      <c r="L19" s="96" t="n">
        <v>3038</v>
      </c>
      <c r="M19" s="96" t="n">
        <v>2363</v>
      </c>
      <c r="N19" s="96" t="n">
        <v>1890</v>
      </c>
      <c r="O19" s="96" t="n">
        <v>844</v>
      </c>
      <c r="P19" s="96" t="n">
        <v>1688</v>
      </c>
      <c r="Q19" s="96" t="n">
        <v>675</v>
      </c>
      <c r="R19" s="96" t="n">
        <v>2363</v>
      </c>
    </row>
    <row r="20" customFormat="false" ht="15" hidden="false" customHeight="true" outlineLevel="0" collapsed="false">
      <c r="B20" s="94" t="n">
        <f aca="false">IF($C20="","",COUNTA($C$5:C20))</f>
        <v>16</v>
      </c>
      <c r="C20" s="95" t="s">
        <v>1148</v>
      </c>
      <c r="D20" s="96" t="n">
        <v>35</v>
      </c>
      <c r="E20" s="97" t="s">
        <v>97</v>
      </c>
      <c r="F20" s="96" t="n">
        <v>2813</v>
      </c>
      <c r="G20" s="96" t="n">
        <v>1125</v>
      </c>
      <c r="H20" s="96" t="n">
        <v>1406</v>
      </c>
      <c r="I20" s="96" t="n">
        <v>844</v>
      </c>
      <c r="J20" s="96" t="n">
        <v>1406</v>
      </c>
      <c r="K20" s="96" t="n">
        <v>3375</v>
      </c>
      <c r="L20" s="96" t="n">
        <v>2531</v>
      </c>
      <c r="M20" s="96" t="n">
        <v>1969</v>
      </c>
      <c r="N20" s="96" t="n">
        <v>1575</v>
      </c>
      <c r="O20" s="96" t="n">
        <v>703</v>
      </c>
      <c r="P20" s="96" t="n">
        <v>1406</v>
      </c>
      <c r="Q20" s="96" t="n">
        <v>563</v>
      </c>
      <c r="R20" s="96" t="n">
        <v>1969</v>
      </c>
    </row>
    <row r="21" customFormat="false" ht="15" hidden="false" customHeight="true" outlineLevel="0" collapsed="false">
      <c r="B21" s="94" t="n">
        <f aca="false">IF($C21="","",COUNTA($C$5:C21))</f>
        <v>17</v>
      </c>
      <c r="C21" s="95" t="s">
        <v>1149</v>
      </c>
      <c r="D21" s="96" t="n">
        <v>32</v>
      </c>
      <c r="E21" s="97" t="s">
        <v>97</v>
      </c>
      <c r="F21" s="96" t="n">
        <v>2250</v>
      </c>
      <c r="G21" s="96" t="n">
        <v>900</v>
      </c>
      <c r="H21" s="96" t="n">
        <v>1125</v>
      </c>
      <c r="I21" s="96" t="n">
        <v>675</v>
      </c>
      <c r="J21" s="96" t="n">
        <v>1125</v>
      </c>
      <c r="K21" s="96" t="n">
        <v>2700</v>
      </c>
      <c r="L21" s="96" t="n">
        <v>2025</v>
      </c>
      <c r="M21" s="96" t="n">
        <v>1575</v>
      </c>
      <c r="N21" s="96" t="n">
        <v>1260</v>
      </c>
      <c r="O21" s="96" t="n">
        <v>563</v>
      </c>
      <c r="P21" s="96" t="n">
        <v>1125</v>
      </c>
      <c r="Q21" s="96" t="n">
        <v>450</v>
      </c>
      <c r="R21" s="96" t="n">
        <v>1575</v>
      </c>
    </row>
  </sheetData>
  <mergeCells count="2">
    <mergeCell ref="B1:R1"/>
    <mergeCell ref="B2:R2"/>
  </mergeCells>
  <dataValidations count="1">
    <dataValidation allowBlank="true" errorStyle="stop" operator="between" showDropDown="false" showErrorMessage="false" showInputMessage="false" sqref="E5:E27" type="list">
      <formula1>"Tier S,Tier 1,Tier 2,Tier 3,Tier 4"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false"/>
  </sheetPr>
  <dimension ref="B1:P10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B5" activeCellId="0" sqref="B5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4.43"/>
    <col collapsed="false" customWidth="true" hidden="false" outlineLevel="0" max="3" min="3" style="1" width="24.43"/>
    <col collapsed="false" customWidth="true" hidden="false" outlineLevel="0" max="5" min="4" style="1" width="45.84"/>
    <col collapsed="false" customWidth="true" hidden="false" outlineLevel="0" max="6" min="6" style="1" width="18.29"/>
    <col collapsed="false" customWidth="true" hidden="false" outlineLevel="0" max="7" min="7" style="1" width="19.29"/>
    <col collapsed="false" customWidth="true" hidden="false" outlineLevel="0" max="8" min="8" style="1" width="15.57"/>
    <col collapsed="false" customWidth="true" hidden="false" outlineLevel="0" max="9" min="9" style="1" width="45.43"/>
    <col collapsed="false" customWidth="true" hidden="false" outlineLevel="0" max="10" min="10" style="1" width="7.57"/>
    <col collapsed="false" customWidth="true" hidden="false" outlineLevel="0" max="11" min="11" style="1" width="7.71"/>
    <col collapsed="false" customWidth="true" hidden="false" outlineLevel="0" max="12" min="12" style="1" width="17.29"/>
    <col collapsed="false" customWidth="true" hidden="false" outlineLevel="0" max="13" min="13" style="1" width="6"/>
    <col collapsed="false" customWidth="true" hidden="false" outlineLevel="0" max="26" min="15" style="1" width="8.71"/>
  </cols>
  <sheetData>
    <row r="1" customFormat="false" ht="15" hidden="false" customHeight="true" outlineLevel="0" collapsed="false">
      <c r="N1" s="1"/>
    </row>
    <row r="2" customFormat="false" ht="21.75" hidden="false" customHeight="true" outlineLevel="0" collapsed="false">
      <c r="B2" s="98" t="s">
        <v>1150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1"/>
    </row>
    <row r="3" customFormat="false" ht="15" hidden="false" customHeight="true" outlineLevel="0" collapsed="false">
      <c r="B3" s="99" t="s">
        <v>1151</v>
      </c>
      <c r="C3" s="99"/>
      <c r="D3" s="99"/>
      <c r="E3" s="99"/>
      <c r="F3" s="99"/>
      <c r="G3" s="99"/>
      <c r="H3" s="99"/>
      <c r="I3" s="99"/>
      <c r="J3" s="99"/>
      <c r="K3" s="99"/>
      <c r="L3" s="99"/>
      <c r="M3" s="99"/>
      <c r="N3" s="1"/>
    </row>
    <row r="4" customFormat="false" ht="15" hidden="false" customHeight="true" outlineLevel="0" collapsed="false">
      <c r="N4" s="1"/>
    </row>
    <row r="5" customFormat="false" ht="22.5" hidden="false" customHeight="true" outlineLevel="0" collapsed="false">
      <c r="B5" s="100" t="s">
        <v>1152</v>
      </c>
      <c r="C5" s="101"/>
      <c r="D5" s="102" t="s">
        <v>1153</v>
      </c>
      <c r="E5" s="103"/>
      <c r="F5" s="101" t="str">
        <f aca="false">IFERROR(__xludf.dummyfunction("IF(TRIM(D5)="""","""",IFERROR(INDEX(FILTER('01_Player_Rate_Card'!C$5:C1016,REGEXMATCH(LOWER('01_Player_Rate_Card'!C$5:C1016),LOWER(TRIM(D5)))) ,1),""No match — check spelling""))"),"Moaz")</f>
        <v>Moaz</v>
      </c>
      <c r="G5" s="104"/>
      <c r="H5" s="104" t="s">
        <v>1154</v>
      </c>
      <c r="I5" s="105"/>
      <c r="J5" s="106"/>
      <c r="K5" s="106"/>
      <c r="L5" s="106"/>
      <c r="M5" s="106"/>
      <c r="N5" s="1"/>
    </row>
    <row r="6" customFormat="false" ht="15" hidden="false" customHeight="true" outlineLevel="0" collapsed="false">
      <c r="B6" s="106"/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"/>
    </row>
    <row r="7" customFormat="false" ht="15" hidden="false" customHeight="true" outlineLevel="0" collapsed="false">
      <c r="B7" s="107" t="s">
        <v>1155</v>
      </c>
      <c r="C7" s="107"/>
      <c r="D7" s="107"/>
      <c r="E7" s="107"/>
      <c r="F7" s="107"/>
      <c r="G7" s="107"/>
      <c r="H7" s="107"/>
      <c r="I7" s="107"/>
      <c r="J7" s="107"/>
      <c r="K7" s="107"/>
      <c r="L7" s="107"/>
      <c r="M7" s="107"/>
      <c r="N7" s="1"/>
    </row>
    <row r="8" customFormat="false" ht="15" hidden="false" customHeight="true" outlineLevel="0" collapsed="false">
      <c r="B8" s="108" t="s">
        <v>1156</v>
      </c>
      <c r="C8" s="108" t="s">
        <v>61</v>
      </c>
      <c r="D8" s="108" t="s">
        <v>62</v>
      </c>
      <c r="E8" s="108" t="s">
        <v>60</v>
      </c>
      <c r="F8" s="108" t="s">
        <v>65</v>
      </c>
      <c r="G8" s="108" t="s">
        <v>63</v>
      </c>
      <c r="H8" s="108" t="s">
        <v>64</v>
      </c>
      <c r="N8" s="1"/>
    </row>
    <row r="9" customFormat="false" ht="21" hidden="false" customHeight="true" outlineLevel="0" collapsed="false">
      <c r="B9" s="109" t="str">
        <f aca="false">IF(OR($F$5="",$F$5="No match — check spelling"),"",$F$5)</f>
        <v>Moaz</v>
      </c>
      <c r="C9" s="110" t="str">
        <f aca="false">IFERROR(VLOOKUP(B9,'01_Player_Rate_Card'!$C$5:$AL$500,3,0),"")</f>
        <v>Esports Influencers</v>
      </c>
      <c r="D9" s="111" t="str">
        <f aca="false">IFERROR(VLOOKUP(B9,'01_Player_Rate_Card'!$C$5:$AL$500,4,0),"")</f>
        <v>Esports Influencers</v>
      </c>
      <c r="E9" s="110" t="str">
        <f aca="false">IFERROR(VLOOKUP(B9,'01_Player_Rate_Card'!$C$5:$AL$500,2,0),"")</f>
        <v>Influencer</v>
      </c>
      <c r="F9" s="110" t="str">
        <f aca="false">IFERROR(VLOOKUP(B9,'01_Player_Rate_Card'!$C$5:$AL$500,7,0),"")</f>
        <v>Tier 2</v>
      </c>
      <c r="G9" s="110" t="str">
        <f aca="false">IFERROR(VLOOKUP(B9,'01_Player_Rate_Card'!$C$5:$AL$500,5,0),"")</f>
        <v>Saudi Arabia</v>
      </c>
      <c r="H9" s="110" t="n">
        <f aca="false">IFERROR(VLOOKUP(B9,'01_Player_Rate_Card'!$C$5:$AL$500,6,0),"")</f>
        <v>5</v>
      </c>
      <c r="N9" s="1"/>
    </row>
    <row r="10" customFormat="false" ht="21" hidden="false" customHeight="true" outlineLevel="0" collapsed="false">
      <c r="B10" s="107" t="s">
        <v>1157</v>
      </c>
      <c r="C10" s="107"/>
      <c r="D10" s="107"/>
      <c r="E10" s="107"/>
      <c r="F10" s="107"/>
      <c r="G10" s="107"/>
      <c r="H10" s="107"/>
      <c r="I10" s="107"/>
      <c r="J10" s="107"/>
      <c r="K10" s="107"/>
      <c r="L10" s="107"/>
      <c r="M10" s="107"/>
      <c r="N10" s="1"/>
    </row>
    <row r="11" customFormat="false" ht="15" hidden="false" customHeight="true" outlineLevel="0" collapsed="false">
      <c r="B11" s="112" t="s">
        <v>1158</v>
      </c>
      <c r="C11" s="112" t="s">
        <v>1159</v>
      </c>
      <c r="D11" s="112" t="s">
        <v>1122</v>
      </c>
      <c r="E11" s="112" t="s">
        <v>1160</v>
      </c>
      <c r="F11" s="112" t="s">
        <v>1161</v>
      </c>
      <c r="G11" s="112" t="s">
        <v>1162</v>
      </c>
      <c r="H11" s="112" t="s">
        <v>1163</v>
      </c>
      <c r="I11" s="112" t="s">
        <v>1164</v>
      </c>
      <c r="J11" s="112" t="s">
        <v>1165</v>
      </c>
      <c r="K11" s="112" t="s">
        <v>1166</v>
      </c>
      <c r="L11" s="112" t="s">
        <v>1167</v>
      </c>
      <c r="M11" s="112" t="s">
        <v>1168</v>
      </c>
      <c r="N11" s="113" t="s">
        <v>1169</v>
      </c>
      <c r="O11" s="113" t="s">
        <v>1170</v>
      </c>
      <c r="P11" s="113" t="s">
        <v>1171</v>
      </c>
    </row>
    <row r="12" customFormat="false" ht="15" hidden="false" customHeight="true" outlineLevel="0" collapsed="false">
      <c r="B12" s="114" t="n">
        <f aca="false">IFERROR(VLOOKUP(B9,'01_Player_Rate_Card'!$C$5:$AL$500,8,0),"N/A")</f>
        <v>6500</v>
      </c>
      <c r="C12" s="114" t="n">
        <f aca="false">IFERROR(VLOOKUP(B9,'01_Player_Rate_Card'!$C$5:$AL$500,9,0),"N/A")</f>
        <v>5300</v>
      </c>
      <c r="D12" s="114" t="n">
        <f aca="false">IFERROR(VLOOKUP(B9,'01_Player_Rate_Card'!$C$5:$AL$500,10,0),"N/A")</f>
        <v>1105</v>
      </c>
      <c r="E12" s="114" t="n">
        <f aca="false">IFERROR(VLOOKUP(B9,'01_Player_Rate_Card'!$C$5:$AL$500,11,0),"N/A")</f>
        <v>3400</v>
      </c>
      <c r="F12" s="114" t="n">
        <f aca="false">IFERROR(VLOOKUP(B9,'01_Player_Rate_Card'!$C$5:$AL$500,12,0),"N/A")</f>
        <v>4050</v>
      </c>
      <c r="G12" s="114" t="n">
        <f aca="false">IFERROR(VLOOKUP(B9,'01_Player_Rate_Card'!$C$5:$AL$500,13,0),"N/A")</f>
        <v>2500</v>
      </c>
      <c r="H12" s="114" t="n">
        <f aca="false">IFERROR(VLOOKUP(B9,'01_Player_Rate_Card'!$C$5:$AL$500,14,0),"N/A")</f>
        <v>2500</v>
      </c>
      <c r="I12" s="114" t="n">
        <f aca="false">IFERROR(VLOOKUP(B9,'01_Player_Rate_Card'!$C$5:$AL$500,15,0),"N/A")</f>
        <v>15950</v>
      </c>
      <c r="J12" s="114" t="n">
        <f aca="false">IFERROR(VLOOKUP(B9,'01_Player_Rate_Card'!$C$5:$AL$500,16,0),"N/A")</f>
        <v>8200</v>
      </c>
      <c r="K12" s="114" t="n">
        <f aca="false">IFERROR(VLOOKUP(B9,'01_Player_Rate_Card'!$C$5:$AL$500,17,0),"N/A")</f>
        <v>14300</v>
      </c>
      <c r="L12" s="114" t="n">
        <f aca="false">IFERROR(VLOOKUP(B9,'01_Player_Rate_Card'!$C$5:$AL$500,18,0),"N/A")</f>
        <v>3800</v>
      </c>
      <c r="M12" s="114" t="n">
        <f aca="false">IFERROR(VLOOKUP(B9,'01_Player_Rate_Card'!$C$5:$AL$500,19,0),"N/A")</f>
        <v>1900</v>
      </c>
      <c r="N12" s="1" t="n">
        <f aca="false">IFERROR(VLOOKUP(B9,'01_Player_Rate_Card'!$C$5:$AL$500,20,0),"N/A")</f>
        <v>3150</v>
      </c>
      <c r="O12" s="1" t="n">
        <f aca="false">IFERROR(VLOOKUP(B9,'01_Player_Rate_Card'!$C$5:$AL$500,21,0),"N/A")</f>
        <v>1250</v>
      </c>
      <c r="P12" s="1" t="n">
        <f aca="false">IFERROR(ROUND(IFERROR(VLOOKUP(B9,'01_Player_Rate_Card'!$C$5:$AL$500,8,0),0)*0.15,0),"N/A")</f>
        <v>975</v>
      </c>
    </row>
    <row r="13" customFormat="false" ht="15" hidden="false" customHeight="true" outlineLevel="0" collapsed="false">
      <c r="N13" s="1"/>
    </row>
    <row r="14" customFormat="false" ht="15" hidden="false" customHeight="true" outlineLevel="0" collapsed="false">
      <c r="B14" s="107" t="s">
        <v>1172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  <c r="N14" s="1"/>
    </row>
    <row r="15" customFormat="false" ht="15" hidden="false" customHeight="true" outlineLevel="0" collapsed="false">
      <c r="B15" s="115" t="s">
        <v>1173</v>
      </c>
      <c r="D15" s="115" t="s">
        <v>1174</v>
      </c>
      <c r="F15" s="1" t="s">
        <v>1175</v>
      </c>
      <c r="N15" s="1"/>
    </row>
    <row r="16" customFormat="false" ht="21" hidden="false" customHeight="true" outlineLevel="0" collapsed="false">
      <c r="B16" s="116" t="s">
        <v>1176</v>
      </c>
      <c r="C16" s="117"/>
      <c r="D16" s="118" t="n">
        <f aca="false" t="array" ref="D16:D16">IFERROR(xlookup(B16,$B$17:$B$34,$D$17:$D$34,0),0)</f>
        <v>0</v>
      </c>
      <c r="E16" s="117"/>
      <c r="N16" s="1"/>
    </row>
    <row r="17" customFormat="false" ht="15" hidden="true" customHeight="true" outlineLevel="0" collapsed="false">
      <c r="B17" s="1" t="s">
        <v>1158</v>
      </c>
      <c r="D17" s="1" t="n">
        <f aca="false">IFERROR(VLOOKUP($B$9,'01_Player_Rate_Card'!$C$5:$AL$500,8,FALSE()),0)</f>
        <v>6500</v>
      </c>
      <c r="F17" s="1" t="s">
        <v>1177</v>
      </c>
      <c r="N17" s="1"/>
    </row>
    <row r="18" customFormat="false" ht="15" hidden="true" customHeight="true" outlineLevel="0" collapsed="false">
      <c r="B18" s="1" t="s">
        <v>1178</v>
      </c>
      <c r="D18" s="1" t="n">
        <f aca="false">IFERROR(VLOOKUP($B$9,'01_Player_Rate_Card'!$C$5:$AL$500,9,FALSE()),0)</f>
        <v>5300</v>
      </c>
      <c r="F18" s="1" t="s">
        <v>1179</v>
      </c>
      <c r="N18" s="1"/>
    </row>
    <row r="19" customFormat="false" ht="15" hidden="true" customHeight="true" outlineLevel="0" collapsed="false">
      <c r="B19" s="1" t="s">
        <v>1122</v>
      </c>
      <c r="D19" s="1" t="n">
        <f aca="false">IFERROR(VLOOKUP($B$9,'01_Player_Rate_Card'!$C$5:$AL$500,10,FALSE()),0)</f>
        <v>1105</v>
      </c>
      <c r="F19" s="1" t="s">
        <v>1180</v>
      </c>
      <c r="N19" s="1"/>
    </row>
    <row r="20" customFormat="false" ht="15" hidden="true" customHeight="true" outlineLevel="0" collapsed="false">
      <c r="B20" s="1" t="s">
        <v>1160</v>
      </c>
      <c r="D20" s="1" t="n">
        <f aca="false">IFERROR(VLOOKUP($B$9,'01_Player_Rate_Card'!$C$5:$AL$500,11,FALSE()),0)</f>
        <v>3400</v>
      </c>
      <c r="F20" s="1" t="s">
        <v>1181</v>
      </c>
      <c r="N20" s="1"/>
    </row>
    <row r="21" customFormat="false" ht="15" hidden="true" customHeight="true" outlineLevel="0" collapsed="false">
      <c r="B21" s="1" t="s">
        <v>1161</v>
      </c>
      <c r="D21" s="1" t="n">
        <f aca="false">IFERROR(VLOOKUP($B$9,'01_Player_Rate_Card'!$C$5:$AL$500,12,FALSE()),0)</f>
        <v>4050</v>
      </c>
      <c r="F21" s="1" t="s">
        <v>1182</v>
      </c>
      <c r="N21" s="1"/>
    </row>
    <row r="22" customFormat="false" ht="15" hidden="true" customHeight="true" outlineLevel="0" collapsed="false">
      <c r="B22" s="1" t="s">
        <v>1162</v>
      </c>
      <c r="D22" s="1" t="n">
        <f aca="false">IFERROR(VLOOKUP($B$9,'01_Player_Rate_Card'!$C$5:$AL$500,13,FALSE()),0)</f>
        <v>2500</v>
      </c>
      <c r="F22" s="1" t="s">
        <v>1183</v>
      </c>
      <c r="N22" s="1"/>
    </row>
    <row r="23" customFormat="false" ht="15" hidden="true" customHeight="true" outlineLevel="0" collapsed="false">
      <c r="B23" s="1" t="s">
        <v>1184</v>
      </c>
      <c r="D23" s="1" t="n">
        <f aca="false">IFERROR(VLOOKUP($B$9,'01_Player_Rate_Card'!$C$5:$AL$500,14,FALSE()),0)</f>
        <v>2500</v>
      </c>
      <c r="F23" s="1" t="s">
        <v>1185</v>
      </c>
      <c r="N23" s="1"/>
    </row>
    <row r="24" customFormat="false" ht="15" hidden="true" customHeight="true" outlineLevel="0" collapsed="false">
      <c r="B24" s="1" t="s">
        <v>1186</v>
      </c>
      <c r="D24" s="1" t="n">
        <f aca="false">IFERROR(VLOOKUP($B$9,'01_Player_Rate_Card'!$C$5:$AL$500,8,FALSE())*0.15,0)</f>
        <v>975</v>
      </c>
      <c r="F24" s="1" t="s">
        <v>1187</v>
      </c>
      <c r="N24" s="1"/>
    </row>
    <row r="25" customFormat="false" ht="15" hidden="true" customHeight="true" outlineLevel="0" collapsed="false">
      <c r="B25" s="1" t="s">
        <v>1188</v>
      </c>
      <c r="N25" s="1"/>
    </row>
    <row r="26" customFormat="false" ht="15" hidden="true" customHeight="true" outlineLevel="0" collapsed="false">
      <c r="B26" s="1" t="s">
        <v>1189</v>
      </c>
      <c r="D26" s="1" t="n">
        <f aca="false">IFERROR(VLOOKUP($B$9,'01_Player_Rate_Card'!$C$5:$AL$500,15,FALSE()),0)</f>
        <v>15950</v>
      </c>
      <c r="F26" s="1" t="s">
        <v>1190</v>
      </c>
      <c r="N26" s="1"/>
    </row>
    <row r="27" customFormat="false" ht="15" hidden="true" customHeight="true" outlineLevel="0" collapsed="false">
      <c r="B27" s="1" t="s">
        <v>1191</v>
      </c>
      <c r="D27" s="1" t="n">
        <f aca="false">IFERROR(VLOOKUP($B$9,'01_Player_Rate_Card'!$C$5:$AL$500,16,FALSE()),0)</f>
        <v>8200</v>
      </c>
      <c r="F27" s="1" t="s">
        <v>1192</v>
      </c>
      <c r="N27" s="1"/>
    </row>
    <row r="28" customFormat="false" ht="15" hidden="true" customHeight="true" outlineLevel="0" collapsed="false">
      <c r="B28" s="1" t="s">
        <v>1193</v>
      </c>
      <c r="N28" s="1"/>
    </row>
    <row r="29" customFormat="false" ht="15" hidden="true" customHeight="true" outlineLevel="0" collapsed="false">
      <c r="B29" s="1" t="s">
        <v>1194</v>
      </c>
      <c r="D29" s="1" t="n">
        <f aca="false">IFERROR(VLOOKUP($B$9,'01_Player_Rate_Card'!$C$5:$AL$500,17,FALSE()),0)</f>
        <v>14300</v>
      </c>
      <c r="F29" s="1" t="s">
        <v>1195</v>
      </c>
      <c r="N29" s="1"/>
    </row>
    <row r="30" customFormat="false" ht="15" hidden="true" customHeight="true" outlineLevel="0" collapsed="false">
      <c r="B30" s="1" t="s">
        <v>1176</v>
      </c>
      <c r="D30" s="1" t="n">
        <f aca="false">IFERROR(VLOOKUP($B$9,'01_Player_Rate_Card'!$C$5:$AL$500,17,FALSE())*0.5,0)</f>
        <v>7150</v>
      </c>
      <c r="F30" s="1" t="s">
        <v>1196</v>
      </c>
      <c r="N30" s="1"/>
    </row>
    <row r="31" customFormat="false" ht="15" hidden="true" customHeight="true" outlineLevel="0" collapsed="false">
      <c r="B31" s="1" t="s">
        <v>1197</v>
      </c>
      <c r="D31" s="1" t="n">
        <f aca="false">IFERROR(VLOOKUP($B$9,'01_Player_Rate_Card'!$C$5:$AL$500,17,FALSE()),0)</f>
        <v>14300</v>
      </c>
      <c r="F31" s="1" t="s">
        <v>1198</v>
      </c>
      <c r="N31" s="1"/>
    </row>
    <row r="32" customFormat="false" ht="15" hidden="true" customHeight="true" outlineLevel="0" collapsed="false">
      <c r="B32" s="1" t="s">
        <v>1199</v>
      </c>
      <c r="D32" s="1" t="n">
        <f aca="false">IFERROR(VLOOKUP($B$9,'01_Player_Rate_Card'!$C$5:$AL$500,17,FALSE())*0.7,0)</f>
        <v>10010</v>
      </c>
      <c r="F32" s="1" t="s">
        <v>1200</v>
      </c>
      <c r="N32" s="1"/>
    </row>
    <row r="33" customFormat="false" ht="15" hidden="true" customHeight="true" outlineLevel="0" collapsed="false">
      <c r="B33" s="107" t="s">
        <v>1201</v>
      </c>
      <c r="C33" s="107"/>
      <c r="D33" s="107"/>
      <c r="E33" s="107"/>
      <c r="F33" s="107"/>
      <c r="G33" s="107"/>
      <c r="H33" s="107"/>
      <c r="I33" s="107"/>
      <c r="J33" s="107"/>
      <c r="K33" s="107"/>
      <c r="L33" s="107"/>
      <c r="M33" s="107"/>
      <c r="N33" s="1"/>
    </row>
    <row r="34" customFormat="false" ht="15" hidden="true" customHeight="true" outlineLevel="0" collapsed="false">
      <c r="B34" s="119" t="s">
        <v>1202</v>
      </c>
      <c r="D34" s="120" t="n">
        <f aca="false">IFERROR(VLOOKUP($B$9,'01_Player_Rate_Card'!$C$5:$AL$500,17,FALSE())*0.75,0)</f>
        <v>10725</v>
      </c>
      <c r="E34" s="119"/>
      <c r="F34" s="121" t="s">
        <v>1203</v>
      </c>
      <c r="G34" s="122"/>
      <c r="H34" s="121" t="s">
        <v>1204</v>
      </c>
      <c r="I34" s="121" t="s">
        <v>1205</v>
      </c>
      <c r="N34" s="1"/>
    </row>
    <row r="35" customFormat="false" ht="15" hidden="false" customHeight="true" outlineLevel="0" collapsed="false">
      <c r="B35" s="123" t="s">
        <v>1206</v>
      </c>
      <c r="D35" s="124" t="s">
        <v>1207</v>
      </c>
      <c r="E35" s="125" t="s">
        <v>1208</v>
      </c>
      <c r="F35" s="126" t="s">
        <v>1209</v>
      </c>
      <c r="G35" s="126"/>
      <c r="H35" s="126" t="n">
        <v>0.2</v>
      </c>
      <c r="I35" s="126" t="s">
        <v>1210</v>
      </c>
      <c r="N35" s="1"/>
    </row>
    <row r="36" customFormat="false" ht="15.75" hidden="false" customHeight="true" outlineLevel="0" collapsed="false">
      <c r="B36" s="127" t="s">
        <v>1211</v>
      </c>
      <c r="D36" s="128" t="s">
        <v>1212</v>
      </c>
      <c r="E36" s="129" t="s">
        <v>1213</v>
      </c>
      <c r="F36" s="130" t="s">
        <v>1214</v>
      </c>
      <c r="G36" s="130"/>
      <c r="H36" s="130" t="n">
        <v>0.4</v>
      </c>
      <c r="I36" s="130" t="s">
        <v>1215</v>
      </c>
      <c r="N36" s="1"/>
    </row>
    <row r="37" customFormat="false" ht="15.75" hidden="false" customHeight="true" outlineLevel="0" collapsed="false">
      <c r="B37" s="123" t="s">
        <v>1216</v>
      </c>
      <c r="D37" s="124" t="s">
        <v>1217</v>
      </c>
      <c r="E37" s="125" t="s">
        <v>1218</v>
      </c>
      <c r="F37" s="126" t="s">
        <v>1219</v>
      </c>
      <c r="G37" s="126"/>
      <c r="H37" s="126" t="n">
        <v>0.7</v>
      </c>
      <c r="I37" s="126" t="s">
        <v>1220</v>
      </c>
      <c r="N37" s="1"/>
    </row>
    <row r="38" customFormat="false" ht="15.75" hidden="false" customHeight="true" outlineLevel="0" collapsed="false">
      <c r="B38" s="127" t="s">
        <v>1221</v>
      </c>
      <c r="D38" s="128" t="s">
        <v>1222</v>
      </c>
      <c r="E38" s="129" t="s">
        <v>1223</v>
      </c>
      <c r="F38" s="130"/>
      <c r="G38" s="130"/>
      <c r="H38" s="130"/>
      <c r="I38" s="130"/>
      <c r="N38" s="1"/>
    </row>
    <row r="39" customFormat="false" ht="15.75" hidden="false" customHeight="true" outlineLevel="0" collapsed="false">
      <c r="B39" s="123" t="s">
        <v>1224</v>
      </c>
      <c r="D39" s="124" t="s">
        <v>1225</v>
      </c>
      <c r="E39" s="125" t="s">
        <v>1226</v>
      </c>
      <c r="F39" s="131" t="s">
        <v>1227</v>
      </c>
      <c r="G39" s="131"/>
      <c r="H39" s="121" t="s">
        <v>1228</v>
      </c>
      <c r="I39" s="121" t="s">
        <v>1229</v>
      </c>
      <c r="N39" s="1"/>
    </row>
    <row r="40" customFormat="false" ht="15.75" hidden="false" customHeight="true" outlineLevel="0" collapsed="false">
      <c r="B40" s="127" t="s">
        <v>1230</v>
      </c>
      <c r="D40" s="128" t="s">
        <v>1231</v>
      </c>
      <c r="E40" s="129" t="s">
        <v>1232</v>
      </c>
      <c r="F40" s="126" t="s">
        <v>1233</v>
      </c>
      <c r="G40" s="126"/>
      <c r="H40" s="126" t="n">
        <v>1</v>
      </c>
      <c r="I40" s="126" t="s">
        <v>1234</v>
      </c>
      <c r="N40" s="1"/>
    </row>
    <row r="41" customFormat="false" ht="15.75" hidden="false" customHeight="true" outlineLevel="0" collapsed="false">
      <c r="F41" s="130" t="s">
        <v>1235</v>
      </c>
      <c r="G41" s="130"/>
      <c r="H41" s="130" t="n">
        <v>1.15</v>
      </c>
      <c r="I41" s="130" t="s">
        <v>1236</v>
      </c>
      <c r="N41" s="1"/>
    </row>
    <row r="42" customFormat="false" ht="15.75" hidden="false" customHeight="true" outlineLevel="0" collapsed="false">
      <c r="B42" s="119" t="s">
        <v>1237</v>
      </c>
      <c r="D42" s="120" t="s">
        <v>1238</v>
      </c>
      <c r="E42" s="119" t="s">
        <v>80</v>
      </c>
      <c r="F42" s="126" t="s">
        <v>1239</v>
      </c>
      <c r="G42" s="126"/>
      <c r="H42" s="126" t="n">
        <v>1.3</v>
      </c>
      <c r="I42" s="126" t="s">
        <v>1240</v>
      </c>
      <c r="N42" s="1"/>
    </row>
    <row r="43" customFormat="false" ht="15.75" hidden="false" customHeight="true" outlineLevel="0" collapsed="false">
      <c r="B43" s="123" t="s">
        <v>1241</v>
      </c>
      <c r="D43" s="124" t="s">
        <v>1242</v>
      </c>
      <c r="E43" s="125" t="s">
        <v>1243</v>
      </c>
      <c r="F43" s="130" t="s">
        <v>1244</v>
      </c>
      <c r="G43" s="130"/>
      <c r="H43" s="130" t="n">
        <v>1.5</v>
      </c>
      <c r="I43" s="130" t="s">
        <v>1245</v>
      </c>
      <c r="N43" s="1"/>
    </row>
    <row r="44" customFormat="false" ht="15.75" hidden="false" customHeight="true" outlineLevel="0" collapsed="false">
      <c r="B44" s="127" t="s">
        <v>1246</v>
      </c>
      <c r="D44" s="128" t="s">
        <v>1217</v>
      </c>
      <c r="E44" s="129" t="s">
        <v>1247</v>
      </c>
      <c r="N44" s="1"/>
    </row>
    <row r="45" customFormat="false" ht="15.75" hidden="false" customHeight="true" outlineLevel="0" collapsed="false">
      <c r="B45" s="123" t="s">
        <v>1248</v>
      </c>
      <c r="D45" s="124" t="s">
        <v>1222</v>
      </c>
      <c r="E45" s="125" t="s">
        <v>1249</v>
      </c>
      <c r="F45" s="131" t="s">
        <v>1250</v>
      </c>
      <c r="G45" s="131"/>
      <c r="H45" s="121" t="s">
        <v>1228</v>
      </c>
      <c r="I45" s="121" t="s">
        <v>1251</v>
      </c>
      <c r="N45" s="1"/>
    </row>
    <row r="46" customFormat="false" ht="15.75" hidden="false" customHeight="true" outlineLevel="0" collapsed="false">
      <c r="B46" s="127" t="s">
        <v>1252</v>
      </c>
      <c r="D46" s="128" t="s">
        <v>1225</v>
      </c>
      <c r="E46" s="129" t="s">
        <v>1253</v>
      </c>
      <c r="F46" s="126" t="s">
        <v>1254</v>
      </c>
      <c r="G46" s="126"/>
      <c r="H46" s="126" t="n">
        <v>1</v>
      </c>
      <c r="I46" s="126" t="s">
        <v>1255</v>
      </c>
      <c r="N46" s="1"/>
    </row>
    <row r="47" customFormat="false" ht="15.75" hidden="false" customHeight="true" outlineLevel="0" collapsed="false">
      <c r="B47" s="123" t="s">
        <v>1256</v>
      </c>
      <c r="D47" s="124" t="s">
        <v>1257</v>
      </c>
      <c r="E47" s="125" t="s">
        <v>1258</v>
      </c>
      <c r="F47" s="130" t="s">
        <v>1259</v>
      </c>
      <c r="G47" s="130"/>
      <c r="H47" s="130" t="n">
        <v>1.05</v>
      </c>
      <c r="I47" s="130" t="s">
        <v>1260</v>
      </c>
      <c r="N47" s="1"/>
    </row>
    <row r="48" customFormat="false" ht="15.75" hidden="false" customHeight="true" outlineLevel="0" collapsed="false">
      <c r="B48" s="127" t="s">
        <v>1261</v>
      </c>
      <c r="D48" s="128" t="s">
        <v>1262</v>
      </c>
      <c r="E48" s="129" t="s">
        <v>1263</v>
      </c>
      <c r="F48" s="126" t="s">
        <v>1264</v>
      </c>
      <c r="G48" s="126"/>
      <c r="H48" s="126" t="n">
        <v>1.15</v>
      </c>
      <c r="I48" s="126" t="s">
        <v>1265</v>
      </c>
      <c r="N48" s="1"/>
    </row>
    <row r="49" customFormat="false" ht="15.75" hidden="false" customHeight="true" outlineLevel="0" collapsed="false">
      <c r="N49" s="1"/>
    </row>
    <row r="50" customFormat="false" ht="15.75" hidden="false" customHeight="true" outlineLevel="0" collapsed="false">
      <c r="B50" s="119" t="s">
        <v>1266</v>
      </c>
      <c r="D50" s="120" t="s">
        <v>1238</v>
      </c>
      <c r="E50" s="119" t="s">
        <v>1251</v>
      </c>
      <c r="F50" s="131" t="s">
        <v>1267</v>
      </c>
      <c r="G50" s="131"/>
      <c r="H50" s="121" t="s">
        <v>1268</v>
      </c>
      <c r="I50" s="121" t="s">
        <v>1269</v>
      </c>
      <c r="N50" s="1"/>
    </row>
    <row r="51" customFormat="false" ht="15.75" hidden="false" customHeight="true" outlineLevel="0" collapsed="false">
      <c r="B51" s="123" t="s">
        <v>1270</v>
      </c>
      <c r="D51" s="124" t="s">
        <v>1271</v>
      </c>
      <c r="E51" s="125" t="s">
        <v>1272</v>
      </c>
      <c r="F51" s="126" t="s">
        <v>1273</v>
      </c>
      <c r="G51" s="126"/>
      <c r="H51" s="126" t="n">
        <v>0</v>
      </c>
      <c r="I51" s="126" t="s">
        <v>1274</v>
      </c>
      <c r="N51" s="1"/>
    </row>
    <row r="52" customFormat="false" ht="15.75" hidden="false" customHeight="true" outlineLevel="0" collapsed="false">
      <c r="B52" s="127" t="s">
        <v>1275</v>
      </c>
      <c r="D52" s="128" t="s">
        <v>1217</v>
      </c>
      <c r="E52" s="129" t="s">
        <v>1276</v>
      </c>
      <c r="F52" s="130" t="s">
        <v>1277</v>
      </c>
      <c r="G52" s="130"/>
      <c r="H52" s="130" t="s">
        <v>1278</v>
      </c>
      <c r="I52" s="130" t="s">
        <v>1279</v>
      </c>
      <c r="N52" s="1"/>
    </row>
    <row r="53" customFormat="false" ht="15.75" hidden="false" customHeight="true" outlineLevel="0" collapsed="false">
      <c r="B53" s="123" t="s">
        <v>1280</v>
      </c>
      <c r="D53" s="124" t="s">
        <v>1281</v>
      </c>
      <c r="E53" s="125" t="s">
        <v>1282</v>
      </c>
      <c r="F53" s="126" t="s">
        <v>1283</v>
      </c>
      <c r="G53" s="126"/>
      <c r="H53" s="126" t="s">
        <v>1284</v>
      </c>
      <c r="I53" s="126" t="s">
        <v>1285</v>
      </c>
      <c r="N53" s="1"/>
    </row>
    <row r="54" customFormat="false" ht="15.75" hidden="false" customHeight="true" outlineLevel="0" collapsed="false">
      <c r="B54" s="127" t="s">
        <v>1286</v>
      </c>
      <c r="D54" s="128" t="s">
        <v>1225</v>
      </c>
      <c r="E54" s="129" t="s">
        <v>1287</v>
      </c>
      <c r="N54" s="1"/>
    </row>
    <row r="55" customFormat="false" ht="15.75" hidden="false" customHeight="true" outlineLevel="0" collapsed="false">
      <c r="B55" s="123" t="s">
        <v>1288</v>
      </c>
      <c r="D55" s="124" t="s">
        <v>1257</v>
      </c>
      <c r="E55" s="125" t="s">
        <v>1289</v>
      </c>
      <c r="F55" s="132" t="s">
        <v>1290</v>
      </c>
      <c r="G55" s="132"/>
      <c r="H55" s="133" t="s">
        <v>1291</v>
      </c>
      <c r="I55" s="133"/>
      <c r="N55" s="1"/>
    </row>
    <row r="56" customFormat="false" ht="15.75" hidden="false" customHeight="true" outlineLevel="0" collapsed="false">
      <c r="B56" s="127" t="s">
        <v>1292</v>
      </c>
      <c r="D56" s="128" t="s">
        <v>1222</v>
      </c>
      <c r="E56" s="129" t="s">
        <v>1293</v>
      </c>
      <c r="N56" s="1"/>
    </row>
    <row r="57" customFormat="false" ht="15.75" hidden="false" customHeight="true" outlineLevel="0" collapsed="false">
      <c r="B57" s="123" t="s">
        <v>1294</v>
      </c>
      <c r="D57" s="124" t="s">
        <v>1295</v>
      </c>
      <c r="E57" s="125" t="s">
        <v>1296</v>
      </c>
      <c r="N57" s="1"/>
    </row>
    <row r="58" customFormat="false" ht="15.75" hidden="false" customHeight="true" outlineLevel="0" collapsed="false">
      <c r="B58" s="123" t="s">
        <v>1297</v>
      </c>
      <c r="C58" s="134"/>
      <c r="D58" s="124" t="s">
        <v>1262</v>
      </c>
      <c r="E58" s="125" t="s">
        <v>1298</v>
      </c>
      <c r="N58" s="1"/>
    </row>
    <row r="59" customFormat="false" ht="15.75" hidden="false" customHeight="true" outlineLevel="0" collapsed="false">
      <c r="B59" s="107" t="s">
        <v>1299</v>
      </c>
      <c r="C59" s="107"/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"/>
    </row>
    <row r="60" customFormat="false" ht="19.5" hidden="false" customHeight="true" outlineLevel="0" collapsed="false">
      <c r="B60" s="115" t="s">
        <v>1300</v>
      </c>
      <c r="C60" s="135"/>
      <c r="D60" s="108" t="s">
        <v>1228</v>
      </c>
      <c r="E60" s="136" t="s">
        <v>1301</v>
      </c>
      <c r="N60" s="1"/>
    </row>
    <row r="61" customFormat="false" ht="19.5" hidden="false" customHeight="true" outlineLevel="0" collapsed="false">
      <c r="B61" s="137" t="s">
        <v>1174</v>
      </c>
      <c r="C61" s="135"/>
      <c r="D61" s="138" t="n">
        <f aca="false">IF(ISNUMBER(D16),D16,0)</f>
        <v>0</v>
      </c>
      <c r="E61" s="136" t="s">
        <v>1302</v>
      </c>
      <c r="N61" s="1"/>
    </row>
    <row r="62" customFormat="false" ht="19.5" hidden="false" customHeight="true" outlineLevel="0" collapsed="false">
      <c r="B62" s="137" t="s">
        <v>1303</v>
      </c>
      <c r="C62" s="135"/>
      <c r="D62" s="139" t="s">
        <v>1304</v>
      </c>
      <c r="E62" s="136" t="n">
        <f aca="false">IFERROR(IF(ISNUMBER(D62),D62,VALUE(TRIM(LEFT(TRIM(D62),FIND(" ",TRIM(D62)&amp;" ")-1)))),1)</f>
        <v>0.7</v>
      </c>
      <c r="N62" s="1"/>
    </row>
    <row r="63" customFormat="false" ht="19.5" hidden="false" customHeight="true" outlineLevel="0" collapsed="false">
      <c r="B63" s="137" t="s">
        <v>1305</v>
      </c>
      <c r="C63" s="135"/>
      <c r="D63" s="139" t="s">
        <v>1306</v>
      </c>
      <c r="E63" s="136" t="n">
        <f aca="false">IFERROR(IF(ISNUMBER(D63),D63,VALUE(TRIM(LEFT(TRIM(D63),FIND(" ",TRIM(D63)&amp;" ")-1)))),1)</f>
        <v>0.85</v>
      </c>
      <c r="N63" s="1"/>
    </row>
    <row r="64" customFormat="false" ht="19.5" hidden="false" customHeight="true" outlineLevel="0" collapsed="false">
      <c r="B64" s="137" t="s">
        <v>1307</v>
      </c>
      <c r="C64" s="135"/>
      <c r="D64" s="139" t="s">
        <v>1308</v>
      </c>
      <c r="E64" s="136" t="n">
        <f aca="false">IFERROR(IF(ISNUMBER(D64),D64,VALUE(TRIM(LEFT(TRIM(D64),FIND(" ",TRIM(D64)&amp;" ")-1)))),1)</f>
        <v>0.8</v>
      </c>
      <c r="N64" s="1"/>
    </row>
    <row r="65" customFormat="false" ht="19.5" hidden="false" customHeight="true" outlineLevel="0" collapsed="false">
      <c r="B65" s="140" t="s">
        <v>1309</v>
      </c>
      <c r="C65" s="141"/>
      <c r="D65" s="142" t="s">
        <v>1310</v>
      </c>
      <c r="E65" s="143" t="n">
        <f aca="false">IFERROR(IF(ISNUMBER(D65),D65,VALUE(TRIM(LEFT(TRIM(D65),FIND(" ",TRIM(D65)&amp;" ")-1)))),1)</f>
        <v>1</v>
      </c>
      <c r="F65" s="144"/>
      <c r="N65" s="1"/>
    </row>
    <row r="66" customFormat="false" ht="19.5" hidden="false" customHeight="true" outlineLevel="0" collapsed="false">
      <c r="B66" s="137" t="s">
        <v>1311</v>
      </c>
      <c r="C66" s="135"/>
      <c r="D66" s="145" t="n">
        <f aca="false">'04_Add_On_Rights'!$C$1021</f>
        <v>0</v>
      </c>
      <c r="E66" s="136" t="s">
        <v>1312</v>
      </c>
      <c r="N66" s="1"/>
    </row>
    <row r="67" customFormat="false" ht="19.5" hidden="false" customHeight="true" outlineLevel="0" collapsed="false">
      <c r="B67" s="146" t="s">
        <v>1313</v>
      </c>
      <c r="C67" s="135"/>
      <c r="D67" s="111" t="s">
        <v>1214</v>
      </c>
      <c r="E67" s="136" t="s">
        <v>1314</v>
      </c>
      <c r="F67" s="147"/>
      <c r="G67" s="147"/>
      <c r="H67" s="147"/>
      <c r="I67" s="147"/>
      <c r="J67" s="147"/>
      <c r="N67" s="1"/>
    </row>
    <row r="68" customFormat="false" ht="19.5" hidden="false" customHeight="true" outlineLevel="0" collapsed="false">
      <c r="B68" s="146" t="s">
        <v>1315</v>
      </c>
      <c r="C68" s="135"/>
      <c r="D68" s="111" t="s">
        <v>1316</v>
      </c>
      <c r="E68" s="136" t="n">
        <f aca="false">IFERROR(IF(ISNUMBER(D68),D68,VALUE(TRIM(LEFT(TRIM(D68),FIND(" ",TRIM(D68)&amp;" ")-1)))),1)</f>
        <v>1.1</v>
      </c>
      <c r="F68" s="148"/>
      <c r="G68" s="147"/>
      <c r="H68" s="147"/>
      <c r="I68" s="147"/>
      <c r="J68" s="147"/>
      <c r="N68" s="1"/>
    </row>
    <row r="69" customFormat="false" ht="19.5" hidden="false" customHeight="true" outlineLevel="0" collapsed="false">
      <c r="B69" s="146" t="s">
        <v>1317</v>
      </c>
      <c r="C69" s="135"/>
      <c r="D69" s="111" t="s">
        <v>1318</v>
      </c>
      <c r="E69" s="136" t="n">
        <f aca="false">IFERROR(IF(ISNUMBER(D69),D69,VALUE(TRIM(LEFT(TRIM(D69),FIND(" ",TRIM(D69)&amp;" ")-1)))),1)</f>
        <v>1</v>
      </c>
      <c r="F69" s="149"/>
      <c r="G69" s="149"/>
      <c r="H69" s="149"/>
      <c r="I69" s="149"/>
      <c r="J69" s="149"/>
      <c r="N69" s="1"/>
    </row>
    <row r="70" customFormat="false" ht="19.5" hidden="false" customHeight="true" outlineLevel="0" collapsed="false">
      <c r="B70" s="150" t="s">
        <v>1319</v>
      </c>
      <c r="C70" s="150"/>
      <c r="D70" s="111" t="s">
        <v>1320</v>
      </c>
      <c r="E70" s="136" t="n">
        <f aca="false">IFERROR(IF(ISNUMBER(D70),D70,VALUE(TRIM(LEFT(TRIM(D70),FIND(" ",TRIM(D70)&amp;" ")-1)))),0)</f>
        <v>0.5</v>
      </c>
      <c r="F70" s="151"/>
      <c r="G70" s="151"/>
      <c r="H70" s="151"/>
      <c r="I70" s="151"/>
      <c r="J70" s="151"/>
      <c r="K70" s="146"/>
      <c r="L70" s="146"/>
      <c r="N70" s="1"/>
    </row>
    <row r="71" customFormat="false" ht="19.5" hidden="false" customHeight="true" outlineLevel="0" collapsed="false">
      <c r="B71" s="152" t="s">
        <v>1321</v>
      </c>
      <c r="C71" s="135"/>
      <c r="D71" s="138" t="n">
        <f aca="false">IFERROR(VLOOKUP($B$9,'01_Player_Rate_Card'!$C$5:$AL$500,17,FALSE()),0)</f>
        <v>14300</v>
      </c>
      <c r="E71" s="136" t="s">
        <v>1322</v>
      </c>
      <c r="F71" s="147"/>
      <c r="G71" s="147"/>
      <c r="H71" s="147"/>
      <c r="I71" s="147"/>
      <c r="J71" s="147"/>
      <c r="N71" s="1"/>
    </row>
    <row r="72" customFormat="false" ht="19.5" hidden="false" customHeight="true" outlineLevel="0" collapsed="false">
      <c r="B72" s="135"/>
      <c r="C72" s="135"/>
      <c r="D72" s="135"/>
      <c r="E72" s="153"/>
      <c r="N72" s="1"/>
    </row>
    <row r="73" customFormat="false" ht="15.75" hidden="true" customHeight="true" outlineLevel="0" collapsed="false">
      <c r="B73" s="154" t="s">
        <v>1323</v>
      </c>
      <c r="C73" s="135"/>
      <c r="D73" s="155" t="n">
        <f aca="false">IFERROR(1+IF(TRIM(D67)="Awareness",0.3,IF(TRIM(D67)="Conversion",0.6,IF(TRIM(D67)="Trust (Pro Authority)",0.9,0.6)))*(IFERROR(IF(ISNUMBER(D68),D68,VALUE(TRIM(LEFT(TRIM(D68),FIND(" ",TRIM(D68)&amp;" ")-1)))),1)-1),1)</f>
        <v>1.06</v>
      </c>
      <c r="E73" s="156" t="s">
        <v>1324</v>
      </c>
      <c r="F73" s="147"/>
      <c r="G73" s="147"/>
      <c r="H73" s="147"/>
      <c r="I73" s="147"/>
      <c r="J73" s="147"/>
      <c r="N73" s="1"/>
    </row>
    <row r="74" customFormat="false" ht="15.75" hidden="true" customHeight="true" outlineLevel="0" collapsed="false">
      <c r="B74" s="157" t="s">
        <v>1325</v>
      </c>
      <c r="C74" s="157"/>
      <c r="D74" s="158" t="n">
        <f aca="false">IFERROR(D61*IFERROR(IF(ISNUMBER(D62),D62,VALUE(TRIM(LEFT(TRIM(D62),FIND(" ",TRIM(D62)&amp;" ")-1)))),1)*IFERROR(IF(ISNUMBER(D63),D63,VALUE(TRIM(LEFT(TRIM(D63),FIND(" ",TRIM(D63)&amp;" ")-1)))),1)*IFERROR(IF(ISNUMBER(D64),D64,VALUE(TRIM(LEFT(TRIM(D64),FIND(" ",TRIM(D64)&amp;" ")-1)))),1)*E65*IFERROR(IF(ISNUMBER(D69),D69,VALUE(TRIM(LEFT(TRIM(D69),FIND(" ",TRIM(D69)&amp;" ")-1)))),1)*D73,0)</f>
        <v>0</v>
      </c>
      <c r="E74" s="157" t="s">
        <v>1326</v>
      </c>
      <c r="F74" s="157"/>
      <c r="G74" s="151"/>
      <c r="H74" s="151"/>
      <c r="I74" s="151"/>
      <c r="J74" s="151"/>
      <c r="N74" s="1"/>
    </row>
    <row r="75" customFormat="false" ht="15.75" hidden="true" customHeight="true" outlineLevel="0" collapsed="false">
      <c r="B75" s="157" t="s">
        <v>1327</v>
      </c>
      <c r="C75" s="157"/>
      <c r="D75" s="158" t="n">
        <f aca="false">IFERROR(D71*IFERROR(IF(ISNUMBER(D70),D70,VALUE(TRIM(LEFT(TRIM(D70),FIND(" ",TRIM(D70)&amp;" ")-1)))),0)*IFERROR(IF(ISNUMBER(D64),D64,VALUE(TRIM(LEFT(TRIM(D64),FIND(" ",TRIM(D64)&amp;" ")-1)))),1)*IFERROR(IF(ISNUMBER(D69),D69,VALUE(TRIM(LEFT(TRIM(D69),FIND(" ",TRIM(D69)&amp;" ")-1)))),1)*D73,0)</f>
        <v>6063.2</v>
      </c>
      <c r="E75" s="157" t="s">
        <v>1328</v>
      </c>
      <c r="F75" s="157"/>
      <c r="G75" s="151"/>
      <c r="H75" s="151"/>
      <c r="I75" s="151"/>
      <c r="J75" s="151"/>
      <c r="N75" s="1"/>
    </row>
    <row r="76" customFormat="false" ht="15.75" hidden="true" customHeight="true" outlineLevel="0" collapsed="false">
      <c r="B76" s="159" t="s">
        <v>1329</v>
      </c>
      <c r="C76" s="135"/>
      <c r="D76" s="160" t="n">
        <f aca="false">IFERROR(MAX(D74,D75),0)</f>
        <v>6063.2</v>
      </c>
      <c r="E76" s="129" t="s">
        <v>1330</v>
      </c>
      <c r="F76" s="147"/>
      <c r="G76" s="147"/>
      <c r="H76" s="147"/>
      <c r="I76" s="147"/>
      <c r="J76" s="147"/>
      <c r="N76" s="1"/>
    </row>
    <row r="77" customFormat="false" ht="15.75" hidden="false" customHeight="true" outlineLevel="0" collapsed="false">
      <c r="B77" s="151"/>
      <c r="C77" s="151"/>
      <c r="D77" s="151"/>
      <c r="E77" s="151"/>
      <c r="F77" s="151"/>
      <c r="N77" s="1"/>
    </row>
    <row r="78" customFormat="false" ht="25.5" hidden="false" customHeight="true" outlineLevel="0" collapsed="false">
      <c r="B78" s="161" t="s">
        <v>1331</v>
      </c>
      <c r="C78" s="162"/>
      <c r="D78" s="162" t="n">
        <f aca="false">IFERROR(ROUND(D76*(1+IF(ISNUMBER(D66),D66,IFERROR(VALUE(TRIM(SUBSTITUTE(TEXT(D66,"0.00%"),"%","")))/100,0))),0),0)</f>
        <v>6063</v>
      </c>
      <c r="E78" s="161" t="str">
        <f aca="false">IFERROR("~= USD","~= USD")</f>
        <v>~= USD</v>
      </c>
      <c r="F78" s="161" t="str">
        <f aca="false">IFERROR("$"&amp;TEXT(ROUND(D78/3.75,0),"#,##0"),"—")</f>
        <v>$1,617</v>
      </c>
      <c r="N78" s="1"/>
    </row>
    <row r="79" customFormat="false" ht="15.75" hidden="false" customHeight="true" outlineLevel="0" collapsed="false">
      <c r="B79" s="163"/>
      <c r="C79" s="164"/>
      <c r="D79" s="164"/>
      <c r="E79" s="164"/>
      <c r="F79" s="165"/>
      <c r="N79" s="1"/>
    </row>
    <row r="80" customFormat="false" ht="18" hidden="false" customHeight="true" outlineLevel="0" collapsed="false">
      <c r="B80" s="166" t="s">
        <v>1332</v>
      </c>
      <c r="C80" s="167"/>
      <c r="D80" s="168" t="n">
        <f aca="false">IFERROR(VLOOKUP($B$9,'01_Player_Rate_Card'!$C$5:$AL$500,23,FALSE()),0)</f>
        <v>0.3</v>
      </c>
      <c r="E80" s="167" t="s">
        <v>1333</v>
      </c>
      <c r="F80" s="169"/>
      <c r="N80" s="1"/>
    </row>
    <row r="81" customFormat="false" ht="18" hidden="false" customHeight="true" outlineLevel="0" collapsed="false">
      <c r="B81" s="166" t="s">
        <v>1334</v>
      </c>
      <c r="C81" s="167"/>
      <c r="D81" s="168" t="n">
        <f aca="false">IFERROR(VLOOKUP($B$9,'01_Player_Rate_Card'!$C$5:$AL$500,24,FALSE()),0)</f>
        <v>1</v>
      </c>
      <c r="E81" s="167" t="s">
        <v>1335</v>
      </c>
      <c r="F81" s="169"/>
      <c r="N81" s="1"/>
    </row>
    <row r="82" customFormat="false" ht="18" hidden="false" customHeight="true" outlineLevel="0" collapsed="false">
      <c r="B82" s="170"/>
      <c r="C82" s="167"/>
      <c r="D82" s="167"/>
      <c r="E82" s="167"/>
      <c r="F82" s="169"/>
      <c r="N82" s="1"/>
    </row>
    <row r="83" customFormat="false" ht="18" hidden="false" customHeight="true" outlineLevel="0" collapsed="false">
      <c r="B83" s="171" t="s">
        <v>1336</v>
      </c>
      <c r="C83" s="167"/>
      <c r="D83" s="172" t="n">
        <f aca="false">IFERROR(IF(ISNUMBER(D81),D78/(1+D81),D78/1.75),0)</f>
        <v>3031.5</v>
      </c>
      <c r="E83" s="167" t="s">
        <v>1337</v>
      </c>
      <c r="F83" s="169"/>
      <c r="N83" s="1"/>
    </row>
    <row r="84" customFormat="false" ht="18" hidden="false" customHeight="true" outlineLevel="0" collapsed="false">
      <c r="B84" s="171" t="s">
        <v>1338</v>
      </c>
      <c r="C84" s="167"/>
      <c r="D84" s="172" t="n">
        <f aca="false">IFERROR(D78-D83,0)</f>
        <v>3031.5</v>
      </c>
      <c r="E84" s="167" t="s">
        <v>1339</v>
      </c>
      <c r="F84" s="169"/>
      <c r="N84" s="1"/>
    </row>
    <row r="85" customFormat="false" ht="18" hidden="false" customHeight="true" outlineLevel="0" collapsed="false">
      <c r="B85" s="171" t="s">
        <v>1340</v>
      </c>
      <c r="C85" s="167"/>
      <c r="D85" s="172" t="n">
        <f aca="false">IFERROR(D78*1.15,0)</f>
        <v>6972.45</v>
      </c>
      <c r="E85" s="167" t="s">
        <v>1341</v>
      </c>
      <c r="F85" s="169"/>
      <c r="N85" s="1"/>
    </row>
    <row r="86" customFormat="false" ht="18" hidden="false" customHeight="true" outlineLevel="0" collapsed="false">
      <c r="B86" s="173" t="s">
        <v>1342</v>
      </c>
      <c r="C86" s="174"/>
      <c r="D86" s="175" t="n">
        <f aca="false">IFERROR(D85/3.75,0)</f>
        <v>1859.32</v>
      </c>
      <c r="E86" s="174" t="s">
        <v>1343</v>
      </c>
      <c r="F86" s="176"/>
      <c r="N86" s="1"/>
    </row>
    <row r="87" customFormat="false" ht="18" hidden="false" customHeight="true" outlineLevel="0" collapsed="false">
      <c r="B87" s="151"/>
      <c r="C87" s="151" t="n">
        <v>1</v>
      </c>
      <c r="D87" s="151"/>
      <c r="E87" s="151"/>
      <c r="F87" s="151"/>
      <c r="N87" s="1"/>
    </row>
    <row r="88" customFormat="false" ht="15.75" hidden="false" customHeight="true" outlineLevel="0" collapsed="false">
      <c r="B88" s="129"/>
      <c r="C88" s="129"/>
      <c r="D88" s="129"/>
      <c r="E88" s="129"/>
      <c r="F88" s="129"/>
      <c r="N88" s="1"/>
    </row>
    <row r="89" customFormat="false" ht="15.75" hidden="false" customHeight="true" outlineLevel="0" collapsed="false">
      <c r="B89" s="129"/>
      <c r="C89" s="129"/>
      <c r="D89" s="129"/>
      <c r="E89" s="129"/>
      <c r="F89" s="129"/>
      <c r="N89" s="1"/>
    </row>
    <row r="90" customFormat="false" ht="15.75" hidden="false" customHeight="true" outlineLevel="0" collapsed="false">
      <c r="B90" s="151"/>
      <c r="C90" s="151"/>
      <c r="D90" s="151"/>
      <c r="E90" s="151"/>
      <c r="F90" s="151"/>
      <c r="N90" s="1"/>
    </row>
    <row r="91" customFormat="false" ht="15.75" hidden="false" customHeight="true" outlineLevel="0" collapsed="false">
      <c r="B91" s="106" t="s">
        <v>1344</v>
      </c>
      <c r="C91" s="106"/>
      <c r="D91" s="106"/>
      <c r="E91" s="106"/>
      <c r="F91" s="106"/>
      <c r="N91" s="1"/>
    </row>
    <row r="92" customFormat="false" ht="15.75" hidden="false" customHeight="true" outlineLevel="0" collapsed="false">
      <c r="B92" s="177" t="s">
        <v>1345</v>
      </c>
      <c r="C92" s="177"/>
      <c r="D92" s="177"/>
      <c r="E92" s="177"/>
      <c r="F92" s="177"/>
      <c r="G92" s="177"/>
      <c r="H92" s="177"/>
      <c r="I92" s="177"/>
      <c r="J92" s="177"/>
      <c r="N92" s="1"/>
    </row>
    <row r="93" customFormat="false" ht="15.75" hidden="false" customHeight="true" outlineLevel="0" collapsed="false">
      <c r="B93" s="178" t="s">
        <v>1346</v>
      </c>
      <c r="C93" s="178"/>
      <c r="D93" s="178"/>
      <c r="E93" s="178"/>
      <c r="F93" s="178"/>
      <c r="G93" s="179"/>
      <c r="H93" s="179"/>
      <c r="I93" s="179"/>
      <c r="J93" s="179"/>
      <c r="N93" s="1"/>
    </row>
    <row r="94" customFormat="false" ht="15.75" hidden="false" customHeight="true" outlineLevel="0" collapsed="false">
      <c r="B94" s="178" t="s">
        <v>1347</v>
      </c>
      <c r="C94" s="178"/>
      <c r="D94" s="180"/>
      <c r="E94" s="178"/>
      <c r="F94" s="178"/>
      <c r="G94" s="181"/>
      <c r="H94" s="181"/>
      <c r="I94" s="181"/>
      <c r="J94" s="181"/>
      <c r="N94" s="1"/>
    </row>
    <row r="95" customFormat="false" ht="15.75" hidden="false" customHeight="true" outlineLevel="0" collapsed="false">
      <c r="B95" s="178" t="s">
        <v>1348</v>
      </c>
      <c r="C95" s="178"/>
      <c r="D95" s="178"/>
      <c r="E95" s="178"/>
      <c r="F95" s="178"/>
      <c r="N95" s="1"/>
    </row>
    <row r="96" customFormat="false" ht="15.75" hidden="false" customHeight="true" outlineLevel="0" collapsed="false">
      <c r="B96" s="182" t="s">
        <v>1349</v>
      </c>
      <c r="C96" s="182"/>
      <c r="D96" s="182"/>
      <c r="E96" s="182"/>
      <c r="F96" s="182"/>
      <c r="G96" s="182"/>
      <c r="H96" s="182"/>
      <c r="I96" s="182"/>
      <c r="J96" s="182"/>
      <c r="N96" s="1"/>
    </row>
    <row r="97" customFormat="false" ht="15.75" hidden="false" customHeight="true" outlineLevel="0" collapsed="false">
      <c r="B97" s="183" t="s">
        <v>1350</v>
      </c>
      <c r="C97" s="183"/>
      <c r="D97" s="183"/>
      <c r="E97" s="183"/>
      <c r="F97" s="183"/>
      <c r="G97" s="183"/>
      <c r="H97" s="183"/>
      <c r="I97" s="183"/>
      <c r="J97" s="183"/>
      <c r="N97" s="1"/>
    </row>
    <row r="98" customFormat="false" ht="15.75" hidden="false" customHeight="true" outlineLevel="0" collapsed="false">
      <c r="B98" s="183" t="s">
        <v>1351</v>
      </c>
      <c r="C98" s="183"/>
      <c r="D98" s="183"/>
      <c r="E98" s="183"/>
      <c r="F98" s="183"/>
      <c r="G98" s="183"/>
      <c r="H98" s="183"/>
      <c r="I98" s="183"/>
      <c r="J98" s="183"/>
      <c r="N98" s="1"/>
    </row>
    <row r="99" customFormat="false" ht="15.75" hidden="false" customHeight="true" outlineLevel="0" collapsed="false">
      <c r="B99" s="183" t="s">
        <v>1352</v>
      </c>
      <c r="C99" s="183"/>
      <c r="D99" s="183"/>
      <c r="E99" s="183"/>
      <c r="F99" s="183"/>
      <c r="G99" s="183"/>
      <c r="H99" s="183"/>
      <c r="I99" s="183"/>
      <c r="J99" s="183"/>
      <c r="N99" s="1"/>
    </row>
    <row r="100" customFormat="false" ht="15.75" hidden="false" customHeight="true" outlineLevel="0" collapsed="false">
      <c r="B100" s="183" t="s">
        <v>1353</v>
      </c>
      <c r="C100" s="183"/>
      <c r="D100" s="183"/>
      <c r="E100" s="183"/>
      <c r="F100" s="183"/>
      <c r="G100" s="183"/>
      <c r="H100" s="183"/>
      <c r="I100" s="183"/>
      <c r="J100" s="183"/>
      <c r="N100" s="1"/>
    </row>
    <row r="101" customFormat="false" ht="15.75" hidden="false" customHeight="true" outlineLevel="0" collapsed="false">
      <c r="B101" s="183" t="s">
        <v>1354</v>
      </c>
      <c r="C101" s="183"/>
      <c r="D101" s="183"/>
      <c r="E101" s="183"/>
      <c r="F101" s="183"/>
      <c r="G101" s="183"/>
      <c r="H101" s="183"/>
      <c r="I101" s="183"/>
      <c r="J101" s="183"/>
      <c r="N101" s="1"/>
    </row>
    <row r="102" customFormat="false" ht="15.75" hidden="false" customHeight="true" outlineLevel="0" collapsed="false">
      <c r="N102" s="1"/>
    </row>
    <row r="103" customFormat="false" ht="15.75" hidden="false" customHeight="true" outlineLevel="0" collapsed="false">
      <c r="B103" s="184" t="s">
        <v>1355</v>
      </c>
      <c r="C103" s="184"/>
      <c r="D103" s="184"/>
      <c r="E103" s="184"/>
      <c r="F103" s="184"/>
      <c r="G103" s="184"/>
      <c r="H103" s="184"/>
      <c r="I103" s="184"/>
      <c r="J103" s="184"/>
      <c r="N103" s="1"/>
    </row>
    <row r="104" customFormat="false" ht="15.75" hidden="false" customHeight="true" outlineLevel="0" collapsed="false">
      <c r="N104" s="1"/>
    </row>
    <row r="105" customFormat="false" ht="15.75" hidden="false" customHeight="true" outlineLevel="0" collapsed="false">
      <c r="N105" s="1"/>
    </row>
    <row r="106" customFormat="false" ht="15.75" hidden="false" customHeight="true" outlineLevel="0" collapsed="false">
      <c r="B106" s="185" t="s">
        <v>1356</v>
      </c>
      <c r="C106" s="185"/>
      <c r="D106" s="185"/>
      <c r="E106" s="185"/>
      <c r="N106" s="1"/>
    </row>
    <row r="107" customFormat="false" ht="15.75" hidden="false" customHeight="true" outlineLevel="0" collapsed="false">
      <c r="B107" s="186" t="s">
        <v>1357</v>
      </c>
      <c r="C107" s="186"/>
      <c r="D107" s="186" t="s">
        <v>1238</v>
      </c>
      <c r="E107" s="186" t="s">
        <v>1205</v>
      </c>
      <c r="N107" s="1"/>
    </row>
    <row r="108" customFormat="false" ht="15.75" hidden="false" customHeight="true" outlineLevel="0" collapsed="false">
      <c r="B108" s="187" t="s">
        <v>1358</v>
      </c>
      <c r="C108" s="187"/>
      <c r="D108" s="187" t="s">
        <v>1217</v>
      </c>
      <c r="E108" s="187" t="s">
        <v>1359</v>
      </c>
      <c r="N108" s="1"/>
    </row>
    <row r="109" customFormat="false" ht="15.75" hidden="false" customHeight="true" outlineLevel="0" collapsed="false">
      <c r="B109" s="188" t="s">
        <v>1360</v>
      </c>
      <c r="C109" s="188"/>
      <c r="D109" s="188" t="s">
        <v>1257</v>
      </c>
      <c r="E109" s="188" t="s">
        <v>1361</v>
      </c>
      <c r="N109" s="1"/>
    </row>
    <row r="110" customFormat="false" ht="15.75" hidden="false" customHeight="true" outlineLevel="0" collapsed="false">
      <c r="N110" s="1"/>
    </row>
    <row r="111" customFormat="false" ht="15.75" hidden="false" customHeight="true" outlineLevel="0" collapsed="false">
      <c r="B111" s="1" t="s">
        <v>1362</v>
      </c>
      <c r="N111" s="1"/>
    </row>
    <row r="112" customFormat="false" ht="15.75" hidden="false" customHeight="true" outlineLevel="0" collapsed="false">
      <c r="B112" s="189" t="s">
        <v>1363</v>
      </c>
      <c r="C112" s="189"/>
      <c r="D112" s="189"/>
      <c r="E112" s="189"/>
      <c r="N112" s="1"/>
    </row>
    <row r="113" customFormat="false" ht="15.75" hidden="false" customHeight="true" outlineLevel="0" collapsed="false">
      <c r="B113" s="1" t="s">
        <v>1364</v>
      </c>
      <c r="N113" s="1"/>
    </row>
    <row r="114" customFormat="false" ht="15.75" hidden="false" customHeight="true" outlineLevel="0" collapsed="false">
      <c r="N114" s="1"/>
    </row>
    <row r="115" customFormat="false" ht="15.75" hidden="false" customHeight="true" outlineLevel="0" collapsed="false">
      <c r="N115" s="1"/>
    </row>
    <row r="116" customFormat="false" ht="15.75" hidden="false" customHeight="true" outlineLevel="0" collapsed="false">
      <c r="N116" s="1"/>
    </row>
    <row r="117" customFormat="false" ht="15.75" hidden="false" customHeight="true" outlineLevel="0" collapsed="false">
      <c r="N117" s="1"/>
    </row>
    <row r="118" customFormat="false" ht="15.75" hidden="false" customHeight="true" outlineLevel="0" collapsed="false">
      <c r="N118" s="1"/>
    </row>
    <row r="119" customFormat="false" ht="15.75" hidden="false" customHeight="true" outlineLevel="0" collapsed="false">
      <c r="N119" s="1"/>
    </row>
    <row r="120" customFormat="false" ht="15.75" hidden="false" customHeight="true" outlineLevel="0" collapsed="false">
      <c r="N120" s="1"/>
    </row>
    <row r="121" customFormat="false" ht="15.75" hidden="false" customHeight="true" outlineLevel="0" collapsed="false">
      <c r="N121" s="1"/>
    </row>
    <row r="122" customFormat="false" ht="15.75" hidden="false" customHeight="true" outlineLevel="0" collapsed="false">
      <c r="N122" s="1"/>
    </row>
    <row r="123" customFormat="false" ht="15.75" hidden="false" customHeight="true" outlineLevel="0" collapsed="false">
      <c r="N123" s="1"/>
    </row>
    <row r="124" customFormat="false" ht="15.75" hidden="false" customHeight="true" outlineLevel="0" collapsed="false">
      <c r="N124" s="1"/>
    </row>
    <row r="125" customFormat="false" ht="15.75" hidden="false" customHeight="true" outlineLevel="0" collapsed="false">
      <c r="N125" s="1"/>
    </row>
    <row r="126" customFormat="false" ht="15.75" hidden="false" customHeight="true" outlineLevel="0" collapsed="false">
      <c r="N126" s="1"/>
    </row>
    <row r="127" customFormat="false" ht="15.75" hidden="false" customHeight="true" outlineLevel="0" collapsed="false">
      <c r="N127" s="1"/>
    </row>
    <row r="128" customFormat="false" ht="15.75" hidden="false" customHeight="true" outlineLevel="0" collapsed="false">
      <c r="N128" s="1"/>
    </row>
    <row r="129" customFormat="false" ht="15.75" hidden="false" customHeight="true" outlineLevel="0" collapsed="false">
      <c r="N129" s="1"/>
    </row>
    <row r="130" customFormat="false" ht="15.75" hidden="false" customHeight="true" outlineLevel="0" collapsed="false">
      <c r="N130" s="1"/>
    </row>
    <row r="131" customFormat="false" ht="15.75" hidden="false" customHeight="true" outlineLevel="0" collapsed="false">
      <c r="N131" s="1"/>
    </row>
    <row r="132" customFormat="false" ht="15.75" hidden="false" customHeight="true" outlineLevel="0" collapsed="false">
      <c r="N132" s="1"/>
    </row>
    <row r="133" customFormat="false" ht="15.75" hidden="false" customHeight="true" outlineLevel="0" collapsed="false">
      <c r="N133" s="1"/>
    </row>
    <row r="134" customFormat="false" ht="15.75" hidden="false" customHeight="true" outlineLevel="0" collapsed="false">
      <c r="N134" s="1"/>
    </row>
    <row r="135" customFormat="false" ht="15.75" hidden="false" customHeight="true" outlineLevel="0" collapsed="false">
      <c r="N135" s="1"/>
    </row>
    <row r="136" customFormat="false" ht="15.75" hidden="false" customHeight="true" outlineLevel="0" collapsed="false">
      <c r="N136" s="1"/>
    </row>
    <row r="137" customFormat="false" ht="15.75" hidden="false" customHeight="true" outlineLevel="0" collapsed="false">
      <c r="N137" s="1"/>
    </row>
    <row r="138" customFormat="false" ht="15.75" hidden="false" customHeight="true" outlineLevel="0" collapsed="false">
      <c r="N138" s="1"/>
    </row>
    <row r="139" customFormat="false" ht="15.75" hidden="false" customHeight="true" outlineLevel="0" collapsed="false">
      <c r="N139" s="1"/>
    </row>
    <row r="140" customFormat="false" ht="15.75" hidden="false" customHeight="true" outlineLevel="0" collapsed="false">
      <c r="N140" s="1"/>
    </row>
    <row r="141" customFormat="false" ht="15.75" hidden="false" customHeight="true" outlineLevel="0" collapsed="false">
      <c r="N141" s="1"/>
    </row>
    <row r="142" customFormat="false" ht="15.75" hidden="false" customHeight="true" outlineLevel="0" collapsed="false">
      <c r="N142" s="1"/>
    </row>
    <row r="143" customFormat="false" ht="15.75" hidden="false" customHeight="true" outlineLevel="0" collapsed="false">
      <c r="N143" s="1"/>
    </row>
    <row r="144" customFormat="false" ht="15.75" hidden="false" customHeight="true" outlineLevel="0" collapsed="false">
      <c r="N144" s="1"/>
    </row>
    <row r="145" customFormat="false" ht="15.75" hidden="false" customHeight="true" outlineLevel="0" collapsed="false">
      <c r="N145" s="1"/>
    </row>
    <row r="146" customFormat="false" ht="15.75" hidden="false" customHeight="true" outlineLevel="0" collapsed="false">
      <c r="N146" s="1"/>
    </row>
    <row r="147" customFormat="false" ht="15.75" hidden="false" customHeight="true" outlineLevel="0" collapsed="false">
      <c r="N147" s="1"/>
    </row>
    <row r="148" customFormat="false" ht="15.75" hidden="false" customHeight="true" outlineLevel="0" collapsed="false">
      <c r="N148" s="1"/>
    </row>
    <row r="149" customFormat="false" ht="15.75" hidden="false" customHeight="true" outlineLevel="0" collapsed="false">
      <c r="N149" s="1"/>
    </row>
    <row r="150" customFormat="false" ht="15.75" hidden="false" customHeight="true" outlineLevel="0" collapsed="false">
      <c r="N150" s="1"/>
    </row>
    <row r="151" customFormat="false" ht="15.75" hidden="false" customHeight="true" outlineLevel="0" collapsed="false">
      <c r="N151" s="1"/>
    </row>
    <row r="152" customFormat="false" ht="15.75" hidden="false" customHeight="true" outlineLevel="0" collapsed="false">
      <c r="N152" s="1"/>
    </row>
    <row r="153" customFormat="false" ht="15.75" hidden="false" customHeight="true" outlineLevel="0" collapsed="false">
      <c r="N153" s="1"/>
    </row>
    <row r="154" customFormat="false" ht="15.75" hidden="false" customHeight="true" outlineLevel="0" collapsed="false">
      <c r="N154" s="1"/>
    </row>
    <row r="155" customFormat="false" ht="15.75" hidden="false" customHeight="true" outlineLevel="0" collapsed="false">
      <c r="N155" s="1"/>
    </row>
    <row r="156" customFormat="false" ht="15.75" hidden="false" customHeight="true" outlineLevel="0" collapsed="false">
      <c r="N156" s="1"/>
    </row>
    <row r="157" customFormat="false" ht="15.75" hidden="false" customHeight="true" outlineLevel="0" collapsed="false">
      <c r="N157" s="1"/>
    </row>
    <row r="158" customFormat="false" ht="15.75" hidden="false" customHeight="true" outlineLevel="0" collapsed="false">
      <c r="N158" s="1"/>
    </row>
    <row r="159" customFormat="false" ht="15.75" hidden="false" customHeight="true" outlineLevel="0" collapsed="false">
      <c r="N159" s="1"/>
    </row>
    <row r="160" customFormat="false" ht="15.75" hidden="false" customHeight="true" outlineLevel="0" collapsed="false">
      <c r="N160" s="1"/>
    </row>
    <row r="161" customFormat="false" ht="15.75" hidden="false" customHeight="true" outlineLevel="0" collapsed="false">
      <c r="N161" s="1"/>
    </row>
    <row r="162" customFormat="false" ht="15.75" hidden="false" customHeight="true" outlineLevel="0" collapsed="false">
      <c r="N162" s="1"/>
    </row>
    <row r="163" customFormat="false" ht="15.75" hidden="false" customHeight="true" outlineLevel="0" collapsed="false">
      <c r="N163" s="1"/>
    </row>
    <row r="164" customFormat="false" ht="15.75" hidden="false" customHeight="true" outlineLevel="0" collapsed="false">
      <c r="N164" s="1"/>
    </row>
    <row r="165" customFormat="false" ht="15.75" hidden="false" customHeight="true" outlineLevel="0" collapsed="false">
      <c r="N165" s="1"/>
    </row>
    <row r="166" customFormat="false" ht="15.75" hidden="false" customHeight="true" outlineLevel="0" collapsed="false">
      <c r="N166" s="1"/>
    </row>
    <row r="167" customFormat="false" ht="15.75" hidden="false" customHeight="true" outlineLevel="0" collapsed="false">
      <c r="N167" s="1"/>
    </row>
    <row r="168" customFormat="false" ht="15.75" hidden="false" customHeight="true" outlineLevel="0" collapsed="false">
      <c r="N168" s="1"/>
    </row>
    <row r="169" customFormat="false" ht="15.75" hidden="false" customHeight="true" outlineLevel="0" collapsed="false">
      <c r="N169" s="1"/>
    </row>
    <row r="170" customFormat="false" ht="15.75" hidden="false" customHeight="true" outlineLevel="0" collapsed="false">
      <c r="N170" s="1"/>
    </row>
    <row r="171" customFormat="false" ht="15.75" hidden="false" customHeight="true" outlineLevel="0" collapsed="false">
      <c r="N171" s="1"/>
    </row>
    <row r="172" customFormat="false" ht="15.75" hidden="false" customHeight="true" outlineLevel="0" collapsed="false">
      <c r="N172" s="1"/>
    </row>
    <row r="173" customFormat="false" ht="15.75" hidden="false" customHeight="true" outlineLevel="0" collapsed="false">
      <c r="N173" s="1"/>
    </row>
    <row r="174" customFormat="false" ht="15.75" hidden="false" customHeight="true" outlineLevel="0" collapsed="false">
      <c r="N174" s="1"/>
    </row>
    <row r="175" customFormat="false" ht="15.75" hidden="false" customHeight="true" outlineLevel="0" collapsed="false">
      <c r="N175" s="1"/>
    </row>
    <row r="176" customFormat="false" ht="15.75" hidden="false" customHeight="true" outlineLevel="0" collapsed="false">
      <c r="N176" s="1"/>
    </row>
    <row r="177" customFormat="false" ht="15.75" hidden="false" customHeight="true" outlineLevel="0" collapsed="false">
      <c r="N177" s="1"/>
    </row>
    <row r="178" customFormat="false" ht="15.75" hidden="false" customHeight="true" outlineLevel="0" collapsed="false">
      <c r="N178" s="1"/>
    </row>
    <row r="179" customFormat="false" ht="15.75" hidden="false" customHeight="true" outlineLevel="0" collapsed="false">
      <c r="N179" s="1"/>
    </row>
    <row r="180" customFormat="false" ht="15.75" hidden="false" customHeight="true" outlineLevel="0" collapsed="false">
      <c r="N180" s="1"/>
    </row>
    <row r="181" customFormat="false" ht="15.75" hidden="false" customHeight="true" outlineLevel="0" collapsed="false">
      <c r="N181" s="1"/>
    </row>
    <row r="182" customFormat="false" ht="15.75" hidden="false" customHeight="true" outlineLevel="0" collapsed="false">
      <c r="N182" s="1"/>
    </row>
    <row r="183" customFormat="false" ht="15.75" hidden="false" customHeight="true" outlineLevel="0" collapsed="false">
      <c r="N183" s="1"/>
    </row>
    <row r="184" customFormat="false" ht="15.75" hidden="false" customHeight="true" outlineLevel="0" collapsed="false">
      <c r="N184" s="1"/>
    </row>
    <row r="185" customFormat="false" ht="15.75" hidden="false" customHeight="true" outlineLevel="0" collapsed="false">
      <c r="N185" s="1"/>
    </row>
    <row r="186" customFormat="false" ht="15.75" hidden="false" customHeight="true" outlineLevel="0" collapsed="false">
      <c r="N186" s="1"/>
    </row>
    <row r="187" customFormat="false" ht="15.75" hidden="false" customHeight="true" outlineLevel="0" collapsed="false">
      <c r="N187" s="1"/>
    </row>
    <row r="188" customFormat="false" ht="15.75" hidden="false" customHeight="true" outlineLevel="0" collapsed="false">
      <c r="N188" s="1"/>
    </row>
    <row r="189" customFormat="false" ht="15.75" hidden="false" customHeight="true" outlineLevel="0" collapsed="false">
      <c r="N189" s="1"/>
    </row>
    <row r="190" customFormat="false" ht="15.75" hidden="false" customHeight="true" outlineLevel="0" collapsed="false">
      <c r="N190" s="1"/>
    </row>
    <row r="191" customFormat="false" ht="15.75" hidden="false" customHeight="true" outlineLevel="0" collapsed="false">
      <c r="N191" s="1"/>
    </row>
    <row r="192" customFormat="false" ht="15.75" hidden="false" customHeight="true" outlineLevel="0" collapsed="false">
      <c r="N192" s="1"/>
    </row>
    <row r="193" customFormat="false" ht="15.75" hidden="false" customHeight="true" outlineLevel="0" collapsed="false">
      <c r="N193" s="1"/>
    </row>
    <row r="194" customFormat="false" ht="15.75" hidden="false" customHeight="true" outlineLevel="0" collapsed="false">
      <c r="N194" s="1"/>
    </row>
    <row r="195" customFormat="false" ht="15.75" hidden="false" customHeight="true" outlineLevel="0" collapsed="false">
      <c r="N195" s="1"/>
    </row>
    <row r="196" customFormat="false" ht="15.75" hidden="false" customHeight="true" outlineLevel="0" collapsed="false">
      <c r="N196" s="1"/>
    </row>
    <row r="197" customFormat="false" ht="15.75" hidden="false" customHeight="true" outlineLevel="0" collapsed="false">
      <c r="N197" s="1"/>
    </row>
    <row r="198" customFormat="false" ht="15.75" hidden="false" customHeight="true" outlineLevel="0" collapsed="false">
      <c r="N198" s="1"/>
    </row>
    <row r="199" customFormat="false" ht="15.75" hidden="false" customHeight="true" outlineLevel="0" collapsed="false">
      <c r="N199" s="1"/>
    </row>
    <row r="200" customFormat="false" ht="15.75" hidden="false" customHeight="true" outlineLevel="0" collapsed="false">
      <c r="N200" s="1"/>
    </row>
    <row r="201" customFormat="false" ht="15.75" hidden="false" customHeight="true" outlineLevel="0" collapsed="false">
      <c r="N201" s="1"/>
    </row>
    <row r="202" customFormat="false" ht="15.75" hidden="false" customHeight="true" outlineLevel="0" collapsed="false">
      <c r="N202" s="1"/>
    </row>
    <row r="203" customFormat="false" ht="15.75" hidden="false" customHeight="true" outlineLevel="0" collapsed="false">
      <c r="N203" s="1"/>
    </row>
    <row r="204" customFormat="false" ht="15.75" hidden="false" customHeight="true" outlineLevel="0" collapsed="false">
      <c r="N204" s="1"/>
    </row>
    <row r="205" customFormat="false" ht="15.75" hidden="false" customHeight="true" outlineLevel="0" collapsed="false">
      <c r="N205" s="1"/>
    </row>
    <row r="206" customFormat="false" ht="15.75" hidden="false" customHeight="true" outlineLevel="0" collapsed="false">
      <c r="N206" s="1"/>
    </row>
    <row r="207" customFormat="false" ht="15.75" hidden="false" customHeight="true" outlineLevel="0" collapsed="false">
      <c r="N207" s="1"/>
    </row>
    <row r="208" customFormat="false" ht="15.75" hidden="false" customHeight="true" outlineLevel="0" collapsed="false">
      <c r="N208" s="1"/>
    </row>
    <row r="209" customFormat="false" ht="15.75" hidden="false" customHeight="true" outlineLevel="0" collapsed="false">
      <c r="N209" s="1"/>
    </row>
    <row r="210" customFormat="false" ht="15.75" hidden="false" customHeight="true" outlineLevel="0" collapsed="false">
      <c r="N210" s="1"/>
    </row>
    <row r="211" customFormat="false" ht="15.75" hidden="false" customHeight="true" outlineLevel="0" collapsed="false">
      <c r="N211" s="1"/>
    </row>
    <row r="212" customFormat="false" ht="15.75" hidden="false" customHeight="true" outlineLevel="0" collapsed="false">
      <c r="N212" s="1"/>
    </row>
    <row r="213" customFormat="false" ht="15.75" hidden="false" customHeight="true" outlineLevel="0" collapsed="false">
      <c r="N213" s="1"/>
    </row>
    <row r="214" customFormat="false" ht="15.75" hidden="false" customHeight="true" outlineLevel="0" collapsed="false">
      <c r="N214" s="1"/>
    </row>
    <row r="215" customFormat="false" ht="15.75" hidden="false" customHeight="true" outlineLevel="0" collapsed="false">
      <c r="N215" s="1"/>
    </row>
    <row r="216" customFormat="false" ht="15.75" hidden="false" customHeight="true" outlineLevel="0" collapsed="false">
      <c r="N216" s="1"/>
    </row>
    <row r="217" customFormat="false" ht="15.75" hidden="false" customHeight="true" outlineLevel="0" collapsed="false">
      <c r="N217" s="1"/>
    </row>
    <row r="218" customFormat="false" ht="15.75" hidden="false" customHeight="true" outlineLevel="0" collapsed="false">
      <c r="N218" s="1"/>
    </row>
    <row r="219" customFormat="false" ht="15.75" hidden="false" customHeight="true" outlineLevel="0" collapsed="false">
      <c r="N219" s="1"/>
    </row>
    <row r="220" customFormat="false" ht="15.75" hidden="false" customHeight="true" outlineLevel="0" collapsed="false">
      <c r="N220" s="1"/>
    </row>
    <row r="221" customFormat="false" ht="15.75" hidden="false" customHeight="true" outlineLevel="0" collapsed="false">
      <c r="N221" s="1"/>
    </row>
    <row r="222" customFormat="false" ht="15.75" hidden="false" customHeight="true" outlineLevel="0" collapsed="false">
      <c r="N222" s="1"/>
    </row>
    <row r="223" customFormat="false" ht="15.75" hidden="false" customHeight="true" outlineLevel="0" collapsed="false">
      <c r="N223" s="1"/>
    </row>
    <row r="224" customFormat="false" ht="15.75" hidden="false" customHeight="true" outlineLevel="0" collapsed="false">
      <c r="N224" s="1"/>
    </row>
    <row r="225" customFormat="false" ht="15.75" hidden="false" customHeight="true" outlineLevel="0" collapsed="false">
      <c r="N225" s="1"/>
    </row>
    <row r="226" customFormat="false" ht="15.75" hidden="false" customHeight="true" outlineLevel="0" collapsed="false">
      <c r="N226" s="1"/>
    </row>
    <row r="227" customFormat="false" ht="15.75" hidden="false" customHeight="true" outlineLevel="0" collapsed="false">
      <c r="N227" s="1"/>
    </row>
    <row r="228" customFormat="false" ht="15.75" hidden="false" customHeight="true" outlineLevel="0" collapsed="false">
      <c r="N228" s="1"/>
    </row>
    <row r="229" customFormat="false" ht="15.75" hidden="false" customHeight="true" outlineLevel="0" collapsed="false">
      <c r="N229" s="1"/>
    </row>
    <row r="230" customFormat="false" ht="15.75" hidden="false" customHeight="true" outlineLevel="0" collapsed="false">
      <c r="N230" s="1"/>
    </row>
    <row r="231" customFormat="false" ht="15.75" hidden="false" customHeight="true" outlineLevel="0" collapsed="false">
      <c r="N231" s="1"/>
    </row>
    <row r="232" customFormat="false" ht="15.75" hidden="false" customHeight="true" outlineLevel="0" collapsed="false">
      <c r="N232" s="1"/>
    </row>
    <row r="233" customFormat="false" ht="15.75" hidden="false" customHeight="true" outlineLevel="0" collapsed="false">
      <c r="N233" s="1"/>
    </row>
    <row r="234" customFormat="false" ht="15.75" hidden="false" customHeight="true" outlineLevel="0" collapsed="false">
      <c r="N234" s="1"/>
    </row>
    <row r="235" customFormat="false" ht="15.75" hidden="false" customHeight="true" outlineLevel="0" collapsed="false">
      <c r="N235" s="1"/>
    </row>
    <row r="236" customFormat="false" ht="15.75" hidden="false" customHeight="true" outlineLevel="0" collapsed="false">
      <c r="N236" s="1"/>
    </row>
    <row r="237" customFormat="false" ht="15.75" hidden="false" customHeight="true" outlineLevel="0" collapsed="false">
      <c r="N237" s="1"/>
    </row>
    <row r="238" customFormat="false" ht="15.75" hidden="false" customHeight="true" outlineLevel="0" collapsed="false">
      <c r="N238" s="1"/>
    </row>
    <row r="239" customFormat="false" ht="15.75" hidden="false" customHeight="true" outlineLevel="0" collapsed="false">
      <c r="N239" s="1"/>
    </row>
    <row r="240" customFormat="false" ht="15.75" hidden="false" customHeight="true" outlineLevel="0" collapsed="false">
      <c r="N240" s="1"/>
    </row>
    <row r="241" customFormat="false" ht="15.75" hidden="false" customHeight="true" outlineLevel="0" collapsed="false">
      <c r="N241" s="1"/>
    </row>
    <row r="242" customFormat="false" ht="15.75" hidden="false" customHeight="true" outlineLevel="0" collapsed="false">
      <c r="N242" s="1"/>
    </row>
    <row r="243" customFormat="false" ht="15.75" hidden="false" customHeight="true" outlineLevel="0" collapsed="false">
      <c r="N243" s="1"/>
    </row>
    <row r="244" customFormat="false" ht="15.75" hidden="false" customHeight="true" outlineLevel="0" collapsed="false">
      <c r="N244" s="1"/>
    </row>
    <row r="245" customFormat="false" ht="15.75" hidden="false" customHeight="true" outlineLevel="0" collapsed="false">
      <c r="N245" s="1"/>
    </row>
    <row r="246" customFormat="false" ht="15.75" hidden="false" customHeight="true" outlineLevel="0" collapsed="false">
      <c r="N246" s="1"/>
    </row>
    <row r="247" customFormat="false" ht="15.75" hidden="false" customHeight="true" outlineLevel="0" collapsed="false">
      <c r="N247" s="1"/>
    </row>
    <row r="248" customFormat="false" ht="15.75" hidden="false" customHeight="true" outlineLevel="0" collapsed="false">
      <c r="N248" s="1"/>
    </row>
    <row r="249" customFormat="false" ht="15.75" hidden="false" customHeight="true" outlineLevel="0" collapsed="false">
      <c r="N249" s="1"/>
    </row>
    <row r="250" customFormat="false" ht="15.75" hidden="false" customHeight="true" outlineLevel="0" collapsed="false">
      <c r="N250" s="1"/>
    </row>
    <row r="251" customFormat="false" ht="15.75" hidden="false" customHeight="true" outlineLevel="0" collapsed="false">
      <c r="N251" s="1"/>
    </row>
    <row r="252" customFormat="false" ht="15.75" hidden="false" customHeight="true" outlineLevel="0" collapsed="false">
      <c r="N252" s="1"/>
    </row>
    <row r="253" customFormat="false" ht="15.75" hidden="false" customHeight="true" outlineLevel="0" collapsed="false">
      <c r="N253" s="1"/>
    </row>
    <row r="254" customFormat="false" ht="15.75" hidden="false" customHeight="true" outlineLevel="0" collapsed="false">
      <c r="N254" s="1"/>
    </row>
    <row r="255" customFormat="false" ht="15.75" hidden="false" customHeight="true" outlineLevel="0" collapsed="false">
      <c r="N255" s="1"/>
    </row>
    <row r="256" customFormat="false" ht="15.75" hidden="false" customHeight="true" outlineLevel="0" collapsed="false">
      <c r="N256" s="1"/>
    </row>
    <row r="257" customFormat="false" ht="15.75" hidden="false" customHeight="true" outlineLevel="0" collapsed="false">
      <c r="N257" s="1"/>
    </row>
    <row r="258" customFormat="false" ht="15.75" hidden="false" customHeight="true" outlineLevel="0" collapsed="false">
      <c r="N258" s="1"/>
    </row>
    <row r="259" customFormat="false" ht="15.75" hidden="false" customHeight="true" outlineLevel="0" collapsed="false">
      <c r="N259" s="1"/>
    </row>
    <row r="260" customFormat="false" ht="15.75" hidden="false" customHeight="true" outlineLevel="0" collapsed="false">
      <c r="N260" s="1"/>
    </row>
    <row r="261" customFormat="false" ht="15.75" hidden="false" customHeight="true" outlineLevel="0" collapsed="false">
      <c r="N261" s="1"/>
    </row>
    <row r="262" customFormat="false" ht="15.75" hidden="false" customHeight="true" outlineLevel="0" collapsed="false">
      <c r="N262" s="1"/>
    </row>
    <row r="263" customFormat="false" ht="15.75" hidden="false" customHeight="true" outlineLevel="0" collapsed="false">
      <c r="N263" s="1"/>
    </row>
    <row r="264" customFormat="false" ht="15.75" hidden="false" customHeight="true" outlineLevel="0" collapsed="false">
      <c r="N264" s="1"/>
    </row>
    <row r="265" customFormat="false" ht="15.75" hidden="false" customHeight="true" outlineLevel="0" collapsed="false">
      <c r="N265" s="1"/>
    </row>
    <row r="266" customFormat="false" ht="15.75" hidden="false" customHeight="true" outlineLevel="0" collapsed="false">
      <c r="N266" s="1"/>
    </row>
    <row r="267" customFormat="false" ht="15.75" hidden="false" customHeight="true" outlineLevel="0" collapsed="false">
      <c r="N267" s="1"/>
    </row>
    <row r="268" customFormat="false" ht="15.75" hidden="false" customHeight="true" outlineLevel="0" collapsed="false">
      <c r="N268" s="1"/>
    </row>
    <row r="269" customFormat="false" ht="15.75" hidden="false" customHeight="true" outlineLevel="0" collapsed="false">
      <c r="N269" s="1"/>
    </row>
    <row r="270" customFormat="false" ht="15.75" hidden="false" customHeight="true" outlineLevel="0" collapsed="false">
      <c r="N270" s="1"/>
    </row>
    <row r="271" customFormat="false" ht="15.75" hidden="false" customHeight="true" outlineLevel="0" collapsed="false">
      <c r="N271" s="1"/>
    </row>
    <row r="272" customFormat="false" ht="15.75" hidden="false" customHeight="true" outlineLevel="0" collapsed="false">
      <c r="N272" s="1"/>
    </row>
    <row r="273" customFormat="false" ht="15.75" hidden="false" customHeight="true" outlineLevel="0" collapsed="false">
      <c r="N273" s="1"/>
    </row>
    <row r="274" customFormat="false" ht="15.75" hidden="false" customHeight="true" outlineLevel="0" collapsed="false">
      <c r="N274" s="1"/>
    </row>
    <row r="275" customFormat="false" ht="15.75" hidden="false" customHeight="true" outlineLevel="0" collapsed="false">
      <c r="N275" s="1"/>
    </row>
    <row r="276" customFormat="false" ht="15.75" hidden="false" customHeight="true" outlineLevel="0" collapsed="false">
      <c r="N276" s="1"/>
    </row>
    <row r="277" customFormat="false" ht="15.75" hidden="false" customHeight="true" outlineLevel="0" collapsed="false">
      <c r="N277" s="1"/>
    </row>
    <row r="278" customFormat="false" ht="15.75" hidden="false" customHeight="true" outlineLevel="0" collapsed="false">
      <c r="N278" s="1"/>
    </row>
    <row r="279" customFormat="false" ht="15.75" hidden="false" customHeight="true" outlineLevel="0" collapsed="false">
      <c r="N279" s="1"/>
    </row>
    <row r="280" customFormat="false" ht="15.75" hidden="false" customHeight="true" outlineLevel="0" collapsed="false">
      <c r="N280" s="1"/>
    </row>
    <row r="281" customFormat="false" ht="15.75" hidden="false" customHeight="true" outlineLevel="0" collapsed="false">
      <c r="N281" s="1"/>
    </row>
    <row r="282" customFormat="false" ht="15.75" hidden="false" customHeight="true" outlineLevel="0" collapsed="false">
      <c r="N282" s="1"/>
    </row>
    <row r="283" customFormat="false" ht="15.75" hidden="false" customHeight="true" outlineLevel="0" collapsed="false">
      <c r="N283" s="1"/>
    </row>
    <row r="284" customFormat="false" ht="15.75" hidden="false" customHeight="true" outlineLevel="0" collapsed="false">
      <c r="N284" s="1"/>
    </row>
    <row r="285" customFormat="false" ht="15.75" hidden="false" customHeight="true" outlineLevel="0" collapsed="false">
      <c r="N285" s="1"/>
    </row>
    <row r="286" customFormat="false" ht="15.75" hidden="false" customHeight="true" outlineLevel="0" collapsed="false">
      <c r="N286" s="1"/>
    </row>
    <row r="287" customFormat="false" ht="15.75" hidden="false" customHeight="true" outlineLevel="0" collapsed="false">
      <c r="N287" s="1"/>
    </row>
    <row r="288" customFormat="false" ht="15.75" hidden="false" customHeight="true" outlineLevel="0" collapsed="false">
      <c r="N288" s="1"/>
    </row>
    <row r="289" customFormat="false" ht="15.75" hidden="false" customHeight="true" outlineLevel="0" collapsed="false">
      <c r="N289" s="1"/>
    </row>
    <row r="290" customFormat="false" ht="15.75" hidden="false" customHeight="true" outlineLevel="0" collapsed="false">
      <c r="N290" s="1"/>
    </row>
    <row r="291" customFormat="false" ht="15.75" hidden="false" customHeight="true" outlineLevel="0" collapsed="false">
      <c r="N291" s="1"/>
    </row>
    <row r="292" customFormat="false" ht="15.75" hidden="false" customHeight="true" outlineLevel="0" collapsed="false">
      <c r="N292" s="1"/>
    </row>
    <row r="293" customFormat="false" ht="15.75" hidden="false" customHeight="true" outlineLevel="0" collapsed="false">
      <c r="N293" s="1"/>
    </row>
    <row r="294" customFormat="false" ht="15.75" hidden="false" customHeight="true" outlineLevel="0" collapsed="false">
      <c r="N294" s="1"/>
    </row>
    <row r="295" customFormat="false" ht="15.75" hidden="false" customHeight="true" outlineLevel="0" collapsed="false">
      <c r="N295" s="1"/>
    </row>
    <row r="296" customFormat="false" ht="15.75" hidden="false" customHeight="true" outlineLevel="0" collapsed="false">
      <c r="N296" s="1"/>
    </row>
    <row r="297" customFormat="false" ht="15.75" hidden="false" customHeight="true" outlineLevel="0" collapsed="false">
      <c r="N297" s="1"/>
    </row>
    <row r="298" customFormat="false" ht="15.75" hidden="false" customHeight="true" outlineLevel="0" collapsed="false">
      <c r="N298" s="1"/>
    </row>
    <row r="299" customFormat="false" ht="15.75" hidden="false" customHeight="true" outlineLevel="0" collapsed="false">
      <c r="N299" s="1"/>
    </row>
    <row r="300" customFormat="false" ht="15.75" hidden="false" customHeight="true" outlineLevel="0" collapsed="false">
      <c r="N300" s="1"/>
    </row>
    <row r="301" customFormat="false" ht="15.75" hidden="false" customHeight="true" outlineLevel="0" collapsed="false">
      <c r="N301" s="1"/>
    </row>
    <row r="302" customFormat="false" ht="15.75" hidden="false" customHeight="true" outlineLevel="0" collapsed="false">
      <c r="N302" s="1"/>
    </row>
    <row r="303" customFormat="false" ht="15.75" hidden="false" customHeight="true" outlineLevel="0" collapsed="false">
      <c r="N303" s="1"/>
    </row>
    <row r="304" customFormat="false" ht="15.75" hidden="false" customHeight="true" outlineLevel="0" collapsed="false">
      <c r="N304" s="1"/>
    </row>
    <row r="305" customFormat="false" ht="15.75" hidden="false" customHeight="true" outlineLevel="0" collapsed="false">
      <c r="N305" s="1"/>
    </row>
    <row r="306" customFormat="false" ht="15.75" hidden="false" customHeight="true" outlineLevel="0" collapsed="false">
      <c r="N306" s="1"/>
    </row>
    <row r="307" customFormat="false" ht="15.75" hidden="false" customHeight="true" outlineLevel="0" collapsed="false">
      <c r="N307" s="1"/>
    </row>
    <row r="308" customFormat="false" ht="15.75" hidden="false" customHeight="true" outlineLevel="0" collapsed="false">
      <c r="N308" s="1"/>
    </row>
    <row r="309" customFormat="false" ht="15.75" hidden="false" customHeight="true" outlineLevel="0" collapsed="false">
      <c r="N309" s="1"/>
    </row>
    <row r="310" customFormat="false" ht="15.75" hidden="false" customHeight="true" outlineLevel="0" collapsed="false">
      <c r="N310" s="1"/>
    </row>
    <row r="311" customFormat="false" ht="15.75" hidden="false" customHeight="true" outlineLevel="0" collapsed="false">
      <c r="N311" s="1"/>
    </row>
    <row r="312" customFormat="false" ht="15.75" hidden="false" customHeight="true" outlineLevel="0" collapsed="false">
      <c r="N312" s="1"/>
    </row>
    <row r="313" customFormat="false" ht="15.75" hidden="false" customHeight="true" outlineLevel="0" collapsed="false">
      <c r="N313" s="1"/>
    </row>
    <row r="314" customFormat="false" ht="15.75" hidden="false" customHeight="true" outlineLevel="0" collapsed="false">
      <c r="N314" s="1"/>
    </row>
    <row r="315" customFormat="false" ht="15.75" hidden="false" customHeight="true" outlineLevel="0" collapsed="false">
      <c r="N315" s="1"/>
    </row>
    <row r="316" customFormat="false" ht="15.75" hidden="false" customHeight="true" outlineLevel="0" collapsed="false">
      <c r="N316" s="1"/>
    </row>
    <row r="317" customFormat="false" ht="15.75" hidden="false" customHeight="true" outlineLevel="0" collapsed="false">
      <c r="N317" s="1"/>
    </row>
    <row r="318" customFormat="false" ht="15.75" hidden="false" customHeight="true" outlineLevel="0" collapsed="false">
      <c r="N318" s="1"/>
    </row>
    <row r="319" customFormat="false" ht="15.75" hidden="false" customHeight="true" outlineLevel="0" collapsed="false">
      <c r="N319" s="1"/>
    </row>
    <row r="320" customFormat="false" ht="15.75" hidden="false" customHeight="true" outlineLevel="0" collapsed="false">
      <c r="N320" s="1"/>
    </row>
    <row r="321" customFormat="false" ht="15.75" hidden="false" customHeight="true" outlineLevel="0" collapsed="false">
      <c r="N321" s="1"/>
    </row>
    <row r="322" customFormat="false" ht="15.75" hidden="false" customHeight="true" outlineLevel="0" collapsed="false">
      <c r="N322" s="1"/>
    </row>
    <row r="323" customFormat="false" ht="15.75" hidden="false" customHeight="true" outlineLevel="0" collapsed="false">
      <c r="N323" s="1"/>
    </row>
    <row r="324" customFormat="false" ht="15.75" hidden="false" customHeight="true" outlineLevel="0" collapsed="false">
      <c r="N324" s="1"/>
    </row>
    <row r="325" customFormat="false" ht="15.75" hidden="false" customHeight="true" outlineLevel="0" collapsed="false">
      <c r="N325" s="1"/>
    </row>
    <row r="326" customFormat="false" ht="15.75" hidden="false" customHeight="true" outlineLevel="0" collapsed="false">
      <c r="N326" s="1"/>
    </row>
    <row r="327" customFormat="false" ht="15.75" hidden="false" customHeight="true" outlineLevel="0" collapsed="false">
      <c r="N327" s="1"/>
    </row>
    <row r="328" customFormat="false" ht="15.75" hidden="false" customHeight="true" outlineLevel="0" collapsed="false">
      <c r="N328" s="1"/>
    </row>
    <row r="329" customFormat="false" ht="15.75" hidden="false" customHeight="true" outlineLevel="0" collapsed="false">
      <c r="N329" s="1"/>
    </row>
    <row r="330" customFormat="false" ht="15.75" hidden="false" customHeight="true" outlineLevel="0" collapsed="false">
      <c r="N330" s="1"/>
    </row>
    <row r="331" customFormat="false" ht="15.75" hidden="false" customHeight="true" outlineLevel="0" collapsed="false">
      <c r="N331" s="1"/>
    </row>
    <row r="332" customFormat="false" ht="15.75" hidden="false" customHeight="true" outlineLevel="0" collapsed="false">
      <c r="N332" s="1"/>
    </row>
    <row r="333" customFormat="false" ht="15.75" hidden="false" customHeight="true" outlineLevel="0" collapsed="false">
      <c r="N333" s="1"/>
    </row>
    <row r="334" customFormat="false" ht="15.75" hidden="false" customHeight="true" outlineLevel="0" collapsed="false">
      <c r="N334" s="1"/>
    </row>
    <row r="335" customFormat="false" ht="15.75" hidden="false" customHeight="true" outlineLevel="0" collapsed="false">
      <c r="N335" s="1"/>
    </row>
    <row r="336" customFormat="false" ht="15.75" hidden="false" customHeight="true" outlineLevel="0" collapsed="false">
      <c r="N336" s="1"/>
    </row>
    <row r="337" customFormat="false" ht="15.75" hidden="false" customHeight="true" outlineLevel="0" collapsed="false">
      <c r="N337" s="1"/>
    </row>
    <row r="338" customFormat="false" ht="15.75" hidden="false" customHeight="true" outlineLevel="0" collapsed="false">
      <c r="N338" s="1"/>
    </row>
    <row r="339" customFormat="false" ht="15.75" hidden="false" customHeight="true" outlineLevel="0" collapsed="false">
      <c r="N339" s="1"/>
    </row>
    <row r="340" customFormat="false" ht="15.75" hidden="false" customHeight="true" outlineLevel="0" collapsed="false">
      <c r="N340" s="1"/>
    </row>
    <row r="341" customFormat="false" ht="15.75" hidden="false" customHeight="true" outlineLevel="0" collapsed="false">
      <c r="N341" s="1"/>
    </row>
    <row r="342" customFormat="false" ht="15.75" hidden="false" customHeight="true" outlineLevel="0" collapsed="false">
      <c r="N342" s="1"/>
    </row>
    <row r="343" customFormat="false" ht="15.75" hidden="false" customHeight="true" outlineLevel="0" collapsed="false">
      <c r="N343" s="1"/>
    </row>
    <row r="344" customFormat="false" ht="15.75" hidden="false" customHeight="true" outlineLevel="0" collapsed="false">
      <c r="N344" s="1"/>
    </row>
    <row r="345" customFormat="false" ht="15.75" hidden="false" customHeight="true" outlineLevel="0" collapsed="false">
      <c r="N345" s="1"/>
    </row>
    <row r="346" customFormat="false" ht="15.75" hidden="false" customHeight="true" outlineLevel="0" collapsed="false">
      <c r="N346" s="1"/>
    </row>
    <row r="347" customFormat="false" ht="15.75" hidden="false" customHeight="true" outlineLevel="0" collapsed="false">
      <c r="N347" s="1"/>
    </row>
    <row r="348" customFormat="false" ht="15.75" hidden="false" customHeight="true" outlineLevel="0" collapsed="false">
      <c r="N348" s="1"/>
    </row>
    <row r="349" customFormat="false" ht="15.75" hidden="false" customHeight="true" outlineLevel="0" collapsed="false">
      <c r="N349" s="1"/>
    </row>
    <row r="350" customFormat="false" ht="15.75" hidden="false" customHeight="true" outlineLevel="0" collapsed="false">
      <c r="N350" s="1"/>
    </row>
    <row r="351" customFormat="false" ht="15.75" hidden="false" customHeight="true" outlineLevel="0" collapsed="false">
      <c r="N351" s="1"/>
    </row>
    <row r="352" customFormat="false" ht="15.75" hidden="false" customHeight="true" outlineLevel="0" collapsed="false">
      <c r="N352" s="1"/>
    </row>
    <row r="353" customFormat="false" ht="15.75" hidden="false" customHeight="true" outlineLevel="0" collapsed="false">
      <c r="N353" s="1"/>
    </row>
    <row r="354" customFormat="false" ht="15.75" hidden="false" customHeight="true" outlineLevel="0" collapsed="false">
      <c r="N354" s="1"/>
    </row>
    <row r="355" customFormat="false" ht="15.75" hidden="false" customHeight="true" outlineLevel="0" collapsed="false">
      <c r="N355" s="1"/>
    </row>
    <row r="356" customFormat="false" ht="15.75" hidden="false" customHeight="true" outlineLevel="0" collapsed="false">
      <c r="N356" s="1"/>
    </row>
    <row r="357" customFormat="false" ht="15.75" hidden="false" customHeight="true" outlineLevel="0" collapsed="false">
      <c r="N357" s="1"/>
    </row>
    <row r="358" customFormat="false" ht="15.75" hidden="false" customHeight="true" outlineLevel="0" collapsed="false">
      <c r="N358" s="1"/>
    </row>
    <row r="359" customFormat="false" ht="15.75" hidden="false" customHeight="true" outlineLevel="0" collapsed="false">
      <c r="N359" s="1"/>
    </row>
    <row r="360" customFormat="false" ht="15.75" hidden="false" customHeight="true" outlineLevel="0" collapsed="false">
      <c r="N360" s="1"/>
    </row>
    <row r="361" customFormat="false" ht="15.75" hidden="false" customHeight="true" outlineLevel="0" collapsed="false">
      <c r="N361" s="1"/>
    </row>
    <row r="362" customFormat="false" ht="15.75" hidden="false" customHeight="true" outlineLevel="0" collapsed="false">
      <c r="N362" s="1"/>
    </row>
    <row r="363" customFormat="false" ht="15.75" hidden="false" customHeight="true" outlineLevel="0" collapsed="false">
      <c r="N363" s="1"/>
    </row>
    <row r="364" customFormat="false" ht="15.75" hidden="false" customHeight="true" outlineLevel="0" collapsed="false">
      <c r="N364" s="1"/>
    </row>
    <row r="365" customFormat="false" ht="15.75" hidden="false" customHeight="true" outlineLevel="0" collapsed="false">
      <c r="N365" s="1"/>
    </row>
    <row r="366" customFormat="false" ht="15.75" hidden="false" customHeight="true" outlineLevel="0" collapsed="false">
      <c r="N366" s="1"/>
    </row>
    <row r="367" customFormat="false" ht="15.75" hidden="false" customHeight="true" outlineLevel="0" collapsed="false">
      <c r="N367" s="1"/>
    </row>
    <row r="368" customFormat="false" ht="15.75" hidden="false" customHeight="true" outlineLevel="0" collapsed="false">
      <c r="N368" s="1"/>
    </row>
    <row r="369" customFormat="false" ht="15.75" hidden="false" customHeight="true" outlineLevel="0" collapsed="false">
      <c r="N369" s="1"/>
    </row>
    <row r="370" customFormat="false" ht="15.75" hidden="false" customHeight="true" outlineLevel="0" collapsed="false">
      <c r="N370" s="1"/>
    </row>
    <row r="371" customFormat="false" ht="15.75" hidden="false" customHeight="true" outlineLevel="0" collapsed="false">
      <c r="N371" s="1"/>
    </row>
    <row r="372" customFormat="false" ht="15.75" hidden="false" customHeight="true" outlineLevel="0" collapsed="false">
      <c r="N372" s="1"/>
    </row>
    <row r="373" customFormat="false" ht="15.75" hidden="false" customHeight="true" outlineLevel="0" collapsed="false">
      <c r="N373" s="1"/>
    </row>
    <row r="374" customFormat="false" ht="15.75" hidden="false" customHeight="true" outlineLevel="0" collapsed="false">
      <c r="N374" s="1"/>
    </row>
    <row r="375" customFormat="false" ht="15.75" hidden="false" customHeight="true" outlineLevel="0" collapsed="false">
      <c r="N375" s="1"/>
    </row>
    <row r="376" customFormat="false" ht="15.75" hidden="false" customHeight="true" outlineLevel="0" collapsed="false">
      <c r="N376" s="1"/>
    </row>
    <row r="377" customFormat="false" ht="15.75" hidden="false" customHeight="true" outlineLevel="0" collapsed="false">
      <c r="N377" s="1"/>
    </row>
    <row r="378" customFormat="false" ht="15.75" hidden="false" customHeight="true" outlineLevel="0" collapsed="false">
      <c r="N378" s="1"/>
    </row>
    <row r="379" customFormat="false" ht="15.75" hidden="false" customHeight="true" outlineLevel="0" collapsed="false">
      <c r="N379" s="1"/>
    </row>
    <row r="380" customFormat="false" ht="15.75" hidden="false" customHeight="true" outlineLevel="0" collapsed="false">
      <c r="N380" s="1"/>
    </row>
    <row r="381" customFormat="false" ht="15.75" hidden="false" customHeight="true" outlineLevel="0" collapsed="false">
      <c r="N381" s="1"/>
    </row>
    <row r="382" customFormat="false" ht="15.75" hidden="false" customHeight="true" outlineLevel="0" collapsed="false">
      <c r="N382" s="1"/>
    </row>
    <row r="383" customFormat="false" ht="15.75" hidden="false" customHeight="true" outlineLevel="0" collapsed="false">
      <c r="N383" s="1"/>
    </row>
    <row r="384" customFormat="false" ht="15.75" hidden="false" customHeight="true" outlineLevel="0" collapsed="false">
      <c r="N384" s="1"/>
    </row>
    <row r="385" customFormat="false" ht="15.75" hidden="false" customHeight="true" outlineLevel="0" collapsed="false">
      <c r="N385" s="1"/>
    </row>
    <row r="386" customFormat="false" ht="15.75" hidden="false" customHeight="true" outlineLevel="0" collapsed="false">
      <c r="N386" s="1"/>
    </row>
    <row r="387" customFormat="false" ht="15.75" hidden="false" customHeight="true" outlineLevel="0" collapsed="false">
      <c r="N387" s="1"/>
    </row>
    <row r="388" customFormat="false" ht="15.75" hidden="false" customHeight="true" outlineLevel="0" collapsed="false">
      <c r="N388" s="1"/>
    </row>
    <row r="389" customFormat="false" ht="15.75" hidden="false" customHeight="true" outlineLevel="0" collapsed="false">
      <c r="N389" s="1"/>
    </row>
    <row r="390" customFormat="false" ht="15.75" hidden="false" customHeight="true" outlineLevel="0" collapsed="false">
      <c r="N390" s="1"/>
    </row>
    <row r="391" customFormat="false" ht="15.75" hidden="false" customHeight="true" outlineLevel="0" collapsed="false">
      <c r="N391" s="1"/>
    </row>
    <row r="392" customFormat="false" ht="15.75" hidden="false" customHeight="true" outlineLevel="0" collapsed="false">
      <c r="N392" s="1"/>
    </row>
    <row r="393" customFormat="false" ht="15.75" hidden="false" customHeight="true" outlineLevel="0" collapsed="false">
      <c r="N393" s="1"/>
    </row>
    <row r="394" customFormat="false" ht="15.75" hidden="false" customHeight="true" outlineLevel="0" collapsed="false">
      <c r="N394" s="1"/>
    </row>
    <row r="395" customFormat="false" ht="15.75" hidden="false" customHeight="true" outlineLevel="0" collapsed="false">
      <c r="N395" s="1"/>
    </row>
    <row r="396" customFormat="false" ht="15.75" hidden="false" customHeight="true" outlineLevel="0" collapsed="false">
      <c r="N396" s="1"/>
    </row>
    <row r="397" customFormat="false" ht="15.75" hidden="false" customHeight="true" outlineLevel="0" collapsed="false">
      <c r="N397" s="1"/>
    </row>
    <row r="398" customFormat="false" ht="15.75" hidden="false" customHeight="true" outlineLevel="0" collapsed="false">
      <c r="N398" s="1"/>
    </row>
    <row r="399" customFormat="false" ht="15.75" hidden="false" customHeight="true" outlineLevel="0" collapsed="false">
      <c r="N399" s="1"/>
    </row>
    <row r="400" customFormat="false" ht="15.75" hidden="false" customHeight="true" outlineLevel="0" collapsed="false">
      <c r="N400" s="1"/>
    </row>
    <row r="401" customFormat="false" ht="15.75" hidden="false" customHeight="true" outlineLevel="0" collapsed="false">
      <c r="N401" s="1"/>
    </row>
    <row r="402" customFormat="false" ht="15.75" hidden="false" customHeight="true" outlineLevel="0" collapsed="false">
      <c r="N402" s="1"/>
    </row>
    <row r="403" customFormat="false" ht="15.75" hidden="false" customHeight="true" outlineLevel="0" collapsed="false">
      <c r="N403" s="1"/>
    </row>
    <row r="404" customFormat="false" ht="15.75" hidden="false" customHeight="true" outlineLevel="0" collapsed="false">
      <c r="N404" s="1"/>
    </row>
    <row r="405" customFormat="false" ht="15.75" hidden="false" customHeight="true" outlineLevel="0" collapsed="false">
      <c r="N405" s="1"/>
    </row>
    <row r="406" customFormat="false" ht="15.75" hidden="false" customHeight="true" outlineLevel="0" collapsed="false">
      <c r="N406" s="1"/>
    </row>
    <row r="407" customFormat="false" ht="15.75" hidden="false" customHeight="true" outlineLevel="0" collapsed="false">
      <c r="N407" s="1"/>
    </row>
    <row r="408" customFormat="false" ht="15.75" hidden="false" customHeight="true" outlineLevel="0" collapsed="false">
      <c r="N408" s="1"/>
    </row>
    <row r="409" customFormat="false" ht="15.75" hidden="false" customHeight="true" outlineLevel="0" collapsed="false">
      <c r="N409" s="1"/>
    </row>
    <row r="410" customFormat="false" ht="15.75" hidden="false" customHeight="true" outlineLevel="0" collapsed="false">
      <c r="N410" s="1"/>
    </row>
    <row r="411" customFormat="false" ht="15.75" hidden="false" customHeight="true" outlineLevel="0" collapsed="false">
      <c r="N411" s="1"/>
    </row>
    <row r="412" customFormat="false" ht="15.75" hidden="false" customHeight="true" outlineLevel="0" collapsed="false">
      <c r="N412" s="1"/>
    </row>
    <row r="413" customFormat="false" ht="15.75" hidden="false" customHeight="true" outlineLevel="0" collapsed="false">
      <c r="N413" s="1"/>
    </row>
    <row r="414" customFormat="false" ht="15.75" hidden="false" customHeight="true" outlineLevel="0" collapsed="false">
      <c r="N414" s="1"/>
    </row>
    <row r="415" customFormat="false" ht="15.75" hidden="false" customHeight="true" outlineLevel="0" collapsed="false">
      <c r="N415" s="1"/>
    </row>
    <row r="416" customFormat="false" ht="15.75" hidden="false" customHeight="true" outlineLevel="0" collapsed="false">
      <c r="N416" s="1"/>
    </row>
    <row r="417" customFormat="false" ht="15.75" hidden="false" customHeight="true" outlineLevel="0" collapsed="false">
      <c r="N417" s="1"/>
    </row>
    <row r="418" customFormat="false" ht="15.75" hidden="false" customHeight="true" outlineLevel="0" collapsed="false">
      <c r="N418" s="1"/>
    </row>
    <row r="419" customFormat="false" ht="15.75" hidden="false" customHeight="true" outlineLevel="0" collapsed="false">
      <c r="N419" s="1"/>
    </row>
    <row r="420" customFormat="false" ht="15.75" hidden="false" customHeight="true" outlineLevel="0" collapsed="false">
      <c r="N420" s="1"/>
    </row>
    <row r="421" customFormat="false" ht="15.75" hidden="false" customHeight="true" outlineLevel="0" collapsed="false">
      <c r="N421" s="1"/>
    </row>
    <row r="422" customFormat="false" ht="15.75" hidden="false" customHeight="true" outlineLevel="0" collapsed="false">
      <c r="N422" s="1"/>
    </row>
    <row r="423" customFormat="false" ht="15.75" hidden="false" customHeight="true" outlineLevel="0" collapsed="false">
      <c r="N423" s="1"/>
    </row>
    <row r="424" customFormat="false" ht="15.75" hidden="false" customHeight="true" outlineLevel="0" collapsed="false">
      <c r="N424" s="1"/>
    </row>
    <row r="425" customFormat="false" ht="15.75" hidden="false" customHeight="true" outlineLevel="0" collapsed="false">
      <c r="N425" s="1"/>
    </row>
    <row r="426" customFormat="false" ht="15.75" hidden="false" customHeight="true" outlineLevel="0" collapsed="false">
      <c r="N426" s="1"/>
    </row>
    <row r="427" customFormat="false" ht="15.75" hidden="false" customHeight="true" outlineLevel="0" collapsed="false">
      <c r="N427" s="1"/>
    </row>
    <row r="428" customFormat="false" ht="15.75" hidden="false" customHeight="true" outlineLevel="0" collapsed="false">
      <c r="N428" s="1"/>
    </row>
    <row r="429" customFormat="false" ht="15.75" hidden="false" customHeight="true" outlineLevel="0" collapsed="false">
      <c r="N429" s="1"/>
    </row>
    <row r="430" customFormat="false" ht="15.75" hidden="false" customHeight="true" outlineLevel="0" collapsed="false">
      <c r="N430" s="1"/>
    </row>
    <row r="431" customFormat="false" ht="15.75" hidden="false" customHeight="true" outlineLevel="0" collapsed="false">
      <c r="N431" s="1"/>
    </row>
    <row r="432" customFormat="false" ht="15.75" hidden="false" customHeight="true" outlineLevel="0" collapsed="false">
      <c r="N432" s="1"/>
    </row>
    <row r="433" customFormat="false" ht="15.75" hidden="false" customHeight="true" outlineLevel="0" collapsed="false">
      <c r="N433" s="1"/>
    </row>
    <row r="434" customFormat="false" ht="15.75" hidden="false" customHeight="true" outlineLevel="0" collapsed="false">
      <c r="N434" s="1"/>
    </row>
    <row r="435" customFormat="false" ht="15.75" hidden="false" customHeight="true" outlineLevel="0" collapsed="false">
      <c r="N435" s="1"/>
    </row>
    <row r="436" customFormat="false" ht="15.75" hidden="false" customHeight="true" outlineLevel="0" collapsed="false">
      <c r="N436" s="1"/>
    </row>
    <row r="437" customFormat="false" ht="15.75" hidden="false" customHeight="true" outlineLevel="0" collapsed="false">
      <c r="N437" s="1"/>
    </row>
    <row r="438" customFormat="false" ht="15.75" hidden="false" customHeight="true" outlineLevel="0" collapsed="false">
      <c r="N438" s="1"/>
    </row>
    <row r="439" customFormat="false" ht="15.75" hidden="false" customHeight="true" outlineLevel="0" collapsed="false">
      <c r="N439" s="1"/>
    </row>
    <row r="440" customFormat="false" ht="15.75" hidden="false" customHeight="true" outlineLevel="0" collapsed="false">
      <c r="N440" s="1"/>
    </row>
    <row r="441" customFormat="false" ht="15.75" hidden="false" customHeight="true" outlineLevel="0" collapsed="false">
      <c r="N441" s="1"/>
    </row>
    <row r="442" customFormat="false" ht="15.75" hidden="false" customHeight="true" outlineLevel="0" collapsed="false">
      <c r="N442" s="1"/>
    </row>
    <row r="443" customFormat="false" ht="15.75" hidden="false" customHeight="true" outlineLevel="0" collapsed="false">
      <c r="N443" s="1"/>
    </row>
    <row r="444" customFormat="false" ht="15.75" hidden="false" customHeight="true" outlineLevel="0" collapsed="false">
      <c r="N444" s="1"/>
    </row>
    <row r="445" customFormat="false" ht="15.75" hidden="false" customHeight="true" outlineLevel="0" collapsed="false">
      <c r="N445" s="1"/>
    </row>
    <row r="446" customFormat="false" ht="15.75" hidden="false" customHeight="true" outlineLevel="0" collapsed="false">
      <c r="N446" s="1"/>
    </row>
    <row r="447" customFormat="false" ht="15.75" hidden="false" customHeight="true" outlineLevel="0" collapsed="false">
      <c r="N447" s="1"/>
    </row>
    <row r="448" customFormat="false" ht="15.75" hidden="false" customHeight="true" outlineLevel="0" collapsed="false">
      <c r="N448" s="1"/>
    </row>
    <row r="449" customFormat="false" ht="15.75" hidden="false" customHeight="true" outlineLevel="0" collapsed="false">
      <c r="N449" s="1"/>
    </row>
    <row r="450" customFormat="false" ht="15.75" hidden="false" customHeight="true" outlineLevel="0" collapsed="false">
      <c r="N450" s="1"/>
    </row>
    <row r="451" customFormat="false" ht="15.75" hidden="false" customHeight="true" outlineLevel="0" collapsed="false">
      <c r="N451" s="1"/>
    </row>
    <row r="452" customFormat="false" ht="15.75" hidden="false" customHeight="true" outlineLevel="0" collapsed="false">
      <c r="N452" s="1"/>
    </row>
    <row r="453" customFormat="false" ht="15.75" hidden="false" customHeight="true" outlineLevel="0" collapsed="false">
      <c r="N453" s="1"/>
    </row>
    <row r="454" customFormat="false" ht="15.75" hidden="false" customHeight="true" outlineLevel="0" collapsed="false">
      <c r="N454" s="1"/>
    </row>
    <row r="455" customFormat="false" ht="15.75" hidden="false" customHeight="true" outlineLevel="0" collapsed="false">
      <c r="N455" s="1"/>
    </row>
    <row r="456" customFormat="false" ht="15.75" hidden="false" customHeight="true" outlineLevel="0" collapsed="false">
      <c r="N456" s="1"/>
    </row>
    <row r="457" customFormat="false" ht="15.75" hidden="false" customHeight="true" outlineLevel="0" collapsed="false">
      <c r="N457" s="1"/>
    </row>
    <row r="458" customFormat="false" ht="15.75" hidden="false" customHeight="true" outlineLevel="0" collapsed="false">
      <c r="N458" s="1"/>
    </row>
    <row r="459" customFormat="false" ht="15.75" hidden="false" customHeight="true" outlineLevel="0" collapsed="false">
      <c r="N459" s="1"/>
    </row>
    <row r="460" customFormat="false" ht="15.75" hidden="false" customHeight="true" outlineLevel="0" collapsed="false">
      <c r="N460" s="1"/>
    </row>
    <row r="461" customFormat="false" ht="15.75" hidden="false" customHeight="true" outlineLevel="0" collapsed="false">
      <c r="N461" s="1"/>
    </row>
    <row r="462" customFormat="false" ht="15.75" hidden="false" customHeight="true" outlineLevel="0" collapsed="false">
      <c r="N462" s="1"/>
    </row>
    <row r="463" customFormat="false" ht="15.75" hidden="false" customHeight="true" outlineLevel="0" collapsed="false">
      <c r="N463" s="1"/>
    </row>
    <row r="464" customFormat="false" ht="15.75" hidden="false" customHeight="true" outlineLevel="0" collapsed="false">
      <c r="N464" s="1"/>
    </row>
    <row r="465" customFormat="false" ht="15.75" hidden="false" customHeight="true" outlineLevel="0" collapsed="false">
      <c r="N465" s="1"/>
    </row>
    <row r="466" customFormat="false" ht="15.75" hidden="false" customHeight="true" outlineLevel="0" collapsed="false">
      <c r="N466" s="1"/>
    </row>
    <row r="467" customFormat="false" ht="15.75" hidden="false" customHeight="true" outlineLevel="0" collapsed="false">
      <c r="N467" s="1"/>
    </row>
    <row r="468" customFormat="false" ht="15.75" hidden="false" customHeight="true" outlineLevel="0" collapsed="false">
      <c r="N468" s="1"/>
    </row>
    <row r="469" customFormat="false" ht="15.75" hidden="false" customHeight="true" outlineLevel="0" collapsed="false">
      <c r="N469" s="1"/>
    </row>
    <row r="470" customFormat="false" ht="15.75" hidden="false" customHeight="true" outlineLevel="0" collapsed="false">
      <c r="N470" s="1"/>
    </row>
    <row r="471" customFormat="false" ht="15.75" hidden="false" customHeight="true" outlineLevel="0" collapsed="false">
      <c r="N471" s="1"/>
    </row>
    <row r="472" customFormat="false" ht="15.75" hidden="false" customHeight="true" outlineLevel="0" collapsed="false">
      <c r="N472" s="1"/>
    </row>
    <row r="473" customFormat="false" ht="15.75" hidden="false" customHeight="true" outlineLevel="0" collapsed="false">
      <c r="N473" s="1"/>
    </row>
    <row r="474" customFormat="false" ht="15.75" hidden="false" customHeight="true" outlineLevel="0" collapsed="false">
      <c r="N474" s="1"/>
    </row>
    <row r="475" customFormat="false" ht="15.75" hidden="false" customHeight="true" outlineLevel="0" collapsed="false">
      <c r="N475" s="1"/>
    </row>
    <row r="476" customFormat="false" ht="15.75" hidden="false" customHeight="true" outlineLevel="0" collapsed="false">
      <c r="N476" s="1"/>
    </row>
    <row r="477" customFormat="false" ht="15.75" hidden="false" customHeight="true" outlineLevel="0" collapsed="false">
      <c r="N477" s="1"/>
    </row>
    <row r="478" customFormat="false" ht="15.75" hidden="false" customHeight="true" outlineLevel="0" collapsed="false">
      <c r="N478" s="1"/>
    </row>
    <row r="479" customFormat="false" ht="15.75" hidden="false" customHeight="true" outlineLevel="0" collapsed="false">
      <c r="N479" s="1"/>
    </row>
    <row r="480" customFormat="false" ht="15.75" hidden="false" customHeight="true" outlineLevel="0" collapsed="false">
      <c r="N480" s="1"/>
    </row>
    <row r="481" customFormat="false" ht="15.75" hidden="false" customHeight="true" outlineLevel="0" collapsed="false">
      <c r="N481" s="1"/>
    </row>
    <row r="482" customFormat="false" ht="15.75" hidden="false" customHeight="true" outlineLevel="0" collapsed="false">
      <c r="N482" s="1"/>
    </row>
    <row r="483" customFormat="false" ht="15.75" hidden="false" customHeight="true" outlineLevel="0" collapsed="false">
      <c r="N483" s="1"/>
    </row>
    <row r="484" customFormat="false" ht="15.75" hidden="false" customHeight="true" outlineLevel="0" collapsed="false">
      <c r="N484" s="1"/>
    </row>
    <row r="485" customFormat="false" ht="15.75" hidden="false" customHeight="true" outlineLevel="0" collapsed="false">
      <c r="N485" s="1"/>
    </row>
    <row r="486" customFormat="false" ht="15.75" hidden="false" customHeight="true" outlineLevel="0" collapsed="false">
      <c r="N486" s="1"/>
    </row>
    <row r="487" customFormat="false" ht="15.75" hidden="false" customHeight="true" outlineLevel="0" collapsed="false">
      <c r="N487" s="1"/>
    </row>
    <row r="488" customFormat="false" ht="15.75" hidden="false" customHeight="true" outlineLevel="0" collapsed="false">
      <c r="N488" s="1"/>
    </row>
    <row r="489" customFormat="false" ht="15.75" hidden="false" customHeight="true" outlineLevel="0" collapsed="false">
      <c r="N489" s="1"/>
    </row>
    <row r="490" customFormat="false" ht="15.75" hidden="false" customHeight="true" outlineLevel="0" collapsed="false">
      <c r="N490" s="1"/>
    </row>
    <row r="491" customFormat="false" ht="15.75" hidden="false" customHeight="true" outlineLevel="0" collapsed="false">
      <c r="N491" s="1"/>
    </row>
    <row r="492" customFormat="false" ht="15.75" hidden="false" customHeight="true" outlineLevel="0" collapsed="false">
      <c r="N492" s="1"/>
    </row>
    <row r="493" customFormat="false" ht="15.75" hidden="false" customHeight="true" outlineLevel="0" collapsed="false">
      <c r="N493" s="1"/>
    </row>
    <row r="494" customFormat="false" ht="15.75" hidden="false" customHeight="true" outlineLevel="0" collapsed="false">
      <c r="N494" s="1"/>
    </row>
    <row r="495" customFormat="false" ht="15.75" hidden="false" customHeight="true" outlineLevel="0" collapsed="false">
      <c r="N495" s="1"/>
    </row>
    <row r="496" customFormat="false" ht="15.75" hidden="false" customHeight="true" outlineLevel="0" collapsed="false">
      <c r="N496" s="1"/>
    </row>
    <row r="497" customFormat="false" ht="15.75" hidden="false" customHeight="true" outlineLevel="0" collapsed="false">
      <c r="N497" s="1"/>
    </row>
    <row r="498" customFormat="false" ht="15.75" hidden="false" customHeight="true" outlineLevel="0" collapsed="false">
      <c r="N498" s="1"/>
    </row>
    <row r="499" customFormat="false" ht="15.75" hidden="false" customHeight="true" outlineLevel="0" collapsed="false">
      <c r="N499" s="1"/>
    </row>
    <row r="500" customFormat="false" ht="15.75" hidden="false" customHeight="true" outlineLevel="0" collapsed="false">
      <c r="N500" s="1"/>
    </row>
    <row r="501" customFormat="false" ht="15.75" hidden="false" customHeight="true" outlineLevel="0" collapsed="false">
      <c r="N501" s="1"/>
    </row>
    <row r="502" customFormat="false" ht="15.75" hidden="false" customHeight="true" outlineLevel="0" collapsed="false">
      <c r="N502" s="1"/>
    </row>
    <row r="503" customFormat="false" ht="15.75" hidden="false" customHeight="true" outlineLevel="0" collapsed="false">
      <c r="N503" s="1"/>
    </row>
    <row r="504" customFormat="false" ht="15.75" hidden="false" customHeight="true" outlineLevel="0" collapsed="false">
      <c r="N504" s="1"/>
    </row>
    <row r="505" customFormat="false" ht="15.75" hidden="false" customHeight="true" outlineLevel="0" collapsed="false">
      <c r="N505" s="1"/>
    </row>
    <row r="506" customFormat="false" ht="15.75" hidden="false" customHeight="true" outlineLevel="0" collapsed="false">
      <c r="N506" s="1"/>
    </row>
    <row r="507" customFormat="false" ht="15.75" hidden="false" customHeight="true" outlineLevel="0" collapsed="false">
      <c r="N507" s="1"/>
    </row>
    <row r="508" customFormat="false" ht="15.75" hidden="false" customHeight="true" outlineLevel="0" collapsed="false">
      <c r="N508" s="1"/>
    </row>
    <row r="509" customFormat="false" ht="15.75" hidden="false" customHeight="true" outlineLevel="0" collapsed="false">
      <c r="N509" s="1"/>
    </row>
    <row r="510" customFormat="false" ht="15.75" hidden="false" customHeight="true" outlineLevel="0" collapsed="false">
      <c r="N510" s="1"/>
    </row>
    <row r="511" customFormat="false" ht="15.75" hidden="false" customHeight="true" outlineLevel="0" collapsed="false">
      <c r="N511" s="1"/>
    </row>
    <row r="512" customFormat="false" ht="15.75" hidden="false" customHeight="true" outlineLevel="0" collapsed="false">
      <c r="N512" s="1"/>
    </row>
    <row r="513" customFormat="false" ht="15.75" hidden="false" customHeight="true" outlineLevel="0" collapsed="false">
      <c r="N513" s="1"/>
    </row>
    <row r="514" customFormat="false" ht="15.75" hidden="false" customHeight="true" outlineLevel="0" collapsed="false">
      <c r="N514" s="1"/>
    </row>
    <row r="515" customFormat="false" ht="15.75" hidden="false" customHeight="true" outlineLevel="0" collapsed="false">
      <c r="N515" s="1"/>
    </row>
    <row r="516" customFormat="false" ht="15.75" hidden="false" customHeight="true" outlineLevel="0" collapsed="false">
      <c r="N516" s="1"/>
    </row>
    <row r="517" customFormat="false" ht="15.75" hidden="false" customHeight="true" outlineLevel="0" collapsed="false">
      <c r="N517" s="1"/>
    </row>
    <row r="518" customFormat="false" ht="15.75" hidden="false" customHeight="true" outlineLevel="0" collapsed="false">
      <c r="N518" s="1"/>
    </row>
    <row r="519" customFormat="false" ht="15.75" hidden="false" customHeight="true" outlineLevel="0" collapsed="false">
      <c r="N519" s="1"/>
    </row>
    <row r="520" customFormat="false" ht="15.75" hidden="false" customHeight="true" outlineLevel="0" collapsed="false">
      <c r="N520" s="1"/>
    </row>
    <row r="521" customFormat="false" ht="15.75" hidden="false" customHeight="true" outlineLevel="0" collapsed="false">
      <c r="N521" s="1"/>
    </row>
    <row r="522" customFormat="false" ht="15.75" hidden="false" customHeight="true" outlineLevel="0" collapsed="false">
      <c r="N522" s="1"/>
    </row>
    <row r="523" customFormat="false" ht="15.75" hidden="false" customHeight="true" outlineLevel="0" collapsed="false">
      <c r="N523" s="1"/>
    </row>
    <row r="524" customFormat="false" ht="15.75" hidden="false" customHeight="true" outlineLevel="0" collapsed="false">
      <c r="N524" s="1"/>
    </row>
    <row r="525" customFormat="false" ht="15.75" hidden="false" customHeight="true" outlineLevel="0" collapsed="false">
      <c r="N525" s="1"/>
    </row>
    <row r="526" customFormat="false" ht="15.75" hidden="false" customHeight="true" outlineLevel="0" collapsed="false">
      <c r="N526" s="1"/>
    </row>
    <row r="527" customFormat="false" ht="15.75" hidden="false" customHeight="true" outlineLevel="0" collapsed="false">
      <c r="N527" s="1"/>
    </row>
    <row r="528" customFormat="false" ht="15.75" hidden="false" customHeight="true" outlineLevel="0" collapsed="false">
      <c r="N528" s="1"/>
    </row>
    <row r="529" customFormat="false" ht="15.75" hidden="false" customHeight="true" outlineLevel="0" collapsed="false">
      <c r="N529" s="1"/>
    </row>
    <row r="530" customFormat="false" ht="15.75" hidden="false" customHeight="true" outlineLevel="0" collapsed="false">
      <c r="N530" s="1"/>
    </row>
    <row r="531" customFormat="false" ht="15.75" hidden="false" customHeight="true" outlineLevel="0" collapsed="false">
      <c r="N531" s="1"/>
    </row>
    <row r="532" customFormat="false" ht="15.75" hidden="false" customHeight="true" outlineLevel="0" collapsed="false">
      <c r="N532" s="1"/>
    </row>
    <row r="533" customFormat="false" ht="15.75" hidden="false" customHeight="true" outlineLevel="0" collapsed="false">
      <c r="N533" s="1"/>
    </row>
    <row r="534" customFormat="false" ht="15.75" hidden="false" customHeight="true" outlineLevel="0" collapsed="false">
      <c r="N534" s="1"/>
    </row>
    <row r="535" customFormat="false" ht="15.75" hidden="false" customHeight="true" outlineLevel="0" collapsed="false">
      <c r="N535" s="1"/>
    </row>
    <row r="536" customFormat="false" ht="15.75" hidden="false" customHeight="true" outlineLevel="0" collapsed="false">
      <c r="N536" s="1"/>
    </row>
    <row r="537" customFormat="false" ht="15.75" hidden="false" customHeight="true" outlineLevel="0" collapsed="false">
      <c r="N537" s="1"/>
    </row>
    <row r="538" customFormat="false" ht="15.75" hidden="false" customHeight="true" outlineLevel="0" collapsed="false">
      <c r="N538" s="1"/>
    </row>
    <row r="539" customFormat="false" ht="15.75" hidden="false" customHeight="true" outlineLevel="0" collapsed="false">
      <c r="N539" s="1"/>
    </row>
    <row r="540" customFormat="false" ht="15.75" hidden="false" customHeight="true" outlineLevel="0" collapsed="false">
      <c r="N540" s="1"/>
    </row>
    <row r="541" customFormat="false" ht="15.75" hidden="false" customHeight="true" outlineLevel="0" collapsed="false">
      <c r="N541" s="1"/>
    </row>
    <row r="542" customFormat="false" ht="15.75" hidden="false" customHeight="true" outlineLevel="0" collapsed="false">
      <c r="N542" s="1"/>
    </row>
    <row r="543" customFormat="false" ht="15.75" hidden="false" customHeight="true" outlineLevel="0" collapsed="false">
      <c r="N543" s="1"/>
    </row>
    <row r="544" customFormat="false" ht="15.75" hidden="false" customHeight="true" outlineLevel="0" collapsed="false">
      <c r="N544" s="1"/>
    </row>
    <row r="545" customFormat="false" ht="15.75" hidden="false" customHeight="true" outlineLevel="0" collapsed="false">
      <c r="N545" s="1"/>
    </row>
    <row r="546" customFormat="false" ht="15.75" hidden="false" customHeight="true" outlineLevel="0" collapsed="false">
      <c r="N546" s="1"/>
    </row>
    <row r="547" customFormat="false" ht="15.75" hidden="false" customHeight="true" outlineLevel="0" collapsed="false">
      <c r="N547" s="1"/>
    </row>
    <row r="548" customFormat="false" ht="15.75" hidden="false" customHeight="true" outlineLevel="0" collapsed="false">
      <c r="N548" s="1"/>
    </row>
    <row r="549" customFormat="false" ht="15.75" hidden="false" customHeight="true" outlineLevel="0" collapsed="false">
      <c r="N549" s="1"/>
    </row>
    <row r="550" customFormat="false" ht="15.75" hidden="false" customHeight="true" outlineLevel="0" collapsed="false">
      <c r="N550" s="1"/>
    </row>
    <row r="551" customFormat="false" ht="15.75" hidden="false" customHeight="true" outlineLevel="0" collapsed="false">
      <c r="N551" s="1"/>
    </row>
    <row r="552" customFormat="false" ht="15.75" hidden="false" customHeight="true" outlineLevel="0" collapsed="false">
      <c r="N552" s="1"/>
    </row>
    <row r="553" customFormat="false" ht="15.75" hidden="false" customHeight="true" outlineLevel="0" collapsed="false">
      <c r="N553" s="1"/>
    </row>
    <row r="554" customFormat="false" ht="15.75" hidden="false" customHeight="true" outlineLevel="0" collapsed="false">
      <c r="N554" s="1"/>
    </row>
    <row r="555" customFormat="false" ht="15.75" hidden="false" customHeight="true" outlineLevel="0" collapsed="false">
      <c r="N555" s="1"/>
    </row>
    <row r="556" customFormat="false" ht="15.75" hidden="false" customHeight="true" outlineLevel="0" collapsed="false">
      <c r="N556" s="1"/>
    </row>
    <row r="557" customFormat="false" ht="15.75" hidden="false" customHeight="true" outlineLevel="0" collapsed="false">
      <c r="N557" s="1"/>
    </row>
    <row r="558" customFormat="false" ht="15.75" hidden="false" customHeight="true" outlineLevel="0" collapsed="false">
      <c r="N558" s="1"/>
    </row>
    <row r="559" customFormat="false" ht="15.75" hidden="false" customHeight="true" outlineLevel="0" collapsed="false">
      <c r="N559" s="1"/>
    </row>
    <row r="560" customFormat="false" ht="15.75" hidden="false" customHeight="true" outlineLevel="0" collapsed="false">
      <c r="N560" s="1"/>
    </row>
    <row r="561" customFormat="false" ht="15.75" hidden="false" customHeight="true" outlineLevel="0" collapsed="false">
      <c r="N561" s="1"/>
    </row>
    <row r="562" customFormat="false" ht="15.75" hidden="false" customHeight="true" outlineLevel="0" collapsed="false">
      <c r="N562" s="1"/>
    </row>
    <row r="563" customFormat="false" ht="15.75" hidden="false" customHeight="true" outlineLevel="0" collapsed="false">
      <c r="N563" s="1"/>
    </row>
    <row r="564" customFormat="false" ht="15.75" hidden="false" customHeight="true" outlineLevel="0" collapsed="false">
      <c r="N564" s="1"/>
    </row>
    <row r="565" customFormat="false" ht="15.75" hidden="false" customHeight="true" outlineLevel="0" collapsed="false">
      <c r="N565" s="1"/>
    </row>
    <row r="566" customFormat="false" ht="15.75" hidden="false" customHeight="true" outlineLevel="0" collapsed="false">
      <c r="N566" s="1"/>
    </row>
    <row r="567" customFormat="false" ht="15.75" hidden="false" customHeight="true" outlineLevel="0" collapsed="false">
      <c r="N567" s="1"/>
    </row>
    <row r="568" customFormat="false" ht="15.75" hidden="false" customHeight="true" outlineLevel="0" collapsed="false">
      <c r="N568" s="1"/>
    </row>
    <row r="569" customFormat="false" ht="15.75" hidden="false" customHeight="true" outlineLevel="0" collapsed="false">
      <c r="N569" s="1"/>
    </row>
    <row r="570" customFormat="false" ht="15.75" hidden="false" customHeight="true" outlineLevel="0" collapsed="false">
      <c r="N570" s="1"/>
    </row>
    <row r="571" customFormat="false" ht="15.75" hidden="false" customHeight="true" outlineLevel="0" collapsed="false">
      <c r="N571" s="1"/>
    </row>
    <row r="572" customFormat="false" ht="15.75" hidden="false" customHeight="true" outlineLevel="0" collapsed="false">
      <c r="N572" s="1"/>
    </row>
    <row r="573" customFormat="false" ht="15.75" hidden="false" customHeight="true" outlineLevel="0" collapsed="false">
      <c r="N573" s="1"/>
    </row>
    <row r="574" customFormat="false" ht="15.75" hidden="false" customHeight="true" outlineLevel="0" collapsed="false">
      <c r="N574" s="1"/>
    </row>
    <row r="575" customFormat="false" ht="15.75" hidden="false" customHeight="true" outlineLevel="0" collapsed="false">
      <c r="N575" s="1"/>
    </row>
    <row r="576" customFormat="false" ht="15.75" hidden="false" customHeight="true" outlineLevel="0" collapsed="false">
      <c r="N576" s="1"/>
    </row>
    <row r="577" customFormat="false" ht="15.75" hidden="false" customHeight="true" outlineLevel="0" collapsed="false">
      <c r="N577" s="1"/>
    </row>
    <row r="578" customFormat="false" ht="15.75" hidden="false" customHeight="true" outlineLevel="0" collapsed="false">
      <c r="N578" s="1"/>
    </row>
    <row r="579" customFormat="false" ht="15.75" hidden="false" customHeight="true" outlineLevel="0" collapsed="false">
      <c r="N579" s="1"/>
    </row>
    <row r="580" customFormat="false" ht="15.75" hidden="false" customHeight="true" outlineLevel="0" collapsed="false">
      <c r="N580" s="1"/>
    </row>
    <row r="581" customFormat="false" ht="15.75" hidden="false" customHeight="true" outlineLevel="0" collapsed="false">
      <c r="N581" s="1"/>
    </row>
    <row r="582" customFormat="false" ht="15.75" hidden="false" customHeight="true" outlineLevel="0" collapsed="false">
      <c r="N582" s="1"/>
    </row>
    <row r="583" customFormat="false" ht="15.75" hidden="false" customHeight="true" outlineLevel="0" collapsed="false">
      <c r="N583" s="1"/>
    </row>
    <row r="584" customFormat="false" ht="15.75" hidden="false" customHeight="true" outlineLevel="0" collapsed="false">
      <c r="N584" s="1"/>
    </row>
    <row r="585" customFormat="false" ht="15.75" hidden="false" customHeight="true" outlineLevel="0" collapsed="false">
      <c r="N585" s="1"/>
    </row>
    <row r="586" customFormat="false" ht="15.75" hidden="false" customHeight="true" outlineLevel="0" collapsed="false">
      <c r="N586" s="1"/>
    </row>
    <row r="587" customFormat="false" ht="15.75" hidden="false" customHeight="true" outlineLevel="0" collapsed="false">
      <c r="N587" s="1"/>
    </row>
    <row r="588" customFormat="false" ht="15.75" hidden="false" customHeight="true" outlineLevel="0" collapsed="false">
      <c r="N588" s="1"/>
    </row>
    <row r="589" customFormat="false" ht="15.75" hidden="false" customHeight="true" outlineLevel="0" collapsed="false">
      <c r="N589" s="1"/>
    </row>
    <row r="590" customFormat="false" ht="15.75" hidden="false" customHeight="true" outlineLevel="0" collapsed="false">
      <c r="N590" s="1"/>
    </row>
    <row r="591" customFormat="false" ht="15.75" hidden="false" customHeight="true" outlineLevel="0" collapsed="false">
      <c r="N591" s="1"/>
    </row>
    <row r="592" customFormat="false" ht="15.75" hidden="false" customHeight="true" outlineLevel="0" collapsed="false">
      <c r="N592" s="1"/>
    </row>
    <row r="593" customFormat="false" ht="15.75" hidden="false" customHeight="true" outlineLevel="0" collapsed="false">
      <c r="N593" s="1"/>
    </row>
    <row r="594" customFormat="false" ht="15.75" hidden="false" customHeight="true" outlineLevel="0" collapsed="false">
      <c r="N594" s="1"/>
    </row>
    <row r="595" customFormat="false" ht="15.75" hidden="false" customHeight="true" outlineLevel="0" collapsed="false">
      <c r="N595" s="1"/>
    </row>
    <row r="596" customFormat="false" ht="15.75" hidden="false" customHeight="true" outlineLevel="0" collapsed="false">
      <c r="N596" s="1"/>
    </row>
    <row r="597" customFormat="false" ht="15.75" hidden="false" customHeight="true" outlineLevel="0" collapsed="false">
      <c r="N597" s="1"/>
    </row>
    <row r="598" customFormat="false" ht="15.75" hidden="false" customHeight="true" outlineLevel="0" collapsed="false">
      <c r="N598" s="1"/>
    </row>
    <row r="599" customFormat="false" ht="15.75" hidden="false" customHeight="true" outlineLevel="0" collapsed="false">
      <c r="N599" s="1"/>
    </row>
    <row r="600" customFormat="false" ht="15.75" hidden="false" customHeight="true" outlineLevel="0" collapsed="false">
      <c r="N600" s="1"/>
    </row>
    <row r="601" customFormat="false" ht="15.75" hidden="false" customHeight="true" outlineLevel="0" collapsed="false">
      <c r="N601" s="1"/>
    </row>
    <row r="602" customFormat="false" ht="15.75" hidden="false" customHeight="true" outlineLevel="0" collapsed="false">
      <c r="N602" s="1"/>
    </row>
    <row r="603" customFormat="false" ht="15.75" hidden="false" customHeight="true" outlineLevel="0" collapsed="false">
      <c r="N603" s="1"/>
    </row>
    <row r="604" customFormat="false" ht="15.75" hidden="false" customHeight="true" outlineLevel="0" collapsed="false">
      <c r="N604" s="1"/>
    </row>
    <row r="605" customFormat="false" ht="15.75" hidden="false" customHeight="true" outlineLevel="0" collapsed="false">
      <c r="N605" s="1"/>
    </row>
    <row r="606" customFormat="false" ht="15.75" hidden="false" customHeight="true" outlineLevel="0" collapsed="false">
      <c r="N606" s="1"/>
    </row>
    <row r="607" customFormat="false" ht="15.75" hidden="false" customHeight="true" outlineLevel="0" collapsed="false">
      <c r="N607" s="1"/>
    </row>
    <row r="608" customFormat="false" ht="15.75" hidden="false" customHeight="true" outlineLevel="0" collapsed="false">
      <c r="N608" s="1"/>
    </row>
    <row r="609" customFormat="false" ht="15.75" hidden="false" customHeight="true" outlineLevel="0" collapsed="false">
      <c r="N609" s="1"/>
    </row>
    <row r="610" customFormat="false" ht="15.75" hidden="false" customHeight="true" outlineLevel="0" collapsed="false">
      <c r="N610" s="1"/>
    </row>
    <row r="611" customFormat="false" ht="15.75" hidden="false" customHeight="true" outlineLevel="0" collapsed="false">
      <c r="N611" s="1"/>
    </row>
    <row r="612" customFormat="false" ht="15.75" hidden="false" customHeight="true" outlineLevel="0" collapsed="false">
      <c r="N612" s="1"/>
    </row>
    <row r="613" customFormat="false" ht="15.75" hidden="false" customHeight="true" outlineLevel="0" collapsed="false">
      <c r="N613" s="1"/>
    </row>
    <row r="614" customFormat="false" ht="15.75" hidden="false" customHeight="true" outlineLevel="0" collapsed="false">
      <c r="N614" s="1"/>
    </row>
    <row r="615" customFormat="false" ht="15.75" hidden="false" customHeight="true" outlineLevel="0" collapsed="false">
      <c r="N615" s="1"/>
    </row>
    <row r="616" customFormat="false" ht="15.75" hidden="false" customHeight="true" outlineLevel="0" collapsed="false">
      <c r="N616" s="1"/>
    </row>
    <row r="617" customFormat="false" ht="15.75" hidden="false" customHeight="true" outlineLevel="0" collapsed="false">
      <c r="N617" s="1"/>
    </row>
    <row r="618" customFormat="false" ht="15.75" hidden="false" customHeight="true" outlineLevel="0" collapsed="false">
      <c r="N618" s="1"/>
    </row>
    <row r="619" customFormat="false" ht="15.75" hidden="false" customHeight="true" outlineLevel="0" collapsed="false">
      <c r="N619" s="1"/>
    </row>
    <row r="620" customFormat="false" ht="15.75" hidden="false" customHeight="true" outlineLevel="0" collapsed="false">
      <c r="N620" s="1"/>
    </row>
    <row r="621" customFormat="false" ht="15.75" hidden="false" customHeight="true" outlineLevel="0" collapsed="false">
      <c r="N621" s="1"/>
    </row>
    <row r="622" customFormat="false" ht="15.75" hidden="false" customHeight="true" outlineLevel="0" collapsed="false">
      <c r="N622" s="1"/>
    </row>
    <row r="623" customFormat="false" ht="15.75" hidden="false" customHeight="true" outlineLevel="0" collapsed="false">
      <c r="N623" s="1"/>
    </row>
    <row r="624" customFormat="false" ht="15.75" hidden="false" customHeight="true" outlineLevel="0" collapsed="false">
      <c r="N624" s="1"/>
    </row>
    <row r="625" customFormat="false" ht="15.75" hidden="false" customHeight="true" outlineLevel="0" collapsed="false">
      <c r="N625" s="1"/>
    </row>
    <row r="626" customFormat="false" ht="15.75" hidden="false" customHeight="true" outlineLevel="0" collapsed="false">
      <c r="N626" s="1"/>
    </row>
    <row r="627" customFormat="false" ht="15.75" hidden="false" customHeight="true" outlineLevel="0" collapsed="false">
      <c r="N627" s="1"/>
    </row>
    <row r="628" customFormat="false" ht="15.75" hidden="false" customHeight="true" outlineLevel="0" collapsed="false">
      <c r="N628" s="1"/>
    </row>
    <row r="629" customFormat="false" ht="15.75" hidden="false" customHeight="true" outlineLevel="0" collapsed="false">
      <c r="N629" s="1"/>
    </row>
    <row r="630" customFormat="false" ht="15.75" hidden="false" customHeight="true" outlineLevel="0" collapsed="false">
      <c r="N630" s="1"/>
    </row>
    <row r="631" customFormat="false" ht="15.75" hidden="false" customHeight="true" outlineLevel="0" collapsed="false">
      <c r="N631" s="1"/>
    </row>
    <row r="632" customFormat="false" ht="15.75" hidden="false" customHeight="true" outlineLevel="0" collapsed="false">
      <c r="N632" s="1"/>
    </row>
    <row r="633" customFormat="false" ht="15.75" hidden="false" customHeight="true" outlineLevel="0" collapsed="false">
      <c r="N633" s="1"/>
    </row>
    <row r="634" customFormat="false" ht="15.75" hidden="false" customHeight="true" outlineLevel="0" collapsed="false">
      <c r="N634" s="1"/>
    </row>
    <row r="635" customFormat="false" ht="15.75" hidden="false" customHeight="true" outlineLevel="0" collapsed="false">
      <c r="N635" s="1"/>
    </row>
    <row r="636" customFormat="false" ht="15.75" hidden="false" customHeight="true" outlineLevel="0" collapsed="false">
      <c r="N636" s="1"/>
    </row>
    <row r="637" customFormat="false" ht="15.75" hidden="false" customHeight="true" outlineLevel="0" collapsed="false">
      <c r="N637" s="1"/>
    </row>
    <row r="638" customFormat="false" ht="15.75" hidden="false" customHeight="true" outlineLevel="0" collapsed="false">
      <c r="N638" s="1"/>
    </row>
    <row r="639" customFormat="false" ht="15.75" hidden="false" customHeight="true" outlineLevel="0" collapsed="false">
      <c r="N639" s="1"/>
    </row>
    <row r="640" customFormat="false" ht="15.75" hidden="false" customHeight="true" outlineLevel="0" collapsed="false">
      <c r="N640" s="1"/>
    </row>
    <row r="641" customFormat="false" ht="15.75" hidden="false" customHeight="true" outlineLevel="0" collapsed="false">
      <c r="N641" s="1"/>
    </row>
    <row r="642" customFormat="false" ht="15.75" hidden="false" customHeight="true" outlineLevel="0" collapsed="false">
      <c r="N642" s="1"/>
    </row>
    <row r="643" customFormat="false" ht="15.75" hidden="false" customHeight="true" outlineLevel="0" collapsed="false">
      <c r="N643" s="1"/>
    </row>
    <row r="644" customFormat="false" ht="15.75" hidden="false" customHeight="true" outlineLevel="0" collapsed="false">
      <c r="N644" s="1"/>
    </row>
    <row r="645" customFormat="false" ht="15.75" hidden="false" customHeight="true" outlineLevel="0" collapsed="false">
      <c r="N645" s="1"/>
    </row>
    <row r="646" customFormat="false" ht="15.75" hidden="false" customHeight="true" outlineLevel="0" collapsed="false">
      <c r="N646" s="1"/>
    </row>
    <row r="647" customFormat="false" ht="15.75" hidden="false" customHeight="true" outlineLevel="0" collapsed="false">
      <c r="N647" s="1"/>
    </row>
    <row r="648" customFormat="false" ht="15.75" hidden="false" customHeight="true" outlineLevel="0" collapsed="false">
      <c r="N648" s="1"/>
    </row>
    <row r="649" customFormat="false" ht="15.75" hidden="false" customHeight="true" outlineLevel="0" collapsed="false">
      <c r="N649" s="1"/>
    </row>
    <row r="650" customFormat="false" ht="15.75" hidden="false" customHeight="true" outlineLevel="0" collapsed="false">
      <c r="N650" s="1"/>
    </row>
    <row r="651" customFormat="false" ht="15.75" hidden="false" customHeight="true" outlineLevel="0" collapsed="false">
      <c r="N651" s="1"/>
    </row>
    <row r="652" customFormat="false" ht="15.75" hidden="false" customHeight="true" outlineLevel="0" collapsed="false">
      <c r="N652" s="1"/>
    </row>
    <row r="653" customFormat="false" ht="15.75" hidden="false" customHeight="true" outlineLevel="0" collapsed="false">
      <c r="N653" s="1"/>
    </row>
    <row r="654" customFormat="false" ht="15.75" hidden="false" customHeight="true" outlineLevel="0" collapsed="false">
      <c r="N654" s="1"/>
    </row>
    <row r="655" customFormat="false" ht="15.75" hidden="false" customHeight="true" outlineLevel="0" collapsed="false">
      <c r="N655" s="1"/>
    </row>
    <row r="656" customFormat="false" ht="15.75" hidden="false" customHeight="true" outlineLevel="0" collapsed="false">
      <c r="N656" s="1"/>
    </row>
    <row r="657" customFormat="false" ht="15.75" hidden="false" customHeight="true" outlineLevel="0" collapsed="false">
      <c r="N657" s="1"/>
    </row>
    <row r="658" customFormat="false" ht="15.75" hidden="false" customHeight="true" outlineLevel="0" collapsed="false">
      <c r="N658" s="1"/>
    </row>
    <row r="659" customFormat="false" ht="15.75" hidden="false" customHeight="true" outlineLevel="0" collapsed="false">
      <c r="N659" s="1"/>
    </row>
    <row r="660" customFormat="false" ht="15.75" hidden="false" customHeight="true" outlineLevel="0" collapsed="false">
      <c r="N660" s="1"/>
    </row>
    <row r="661" customFormat="false" ht="15.75" hidden="false" customHeight="true" outlineLevel="0" collapsed="false">
      <c r="N661" s="1"/>
    </row>
    <row r="662" customFormat="false" ht="15.75" hidden="false" customHeight="true" outlineLevel="0" collapsed="false">
      <c r="N662" s="1"/>
    </row>
    <row r="663" customFormat="false" ht="15.75" hidden="false" customHeight="true" outlineLevel="0" collapsed="false">
      <c r="N663" s="1"/>
    </row>
    <row r="664" customFormat="false" ht="15.75" hidden="false" customHeight="true" outlineLevel="0" collapsed="false">
      <c r="N664" s="1"/>
    </row>
    <row r="665" customFormat="false" ht="15.75" hidden="false" customHeight="true" outlineLevel="0" collapsed="false">
      <c r="N665" s="1"/>
    </row>
    <row r="666" customFormat="false" ht="15.75" hidden="false" customHeight="true" outlineLevel="0" collapsed="false">
      <c r="N666" s="1"/>
    </row>
    <row r="667" customFormat="false" ht="15.75" hidden="false" customHeight="true" outlineLevel="0" collapsed="false">
      <c r="N667" s="1"/>
    </row>
    <row r="668" customFormat="false" ht="15.75" hidden="false" customHeight="true" outlineLevel="0" collapsed="false">
      <c r="N668" s="1"/>
    </row>
    <row r="669" customFormat="false" ht="15.75" hidden="false" customHeight="true" outlineLevel="0" collapsed="false">
      <c r="N669" s="1"/>
    </row>
    <row r="670" customFormat="false" ht="15.75" hidden="false" customHeight="true" outlineLevel="0" collapsed="false">
      <c r="N670" s="1"/>
    </row>
    <row r="671" customFormat="false" ht="15.75" hidden="false" customHeight="true" outlineLevel="0" collapsed="false">
      <c r="N671" s="1"/>
    </row>
    <row r="672" customFormat="false" ht="15.75" hidden="false" customHeight="true" outlineLevel="0" collapsed="false">
      <c r="N672" s="1"/>
    </row>
    <row r="673" customFormat="false" ht="15.75" hidden="false" customHeight="true" outlineLevel="0" collapsed="false">
      <c r="N673" s="1"/>
    </row>
    <row r="674" customFormat="false" ht="15.75" hidden="false" customHeight="true" outlineLevel="0" collapsed="false">
      <c r="N674" s="1"/>
    </row>
    <row r="675" customFormat="false" ht="15.75" hidden="false" customHeight="true" outlineLevel="0" collapsed="false">
      <c r="N675" s="1"/>
    </row>
    <row r="676" customFormat="false" ht="15.75" hidden="false" customHeight="true" outlineLevel="0" collapsed="false">
      <c r="N676" s="1"/>
    </row>
    <row r="677" customFormat="false" ht="15.75" hidden="false" customHeight="true" outlineLevel="0" collapsed="false">
      <c r="N677" s="1"/>
    </row>
    <row r="678" customFormat="false" ht="15.75" hidden="false" customHeight="true" outlineLevel="0" collapsed="false">
      <c r="N678" s="1"/>
    </row>
    <row r="679" customFormat="false" ht="15.75" hidden="false" customHeight="true" outlineLevel="0" collapsed="false">
      <c r="N679" s="1"/>
    </row>
    <row r="680" customFormat="false" ht="15.75" hidden="false" customHeight="true" outlineLevel="0" collapsed="false">
      <c r="N680" s="1"/>
    </row>
    <row r="681" customFormat="false" ht="15.75" hidden="false" customHeight="true" outlineLevel="0" collapsed="false">
      <c r="N681" s="1"/>
    </row>
    <row r="682" customFormat="false" ht="15.75" hidden="false" customHeight="true" outlineLevel="0" collapsed="false">
      <c r="N682" s="1"/>
    </row>
    <row r="683" customFormat="false" ht="15.75" hidden="false" customHeight="true" outlineLevel="0" collapsed="false">
      <c r="N683" s="1"/>
    </row>
    <row r="684" customFormat="false" ht="15.75" hidden="false" customHeight="true" outlineLevel="0" collapsed="false">
      <c r="N684" s="1"/>
    </row>
    <row r="685" customFormat="false" ht="15.75" hidden="false" customHeight="true" outlineLevel="0" collapsed="false">
      <c r="N685" s="1"/>
    </row>
    <row r="686" customFormat="false" ht="15.75" hidden="false" customHeight="true" outlineLevel="0" collapsed="false">
      <c r="N686" s="1"/>
    </row>
    <row r="687" customFormat="false" ht="15.75" hidden="false" customHeight="true" outlineLevel="0" collapsed="false">
      <c r="N687" s="1"/>
    </row>
    <row r="688" customFormat="false" ht="15.75" hidden="false" customHeight="true" outlineLevel="0" collapsed="false">
      <c r="N688" s="1"/>
    </row>
    <row r="689" customFormat="false" ht="15.75" hidden="false" customHeight="true" outlineLevel="0" collapsed="false">
      <c r="N689" s="1"/>
    </row>
    <row r="690" customFormat="false" ht="15.75" hidden="false" customHeight="true" outlineLevel="0" collapsed="false">
      <c r="N690" s="1"/>
    </row>
    <row r="691" customFormat="false" ht="15.75" hidden="false" customHeight="true" outlineLevel="0" collapsed="false">
      <c r="N691" s="1"/>
    </row>
    <row r="692" customFormat="false" ht="15.75" hidden="false" customHeight="true" outlineLevel="0" collapsed="false">
      <c r="N692" s="1"/>
    </row>
    <row r="693" customFormat="false" ht="15.75" hidden="false" customHeight="true" outlineLevel="0" collapsed="false">
      <c r="N693" s="1"/>
    </row>
    <row r="694" customFormat="false" ht="15.75" hidden="false" customHeight="true" outlineLevel="0" collapsed="false">
      <c r="N694" s="1"/>
    </row>
    <row r="695" customFormat="false" ht="15.75" hidden="false" customHeight="true" outlineLevel="0" collapsed="false">
      <c r="N695" s="1"/>
    </row>
    <row r="696" customFormat="false" ht="15.75" hidden="false" customHeight="true" outlineLevel="0" collapsed="false">
      <c r="N696" s="1"/>
    </row>
    <row r="697" customFormat="false" ht="15.75" hidden="false" customHeight="true" outlineLevel="0" collapsed="false">
      <c r="N697" s="1"/>
    </row>
    <row r="698" customFormat="false" ht="15.75" hidden="false" customHeight="true" outlineLevel="0" collapsed="false">
      <c r="N698" s="1"/>
    </row>
    <row r="699" customFormat="false" ht="15.75" hidden="false" customHeight="true" outlineLevel="0" collapsed="false">
      <c r="N699" s="1"/>
    </row>
    <row r="700" customFormat="false" ht="15.75" hidden="false" customHeight="true" outlineLevel="0" collapsed="false">
      <c r="N700" s="1"/>
    </row>
    <row r="701" customFormat="false" ht="15.75" hidden="false" customHeight="true" outlineLevel="0" collapsed="false">
      <c r="N701" s="1"/>
    </row>
    <row r="702" customFormat="false" ht="15.75" hidden="false" customHeight="true" outlineLevel="0" collapsed="false">
      <c r="N702" s="1"/>
    </row>
    <row r="703" customFormat="false" ht="15.75" hidden="false" customHeight="true" outlineLevel="0" collapsed="false">
      <c r="N703" s="1"/>
    </row>
    <row r="704" customFormat="false" ht="15.75" hidden="false" customHeight="true" outlineLevel="0" collapsed="false">
      <c r="N704" s="1"/>
    </row>
    <row r="705" customFormat="false" ht="15.75" hidden="false" customHeight="true" outlineLevel="0" collapsed="false">
      <c r="N705" s="1"/>
    </row>
    <row r="706" customFormat="false" ht="15.75" hidden="false" customHeight="true" outlineLevel="0" collapsed="false">
      <c r="N706" s="1"/>
    </row>
    <row r="707" customFormat="false" ht="15.75" hidden="false" customHeight="true" outlineLevel="0" collapsed="false">
      <c r="N707" s="1"/>
    </row>
    <row r="708" customFormat="false" ht="15.75" hidden="false" customHeight="true" outlineLevel="0" collapsed="false">
      <c r="N708" s="1"/>
    </row>
    <row r="709" customFormat="false" ht="15.75" hidden="false" customHeight="true" outlineLevel="0" collapsed="false">
      <c r="N709" s="1"/>
    </row>
    <row r="710" customFormat="false" ht="15.75" hidden="false" customHeight="true" outlineLevel="0" collapsed="false">
      <c r="N710" s="1"/>
    </row>
    <row r="711" customFormat="false" ht="15.75" hidden="false" customHeight="true" outlineLevel="0" collapsed="false">
      <c r="N711" s="1"/>
    </row>
    <row r="712" customFormat="false" ht="15.75" hidden="false" customHeight="true" outlineLevel="0" collapsed="false">
      <c r="N712" s="1"/>
    </row>
    <row r="713" customFormat="false" ht="15.75" hidden="false" customHeight="true" outlineLevel="0" collapsed="false">
      <c r="N713" s="1"/>
    </row>
    <row r="714" customFormat="false" ht="15.75" hidden="false" customHeight="true" outlineLevel="0" collapsed="false">
      <c r="N714" s="1"/>
    </row>
    <row r="715" customFormat="false" ht="15.75" hidden="false" customHeight="true" outlineLevel="0" collapsed="false">
      <c r="N715" s="1"/>
    </row>
    <row r="716" customFormat="false" ht="15.75" hidden="false" customHeight="true" outlineLevel="0" collapsed="false">
      <c r="N716" s="1"/>
    </row>
    <row r="717" customFormat="false" ht="15.75" hidden="false" customHeight="true" outlineLevel="0" collapsed="false">
      <c r="N717" s="1"/>
    </row>
    <row r="718" customFormat="false" ht="15.75" hidden="false" customHeight="true" outlineLevel="0" collapsed="false">
      <c r="N718" s="1"/>
    </row>
    <row r="719" customFormat="false" ht="15.75" hidden="false" customHeight="true" outlineLevel="0" collapsed="false">
      <c r="N719" s="1"/>
    </row>
    <row r="720" customFormat="false" ht="15.75" hidden="false" customHeight="true" outlineLevel="0" collapsed="false">
      <c r="N720" s="1"/>
    </row>
    <row r="721" customFormat="false" ht="15.75" hidden="false" customHeight="true" outlineLevel="0" collapsed="false">
      <c r="N721" s="1"/>
    </row>
    <row r="722" customFormat="false" ht="15.75" hidden="false" customHeight="true" outlineLevel="0" collapsed="false">
      <c r="N722" s="1"/>
    </row>
    <row r="723" customFormat="false" ht="15.75" hidden="false" customHeight="true" outlineLevel="0" collapsed="false">
      <c r="N723" s="1"/>
    </row>
    <row r="724" customFormat="false" ht="15.75" hidden="false" customHeight="true" outlineLevel="0" collapsed="false">
      <c r="N724" s="1"/>
    </row>
    <row r="725" customFormat="false" ht="15.75" hidden="false" customHeight="true" outlineLevel="0" collapsed="false">
      <c r="N725" s="1"/>
    </row>
    <row r="726" customFormat="false" ht="15.75" hidden="false" customHeight="true" outlineLevel="0" collapsed="false">
      <c r="N726" s="1"/>
    </row>
    <row r="727" customFormat="false" ht="15.75" hidden="false" customHeight="true" outlineLevel="0" collapsed="false">
      <c r="N727" s="1"/>
    </row>
    <row r="728" customFormat="false" ht="15.75" hidden="false" customHeight="true" outlineLevel="0" collapsed="false">
      <c r="N728" s="1"/>
    </row>
    <row r="729" customFormat="false" ht="15.75" hidden="false" customHeight="true" outlineLevel="0" collapsed="false">
      <c r="N729" s="1"/>
    </row>
    <row r="730" customFormat="false" ht="15.75" hidden="false" customHeight="true" outlineLevel="0" collapsed="false">
      <c r="N730" s="1"/>
    </row>
    <row r="731" customFormat="false" ht="15.75" hidden="false" customHeight="true" outlineLevel="0" collapsed="false">
      <c r="N731" s="1"/>
    </row>
    <row r="732" customFormat="false" ht="15.75" hidden="false" customHeight="true" outlineLevel="0" collapsed="false">
      <c r="N732" s="1"/>
    </row>
    <row r="733" customFormat="false" ht="15.75" hidden="false" customHeight="true" outlineLevel="0" collapsed="false">
      <c r="N733" s="1"/>
    </row>
    <row r="734" customFormat="false" ht="15.75" hidden="false" customHeight="true" outlineLevel="0" collapsed="false">
      <c r="N734" s="1"/>
    </row>
    <row r="735" customFormat="false" ht="15.75" hidden="false" customHeight="true" outlineLevel="0" collapsed="false">
      <c r="N735" s="1"/>
    </row>
    <row r="736" customFormat="false" ht="15.75" hidden="false" customHeight="true" outlineLevel="0" collapsed="false">
      <c r="N736" s="1"/>
    </row>
    <row r="737" customFormat="false" ht="15.75" hidden="false" customHeight="true" outlineLevel="0" collapsed="false">
      <c r="N737" s="1"/>
    </row>
    <row r="738" customFormat="false" ht="15.75" hidden="false" customHeight="true" outlineLevel="0" collapsed="false">
      <c r="N738" s="1"/>
    </row>
    <row r="739" customFormat="false" ht="15.75" hidden="false" customHeight="true" outlineLevel="0" collapsed="false">
      <c r="N739" s="1"/>
    </row>
    <row r="740" customFormat="false" ht="15.75" hidden="false" customHeight="true" outlineLevel="0" collapsed="false">
      <c r="N740" s="1"/>
    </row>
    <row r="741" customFormat="false" ht="15.75" hidden="false" customHeight="true" outlineLevel="0" collapsed="false">
      <c r="N741" s="1"/>
    </row>
    <row r="742" customFormat="false" ht="15.75" hidden="false" customHeight="true" outlineLevel="0" collapsed="false">
      <c r="N742" s="1"/>
    </row>
    <row r="743" customFormat="false" ht="15.75" hidden="false" customHeight="true" outlineLevel="0" collapsed="false">
      <c r="N743" s="1"/>
    </row>
    <row r="744" customFormat="false" ht="15.75" hidden="false" customHeight="true" outlineLevel="0" collapsed="false">
      <c r="N744" s="1"/>
    </row>
    <row r="745" customFormat="false" ht="15.75" hidden="false" customHeight="true" outlineLevel="0" collapsed="false">
      <c r="N745" s="1"/>
    </row>
    <row r="746" customFormat="false" ht="15.75" hidden="false" customHeight="true" outlineLevel="0" collapsed="false">
      <c r="N746" s="1"/>
    </row>
    <row r="747" customFormat="false" ht="15.75" hidden="false" customHeight="true" outlineLevel="0" collapsed="false">
      <c r="N747" s="1"/>
    </row>
    <row r="748" customFormat="false" ht="15.75" hidden="false" customHeight="true" outlineLevel="0" collapsed="false">
      <c r="N748" s="1"/>
    </row>
    <row r="749" customFormat="false" ht="15.75" hidden="false" customHeight="true" outlineLevel="0" collapsed="false">
      <c r="N749" s="1"/>
    </row>
    <row r="750" customFormat="false" ht="15.75" hidden="false" customHeight="true" outlineLevel="0" collapsed="false">
      <c r="N750" s="1"/>
    </row>
    <row r="751" customFormat="false" ht="15.75" hidden="false" customHeight="true" outlineLevel="0" collapsed="false">
      <c r="N751" s="1"/>
    </row>
    <row r="752" customFormat="false" ht="15.75" hidden="false" customHeight="true" outlineLevel="0" collapsed="false">
      <c r="N752" s="1"/>
    </row>
    <row r="753" customFormat="false" ht="15.75" hidden="false" customHeight="true" outlineLevel="0" collapsed="false">
      <c r="N753" s="1"/>
    </row>
    <row r="754" customFormat="false" ht="15.75" hidden="false" customHeight="true" outlineLevel="0" collapsed="false">
      <c r="N754" s="1"/>
    </row>
    <row r="755" customFormat="false" ht="15.75" hidden="false" customHeight="true" outlineLevel="0" collapsed="false">
      <c r="N755" s="1"/>
    </row>
    <row r="756" customFormat="false" ht="15.75" hidden="false" customHeight="true" outlineLevel="0" collapsed="false">
      <c r="N756" s="1"/>
    </row>
    <row r="757" customFormat="false" ht="15.75" hidden="false" customHeight="true" outlineLevel="0" collapsed="false">
      <c r="N757" s="1"/>
    </row>
    <row r="758" customFormat="false" ht="15.75" hidden="false" customHeight="true" outlineLevel="0" collapsed="false">
      <c r="N758" s="1"/>
    </row>
    <row r="759" customFormat="false" ht="15.75" hidden="false" customHeight="true" outlineLevel="0" collapsed="false">
      <c r="N759" s="1"/>
    </row>
    <row r="760" customFormat="false" ht="15.75" hidden="false" customHeight="true" outlineLevel="0" collapsed="false">
      <c r="N760" s="1"/>
    </row>
    <row r="761" customFormat="false" ht="15.75" hidden="false" customHeight="true" outlineLevel="0" collapsed="false">
      <c r="N761" s="1"/>
    </row>
    <row r="762" customFormat="false" ht="15.75" hidden="false" customHeight="true" outlineLevel="0" collapsed="false">
      <c r="N762" s="1"/>
    </row>
    <row r="763" customFormat="false" ht="15.75" hidden="false" customHeight="true" outlineLevel="0" collapsed="false">
      <c r="N763" s="1"/>
    </row>
    <row r="764" customFormat="false" ht="15.75" hidden="false" customHeight="true" outlineLevel="0" collapsed="false">
      <c r="N764" s="1"/>
    </row>
    <row r="765" customFormat="false" ht="15.75" hidden="false" customHeight="true" outlineLevel="0" collapsed="false">
      <c r="N765" s="1"/>
    </row>
    <row r="766" customFormat="false" ht="15.75" hidden="false" customHeight="true" outlineLevel="0" collapsed="false">
      <c r="N766" s="1"/>
    </row>
    <row r="767" customFormat="false" ht="15.75" hidden="false" customHeight="true" outlineLevel="0" collapsed="false">
      <c r="N767" s="1"/>
    </row>
    <row r="768" customFormat="false" ht="15.75" hidden="false" customHeight="true" outlineLevel="0" collapsed="false">
      <c r="N768" s="1"/>
    </row>
    <row r="769" customFormat="false" ht="15.75" hidden="false" customHeight="true" outlineLevel="0" collapsed="false">
      <c r="N769" s="1"/>
    </row>
    <row r="770" customFormat="false" ht="15.75" hidden="false" customHeight="true" outlineLevel="0" collapsed="false">
      <c r="N770" s="1"/>
    </row>
    <row r="771" customFormat="false" ht="15.75" hidden="false" customHeight="true" outlineLevel="0" collapsed="false">
      <c r="N771" s="1"/>
    </row>
    <row r="772" customFormat="false" ht="15.75" hidden="false" customHeight="true" outlineLevel="0" collapsed="false">
      <c r="N772" s="1"/>
    </row>
    <row r="773" customFormat="false" ht="15.75" hidden="false" customHeight="true" outlineLevel="0" collapsed="false">
      <c r="N773" s="1"/>
    </row>
    <row r="774" customFormat="false" ht="15.75" hidden="false" customHeight="true" outlineLevel="0" collapsed="false">
      <c r="N774" s="1"/>
    </row>
    <row r="775" customFormat="false" ht="15.75" hidden="false" customHeight="true" outlineLevel="0" collapsed="false">
      <c r="N775" s="1"/>
    </row>
    <row r="776" customFormat="false" ht="15.75" hidden="false" customHeight="true" outlineLevel="0" collapsed="false">
      <c r="N776" s="1"/>
    </row>
    <row r="777" customFormat="false" ht="15.75" hidden="false" customHeight="true" outlineLevel="0" collapsed="false">
      <c r="N777" s="1"/>
    </row>
    <row r="778" customFormat="false" ht="15.75" hidden="false" customHeight="true" outlineLevel="0" collapsed="false">
      <c r="N778" s="1"/>
    </row>
    <row r="779" customFormat="false" ht="15.75" hidden="false" customHeight="true" outlineLevel="0" collapsed="false">
      <c r="N779" s="1"/>
    </row>
    <row r="780" customFormat="false" ht="15.75" hidden="false" customHeight="true" outlineLevel="0" collapsed="false">
      <c r="N780" s="1"/>
    </row>
    <row r="781" customFormat="false" ht="15.75" hidden="false" customHeight="true" outlineLevel="0" collapsed="false">
      <c r="N781" s="1"/>
    </row>
    <row r="782" customFormat="false" ht="15.75" hidden="false" customHeight="true" outlineLevel="0" collapsed="false">
      <c r="N782" s="1"/>
    </row>
    <row r="783" customFormat="false" ht="15.75" hidden="false" customHeight="true" outlineLevel="0" collapsed="false">
      <c r="N783" s="1"/>
    </row>
    <row r="784" customFormat="false" ht="15.75" hidden="false" customHeight="true" outlineLevel="0" collapsed="false">
      <c r="N784" s="1"/>
    </row>
    <row r="785" customFormat="false" ht="15.75" hidden="false" customHeight="true" outlineLevel="0" collapsed="false">
      <c r="N785" s="1"/>
    </row>
    <row r="786" customFormat="false" ht="15.75" hidden="false" customHeight="true" outlineLevel="0" collapsed="false">
      <c r="N786" s="1"/>
    </row>
    <row r="787" customFormat="false" ht="15.75" hidden="false" customHeight="true" outlineLevel="0" collapsed="false">
      <c r="N787" s="1"/>
    </row>
    <row r="788" customFormat="false" ht="15.75" hidden="false" customHeight="true" outlineLevel="0" collapsed="false">
      <c r="N788" s="1"/>
    </row>
    <row r="789" customFormat="false" ht="15.75" hidden="false" customHeight="true" outlineLevel="0" collapsed="false">
      <c r="N789" s="1"/>
    </row>
    <row r="790" customFormat="false" ht="15.75" hidden="false" customHeight="true" outlineLevel="0" collapsed="false">
      <c r="N790" s="1"/>
    </row>
    <row r="791" customFormat="false" ht="15.75" hidden="false" customHeight="true" outlineLevel="0" collapsed="false">
      <c r="N791" s="1"/>
    </row>
    <row r="792" customFormat="false" ht="15.75" hidden="false" customHeight="true" outlineLevel="0" collapsed="false">
      <c r="N792" s="1"/>
    </row>
    <row r="793" customFormat="false" ht="15.75" hidden="false" customHeight="true" outlineLevel="0" collapsed="false">
      <c r="N793" s="1"/>
    </row>
    <row r="794" customFormat="false" ht="15.75" hidden="false" customHeight="true" outlineLevel="0" collapsed="false">
      <c r="N794" s="1"/>
    </row>
    <row r="795" customFormat="false" ht="15.75" hidden="false" customHeight="true" outlineLevel="0" collapsed="false">
      <c r="N795" s="1"/>
    </row>
    <row r="796" customFormat="false" ht="15.75" hidden="false" customHeight="true" outlineLevel="0" collapsed="false">
      <c r="N796" s="1"/>
    </row>
    <row r="797" customFormat="false" ht="15.75" hidden="false" customHeight="true" outlineLevel="0" collapsed="false">
      <c r="N797" s="1"/>
    </row>
    <row r="798" customFormat="false" ht="15.75" hidden="false" customHeight="true" outlineLevel="0" collapsed="false">
      <c r="N798" s="1"/>
    </row>
    <row r="799" customFormat="false" ht="15.75" hidden="false" customHeight="true" outlineLevel="0" collapsed="false">
      <c r="N799" s="1"/>
    </row>
    <row r="800" customFormat="false" ht="15.75" hidden="false" customHeight="true" outlineLevel="0" collapsed="false">
      <c r="N800" s="1"/>
    </row>
    <row r="801" customFormat="false" ht="15.75" hidden="false" customHeight="true" outlineLevel="0" collapsed="false">
      <c r="N801" s="1"/>
    </row>
    <row r="802" customFormat="false" ht="15.75" hidden="false" customHeight="true" outlineLevel="0" collapsed="false">
      <c r="N802" s="1"/>
    </row>
    <row r="803" customFormat="false" ht="15.75" hidden="false" customHeight="true" outlineLevel="0" collapsed="false">
      <c r="N803" s="1"/>
    </row>
    <row r="804" customFormat="false" ht="15.75" hidden="false" customHeight="true" outlineLevel="0" collapsed="false">
      <c r="N804" s="1"/>
    </row>
    <row r="805" customFormat="false" ht="15.75" hidden="false" customHeight="true" outlineLevel="0" collapsed="false">
      <c r="N805" s="1"/>
    </row>
    <row r="806" customFormat="false" ht="15.75" hidden="false" customHeight="true" outlineLevel="0" collapsed="false">
      <c r="N806" s="1"/>
    </row>
    <row r="807" customFormat="false" ht="15.75" hidden="false" customHeight="true" outlineLevel="0" collapsed="false">
      <c r="N807" s="1"/>
    </row>
    <row r="808" customFormat="false" ht="15.75" hidden="false" customHeight="true" outlineLevel="0" collapsed="false">
      <c r="N808" s="1"/>
    </row>
    <row r="809" customFormat="false" ht="15.75" hidden="false" customHeight="true" outlineLevel="0" collapsed="false">
      <c r="N809" s="1"/>
    </row>
    <row r="810" customFormat="false" ht="15.75" hidden="false" customHeight="true" outlineLevel="0" collapsed="false">
      <c r="N810" s="1"/>
    </row>
    <row r="811" customFormat="false" ht="15.75" hidden="false" customHeight="true" outlineLevel="0" collapsed="false">
      <c r="N811" s="1"/>
    </row>
    <row r="812" customFormat="false" ht="15.75" hidden="false" customHeight="true" outlineLevel="0" collapsed="false">
      <c r="N812" s="1"/>
    </row>
    <row r="813" customFormat="false" ht="15.75" hidden="false" customHeight="true" outlineLevel="0" collapsed="false">
      <c r="N813" s="1"/>
    </row>
    <row r="814" customFormat="false" ht="15.75" hidden="false" customHeight="true" outlineLevel="0" collapsed="false">
      <c r="N814" s="1"/>
    </row>
    <row r="815" customFormat="false" ht="15.75" hidden="false" customHeight="true" outlineLevel="0" collapsed="false">
      <c r="N815" s="1"/>
    </row>
    <row r="816" customFormat="false" ht="15.75" hidden="false" customHeight="true" outlineLevel="0" collapsed="false">
      <c r="N816" s="1"/>
    </row>
    <row r="817" customFormat="false" ht="15.75" hidden="false" customHeight="true" outlineLevel="0" collapsed="false">
      <c r="N817" s="1"/>
    </row>
    <row r="818" customFormat="false" ht="15.75" hidden="false" customHeight="true" outlineLevel="0" collapsed="false">
      <c r="N818" s="1"/>
    </row>
    <row r="819" customFormat="false" ht="15.75" hidden="false" customHeight="true" outlineLevel="0" collapsed="false">
      <c r="N819" s="1"/>
    </row>
    <row r="820" customFormat="false" ht="15.75" hidden="false" customHeight="true" outlineLevel="0" collapsed="false">
      <c r="N820" s="1"/>
    </row>
    <row r="821" customFormat="false" ht="15.75" hidden="false" customHeight="true" outlineLevel="0" collapsed="false">
      <c r="N821" s="1"/>
    </row>
    <row r="822" customFormat="false" ht="15.75" hidden="false" customHeight="true" outlineLevel="0" collapsed="false">
      <c r="N822" s="1"/>
    </row>
    <row r="823" customFormat="false" ht="15.75" hidden="false" customHeight="true" outlineLevel="0" collapsed="false">
      <c r="N823" s="1"/>
    </row>
    <row r="824" customFormat="false" ht="15.75" hidden="false" customHeight="true" outlineLevel="0" collapsed="false">
      <c r="N824" s="1"/>
    </row>
    <row r="825" customFormat="false" ht="15.75" hidden="false" customHeight="true" outlineLevel="0" collapsed="false">
      <c r="N825" s="1"/>
    </row>
    <row r="826" customFormat="false" ht="15.75" hidden="false" customHeight="true" outlineLevel="0" collapsed="false">
      <c r="N826" s="1"/>
    </row>
    <row r="827" customFormat="false" ht="15.75" hidden="false" customHeight="true" outlineLevel="0" collapsed="false">
      <c r="N827" s="1"/>
    </row>
    <row r="828" customFormat="false" ht="15.75" hidden="false" customHeight="true" outlineLevel="0" collapsed="false">
      <c r="N828" s="1"/>
    </row>
    <row r="829" customFormat="false" ht="15.75" hidden="false" customHeight="true" outlineLevel="0" collapsed="false">
      <c r="N829" s="1"/>
    </row>
    <row r="830" customFormat="false" ht="15.75" hidden="false" customHeight="true" outlineLevel="0" collapsed="false">
      <c r="N830" s="1"/>
    </row>
    <row r="831" customFormat="false" ht="15.75" hidden="false" customHeight="true" outlineLevel="0" collapsed="false">
      <c r="N831" s="1"/>
    </row>
    <row r="832" customFormat="false" ht="15.75" hidden="false" customHeight="true" outlineLevel="0" collapsed="false">
      <c r="N832" s="1"/>
    </row>
    <row r="833" customFormat="false" ht="15.75" hidden="false" customHeight="true" outlineLevel="0" collapsed="false">
      <c r="N833" s="1"/>
    </row>
    <row r="834" customFormat="false" ht="15.75" hidden="false" customHeight="true" outlineLevel="0" collapsed="false">
      <c r="N834" s="1"/>
    </row>
    <row r="835" customFormat="false" ht="15.75" hidden="false" customHeight="true" outlineLevel="0" collapsed="false">
      <c r="N835" s="1"/>
    </row>
    <row r="836" customFormat="false" ht="15.75" hidden="false" customHeight="true" outlineLevel="0" collapsed="false">
      <c r="N836" s="1"/>
    </row>
    <row r="837" customFormat="false" ht="15.75" hidden="false" customHeight="true" outlineLevel="0" collapsed="false">
      <c r="N837" s="1"/>
    </row>
    <row r="838" customFormat="false" ht="15.75" hidden="false" customHeight="true" outlineLevel="0" collapsed="false">
      <c r="N838" s="1"/>
    </row>
    <row r="839" customFormat="false" ht="15.75" hidden="false" customHeight="true" outlineLevel="0" collapsed="false">
      <c r="N839" s="1"/>
    </row>
    <row r="840" customFormat="false" ht="15.75" hidden="false" customHeight="true" outlineLevel="0" collapsed="false">
      <c r="N840" s="1"/>
    </row>
    <row r="841" customFormat="false" ht="15.75" hidden="false" customHeight="true" outlineLevel="0" collapsed="false">
      <c r="N841" s="1"/>
    </row>
    <row r="842" customFormat="false" ht="15.75" hidden="false" customHeight="true" outlineLevel="0" collapsed="false">
      <c r="N842" s="1"/>
    </row>
    <row r="843" customFormat="false" ht="15.75" hidden="false" customHeight="true" outlineLevel="0" collapsed="false">
      <c r="N843" s="1"/>
    </row>
    <row r="844" customFormat="false" ht="15.75" hidden="false" customHeight="true" outlineLevel="0" collapsed="false">
      <c r="N844" s="1"/>
    </row>
    <row r="845" customFormat="false" ht="15.75" hidden="false" customHeight="true" outlineLevel="0" collapsed="false">
      <c r="N845" s="1"/>
    </row>
    <row r="846" customFormat="false" ht="15.75" hidden="false" customHeight="true" outlineLevel="0" collapsed="false">
      <c r="N846" s="1"/>
    </row>
    <row r="847" customFormat="false" ht="15.75" hidden="false" customHeight="true" outlineLevel="0" collapsed="false">
      <c r="N847" s="1"/>
    </row>
    <row r="848" customFormat="false" ht="15.75" hidden="false" customHeight="true" outlineLevel="0" collapsed="false">
      <c r="N848" s="1"/>
    </row>
    <row r="849" customFormat="false" ht="15.75" hidden="false" customHeight="true" outlineLevel="0" collapsed="false">
      <c r="N849" s="1"/>
    </row>
    <row r="850" customFormat="false" ht="15.75" hidden="false" customHeight="true" outlineLevel="0" collapsed="false">
      <c r="N850" s="1"/>
    </row>
    <row r="851" customFormat="false" ht="15.75" hidden="false" customHeight="true" outlineLevel="0" collapsed="false">
      <c r="N851" s="1"/>
    </row>
    <row r="852" customFormat="false" ht="15.75" hidden="false" customHeight="true" outlineLevel="0" collapsed="false">
      <c r="N852" s="1"/>
    </row>
    <row r="853" customFormat="false" ht="15.75" hidden="false" customHeight="true" outlineLevel="0" collapsed="false">
      <c r="N853" s="1"/>
    </row>
    <row r="854" customFormat="false" ht="15.75" hidden="false" customHeight="true" outlineLevel="0" collapsed="false">
      <c r="N854" s="1"/>
    </row>
    <row r="855" customFormat="false" ht="15.75" hidden="false" customHeight="true" outlineLevel="0" collapsed="false">
      <c r="N855" s="1"/>
    </row>
    <row r="856" customFormat="false" ht="15.75" hidden="false" customHeight="true" outlineLevel="0" collapsed="false">
      <c r="N856" s="1"/>
    </row>
    <row r="857" customFormat="false" ht="15.75" hidden="false" customHeight="true" outlineLevel="0" collapsed="false">
      <c r="N857" s="1"/>
    </row>
    <row r="858" customFormat="false" ht="15.75" hidden="false" customHeight="true" outlineLevel="0" collapsed="false">
      <c r="N858" s="1"/>
    </row>
    <row r="859" customFormat="false" ht="15.75" hidden="false" customHeight="true" outlineLevel="0" collapsed="false">
      <c r="N859" s="1"/>
    </row>
    <row r="860" customFormat="false" ht="15.75" hidden="false" customHeight="true" outlineLevel="0" collapsed="false">
      <c r="N860" s="1"/>
    </row>
    <row r="861" customFormat="false" ht="15.75" hidden="false" customHeight="true" outlineLevel="0" collapsed="false">
      <c r="N861" s="1"/>
    </row>
    <row r="862" customFormat="false" ht="15.75" hidden="false" customHeight="true" outlineLevel="0" collapsed="false">
      <c r="N862" s="1"/>
    </row>
    <row r="863" customFormat="false" ht="15.75" hidden="false" customHeight="true" outlineLevel="0" collapsed="false">
      <c r="N863" s="1"/>
    </row>
    <row r="864" customFormat="false" ht="15.75" hidden="false" customHeight="true" outlineLevel="0" collapsed="false">
      <c r="N864" s="1"/>
    </row>
    <row r="865" customFormat="false" ht="15.75" hidden="false" customHeight="true" outlineLevel="0" collapsed="false">
      <c r="N865" s="1"/>
    </row>
    <row r="866" customFormat="false" ht="15.75" hidden="false" customHeight="true" outlineLevel="0" collapsed="false">
      <c r="N866" s="1"/>
    </row>
    <row r="867" customFormat="false" ht="15.75" hidden="false" customHeight="true" outlineLevel="0" collapsed="false">
      <c r="N867" s="1"/>
    </row>
    <row r="868" customFormat="false" ht="15.75" hidden="false" customHeight="true" outlineLevel="0" collapsed="false">
      <c r="N868" s="1"/>
    </row>
    <row r="869" customFormat="false" ht="15.75" hidden="false" customHeight="true" outlineLevel="0" collapsed="false">
      <c r="N869" s="1"/>
    </row>
    <row r="870" customFormat="false" ht="15.75" hidden="false" customHeight="true" outlineLevel="0" collapsed="false">
      <c r="N870" s="1"/>
    </row>
    <row r="871" customFormat="false" ht="15.75" hidden="false" customHeight="true" outlineLevel="0" collapsed="false">
      <c r="N871" s="1"/>
    </row>
    <row r="872" customFormat="false" ht="15.75" hidden="false" customHeight="true" outlineLevel="0" collapsed="false">
      <c r="N872" s="1"/>
    </row>
    <row r="873" customFormat="false" ht="15.75" hidden="false" customHeight="true" outlineLevel="0" collapsed="false">
      <c r="N873" s="1"/>
    </row>
    <row r="874" customFormat="false" ht="15.75" hidden="false" customHeight="true" outlineLevel="0" collapsed="false">
      <c r="N874" s="1"/>
    </row>
    <row r="875" customFormat="false" ht="15.75" hidden="false" customHeight="true" outlineLevel="0" collapsed="false">
      <c r="N875" s="1"/>
    </row>
    <row r="876" customFormat="false" ht="15.75" hidden="false" customHeight="true" outlineLevel="0" collapsed="false">
      <c r="N876" s="1"/>
    </row>
    <row r="877" customFormat="false" ht="15.75" hidden="false" customHeight="true" outlineLevel="0" collapsed="false">
      <c r="N877" s="1"/>
    </row>
    <row r="878" customFormat="false" ht="15.75" hidden="false" customHeight="true" outlineLevel="0" collapsed="false">
      <c r="N878" s="1"/>
    </row>
    <row r="879" customFormat="false" ht="15.75" hidden="false" customHeight="true" outlineLevel="0" collapsed="false">
      <c r="N879" s="1"/>
    </row>
    <row r="880" customFormat="false" ht="15.75" hidden="false" customHeight="true" outlineLevel="0" collapsed="false">
      <c r="N880" s="1"/>
    </row>
    <row r="881" customFormat="false" ht="15.75" hidden="false" customHeight="true" outlineLevel="0" collapsed="false">
      <c r="N881" s="1"/>
    </row>
    <row r="882" customFormat="false" ht="15.75" hidden="false" customHeight="true" outlineLevel="0" collapsed="false">
      <c r="N882" s="1"/>
    </row>
    <row r="883" customFormat="false" ht="15.75" hidden="false" customHeight="true" outlineLevel="0" collapsed="false">
      <c r="N883" s="1"/>
    </row>
    <row r="884" customFormat="false" ht="15.75" hidden="false" customHeight="true" outlineLevel="0" collapsed="false">
      <c r="N884" s="1"/>
    </row>
    <row r="885" customFormat="false" ht="15.75" hidden="false" customHeight="true" outlineLevel="0" collapsed="false">
      <c r="N885" s="1"/>
    </row>
    <row r="886" customFormat="false" ht="15.75" hidden="false" customHeight="true" outlineLevel="0" collapsed="false">
      <c r="N886" s="1"/>
    </row>
    <row r="887" customFormat="false" ht="15.75" hidden="false" customHeight="true" outlineLevel="0" collapsed="false">
      <c r="N887" s="1"/>
    </row>
    <row r="888" customFormat="false" ht="15.75" hidden="false" customHeight="true" outlineLevel="0" collapsed="false">
      <c r="N888" s="1"/>
    </row>
    <row r="889" customFormat="false" ht="15.75" hidden="false" customHeight="true" outlineLevel="0" collapsed="false">
      <c r="N889" s="1"/>
    </row>
    <row r="890" customFormat="false" ht="15.75" hidden="false" customHeight="true" outlineLevel="0" collapsed="false">
      <c r="N890" s="1"/>
    </row>
    <row r="891" customFormat="false" ht="15.75" hidden="false" customHeight="true" outlineLevel="0" collapsed="false">
      <c r="N891" s="1"/>
    </row>
    <row r="892" customFormat="false" ht="15.75" hidden="false" customHeight="true" outlineLevel="0" collapsed="false">
      <c r="N892" s="1"/>
    </row>
    <row r="893" customFormat="false" ht="15.75" hidden="false" customHeight="true" outlineLevel="0" collapsed="false">
      <c r="N893" s="1"/>
    </row>
    <row r="894" customFormat="false" ht="15.75" hidden="false" customHeight="true" outlineLevel="0" collapsed="false">
      <c r="N894" s="1"/>
    </row>
    <row r="895" customFormat="false" ht="15.75" hidden="false" customHeight="true" outlineLevel="0" collapsed="false">
      <c r="N895" s="1"/>
    </row>
    <row r="896" customFormat="false" ht="15.75" hidden="false" customHeight="true" outlineLevel="0" collapsed="false">
      <c r="N896" s="1"/>
    </row>
    <row r="897" customFormat="false" ht="15.75" hidden="false" customHeight="true" outlineLevel="0" collapsed="false">
      <c r="N897" s="1"/>
    </row>
    <row r="898" customFormat="false" ht="15.75" hidden="false" customHeight="true" outlineLevel="0" collapsed="false">
      <c r="N898" s="1"/>
    </row>
    <row r="899" customFormat="false" ht="15.75" hidden="false" customHeight="true" outlineLevel="0" collapsed="false">
      <c r="N899" s="1"/>
    </row>
    <row r="900" customFormat="false" ht="15.75" hidden="false" customHeight="true" outlineLevel="0" collapsed="false">
      <c r="N900" s="1"/>
    </row>
    <row r="901" customFormat="false" ht="15.75" hidden="false" customHeight="true" outlineLevel="0" collapsed="false">
      <c r="N901" s="1"/>
    </row>
    <row r="902" customFormat="false" ht="15.75" hidden="false" customHeight="true" outlineLevel="0" collapsed="false">
      <c r="N902" s="1"/>
    </row>
    <row r="903" customFormat="false" ht="15.75" hidden="false" customHeight="true" outlineLevel="0" collapsed="false">
      <c r="N903" s="1"/>
    </row>
    <row r="904" customFormat="false" ht="15.75" hidden="false" customHeight="true" outlineLevel="0" collapsed="false">
      <c r="N904" s="1"/>
    </row>
    <row r="905" customFormat="false" ht="15.75" hidden="false" customHeight="true" outlineLevel="0" collapsed="false">
      <c r="N905" s="1"/>
    </row>
    <row r="906" customFormat="false" ht="15.75" hidden="false" customHeight="true" outlineLevel="0" collapsed="false">
      <c r="N906" s="1"/>
    </row>
    <row r="907" customFormat="false" ht="15.75" hidden="false" customHeight="true" outlineLevel="0" collapsed="false">
      <c r="N907" s="1"/>
    </row>
    <row r="908" customFormat="false" ht="15.75" hidden="false" customHeight="true" outlineLevel="0" collapsed="false">
      <c r="N908" s="1"/>
    </row>
    <row r="909" customFormat="false" ht="15.75" hidden="false" customHeight="true" outlineLevel="0" collapsed="false">
      <c r="N909" s="1"/>
    </row>
    <row r="910" customFormat="false" ht="15.75" hidden="false" customHeight="true" outlineLevel="0" collapsed="false">
      <c r="N910" s="1"/>
    </row>
    <row r="911" customFormat="false" ht="15.75" hidden="false" customHeight="true" outlineLevel="0" collapsed="false">
      <c r="N911" s="1"/>
    </row>
    <row r="912" customFormat="false" ht="15.75" hidden="false" customHeight="true" outlineLevel="0" collapsed="false">
      <c r="N912" s="1"/>
    </row>
    <row r="913" customFormat="false" ht="15.75" hidden="false" customHeight="true" outlineLevel="0" collapsed="false">
      <c r="N913" s="1"/>
    </row>
    <row r="914" customFormat="false" ht="15.75" hidden="false" customHeight="true" outlineLevel="0" collapsed="false">
      <c r="N914" s="1"/>
    </row>
    <row r="915" customFormat="false" ht="15.75" hidden="false" customHeight="true" outlineLevel="0" collapsed="false">
      <c r="N915" s="1"/>
    </row>
    <row r="916" customFormat="false" ht="15.75" hidden="false" customHeight="true" outlineLevel="0" collapsed="false">
      <c r="N916" s="1"/>
    </row>
    <row r="917" customFormat="false" ht="15.75" hidden="false" customHeight="true" outlineLevel="0" collapsed="false">
      <c r="N917" s="1"/>
    </row>
    <row r="918" customFormat="false" ht="15.75" hidden="false" customHeight="true" outlineLevel="0" collapsed="false">
      <c r="N918" s="1"/>
    </row>
    <row r="919" customFormat="false" ht="15.75" hidden="false" customHeight="true" outlineLevel="0" collapsed="false">
      <c r="N919" s="1"/>
    </row>
    <row r="920" customFormat="false" ht="15.75" hidden="false" customHeight="true" outlineLevel="0" collapsed="false">
      <c r="N920" s="1"/>
    </row>
    <row r="921" customFormat="false" ht="15.75" hidden="false" customHeight="true" outlineLevel="0" collapsed="false">
      <c r="N921" s="1"/>
    </row>
    <row r="922" customFormat="false" ht="15.75" hidden="false" customHeight="true" outlineLevel="0" collapsed="false">
      <c r="N922" s="1"/>
    </row>
    <row r="923" customFormat="false" ht="15.75" hidden="false" customHeight="true" outlineLevel="0" collapsed="false">
      <c r="N923" s="1"/>
    </row>
    <row r="924" customFormat="false" ht="15.75" hidden="false" customHeight="true" outlineLevel="0" collapsed="false">
      <c r="N924" s="1"/>
    </row>
    <row r="925" customFormat="false" ht="15.75" hidden="false" customHeight="true" outlineLevel="0" collapsed="false">
      <c r="N925" s="1"/>
    </row>
    <row r="926" customFormat="false" ht="15.75" hidden="false" customHeight="true" outlineLevel="0" collapsed="false">
      <c r="N926" s="1"/>
    </row>
    <row r="927" customFormat="false" ht="15.75" hidden="false" customHeight="true" outlineLevel="0" collapsed="false">
      <c r="N927" s="1"/>
    </row>
    <row r="928" customFormat="false" ht="15.75" hidden="false" customHeight="true" outlineLevel="0" collapsed="false">
      <c r="N928" s="1"/>
    </row>
    <row r="929" customFormat="false" ht="15.75" hidden="false" customHeight="true" outlineLevel="0" collapsed="false">
      <c r="N929" s="1"/>
    </row>
    <row r="930" customFormat="false" ht="15.75" hidden="false" customHeight="true" outlineLevel="0" collapsed="false">
      <c r="N930" s="1"/>
    </row>
    <row r="931" customFormat="false" ht="15.75" hidden="false" customHeight="true" outlineLevel="0" collapsed="false">
      <c r="N931" s="1"/>
    </row>
    <row r="932" customFormat="false" ht="15.75" hidden="false" customHeight="true" outlineLevel="0" collapsed="false">
      <c r="N932" s="1"/>
    </row>
    <row r="933" customFormat="false" ht="15.75" hidden="false" customHeight="true" outlineLevel="0" collapsed="false">
      <c r="N933" s="1"/>
    </row>
    <row r="934" customFormat="false" ht="15.75" hidden="false" customHeight="true" outlineLevel="0" collapsed="false">
      <c r="N934" s="1"/>
    </row>
    <row r="935" customFormat="false" ht="15.75" hidden="false" customHeight="true" outlineLevel="0" collapsed="false">
      <c r="N935" s="1"/>
    </row>
    <row r="936" customFormat="false" ht="15.75" hidden="false" customHeight="true" outlineLevel="0" collapsed="false">
      <c r="N936" s="1"/>
    </row>
    <row r="937" customFormat="false" ht="15.75" hidden="false" customHeight="true" outlineLevel="0" collapsed="false">
      <c r="N937" s="1"/>
    </row>
    <row r="938" customFormat="false" ht="15.75" hidden="false" customHeight="true" outlineLevel="0" collapsed="false">
      <c r="N938" s="1"/>
    </row>
    <row r="939" customFormat="false" ht="15.75" hidden="false" customHeight="true" outlineLevel="0" collapsed="false">
      <c r="N939" s="1"/>
    </row>
    <row r="940" customFormat="false" ht="15.75" hidden="false" customHeight="true" outlineLevel="0" collapsed="false">
      <c r="N940" s="1"/>
    </row>
    <row r="941" customFormat="false" ht="15.75" hidden="false" customHeight="true" outlineLevel="0" collapsed="false">
      <c r="N941" s="1"/>
    </row>
    <row r="942" customFormat="false" ht="15.75" hidden="false" customHeight="true" outlineLevel="0" collapsed="false">
      <c r="N942" s="1"/>
    </row>
    <row r="943" customFormat="false" ht="15.75" hidden="false" customHeight="true" outlineLevel="0" collapsed="false">
      <c r="N943" s="1"/>
    </row>
    <row r="944" customFormat="false" ht="15.75" hidden="false" customHeight="true" outlineLevel="0" collapsed="false">
      <c r="N944" s="1"/>
    </row>
    <row r="945" customFormat="false" ht="15.75" hidden="false" customHeight="true" outlineLevel="0" collapsed="false">
      <c r="N945" s="1"/>
    </row>
    <row r="946" customFormat="false" ht="15.75" hidden="false" customHeight="true" outlineLevel="0" collapsed="false">
      <c r="N946" s="1"/>
    </row>
    <row r="947" customFormat="false" ht="15.75" hidden="false" customHeight="true" outlineLevel="0" collapsed="false">
      <c r="N947" s="1"/>
    </row>
    <row r="948" customFormat="false" ht="15.75" hidden="false" customHeight="true" outlineLevel="0" collapsed="false">
      <c r="N948" s="1"/>
    </row>
    <row r="949" customFormat="false" ht="15.75" hidden="false" customHeight="true" outlineLevel="0" collapsed="false">
      <c r="N949" s="1"/>
    </row>
    <row r="950" customFormat="false" ht="15.75" hidden="false" customHeight="true" outlineLevel="0" collapsed="false">
      <c r="N950" s="1"/>
    </row>
    <row r="951" customFormat="false" ht="15.75" hidden="false" customHeight="true" outlineLevel="0" collapsed="false">
      <c r="N951" s="1"/>
    </row>
    <row r="952" customFormat="false" ht="15.75" hidden="false" customHeight="true" outlineLevel="0" collapsed="false">
      <c r="N952" s="1"/>
    </row>
    <row r="953" customFormat="false" ht="15.75" hidden="false" customHeight="true" outlineLevel="0" collapsed="false">
      <c r="N953" s="1"/>
    </row>
    <row r="954" customFormat="false" ht="15.75" hidden="false" customHeight="true" outlineLevel="0" collapsed="false">
      <c r="N954" s="1"/>
    </row>
    <row r="955" customFormat="false" ht="15.75" hidden="false" customHeight="true" outlineLevel="0" collapsed="false">
      <c r="N955" s="1"/>
    </row>
    <row r="956" customFormat="false" ht="15.75" hidden="false" customHeight="true" outlineLevel="0" collapsed="false">
      <c r="N956" s="1"/>
    </row>
    <row r="957" customFormat="false" ht="15.75" hidden="false" customHeight="true" outlineLevel="0" collapsed="false">
      <c r="N957" s="1"/>
    </row>
    <row r="958" customFormat="false" ht="15.75" hidden="false" customHeight="true" outlineLevel="0" collapsed="false">
      <c r="N958" s="1"/>
    </row>
    <row r="959" customFormat="false" ht="15.75" hidden="false" customHeight="true" outlineLevel="0" collapsed="false">
      <c r="N959" s="1"/>
    </row>
    <row r="960" customFormat="false" ht="15.75" hidden="false" customHeight="true" outlineLevel="0" collapsed="false">
      <c r="N960" s="1"/>
    </row>
    <row r="961" customFormat="false" ht="15.75" hidden="false" customHeight="true" outlineLevel="0" collapsed="false">
      <c r="N961" s="1"/>
    </row>
    <row r="962" customFormat="false" ht="15.75" hidden="false" customHeight="true" outlineLevel="0" collapsed="false">
      <c r="N962" s="1"/>
    </row>
    <row r="963" customFormat="false" ht="15.75" hidden="false" customHeight="true" outlineLevel="0" collapsed="false">
      <c r="N963" s="1"/>
    </row>
    <row r="964" customFormat="false" ht="15.75" hidden="false" customHeight="true" outlineLevel="0" collapsed="false">
      <c r="N964" s="1"/>
    </row>
    <row r="965" customFormat="false" ht="15.75" hidden="false" customHeight="true" outlineLevel="0" collapsed="false">
      <c r="N965" s="1"/>
    </row>
    <row r="966" customFormat="false" ht="15.75" hidden="false" customHeight="true" outlineLevel="0" collapsed="false">
      <c r="N966" s="1"/>
    </row>
    <row r="967" customFormat="false" ht="15.75" hidden="false" customHeight="true" outlineLevel="0" collapsed="false">
      <c r="N967" s="1"/>
    </row>
    <row r="968" customFormat="false" ht="15.75" hidden="false" customHeight="true" outlineLevel="0" collapsed="false">
      <c r="N968" s="1"/>
    </row>
    <row r="969" customFormat="false" ht="15.75" hidden="false" customHeight="true" outlineLevel="0" collapsed="false">
      <c r="N969" s="1"/>
    </row>
    <row r="970" customFormat="false" ht="15.75" hidden="false" customHeight="true" outlineLevel="0" collapsed="false">
      <c r="N970" s="1"/>
    </row>
    <row r="971" customFormat="false" ht="15.75" hidden="false" customHeight="true" outlineLevel="0" collapsed="false">
      <c r="N971" s="1"/>
    </row>
    <row r="972" customFormat="false" ht="15.75" hidden="false" customHeight="true" outlineLevel="0" collapsed="false">
      <c r="N972" s="1"/>
    </row>
    <row r="973" customFormat="false" ht="15.75" hidden="false" customHeight="true" outlineLevel="0" collapsed="false">
      <c r="N973" s="1"/>
    </row>
    <row r="974" customFormat="false" ht="15.75" hidden="false" customHeight="true" outlineLevel="0" collapsed="false">
      <c r="N974" s="1"/>
    </row>
    <row r="975" customFormat="false" ht="15.75" hidden="false" customHeight="true" outlineLevel="0" collapsed="false">
      <c r="N975" s="1"/>
    </row>
    <row r="976" customFormat="false" ht="15.75" hidden="false" customHeight="true" outlineLevel="0" collapsed="false">
      <c r="N976" s="1"/>
    </row>
    <row r="977" customFormat="false" ht="15.75" hidden="false" customHeight="true" outlineLevel="0" collapsed="false">
      <c r="N977" s="1"/>
    </row>
    <row r="978" customFormat="false" ht="15.75" hidden="false" customHeight="true" outlineLevel="0" collapsed="false">
      <c r="N978" s="1"/>
    </row>
    <row r="979" customFormat="false" ht="15.75" hidden="false" customHeight="true" outlineLevel="0" collapsed="false">
      <c r="N979" s="1"/>
    </row>
    <row r="980" customFormat="false" ht="15.75" hidden="false" customHeight="true" outlineLevel="0" collapsed="false">
      <c r="N980" s="1"/>
    </row>
    <row r="981" customFormat="false" ht="15.75" hidden="false" customHeight="true" outlineLevel="0" collapsed="false">
      <c r="N981" s="1"/>
    </row>
    <row r="982" customFormat="false" ht="15.75" hidden="false" customHeight="true" outlineLevel="0" collapsed="false">
      <c r="N982" s="1"/>
    </row>
    <row r="983" customFormat="false" ht="15.75" hidden="false" customHeight="true" outlineLevel="0" collapsed="false">
      <c r="N983" s="1"/>
    </row>
    <row r="984" customFormat="false" ht="15.75" hidden="false" customHeight="true" outlineLevel="0" collapsed="false">
      <c r="N984" s="1"/>
    </row>
    <row r="985" customFormat="false" ht="15.75" hidden="false" customHeight="true" outlineLevel="0" collapsed="false">
      <c r="N985" s="1"/>
    </row>
    <row r="986" customFormat="false" ht="15.75" hidden="false" customHeight="true" outlineLevel="0" collapsed="false">
      <c r="N986" s="1"/>
    </row>
    <row r="987" customFormat="false" ht="15.75" hidden="false" customHeight="true" outlineLevel="0" collapsed="false">
      <c r="N987" s="1"/>
    </row>
    <row r="988" customFormat="false" ht="15.75" hidden="false" customHeight="true" outlineLevel="0" collapsed="false">
      <c r="N988" s="1"/>
    </row>
    <row r="989" customFormat="false" ht="15.75" hidden="false" customHeight="true" outlineLevel="0" collapsed="false">
      <c r="N989" s="1"/>
    </row>
    <row r="990" customFormat="false" ht="15.75" hidden="false" customHeight="true" outlineLevel="0" collapsed="false">
      <c r="N990" s="1"/>
    </row>
    <row r="991" customFormat="false" ht="15.75" hidden="false" customHeight="true" outlineLevel="0" collapsed="false">
      <c r="N991" s="1"/>
    </row>
    <row r="992" customFormat="false" ht="15.75" hidden="false" customHeight="true" outlineLevel="0" collapsed="false">
      <c r="N992" s="1"/>
    </row>
    <row r="993" customFormat="false" ht="15.75" hidden="false" customHeight="true" outlineLevel="0" collapsed="false">
      <c r="N993" s="1"/>
    </row>
    <row r="994" customFormat="false" ht="15.75" hidden="false" customHeight="true" outlineLevel="0" collapsed="false">
      <c r="N994" s="1"/>
    </row>
    <row r="995" customFormat="false" ht="15.75" hidden="false" customHeight="true" outlineLevel="0" collapsed="false">
      <c r="N995" s="1"/>
    </row>
    <row r="996" customFormat="false" ht="15.75" hidden="false" customHeight="true" outlineLevel="0" collapsed="false">
      <c r="N996" s="1"/>
    </row>
    <row r="997" customFormat="false" ht="15.75" hidden="false" customHeight="true" outlineLevel="0" collapsed="false">
      <c r="N997" s="1"/>
    </row>
    <row r="998" customFormat="false" ht="15.75" hidden="false" customHeight="true" outlineLevel="0" collapsed="false">
      <c r="N998" s="1"/>
    </row>
    <row r="999" customFormat="false" ht="15.75" hidden="false" customHeight="true" outlineLevel="0" collapsed="false">
      <c r="N999" s="1"/>
    </row>
    <row r="1000" customFormat="false" ht="15.75" hidden="false" customHeight="true" outlineLevel="0" collapsed="false">
      <c r="N1000" s="1"/>
    </row>
    <row r="1001" customFormat="false" ht="15.75" hidden="false" customHeight="true" outlineLevel="0" collapsed="false">
      <c r="N1001" s="1"/>
    </row>
    <row r="1002" customFormat="false" ht="15.75" hidden="false" customHeight="true" outlineLevel="0" collapsed="false">
      <c r="N1002" s="1"/>
    </row>
    <row r="1003" customFormat="false" ht="15.75" hidden="false" customHeight="true" outlineLevel="0" collapsed="false">
      <c r="N1003" s="1"/>
    </row>
    <row r="1004" customFormat="false" ht="15.75" hidden="false" customHeight="true" outlineLevel="0" collapsed="false">
      <c r="N1004" s="1"/>
    </row>
    <row r="1005" customFormat="false" ht="15.75" hidden="false" customHeight="true" outlineLevel="0" collapsed="false">
      <c r="N1005" s="1"/>
    </row>
    <row r="1006" customFormat="false" ht="15.75" hidden="false" customHeight="true" outlineLevel="0" collapsed="false">
      <c r="N1006" s="1"/>
    </row>
    <row r="1007" customFormat="false" ht="15.75" hidden="false" customHeight="true" outlineLevel="0" collapsed="false">
      <c r="N1007" s="1"/>
    </row>
    <row r="1008" customFormat="false" ht="15.75" hidden="false" customHeight="true" outlineLevel="0" collapsed="false">
      <c r="N1008" s="1"/>
    </row>
    <row r="1009" customFormat="false" ht="15.75" hidden="false" customHeight="true" outlineLevel="0" collapsed="false">
      <c r="N1009" s="1"/>
    </row>
    <row r="1010" customFormat="false" ht="15.75" hidden="false" customHeight="true" outlineLevel="0" collapsed="false">
      <c r="N1010" s="1"/>
    </row>
    <row r="1011" customFormat="false" ht="15.75" hidden="false" customHeight="true" outlineLevel="0" collapsed="false">
      <c r="N1011" s="1"/>
    </row>
    <row r="1012" customFormat="false" ht="15.75" hidden="false" customHeight="true" outlineLevel="0" collapsed="false">
      <c r="N1012" s="1"/>
    </row>
    <row r="1013" customFormat="false" ht="15.75" hidden="false" customHeight="true" outlineLevel="0" collapsed="false">
      <c r="N1013" s="1"/>
    </row>
    <row r="1014" customFormat="false" ht="15.75" hidden="false" customHeight="true" outlineLevel="0" collapsed="false">
      <c r="N1014" s="1"/>
    </row>
    <row r="1015" customFormat="false" ht="15.75" hidden="false" customHeight="true" outlineLevel="0" collapsed="false">
      <c r="N1015" s="1"/>
    </row>
    <row r="1016" customFormat="false" ht="15.75" hidden="false" customHeight="true" outlineLevel="0" collapsed="false">
      <c r="N1016" s="1"/>
    </row>
  </sheetData>
  <mergeCells count="25">
    <mergeCell ref="B2:M2"/>
    <mergeCell ref="B3:M3"/>
    <mergeCell ref="B7:M7"/>
    <mergeCell ref="B10:M10"/>
    <mergeCell ref="B14:M14"/>
    <mergeCell ref="B33:M33"/>
    <mergeCell ref="F39:G39"/>
    <mergeCell ref="F45:G45"/>
    <mergeCell ref="F50:G50"/>
    <mergeCell ref="F55:G55"/>
    <mergeCell ref="H55:I55"/>
    <mergeCell ref="B59:M59"/>
    <mergeCell ref="B70:C70"/>
    <mergeCell ref="B74:C74"/>
    <mergeCell ref="E74:F74"/>
    <mergeCell ref="B75:C75"/>
    <mergeCell ref="E75:F75"/>
    <mergeCell ref="B92:J92"/>
    <mergeCell ref="B96:J96"/>
    <mergeCell ref="B97:J97"/>
    <mergeCell ref="B98:J98"/>
    <mergeCell ref="B99:J99"/>
    <mergeCell ref="B100:J100"/>
    <mergeCell ref="B101:J101"/>
    <mergeCell ref="B103:J103"/>
  </mergeCells>
  <dataValidations count="12">
    <dataValidation allowBlank="true" errorStyle="stop" operator="between" showDropDown="false" showErrorMessage="false" showInputMessage="false" sqref="D70" type="list">
      <formula1>"0 — Not used (floor off),0.30 — Partial floor,0.50 — Standard floor,0.80 — Strong floor"</formula1>
      <formula2>0</formula2>
    </dataValidation>
    <dataValidation allowBlank="true" errorStyle="stop" operator="between" showDropDown="false" showErrorMessage="false" showInputMessage="false" sqref="D80" type="list">
      <formula1>"10%,15%,20%,25%,30%,35%,40%,45%,50%"</formula1>
      <formula2>0</formula2>
    </dataValidation>
    <dataValidation allowBlank="true" errorStyle="stop" operator="between" showDropDown="false" showErrorMessage="false" showInputMessage="false" sqref="D62" type="list">
      <formula1>"0.70 — Below average (&lt; 2%),0.90 — Average (2–4%),1.00 — Baseline (4–6%),1.20 — Good (6–8%),1.40 — Excellent (8–10%),1.60 — Premium (&gt; 10%)"</formula1>
      <formula2>0</formula2>
    </dataValidation>
    <dataValidation allowBlank="true" errorStyle="stop" operator="between" showDropDown="false" showErrorMessage="false" showInputMessage="false" sqref="D67" type="list">
      <formula1>"Awareness,Conversion,Trust (Pro Authority)"</formula1>
      <formula2>0</formula2>
    </dataValidation>
    <dataValidation allowBlank="true" errorStyle="stop" operator="between" showDropDown="false" showErrorMessage="false" showInputMessage="false" sqref="D68" type="list">
      <formula1>"1.00 — Normal,1.10 — Proven / Established,1.25 — Elite Contender,1.50 — Global Star / Major Winner"</formula1>
      <formula2>0</formula2>
    </dataValidation>
    <dataValidation allowBlank="true" errorStyle="stop" operator="between" showDropDown="false" showErrorMessage="false" showInputMessage="false" sqref="D69" type="list">
      <formula1>"1.00 — English,1.05 — Arabic,1.10 — Bilingual"</formula1>
      <formula2>0</formula2>
    </dataValidation>
    <dataValidation allowBlank="true" errorStyle="stop" operator="between" showDropDown="false" showErrorMessage="true" showInputMessage="false" sqref="B16" type="list">
      <formula1>"IG Reel,IG Static Post,IG Story,TikTok Video,YT Short,X Post,FB Post / Video,Content Repost,Twitch Stream 2h,Twitch Integration,IRL Appearance,Podcast Guesting,PR Appearance / CSR,Fan Meet &amp; Greet,Photo Shoot (Brand)"</formula1>
      <formula2>0</formula2>
    </dataValidation>
    <dataValidation allowBlank="true" errorStyle="stop" operator="between" showDropDown="false" showErrorMessage="false" showInputMessage="false" sqref="D81" type="list">
      <formula1>"25%,50%,75%,100%,125%,150%,200%"</formula1>
      <formula2>0</formula2>
    </dataValidation>
    <dataValidation allowBlank="true" errorStyle="stop" operator="between" showDropDown="false" showErrorMessage="true" showInputMessage="false" sqref="B9" type="list">
      <formula1>'01_Player_Rate_Card'!$C$5:$C$190</formula1>
      <formula2>0</formula2>
    </dataValidation>
    <dataValidation allowBlank="true" errorStyle="stop" operator="between" showDropDown="false" showErrorMessage="false" showInputMessage="false" sqref="D64" type="list">
      <formula1>"0.80 — Off-season,1.00 — Regular season (Baseline),1.20 — Holiday season (Q4),1.25 — Regional Major,1.30 — Game launch,1.35 — Ramadan (MENA),1.40 — Global Major / Worlds,1.50 — EWC / Mega Peak"</formula1>
      <formula2>0</formula2>
    </dataValidation>
    <dataValidation allowBlank="true" errorStyle="stop" operator="between" showDropDown="false" showErrorMessage="false" showInputMessage="false" sqref="D63" type="list">
      <formula1>"0.85 — Generic / Broad,1.00 — Gaming-adjacent (Baseline),1.20 — Core Gaming,1.30 — MENA / Saudi focus,1.40 — Esports-focused,1.50 — Global Esports Elite"</formula1>
      <formula2>0</formula2>
    </dataValidation>
    <dataValidation allowBlank="true" errorStyle="stop" operator="between" showDropDown="false" showErrorMessage="true" showInputMessage="false" sqref="D65" type="list">
      <formula1>"1.00 — Integrated (Player-led),1.30 — Dedicated (Brand-led)"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pageSetUpPr fitToPage="false"/>
  </sheetPr>
  <dimension ref="B1:Z10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48"/>
    <col collapsed="false" customWidth="true" hidden="false" outlineLevel="0" max="6" min="5" style="1" width="8.71"/>
  </cols>
  <sheetData>
    <row r="1" customFormat="false" ht="15" hidden="false" customHeight="true" outlineLevel="0" collapsed="false"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customFormat="false" ht="19.5" hidden="false" customHeight="true" outlineLevel="0" collapsed="false">
      <c r="B2" s="190" t="s">
        <v>1365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customFormat="false" ht="36.75" hidden="false" customHeight="true" outlineLevel="0" collapsed="false">
      <c r="B3" s="191" t="s">
        <v>1366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customFormat="false" ht="15" hidden="false" customHeight="true" outlineLevel="0" collapsed="false"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customFormat="false" ht="15" hidden="false" customHeight="true" outlineLevel="0" collapsed="false">
      <c r="B5" s="192" t="s">
        <v>1367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customFormat="false" ht="15" hidden="false" customHeight="true" outlineLevel="0" collapsed="false">
      <c r="B6" s="193" t="s">
        <v>1368</v>
      </c>
      <c r="C6" s="193" t="s">
        <v>1369</v>
      </c>
      <c r="D6" s="193" t="s">
        <v>1205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customFormat="false" ht="15" hidden="false" customHeight="true" outlineLevel="0" collapsed="false">
      <c r="B7" s="194" t="s">
        <v>1370</v>
      </c>
      <c r="C7" s="195" t="n">
        <v>0.15</v>
      </c>
      <c r="D7" s="196" t="s">
        <v>1371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customFormat="false" ht="15" hidden="false" customHeight="true" outlineLevel="0" collapsed="false">
      <c r="B8" s="197" t="s">
        <v>1372</v>
      </c>
      <c r="C8" s="198" t="n">
        <v>0.35</v>
      </c>
      <c r="D8" s="199" t="s">
        <v>1373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customFormat="false" ht="15" hidden="false" customHeight="true" outlineLevel="0" collapsed="false">
      <c r="B9" s="194" t="s">
        <v>1374</v>
      </c>
      <c r="C9" s="195" t="n">
        <v>0.6</v>
      </c>
      <c r="D9" s="196" t="s">
        <v>1375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customFormat="false" ht="15" hidden="false" customHeight="true" outlineLevel="0" collapsed="false">
      <c r="B10" s="197" t="s">
        <v>1376</v>
      </c>
      <c r="C10" s="198" t="n">
        <v>0.25</v>
      </c>
      <c r="D10" s="199" t="s">
        <v>1377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customFormat="false" ht="15" hidden="false" customHeight="true" outlineLevel="0" collapsed="false">
      <c r="B11" s="194" t="s">
        <v>1378</v>
      </c>
      <c r="C11" s="195" t="n">
        <v>0.5</v>
      </c>
      <c r="D11" s="196" t="s">
        <v>1379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customFormat="false" ht="15" hidden="false" customHeight="true" outlineLevel="0" collapsed="false">
      <c r="B12" s="197" t="s">
        <v>1380</v>
      </c>
      <c r="C12" s="198" t="n">
        <v>1</v>
      </c>
      <c r="D12" s="199" t="s">
        <v>1381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customFormat="false" ht="15" hidden="false" customHeight="true" outlineLevel="0" collapsed="false">
      <c r="B13" s="194" t="s">
        <v>1382</v>
      </c>
      <c r="C13" s="195" t="n">
        <v>0.4</v>
      </c>
      <c r="D13" s="196" t="s">
        <v>1383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customFormat="false" ht="15" hidden="false" customHeight="true" outlineLevel="0" collapsed="false">
      <c r="B14" s="197" t="s">
        <v>1384</v>
      </c>
      <c r="C14" s="198" t="n">
        <v>0.75</v>
      </c>
      <c r="D14" s="199" t="s">
        <v>1385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customFormat="false" ht="15" hidden="false" customHeight="true" outlineLevel="0" collapsed="false">
      <c r="B15" s="194" t="s">
        <v>1386</v>
      </c>
      <c r="C15" s="195" t="n">
        <v>1.2</v>
      </c>
      <c r="D15" s="196" t="s">
        <v>1387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customFormat="false" ht="15" hidden="false" customHeight="true" outlineLevel="0" collapsed="false">
      <c r="B16" s="197" t="s">
        <v>1388</v>
      </c>
      <c r="C16" s="198" t="n">
        <v>0.2</v>
      </c>
      <c r="D16" s="199" t="s">
        <v>1389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customFormat="false" ht="15" hidden="false" customHeight="true" outlineLevel="0" collapsed="false">
      <c r="B17" s="194" t="s">
        <v>1390</v>
      </c>
      <c r="C17" s="195" t="n">
        <v>0.75</v>
      </c>
      <c r="D17" s="196" t="s">
        <v>1391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customFormat="false" ht="15" hidden="false" customHeight="true" outlineLevel="0" collapsed="false">
      <c r="B18" s="197" t="s">
        <v>1392</v>
      </c>
      <c r="C18" s="198" t="n">
        <v>1.5</v>
      </c>
      <c r="D18" s="199" t="s">
        <v>1393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customFormat="false" ht="15" hidden="false" customHeight="true" outlineLevel="0" collapsed="false">
      <c r="B19" s="194" t="s">
        <v>1394</v>
      </c>
      <c r="C19" s="195" t="n">
        <v>2</v>
      </c>
      <c r="D19" s="196" t="s">
        <v>1395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customFormat="false" ht="15" hidden="false" customHeight="true" outlineLevel="0" collapsed="false"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customFormat="false" ht="15.75" hidden="false" customHeight="true" outlineLevel="0" collapsed="false"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customFormat="false" ht="15.75" hidden="false" customHeight="true" outlineLevel="0" collapsed="false">
      <c r="B22" s="192" t="s">
        <v>1396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customFormat="false" ht="15.75" hidden="false" customHeight="true" outlineLevel="0" collapsed="false">
      <c r="B23" s="193" t="s">
        <v>1397</v>
      </c>
      <c r="C23" s="193" t="s">
        <v>1398</v>
      </c>
      <c r="D23" s="193" t="s">
        <v>1399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customFormat="false" ht="15.75" hidden="false" customHeight="true" outlineLevel="0" collapsed="false">
      <c r="B24" s="197" t="s">
        <v>1400</v>
      </c>
      <c r="C24" s="200" t="s">
        <v>1401</v>
      </c>
      <c r="D24" s="201" t="s">
        <v>1402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customFormat="false" ht="15.75" hidden="false" customHeight="true" outlineLevel="0" collapsed="false">
      <c r="B25" s="194" t="s">
        <v>1403</v>
      </c>
      <c r="C25" s="202" t="s">
        <v>1404</v>
      </c>
      <c r="D25" s="203" t="s">
        <v>1405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customFormat="false" ht="15.75" hidden="false" customHeight="true" outlineLevel="0" collapsed="false">
      <c r="B26" s="197" t="s">
        <v>1406</v>
      </c>
      <c r="C26" s="200" t="s">
        <v>1407</v>
      </c>
      <c r="D26" s="201" t="s">
        <v>1408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customFormat="false" ht="15.75" hidden="false" customHeight="true" outlineLevel="0" collapsed="false">
      <c r="B27" s="194" t="s">
        <v>1409</v>
      </c>
      <c r="C27" s="202" t="s">
        <v>1410</v>
      </c>
      <c r="D27" s="203" t="s">
        <v>1411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customFormat="false" ht="15.75" hidden="false" customHeight="true" outlineLevel="0" collapsed="false">
      <c r="B28" s="197" t="s">
        <v>1412</v>
      </c>
      <c r="C28" s="200" t="s">
        <v>1413</v>
      </c>
      <c r="D28" s="201" t="s">
        <v>1414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customFormat="false" ht="15.75" hidden="false" customHeight="true" outlineLevel="0" collapsed="false"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customFormat="false" ht="15.75" hidden="false" customHeight="true" outlineLevel="0" collapsed="false"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customFormat="false" ht="15.75" hidden="false" customHeight="true" outlineLevel="0" collapsed="false"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customFormat="false" ht="15.75" hidden="false" customHeight="true" outlineLevel="0" collapsed="false"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customFormat="false" ht="15.75" hidden="false" customHeight="true" outlineLevel="0" collapsed="false"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customFormat="false" ht="15.75" hidden="false" customHeight="true" outlineLevel="0" collapsed="false"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customFormat="false" ht="15.75" hidden="false" customHeight="true" outlineLevel="0" collapsed="false"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customFormat="false" ht="15.75" hidden="false" customHeight="true" outlineLevel="0" collapsed="false"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customFormat="false" ht="15.75" hidden="false" customHeight="true" outlineLevel="0" collapsed="false"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customFormat="false" ht="15.75" hidden="false" customHeight="true" outlineLevel="0" collapsed="false"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customFormat="false" ht="15.75" hidden="false" customHeight="true" outlineLevel="0" collapsed="false"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customFormat="false" ht="15.75" hidden="false" customHeight="true" outlineLevel="0" collapsed="false"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customFormat="false" ht="15.75" hidden="false" customHeight="true" outlineLevel="0" collapsed="false"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customFormat="false" ht="15.75" hidden="false" customHeight="true" outlineLevel="0" collapsed="false"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customFormat="false" ht="15.75" hidden="false" customHeight="true" outlineLevel="0" collapsed="false"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customFormat="false" ht="15.75" hidden="false" customHeight="true" outlineLevel="0" collapsed="false"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customFormat="false" ht="15.75" hidden="false" customHeight="true" outlineLevel="0" collapsed="false"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customFormat="false" ht="15.75" hidden="false" customHeight="true" outlineLevel="0" collapsed="false"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customFormat="false" ht="15.75" hidden="false" customHeight="true" outlineLevel="0" collapsed="false"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customFormat="false" ht="15.75" hidden="false" customHeight="true" outlineLevel="0" collapsed="false"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customFormat="false" ht="15.75" hidden="false" customHeight="true" outlineLevel="0" collapsed="false"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customFormat="false" ht="15.75" hidden="false" customHeight="true" outlineLevel="0" collapsed="false"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customFormat="false" ht="15.75" hidden="false" customHeight="true" outlineLevel="0" collapsed="false"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customFormat="false" ht="15.75" hidden="false" customHeight="true" outlineLevel="0" collapsed="false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customFormat="false" ht="15.75" hidden="false" customHeight="true" outlineLevel="0" collapsed="false"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customFormat="false" ht="15.75" hidden="false" customHeight="true" outlineLevel="0" collapsed="false"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customFormat="false" ht="15.75" hidden="false" customHeight="true" outlineLevel="0" collapsed="false"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customFormat="false" ht="15.75" hidden="false" customHeight="true" outlineLevel="0" collapsed="false"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customFormat="false" ht="15.75" hidden="false" customHeight="true" outlineLevel="0" collapsed="false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customFormat="false" ht="15.75" hidden="false" customHeight="true" outlineLevel="0" collapsed="false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customFormat="false" ht="15.75" hidden="false" customHeight="true" outlineLevel="0" collapsed="false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customFormat="false" ht="15.75" hidden="false" customHeight="true" outlineLevel="0" collapsed="false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customFormat="false" ht="15.75" hidden="false" customHeight="true" outlineLevel="0" collapsed="false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customFormat="false" ht="15.75" hidden="false" customHeight="true" outlineLevel="0" collapsed="false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customFormat="false" ht="15.75" hidden="false" customHeight="true" outlineLevel="0" collapsed="false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customFormat="false" ht="15.75" hidden="false" customHeight="true" outlineLevel="0" collapsed="false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customFormat="false" ht="15.75" hidden="false" customHeight="true" outlineLevel="0" collapsed="false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customFormat="false" ht="15.75" hidden="false" customHeight="true" outlineLevel="0" collapsed="false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customFormat="false" ht="15.75" hidden="false" customHeight="true" outlineLevel="0" collapsed="false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customFormat="false" ht="15.75" hidden="false" customHeight="true" outlineLevel="0" collapsed="false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customFormat="false" ht="15.75" hidden="false" customHeight="true" outlineLevel="0" collapsed="false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customFormat="false" ht="15.75" hidden="false" customHeight="true" outlineLevel="0" collapsed="false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customFormat="false" ht="15.75" hidden="false" customHeight="true" outlineLevel="0" collapsed="false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customFormat="false" ht="15.75" hidden="false" customHeight="true" outlineLevel="0" collapsed="false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customFormat="false" ht="15.75" hidden="false" customHeight="true" outlineLevel="0" collapsed="false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customFormat="false" ht="15.75" hidden="false" customHeight="true" outlineLevel="0" collapsed="false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customFormat="false" ht="15.75" hidden="false" customHeight="true" outlineLevel="0" collapsed="false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customFormat="false" ht="15.75" hidden="false" customHeight="true" outlineLevel="0" collapsed="false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customFormat="false" ht="15.75" hidden="false" customHeight="true" outlineLevel="0" collapsed="false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customFormat="false" ht="15.75" hidden="false" customHeight="true" outlineLevel="0" collapsed="false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customFormat="false" ht="15.75" hidden="false" customHeight="true" outlineLevel="0" collapsed="false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customFormat="false" ht="15.75" hidden="false" customHeight="true" outlineLevel="0" collapsed="false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customFormat="false" ht="15.75" hidden="false" customHeight="true" outlineLevel="0" collapsed="false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customFormat="false" ht="15.75" hidden="false" customHeight="true" outlineLevel="0" collapsed="false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customFormat="false" ht="15.75" hidden="false" customHeight="true" outlineLevel="0" collapsed="false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customFormat="false" ht="15.75" hidden="false" customHeight="true" outlineLevel="0" collapsed="false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customFormat="false" ht="15.75" hidden="false" customHeight="true" outlineLevel="0" collapsed="false"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customFormat="false" ht="15.75" hidden="false" customHeight="true" outlineLevel="0" collapsed="false"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customFormat="false" ht="15.75" hidden="false" customHeight="true" outlineLevel="0" collapsed="false"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customFormat="false" ht="15.75" hidden="false" customHeight="true" outlineLevel="0" collapsed="false"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customFormat="false" ht="15.75" hidden="false" customHeight="true" outlineLevel="0" collapsed="false"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customFormat="false" ht="15.75" hidden="false" customHeight="true" outlineLevel="0" collapsed="false"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customFormat="false" ht="15.75" hidden="false" customHeight="true" outlineLevel="0" collapsed="false"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customFormat="false" ht="15.75" hidden="false" customHeight="true" outlineLevel="0" collapsed="false"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customFormat="false" ht="15.75" hidden="false" customHeight="true" outlineLevel="0" collapsed="false"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customFormat="false" ht="15.75" hidden="false" customHeight="true" outlineLevel="0" collapsed="false"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customFormat="false" ht="15.75" hidden="false" customHeight="true" outlineLevel="0" collapsed="false"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customFormat="false" ht="15.75" hidden="false" customHeight="true" outlineLevel="0" collapsed="false"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customFormat="false" ht="15.75" hidden="false" customHeight="true" outlineLevel="0" collapsed="false"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customFormat="false" ht="15.75" hidden="false" customHeight="true" outlineLevel="0" collapsed="false"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customFormat="false" ht="15.75" hidden="false" customHeight="true" outlineLevel="0" collapsed="false"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customFormat="false" ht="15.75" hidden="false" customHeight="true" outlineLevel="0" collapsed="false"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customFormat="false" ht="15.75" hidden="false" customHeight="true" outlineLevel="0" collapsed="false"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customFormat="false" ht="15.75" hidden="false" customHeight="true" outlineLevel="0" collapsed="false"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customFormat="false" ht="15.75" hidden="false" customHeight="true" outlineLevel="0" collapsed="false"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customFormat="false" ht="15.75" hidden="false" customHeight="true" outlineLevel="0" collapsed="false"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customFormat="false" ht="15.75" hidden="false" customHeight="true" outlineLevel="0" collapsed="false"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customFormat="false" ht="15.75" hidden="false" customHeight="true" outlineLevel="0" collapsed="false"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customFormat="false" ht="15.75" hidden="false" customHeight="true" outlineLevel="0" collapsed="false"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customFormat="false" ht="15.75" hidden="false" customHeight="true" outlineLevel="0" collapsed="false"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customFormat="false" ht="15.75" hidden="false" customHeight="true" outlineLevel="0" collapsed="false"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customFormat="false" ht="15.75" hidden="false" customHeight="true" outlineLevel="0" collapsed="false"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customFormat="false" ht="15.75" hidden="false" customHeight="true" outlineLevel="0" collapsed="false"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customFormat="false" ht="15.75" hidden="false" customHeight="true" outlineLevel="0" collapsed="false"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customFormat="false" ht="15.75" hidden="false" customHeight="true" outlineLevel="0" collapsed="false"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customFormat="false" ht="15.75" hidden="false" customHeight="true" outlineLevel="0" collapsed="false"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customFormat="false" ht="15.75" hidden="false" customHeight="true" outlineLevel="0" collapsed="false"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customFormat="false" ht="15.75" hidden="false" customHeight="true" outlineLevel="0" collapsed="false"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customFormat="false" ht="15.75" hidden="false" customHeight="true" outlineLevel="0" collapsed="false"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customFormat="false" ht="15.75" hidden="false" customHeight="true" outlineLevel="0" collapsed="false"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customFormat="false" ht="15.75" hidden="false" customHeight="true" outlineLevel="0" collapsed="false"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customFormat="false" ht="15.75" hidden="false" customHeight="true" outlineLevel="0" collapsed="false"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customFormat="false" ht="15.75" hidden="false" customHeight="true" outlineLevel="0" collapsed="false"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customFormat="false" ht="15.75" hidden="false" customHeight="true" outlineLevel="0" collapsed="false"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customFormat="false" ht="15.75" hidden="false" customHeight="true" outlineLevel="0" collapsed="false"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customFormat="false" ht="15.75" hidden="false" customHeight="true" outlineLevel="0" collapsed="false"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customFormat="false" ht="15.75" hidden="false" customHeight="true" outlineLevel="0" collapsed="false"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customFormat="false" ht="15.75" hidden="false" customHeight="true" outlineLevel="0" collapsed="false"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customFormat="false" ht="15.75" hidden="false" customHeight="true" outlineLevel="0" collapsed="false"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customFormat="false" ht="15.75" hidden="false" customHeight="true" outlineLevel="0" collapsed="false"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customFormat="false" ht="15.75" hidden="false" customHeight="true" outlineLevel="0" collapsed="false"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customFormat="false" ht="15.75" hidden="false" customHeight="true" outlineLevel="0" collapsed="false"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customFormat="false" ht="15.75" hidden="false" customHeight="true" outlineLevel="0" collapsed="false"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customFormat="false" ht="15.75" hidden="false" customHeight="true" outlineLevel="0" collapsed="false"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customFormat="false" ht="15.75" hidden="false" customHeight="true" outlineLevel="0" collapsed="false"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customFormat="false" ht="15.75" hidden="false" customHeight="true" outlineLevel="0" collapsed="false"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customFormat="false" ht="15.75" hidden="false" customHeight="true" outlineLevel="0" collapsed="false"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customFormat="false" ht="15.75" hidden="false" customHeight="true" outlineLevel="0" collapsed="false"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customFormat="false" ht="15.75" hidden="false" customHeight="true" outlineLevel="0" collapsed="false"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customFormat="false" ht="15.75" hidden="false" customHeight="true" outlineLevel="0" collapsed="false"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customFormat="false" ht="15.75" hidden="false" customHeight="true" outlineLevel="0" collapsed="false"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customFormat="false" ht="15.75" hidden="false" customHeight="true" outlineLevel="0" collapsed="false"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customFormat="false" ht="15.75" hidden="false" customHeight="true" outlineLevel="0" collapsed="false"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customFormat="false" ht="15.75" hidden="false" customHeight="true" outlineLevel="0" collapsed="false"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customFormat="false" ht="15.75" hidden="false" customHeight="true" outlineLevel="0" collapsed="false"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customFormat="false" ht="15.75" hidden="false" customHeight="true" outlineLevel="0" collapsed="false"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customFormat="false" ht="15.75" hidden="false" customHeight="true" outlineLevel="0" collapsed="false"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customFormat="false" ht="15.75" hidden="false" customHeight="true" outlineLevel="0" collapsed="false"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customFormat="false" ht="15.75" hidden="false" customHeight="true" outlineLevel="0" collapsed="false"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customFormat="false" ht="15.75" hidden="false" customHeight="true" outlineLevel="0" collapsed="false"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customFormat="false" ht="15.75" hidden="false" customHeight="true" outlineLevel="0" collapsed="false"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customFormat="false" ht="15.75" hidden="false" customHeight="true" outlineLevel="0" collapsed="false"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customFormat="false" ht="15.75" hidden="false" customHeight="true" outlineLevel="0" collapsed="false"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customFormat="false" ht="15.75" hidden="false" customHeight="true" outlineLevel="0" collapsed="false"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customFormat="false" ht="15.75" hidden="false" customHeight="true" outlineLevel="0" collapsed="false"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customFormat="false" ht="15.75" hidden="false" customHeight="true" outlineLevel="0" collapsed="false"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customFormat="false" ht="15.75" hidden="false" customHeight="true" outlineLevel="0" collapsed="false"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customFormat="false" ht="15.75" hidden="false" customHeight="true" outlineLevel="0" collapsed="false"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customFormat="false" ht="15.75" hidden="false" customHeight="true" outlineLevel="0" collapsed="false"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customFormat="false" ht="15.75" hidden="false" customHeight="true" outlineLevel="0" collapsed="false"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customFormat="false" ht="15.75" hidden="false" customHeight="true" outlineLevel="0" collapsed="false"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customFormat="false" ht="15.75" hidden="false" customHeight="true" outlineLevel="0" collapsed="false"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customFormat="false" ht="15.75" hidden="false" customHeight="true" outlineLevel="0" collapsed="false"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customFormat="false" ht="15.75" hidden="false" customHeight="true" outlineLevel="0" collapsed="false"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customFormat="false" ht="15.75" hidden="false" customHeight="true" outlineLevel="0" collapsed="false"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customFormat="false" ht="15.75" hidden="false" customHeight="true" outlineLevel="0" collapsed="false"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customFormat="false" ht="15.75" hidden="false" customHeight="true" outlineLevel="0" collapsed="false"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customFormat="false" ht="15.75" hidden="false" customHeight="true" outlineLevel="0" collapsed="false"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customFormat="false" ht="15.75" hidden="false" customHeight="true" outlineLevel="0" collapsed="false"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customFormat="false" ht="15.75" hidden="false" customHeight="true" outlineLevel="0" collapsed="false"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customFormat="false" ht="15.75" hidden="false" customHeight="true" outlineLevel="0" collapsed="false"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customFormat="false" ht="15.75" hidden="false" customHeight="true" outlineLevel="0" collapsed="false"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customFormat="false" ht="15.75" hidden="false" customHeight="true" outlineLevel="0" collapsed="false"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customFormat="false" ht="15.75" hidden="false" customHeight="true" outlineLevel="0" collapsed="false"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customFormat="false" ht="15.75" hidden="false" customHeight="true" outlineLevel="0" collapsed="false"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customFormat="false" ht="15.75" hidden="false" customHeight="true" outlineLevel="0" collapsed="false"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customFormat="false" ht="15.75" hidden="false" customHeight="true" outlineLevel="0" collapsed="false"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customFormat="false" ht="15.75" hidden="false" customHeight="true" outlineLevel="0" collapsed="false"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customFormat="false" ht="15.75" hidden="false" customHeight="true" outlineLevel="0" collapsed="false"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customFormat="false" ht="15.75" hidden="false" customHeight="true" outlineLevel="0" collapsed="false"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customFormat="false" ht="15.75" hidden="false" customHeight="true" outlineLevel="0" collapsed="false"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customFormat="false" ht="15.75" hidden="false" customHeight="true" outlineLevel="0" collapsed="false"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customFormat="false" ht="15.75" hidden="false" customHeight="true" outlineLevel="0" collapsed="false"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customFormat="false" ht="15.75" hidden="false" customHeight="true" outlineLevel="0" collapsed="false"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customFormat="false" ht="15.75" hidden="false" customHeight="true" outlineLevel="0" collapsed="false"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customFormat="false" ht="15.75" hidden="false" customHeight="true" outlineLevel="0" collapsed="false"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customFormat="false" ht="15.75" hidden="false" customHeight="true" outlineLevel="0" collapsed="false"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customFormat="false" ht="15.75" hidden="false" customHeight="true" outlineLevel="0" collapsed="false"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customFormat="false" ht="15.75" hidden="false" customHeight="true" outlineLevel="0" collapsed="false"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customFormat="false" ht="15.75" hidden="false" customHeight="true" outlineLevel="0" collapsed="false"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customFormat="false" ht="15.75" hidden="false" customHeight="true" outlineLevel="0" collapsed="false"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customFormat="false" ht="15.75" hidden="false" customHeight="true" outlineLevel="0" collapsed="false"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customFormat="false" ht="15.75" hidden="false" customHeight="true" outlineLevel="0" collapsed="false"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customFormat="false" ht="15.75" hidden="false" customHeight="true" outlineLevel="0" collapsed="false"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customFormat="false" ht="15.75" hidden="false" customHeight="true" outlineLevel="0" collapsed="false"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customFormat="false" ht="15.75" hidden="false" customHeight="true" outlineLevel="0" collapsed="false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customFormat="false" ht="15.75" hidden="false" customHeight="true" outlineLevel="0" collapsed="false"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customFormat="false" ht="15.75" hidden="false" customHeight="true" outlineLevel="0" collapsed="false"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customFormat="false" ht="15.75" hidden="false" customHeight="true" outlineLevel="0" collapsed="false"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customFormat="false" ht="15.75" hidden="false" customHeight="true" outlineLevel="0" collapsed="false"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customFormat="false" ht="15.75" hidden="false" customHeight="true" outlineLevel="0" collapsed="false"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customFormat="false" ht="15.75" hidden="false" customHeight="true" outlineLevel="0" collapsed="false"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customFormat="false" ht="15.75" hidden="false" customHeight="true" outlineLevel="0" collapsed="false"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customFormat="false" ht="15.75" hidden="false" customHeight="true" outlineLevel="0" collapsed="false"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customFormat="false" ht="15.75" hidden="false" customHeight="true" outlineLevel="0" collapsed="false"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customFormat="false" ht="15.75" hidden="false" customHeight="true" outlineLevel="0" collapsed="false"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customFormat="false" ht="15.75" hidden="false" customHeight="true" outlineLevel="0" collapsed="false"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customFormat="false" ht="15.75" hidden="false" customHeight="true" outlineLevel="0" collapsed="false"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customFormat="false" ht="15.75" hidden="false" customHeight="true" outlineLevel="0" collapsed="false"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customFormat="false" ht="15.75" hidden="false" customHeight="true" outlineLevel="0" collapsed="false"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customFormat="false" ht="15.75" hidden="false" customHeight="true" outlineLevel="0" collapsed="false"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customFormat="false" ht="15.75" hidden="false" customHeight="true" outlineLevel="0" collapsed="false"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customFormat="false" ht="15.75" hidden="false" customHeight="true" outlineLevel="0" collapsed="false"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customFormat="false" ht="15.75" hidden="false" customHeight="true" outlineLevel="0" collapsed="false"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customFormat="false" ht="15.75" hidden="false" customHeight="true" outlineLevel="0" collapsed="false"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customFormat="false" ht="15.75" hidden="false" customHeight="true" outlineLevel="0" collapsed="false"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customFormat="false" ht="15.75" hidden="false" customHeight="true" outlineLevel="0" collapsed="false"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customFormat="false" ht="15.75" hidden="false" customHeight="true" outlineLevel="0" collapsed="false"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customFormat="false" ht="15.75" hidden="false" customHeight="true" outlineLevel="0" collapsed="false"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customFormat="false" ht="15.75" hidden="false" customHeight="true" outlineLevel="0" collapsed="false"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customFormat="false" ht="15.75" hidden="false" customHeight="true" outlineLevel="0" collapsed="false"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customFormat="false" ht="15.75" hidden="false" customHeight="true" outlineLevel="0" collapsed="false"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customFormat="false" ht="15.75" hidden="false" customHeight="true" outlineLevel="0" collapsed="false"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customFormat="false" ht="15.75" hidden="false" customHeight="true" outlineLevel="0" collapsed="false"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customFormat="false" ht="15.75" hidden="false" customHeight="true" outlineLevel="0" collapsed="false"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customFormat="false" ht="15.75" hidden="false" customHeight="true" outlineLevel="0" collapsed="false"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customFormat="false" ht="15.75" hidden="false" customHeight="true" outlineLevel="0" collapsed="false"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customFormat="false" ht="15.75" hidden="false" customHeight="true" outlineLevel="0" collapsed="false"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customFormat="false" ht="15.75" hidden="false" customHeight="true" outlineLevel="0" collapsed="false"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customFormat="false" ht="15.75" hidden="false" customHeight="true" outlineLevel="0" collapsed="false"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customFormat="false" ht="15.75" hidden="false" customHeight="true" outlineLevel="0" collapsed="false"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customFormat="false" ht="15.75" hidden="false" customHeight="true" outlineLevel="0" collapsed="false"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customFormat="false" ht="15.75" hidden="false" customHeight="true" outlineLevel="0" collapsed="false"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customFormat="false" ht="15.75" hidden="false" customHeight="true" outlineLevel="0" collapsed="false"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customFormat="false" ht="15.75" hidden="false" customHeight="true" outlineLevel="0" collapsed="false"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customFormat="false" ht="15.75" hidden="false" customHeight="true" outlineLevel="0" collapsed="false"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customFormat="false" ht="15.75" hidden="false" customHeight="true" outlineLevel="0" collapsed="false"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customFormat="false" ht="15.75" hidden="false" customHeight="true" outlineLevel="0" collapsed="false"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customFormat="false" ht="15.75" hidden="false" customHeight="true" outlineLevel="0" collapsed="false"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customFormat="false" ht="15.75" hidden="false" customHeight="true" outlineLevel="0" collapsed="false"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customFormat="false" ht="15.75" hidden="false" customHeight="true" outlineLevel="0" collapsed="false"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customFormat="false" ht="15.75" hidden="false" customHeight="true" outlineLevel="0" collapsed="false"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customFormat="false" ht="15.75" hidden="false" customHeight="true" outlineLevel="0" collapsed="false"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customFormat="false" ht="15.75" hidden="false" customHeight="true" outlineLevel="0" collapsed="false"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customFormat="false" ht="15.75" hidden="false" customHeight="true" outlineLevel="0" collapsed="false"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customFormat="false" ht="15.75" hidden="false" customHeight="true" outlineLevel="0" collapsed="false"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customFormat="false" ht="15.75" hidden="false" customHeight="true" outlineLevel="0" collapsed="false"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customFormat="false" ht="15.75" hidden="false" customHeight="true" outlineLevel="0" collapsed="false"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customFormat="false" ht="15.75" hidden="false" customHeight="true" outlineLevel="0" collapsed="false"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customFormat="false" ht="15.75" hidden="false" customHeight="true" outlineLevel="0" collapsed="false"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customFormat="false" ht="15.75" hidden="false" customHeight="true" outlineLevel="0" collapsed="false"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customFormat="false" ht="15.75" hidden="false" customHeight="true" outlineLevel="0" collapsed="false"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customFormat="false" ht="15.75" hidden="false" customHeight="true" outlineLevel="0" collapsed="false"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customFormat="false" ht="15.75" hidden="false" customHeight="true" outlineLevel="0" collapsed="false"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customFormat="false" ht="15.75" hidden="false" customHeight="true" outlineLevel="0" collapsed="false"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customFormat="false" ht="15.75" hidden="false" customHeight="true" outlineLevel="0" collapsed="false"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customFormat="false" ht="15.75" hidden="false" customHeight="true" outlineLevel="0" collapsed="false"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customFormat="false" ht="15.75" hidden="false" customHeight="true" outlineLevel="0" collapsed="false"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customFormat="false" ht="15.75" hidden="false" customHeight="true" outlineLevel="0" collapsed="false"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customFormat="false" ht="15.75" hidden="false" customHeight="true" outlineLevel="0" collapsed="false"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customFormat="false" ht="15.75" hidden="false" customHeight="true" outlineLevel="0" collapsed="false"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customFormat="false" ht="15.75" hidden="false" customHeight="true" outlineLevel="0" collapsed="false"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customFormat="false" ht="15.75" hidden="false" customHeight="true" outlineLevel="0" collapsed="false"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customFormat="false" ht="15.75" hidden="false" customHeight="true" outlineLevel="0" collapsed="false"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customFormat="false" ht="15.75" hidden="false" customHeight="true" outlineLevel="0" collapsed="false"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customFormat="false" ht="15.75" hidden="false" customHeight="true" outlineLevel="0" collapsed="false"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customFormat="false" ht="15.75" hidden="false" customHeight="true" outlineLevel="0" collapsed="false"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customFormat="false" ht="15.75" hidden="false" customHeight="true" outlineLevel="0" collapsed="false"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customFormat="false" ht="15.75" hidden="false" customHeight="true" outlineLevel="0" collapsed="false"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customFormat="false" ht="15.75" hidden="false" customHeight="true" outlineLevel="0" collapsed="false"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customFormat="false" ht="15.75" hidden="false" customHeight="true" outlineLevel="0" collapsed="false"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customFormat="false" ht="15.75" hidden="false" customHeight="true" outlineLevel="0" collapsed="false"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customFormat="false" ht="15.75" hidden="false" customHeight="true" outlineLevel="0" collapsed="false"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customFormat="false" ht="15.75" hidden="false" customHeight="true" outlineLevel="0" collapsed="false"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customFormat="false" ht="15.75" hidden="false" customHeight="true" outlineLevel="0" collapsed="false"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customFormat="false" ht="15.75" hidden="false" customHeight="true" outlineLevel="0" collapsed="false"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customFormat="false" ht="15.75" hidden="false" customHeight="true" outlineLevel="0" collapsed="false"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customFormat="false" ht="15.75" hidden="false" customHeight="true" outlineLevel="0" collapsed="false"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customFormat="false" ht="15.75" hidden="false" customHeight="true" outlineLevel="0" collapsed="false"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customFormat="false" ht="15.75" hidden="false" customHeight="true" outlineLevel="0" collapsed="false"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customFormat="false" ht="15.75" hidden="false" customHeight="true" outlineLevel="0" collapsed="false"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customFormat="false" ht="15.75" hidden="false" customHeight="true" outlineLevel="0" collapsed="false"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customFormat="false" ht="15.75" hidden="false" customHeight="true" outlineLevel="0" collapsed="false"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customFormat="false" ht="15.75" hidden="false" customHeight="true" outlineLevel="0" collapsed="false"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customFormat="false" ht="15.75" hidden="false" customHeight="true" outlineLevel="0" collapsed="false"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customFormat="false" ht="15.75" hidden="false" customHeight="true" outlineLevel="0" collapsed="false"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customFormat="false" ht="15.75" hidden="false" customHeight="true" outlineLevel="0" collapsed="false"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customFormat="false" ht="15.75" hidden="false" customHeight="true" outlineLevel="0" collapsed="false"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customFormat="false" ht="15.75" hidden="false" customHeight="true" outlineLevel="0" collapsed="false"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customFormat="false" ht="15.75" hidden="false" customHeight="true" outlineLevel="0" collapsed="false"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customFormat="false" ht="15.75" hidden="false" customHeight="true" outlineLevel="0" collapsed="false"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customFormat="false" ht="15.75" hidden="false" customHeight="true" outlineLevel="0" collapsed="false"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customFormat="false" ht="15.75" hidden="false" customHeight="true" outlineLevel="0" collapsed="false"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customFormat="false" ht="15.75" hidden="false" customHeight="true" outlineLevel="0" collapsed="false"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customFormat="false" ht="15.75" hidden="false" customHeight="true" outlineLevel="0" collapsed="false"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customFormat="false" ht="15.75" hidden="false" customHeight="true" outlineLevel="0" collapsed="false"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customFormat="false" ht="15.75" hidden="false" customHeight="true" outlineLevel="0" collapsed="false"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customFormat="false" ht="15.75" hidden="false" customHeight="true" outlineLevel="0" collapsed="false"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customFormat="false" ht="15.75" hidden="false" customHeight="true" outlineLevel="0" collapsed="false"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customFormat="false" ht="15.75" hidden="false" customHeight="true" outlineLevel="0" collapsed="false"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customFormat="false" ht="15.75" hidden="false" customHeight="true" outlineLevel="0" collapsed="false"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customFormat="false" ht="15.75" hidden="false" customHeight="true" outlineLevel="0" collapsed="false"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customFormat="false" ht="15.75" hidden="false" customHeight="true" outlineLevel="0" collapsed="false"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customFormat="false" ht="15.75" hidden="false" customHeight="true" outlineLevel="0" collapsed="false"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customFormat="false" ht="15.75" hidden="false" customHeight="true" outlineLevel="0" collapsed="false"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customFormat="false" ht="15.75" hidden="false" customHeight="true" outlineLevel="0" collapsed="false"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customFormat="false" ht="15.75" hidden="false" customHeight="true" outlineLevel="0" collapsed="false"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customFormat="false" ht="15.75" hidden="false" customHeight="true" outlineLevel="0" collapsed="false"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customFormat="false" ht="15.75" hidden="false" customHeight="true" outlineLevel="0" collapsed="false"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customFormat="false" ht="15.75" hidden="false" customHeight="true" outlineLevel="0" collapsed="false"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customFormat="false" ht="15.75" hidden="false" customHeight="true" outlineLevel="0" collapsed="false"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customFormat="false" ht="15.75" hidden="false" customHeight="true" outlineLevel="0" collapsed="false"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customFormat="false" ht="15.75" hidden="false" customHeight="true" outlineLevel="0" collapsed="false"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customFormat="false" ht="15.75" hidden="false" customHeight="true" outlineLevel="0" collapsed="false"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customFormat="false" ht="15.75" hidden="false" customHeight="true" outlineLevel="0" collapsed="false"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customFormat="false" ht="15.75" hidden="false" customHeight="true" outlineLevel="0" collapsed="false"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customFormat="false" ht="15.75" hidden="false" customHeight="true" outlineLevel="0" collapsed="false"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customFormat="false" ht="15.75" hidden="false" customHeight="true" outlineLevel="0" collapsed="false"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customFormat="false" ht="15.75" hidden="false" customHeight="true" outlineLevel="0" collapsed="false"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customFormat="false" ht="15.75" hidden="false" customHeight="true" outlineLevel="0" collapsed="false"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customFormat="false" ht="15.75" hidden="false" customHeight="true" outlineLevel="0" collapsed="false"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customFormat="false" ht="15.75" hidden="false" customHeight="true" outlineLevel="0" collapsed="false"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customFormat="false" ht="15.75" hidden="false" customHeight="true" outlineLevel="0" collapsed="false"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customFormat="false" ht="15.75" hidden="false" customHeight="true" outlineLevel="0" collapsed="false"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customFormat="false" ht="15.75" hidden="false" customHeight="true" outlineLevel="0" collapsed="false"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customFormat="false" ht="15.75" hidden="false" customHeight="true" outlineLevel="0" collapsed="false"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customFormat="false" ht="15.75" hidden="false" customHeight="true" outlineLevel="0" collapsed="false"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customFormat="false" ht="15.75" hidden="false" customHeight="true" outlineLevel="0" collapsed="false"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customFormat="false" ht="15.75" hidden="false" customHeight="true" outlineLevel="0" collapsed="false"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customFormat="false" ht="15.75" hidden="false" customHeight="true" outlineLevel="0" collapsed="false"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customFormat="false" ht="15.75" hidden="false" customHeight="true" outlineLevel="0" collapsed="false"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customFormat="false" ht="15.75" hidden="false" customHeight="true" outlineLevel="0" collapsed="false"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customFormat="false" ht="15.75" hidden="false" customHeight="true" outlineLevel="0" collapsed="false"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customFormat="false" ht="15.75" hidden="false" customHeight="true" outlineLevel="0" collapsed="false"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customFormat="false" ht="15.75" hidden="false" customHeight="true" outlineLevel="0" collapsed="false"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customFormat="false" ht="15.75" hidden="false" customHeight="true" outlineLevel="0" collapsed="false"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customFormat="false" ht="15.75" hidden="false" customHeight="true" outlineLevel="0" collapsed="false"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customFormat="false" ht="15.75" hidden="false" customHeight="true" outlineLevel="0" collapsed="false"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customFormat="false" ht="15.75" hidden="false" customHeight="true" outlineLevel="0" collapsed="false"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customFormat="false" ht="15.75" hidden="false" customHeight="true" outlineLevel="0" collapsed="false"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customFormat="false" ht="15.75" hidden="false" customHeight="true" outlineLevel="0" collapsed="false"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customFormat="false" ht="15.75" hidden="false" customHeight="true" outlineLevel="0" collapsed="false"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customFormat="false" ht="15.75" hidden="false" customHeight="true" outlineLevel="0" collapsed="false"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customFormat="false" ht="15.75" hidden="false" customHeight="true" outlineLevel="0" collapsed="false"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customFormat="false" ht="15.75" hidden="false" customHeight="true" outlineLevel="0" collapsed="false"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customFormat="false" ht="15.75" hidden="false" customHeight="true" outlineLevel="0" collapsed="false"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customFormat="false" ht="15.75" hidden="false" customHeight="true" outlineLevel="0" collapsed="false"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customFormat="false" ht="15.75" hidden="false" customHeight="true" outlineLevel="0" collapsed="false"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customFormat="false" ht="15.75" hidden="false" customHeight="true" outlineLevel="0" collapsed="false"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customFormat="false" ht="15.75" hidden="false" customHeight="true" outlineLevel="0" collapsed="false"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customFormat="false" ht="15.75" hidden="false" customHeight="true" outlineLevel="0" collapsed="false"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customFormat="false" ht="15.75" hidden="false" customHeight="true" outlineLevel="0" collapsed="false"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customFormat="false" ht="15.75" hidden="false" customHeight="true" outlineLevel="0" collapsed="false"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customFormat="false" ht="15.75" hidden="false" customHeight="true" outlineLevel="0" collapsed="false"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customFormat="false" ht="15.75" hidden="false" customHeight="true" outlineLevel="0" collapsed="false"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customFormat="false" ht="15.75" hidden="false" customHeight="true" outlineLevel="0" collapsed="false"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customFormat="false" ht="15.75" hidden="false" customHeight="true" outlineLevel="0" collapsed="false"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customFormat="false" ht="15.75" hidden="false" customHeight="true" outlineLevel="0" collapsed="false"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customFormat="false" ht="15.75" hidden="false" customHeight="true" outlineLevel="0" collapsed="false"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customFormat="false" ht="15.75" hidden="false" customHeight="true" outlineLevel="0" collapsed="false"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customFormat="false" ht="15.75" hidden="false" customHeight="true" outlineLevel="0" collapsed="false"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customFormat="false" ht="15.75" hidden="false" customHeight="true" outlineLevel="0" collapsed="false"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customFormat="false" ht="15.75" hidden="false" customHeight="true" outlineLevel="0" collapsed="false"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customFormat="false" ht="15.75" hidden="false" customHeight="true" outlineLevel="0" collapsed="false"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customFormat="false" ht="15.75" hidden="false" customHeight="true" outlineLevel="0" collapsed="false"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customFormat="false" ht="15.75" hidden="false" customHeight="true" outlineLevel="0" collapsed="false"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customFormat="false" ht="15.75" hidden="false" customHeight="true" outlineLevel="0" collapsed="false"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customFormat="false" ht="15.75" hidden="false" customHeight="true" outlineLevel="0" collapsed="false"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customFormat="false" ht="15.75" hidden="false" customHeight="true" outlineLevel="0" collapsed="false"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customFormat="false" ht="15.75" hidden="false" customHeight="true" outlineLevel="0" collapsed="false"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customFormat="false" ht="15.75" hidden="false" customHeight="true" outlineLevel="0" collapsed="false"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customFormat="false" ht="15.75" hidden="false" customHeight="true" outlineLevel="0" collapsed="false"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customFormat="false" ht="15.75" hidden="false" customHeight="true" outlineLevel="0" collapsed="false"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customFormat="false" ht="15.75" hidden="false" customHeight="true" outlineLevel="0" collapsed="false"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customFormat="false" ht="15.75" hidden="false" customHeight="true" outlineLevel="0" collapsed="false"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customFormat="false" ht="15.75" hidden="false" customHeight="true" outlineLevel="0" collapsed="false"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customFormat="false" ht="15.75" hidden="false" customHeight="true" outlineLevel="0" collapsed="false"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customFormat="false" ht="15.75" hidden="false" customHeight="true" outlineLevel="0" collapsed="false"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customFormat="false" ht="15.75" hidden="false" customHeight="true" outlineLevel="0" collapsed="false"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customFormat="false" ht="15.75" hidden="false" customHeight="true" outlineLevel="0" collapsed="false"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customFormat="false" ht="15.75" hidden="false" customHeight="true" outlineLevel="0" collapsed="false"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customFormat="false" ht="15.75" hidden="false" customHeight="true" outlineLevel="0" collapsed="false"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customFormat="false" ht="15.75" hidden="false" customHeight="true" outlineLevel="0" collapsed="false"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customFormat="false" ht="15.75" hidden="false" customHeight="true" outlineLevel="0" collapsed="false"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customFormat="false" ht="15.75" hidden="false" customHeight="true" outlineLevel="0" collapsed="false"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customFormat="false" ht="15.75" hidden="false" customHeight="true" outlineLevel="0" collapsed="false"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customFormat="false" ht="15.75" hidden="false" customHeight="true" outlineLevel="0" collapsed="false"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customFormat="false" ht="15.75" hidden="false" customHeight="true" outlineLevel="0" collapsed="false"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customFormat="false" ht="15.75" hidden="false" customHeight="true" outlineLevel="0" collapsed="false"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customFormat="false" ht="15.75" hidden="false" customHeight="true" outlineLevel="0" collapsed="false"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customFormat="false" ht="15.75" hidden="false" customHeight="true" outlineLevel="0" collapsed="false"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customFormat="false" ht="15.75" hidden="false" customHeight="true" outlineLevel="0" collapsed="false"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customFormat="false" ht="15.75" hidden="false" customHeight="true" outlineLevel="0" collapsed="false"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customFormat="false" ht="15.75" hidden="false" customHeight="true" outlineLevel="0" collapsed="false"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customFormat="false" ht="15.75" hidden="false" customHeight="true" outlineLevel="0" collapsed="false"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customFormat="false" ht="15.75" hidden="false" customHeight="true" outlineLevel="0" collapsed="false"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customFormat="false" ht="15.75" hidden="false" customHeight="true" outlineLevel="0" collapsed="false"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customFormat="false" ht="15.75" hidden="false" customHeight="true" outlineLevel="0" collapsed="false"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customFormat="false" ht="15.75" hidden="false" customHeight="true" outlineLevel="0" collapsed="false"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customFormat="false" ht="15.75" hidden="false" customHeight="true" outlineLevel="0" collapsed="false"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customFormat="false" ht="15.75" hidden="false" customHeight="true" outlineLevel="0" collapsed="false"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customFormat="false" ht="15.75" hidden="false" customHeight="true" outlineLevel="0" collapsed="false"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customFormat="false" ht="15.75" hidden="false" customHeight="true" outlineLevel="0" collapsed="false"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customFormat="false" ht="15.75" hidden="false" customHeight="true" outlineLevel="0" collapsed="false"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customFormat="false" ht="15.75" hidden="false" customHeight="true" outlineLevel="0" collapsed="false"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customFormat="false" ht="15.75" hidden="false" customHeight="true" outlineLevel="0" collapsed="false"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customFormat="false" ht="15.75" hidden="false" customHeight="true" outlineLevel="0" collapsed="false"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customFormat="false" ht="15.75" hidden="false" customHeight="true" outlineLevel="0" collapsed="false"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customFormat="false" ht="15.75" hidden="false" customHeight="true" outlineLevel="0" collapsed="false"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customFormat="false" ht="15.75" hidden="false" customHeight="true" outlineLevel="0" collapsed="false"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customFormat="false" ht="15.75" hidden="false" customHeight="true" outlineLevel="0" collapsed="false"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customFormat="false" ht="15.75" hidden="false" customHeight="true" outlineLevel="0" collapsed="false"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customFormat="false" ht="15.75" hidden="false" customHeight="true" outlineLevel="0" collapsed="false"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customFormat="false" ht="15.75" hidden="false" customHeight="true" outlineLevel="0" collapsed="false"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customFormat="false" ht="15.75" hidden="false" customHeight="true" outlineLevel="0" collapsed="false"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customFormat="false" ht="15.75" hidden="false" customHeight="true" outlineLevel="0" collapsed="false"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customFormat="false" ht="15.75" hidden="false" customHeight="true" outlineLevel="0" collapsed="false"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customFormat="false" ht="15.75" hidden="false" customHeight="true" outlineLevel="0" collapsed="false"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customFormat="false" ht="15.75" hidden="false" customHeight="true" outlineLevel="0" collapsed="false"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customFormat="false" ht="15.75" hidden="false" customHeight="true" outlineLevel="0" collapsed="false"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customFormat="false" ht="15.75" hidden="false" customHeight="true" outlineLevel="0" collapsed="false"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customFormat="false" ht="15.75" hidden="false" customHeight="true" outlineLevel="0" collapsed="false"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customFormat="false" ht="15.75" hidden="false" customHeight="true" outlineLevel="0" collapsed="false"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customFormat="false" ht="15.75" hidden="false" customHeight="true" outlineLevel="0" collapsed="false"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customFormat="false" ht="15.75" hidden="false" customHeight="true" outlineLevel="0" collapsed="false"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customFormat="false" ht="15.75" hidden="false" customHeight="true" outlineLevel="0" collapsed="false"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customFormat="false" ht="15.75" hidden="false" customHeight="true" outlineLevel="0" collapsed="false"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customFormat="false" ht="15.75" hidden="false" customHeight="true" outlineLevel="0" collapsed="false"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customFormat="false" ht="15.75" hidden="false" customHeight="true" outlineLevel="0" collapsed="false"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customFormat="false" ht="15.75" hidden="false" customHeight="true" outlineLevel="0" collapsed="false"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customFormat="false" ht="15.75" hidden="false" customHeight="true" outlineLevel="0" collapsed="false"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customFormat="false" ht="15.75" hidden="false" customHeight="true" outlineLevel="0" collapsed="false"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customFormat="false" ht="15.75" hidden="false" customHeight="true" outlineLevel="0" collapsed="false"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customFormat="false" ht="15.75" hidden="false" customHeight="true" outlineLevel="0" collapsed="false"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customFormat="false" ht="15.75" hidden="false" customHeight="true" outlineLevel="0" collapsed="false"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customFormat="false" ht="15.75" hidden="false" customHeight="true" outlineLevel="0" collapsed="false"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customFormat="false" ht="15.75" hidden="false" customHeight="true" outlineLevel="0" collapsed="false"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customFormat="false" ht="15.75" hidden="false" customHeight="true" outlineLevel="0" collapsed="false"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customFormat="false" ht="15.75" hidden="false" customHeight="true" outlineLevel="0" collapsed="false"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customFormat="false" ht="15.75" hidden="false" customHeight="true" outlineLevel="0" collapsed="false"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customFormat="false" ht="15.75" hidden="false" customHeight="true" outlineLevel="0" collapsed="false"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customFormat="false" ht="15.75" hidden="false" customHeight="true" outlineLevel="0" collapsed="false"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customFormat="false" ht="15.75" hidden="false" customHeight="true" outlineLevel="0" collapsed="false"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customFormat="false" ht="15.75" hidden="false" customHeight="true" outlineLevel="0" collapsed="false"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customFormat="false" ht="15.75" hidden="false" customHeight="true" outlineLevel="0" collapsed="false"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customFormat="false" ht="15.75" hidden="false" customHeight="true" outlineLevel="0" collapsed="false"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customFormat="false" ht="15.75" hidden="false" customHeight="true" outlineLevel="0" collapsed="false"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customFormat="false" ht="15.75" hidden="false" customHeight="true" outlineLevel="0" collapsed="false"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customFormat="false" ht="15.75" hidden="false" customHeight="true" outlineLevel="0" collapsed="false"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customFormat="false" ht="15.75" hidden="false" customHeight="true" outlineLevel="0" collapsed="false"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customFormat="false" ht="15.75" hidden="false" customHeight="true" outlineLevel="0" collapsed="false"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customFormat="false" ht="15.75" hidden="false" customHeight="true" outlineLevel="0" collapsed="false"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customFormat="false" ht="15.75" hidden="false" customHeight="true" outlineLevel="0" collapsed="false"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customFormat="false" ht="15.75" hidden="false" customHeight="true" outlineLevel="0" collapsed="false"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customFormat="false" ht="15.75" hidden="false" customHeight="true" outlineLevel="0" collapsed="false"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customFormat="false" ht="15.75" hidden="false" customHeight="true" outlineLevel="0" collapsed="false"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customFormat="false" ht="15.75" hidden="false" customHeight="true" outlineLevel="0" collapsed="false"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customFormat="false" ht="15.75" hidden="false" customHeight="true" outlineLevel="0" collapsed="false"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customFormat="false" ht="15.75" hidden="false" customHeight="true" outlineLevel="0" collapsed="false"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customFormat="false" ht="15.75" hidden="false" customHeight="true" outlineLevel="0" collapsed="false"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customFormat="false" ht="15.75" hidden="false" customHeight="true" outlineLevel="0" collapsed="false"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customFormat="false" ht="15.75" hidden="false" customHeight="true" outlineLevel="0" collapsed="false"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customFormat="false" ht="15.75" hidden="false" customHeight="true" outlineLevel="0" collapsed="false"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customFormat="false" ht="15.75" hidden="false" customHeight="true" outlineLevel="0" collapsed="false"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customFormat="false" ht="15.75" hidden="false" customHeight="true" outlineLevel="0" collapsed="false"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customFormat="false" ht="15.75" hidden="false" customHeight="true" outlineLevel="0" collapsed="false"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customFormat="false" ht="15.75" hidden="false" customHeight="true" outlineLevel="0" collapsed="false"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customFormat="false" ht="15.75" hidden="false" customHeight="true" outlineLevel="0" collapsed="false"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customFormat="false" ht="15.75" hidden="false" customHeight="true" outlineLevel="0" collapsed="false"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customFormat="false" ht="15.75" hidden="false" customHeight="true" outlineLevel="0" collapsed="false"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customFormat="false" ht="15.75" hidden="false" customHeight="true" outlineLevel="0" collapsed="false"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customFormat="false" ht="15.75" hidden="false" customHeight="true" outlineLevel="0" collapsed="false"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customFormat="false" ht="15.75" hidden="false" customHeight="true" outlineLevel="0" collapsed="false"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customFormat="false" ht="15.75" hidden="false" customHeight="true" outlineLevel="0" collapsed="false"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customFormat="false" ht="15.75" hidden="false" customHeight="true" outlineLevel="0" collapsed="false"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customFormat="false" ht="15.75" hidden="false" customHeight="true" outlineLevel="0" collapsed="false"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customFormat="false" ht="15.75" hidden="false" customHeight="true" outlineLevel="0" collapsed="false"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customFormat="false" ht="15.75" hidden="false" customHeight="true" outlineLevel="0" collapsed="false"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customFormat="false" ht="15.75" hidden="false" customHeight="true" outlineLevel="0" collapsed="false"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customFormat="false" ht="15.75" hidden="false" customHeight="true" outlineLevel="0" collapsed="false"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customFormat="false" ht="15.75" hidden="false" customHeight="true" outlineLevel="0" collapsed="false"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customFormat="false" ht="15.75" hidden="false" customHeight="true" outlineLevel="0" collapsed="false"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customFormat="false" ht="15.75" hidden="false" customHeight="true" outlineLevel="0" collapsed="false"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customFormat="false" ht="15.75" hidden="false" customHeight="true" outlineLevel="0" collapsed="false"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customFormat="false" ht="15.75" hidden="false" customHeight="true" outlineLevel="0" collapsed="false"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customFormat="false" ht="15.75" hidden="false" customHeight="true" outlineLevel="0" collapsed="false"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customFormat="false" ht="15.75" hidden="false" customHeight="true" outlineLevel="0" collapsed="false"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customFormat="false" ht="15.75" hidden="false" customHeight="true" outlineLevel="0" collapsed="false"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customFormat="false" ht="15.75" hidden="false" customHeight="true" outlineLevel="0" collapsed="false"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customFormat="false" ht="15.75" hidden="false" customHeight="true" outlineLevel="0" collapsed="false"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customFormat="false" ht="15.75" hidden="false" customHeight="true" outlineLevel="0" collapsed="false"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customFormat="false" ht="15.75" hidden="false" customHeight="true" outlineLevel="0" collapsed="false"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customFormat="false" ht="15.75" hidden="false" customHeight="true" outlineLevel="0" collapsed="false"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customFormat="false" ht="15.75" hidden="false" customHeight="true" outlineLevel="0" collapsed="false"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customFormat="false" ht="15.75" hidden="false" customHeight="true" outlineLevel="0" collapsed="false"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customFormat="false" ht="15.75" hidden="false" customHeight="true" outlineLevel="0" collapsed="false"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customFormat="false" ht="15.75" hidden="false" customHeight="true" outlineLevel="0" collapsed="false"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customFormat="false" ht="15.75" hidden="false" customHeight="true" outlineLevel="0" collapsed="false"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customFormat="false" ht="15.75" hidden="false" customHeight="true" outlineLevel="0" collapsed="false"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customFormat="false" ht="15.75" hidden="false" customHeight="true" outlineLevel="0" collapsed="false"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customFormat="false" ht="15.75" hidden="false" customHeight="true" outlineLevel="0" collapsed="false"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customFormat="false" ht="15.75" hidden="false" customHeight="true" outlineLevel="0" collapsed="false"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customFormat="false" ht="15.75" hidden="false" customHeight="true" outlineLevel="0" collapsed="false"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customFormat="false" ht="15.75" hidden="false" customHeight="true" outlineLevel="0" collapsed="false"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customFormat="false" ht="15.75" hidden="false" customHeight="true" outlineLevel="0" collapsed="false"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customFormat="false" ht="15.75" hidden="false" customHeight="true" outlineLevel="0" collapsed="false"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customFormat="false" ht="15.75" hidden="false" customHeight="true" outlineLevel="0" collapsed="false"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customFormat="false" ht="15.75" hidden="false" customHeight="true" outlineLevel="0" collapsed="false"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customFormat="false" ht="15.75" hidden="false" customHeight="true" outlineLevel="0" collapsed="false"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customFormat="false" ht="15.75" hidden="false" customHeight="true" outlineLevel="0" collapsed="false"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customFormat="false" ht="15.75" hidden="false" customHeight="true" outlineLevel="0" collapsed="false"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customFormat="false" ht="15.75" hidden="false" customHeight="true" outlineLevel="0" collapsed="false"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customFormat="false" ht="15.75" hidden="false" customHeight="true" outlineLevel="0" collapsed="false"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customFormat="false" ht="15.75" hidden="false" customHeight="true" outlineLevel="0" collapsed="false"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customFormat="false" ht="15.75" hidden="false" customHeight="true" outlineLevel="0" collapsed="false"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customFormat="false" ht="15.75" hidden="false" customHeight="true" outlineLevel="0" collapsed="false"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customFormat="false" ht="15.75" hidden="false" customHeight="true" outlineLevel="0" collapsed="false"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customFormat="false" ht="15.75" hidden="false" customHeight="true" outlineLevel="0" collapsed="false"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customFormat="false" ht="15.75" hidden="false" customHeight="true" outlineLevel="0" collapsed="false"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customFormat="false" ht="15.75" hidden="false" customHeight="true" outlineLevel="0" collapsed="false"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customFormat="false" ht="15.75" hidden="false" customHeight="true" outlineLevel="0" collapsed="false"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customFormat="false" ht="15.75" hidden="false" customHeight="true" outlineLevel="0" collapsed="false"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customFormat="false" ht="15.75" hidden="false" customHeight="true" outlineLevel="0" collapsed="false"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customFormat="false" ht="15.75" hidden="false" customHeight="true" outlineLevel="0" collapsed="false"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customFormat="false" ht="15.75" hidden="false" customHeight="true" outlineLevel="0" collapsed="false"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customFormat="false" ht="15.75" hidden="false" customHeight="true" outlineLevel="0" collapsed="false"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customFormat="false" ht="15.75" hidden="false" customHeight="true" outlineLevel="0" collapsed="false"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customFormat="false" ht="15.75" hidden="false" customHeight="true" outlineLevel="0" collapsed="false"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customFormat="false" ht="15.75" hidden="false" customHeight="true" outlineLevel="0" collapsed="false"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customFormat="false" ht="15.75" hidden="false" customHeight="true" outlineLevel="0" collapsed="false"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customFormat="false" ht="15.75" hidden="false" customHeight="true" outlineLevel="0" collapsed="false"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customFormat="false" ht="15.75" hidden="false" customHeight="true" outlineLevel="0" collapsed="false"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customFormat="false" ht="15.75" hidden="false" customHeight="true" outlineLevel="0" collapsed="false"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customFormat="false" ht="15.75" hidden="false" customHeight="true" outlineLevel="0" collapsed="false"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customFormat="false" ht="15.75" hidden="false" customHeight="true" outlineLevel="0" collapsed="false"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customFormat="false" ht="15.75" hidden="false" customHeight="true" outlineLevel="0" collapsed="false"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customFormat="false" ht="15.75" hidden="false" customHeight="true" outlineLevel="0" collapsed="false"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customFormat="false" ht="15.75" hidden="false" customHeight="true" outlineLevel="0" collapsed="false"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customFormat="false" ht="15.75" hidden="false" customHeight="true" outlineLevel="0" collapsed="false"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customFormat="false" ht="15.75" hidden="false" customHeight="true" outlineLevel="0" collapsed="false"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customFormat="false" ht="15.75" hidden="false" customHeight="true" outlineLevel="0" collapsed="false"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customFormat="false" ht="15.75" hidden="false" customHeight="true" outlineLevel="0" collapsed="false"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customFormat="false" ht="15.75" hidden="false" customHeight="true" outlineLevel="0" collapsed="false"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customFormat="false" ht="15.75" hidden="false" customHeight="true" outlineLevel="0" collapsed="false"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customFormat="false" ht="15.75" hidden="false" customHeight="true" outlineLevel="0" collapsed="false"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customFormat="false" ht="15.75" hidden="false" customHeight="true" outlineLevel="0" collapsed="false"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customFormat="false" ht="15.75" hidden="false" customHeight="true" outlineLevel="0" collapsed="false"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customFormat="false" ht="15.75" hidden="false" customHeight="true" outlineLevel="0" collapsed="false"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customFormat="false" ht="15.75" hidden="false" customHeight="true" outlineLevel="0" collapsed="false"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customFormat="false" ht="15.75" hidden="false" customHeight="true" outlineLevel="0" collapsed="false"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customFormat="false" ht="15.75" hidden="false" customHeight="true" outlineLevel="0" collapsed="false"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customFormat="false" ht="15.75" hidden="false" customHeight="true" outlineLevel="0" collapsed="false"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customFormat="false" ht="15.75" hidden="false" customHeight="true" outlineLevel="0" collapsed="false"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customFormat="false" ht="15.75" hidden="false" customHeight="true" outlineLevel="0" collapsed="false"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customFormat="false" ht="15.75" hidden="false" customHeight="true" outlineLevel="0" collapsed="false"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customFormat="false" ht="15.75" hidden="false" customHeight="true" outlineLevel="0" collapsed="false"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customFormat="false" ht="15.75" hidden="false" customHeight="true" outlineLevel="0" collapsed="false"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customFormat="false" ht="15.75" hidden="false" customHeight="true" outlineLevel="0" collapsed="false"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customFormat="false" ht="15.75" hidden="false" customHeight="true" outlineLevel="0" collapsed="false"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customFormat="false" ht="15.75" hidden="false" customHeight="true" outlineLevel="0" collapsed="false"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customFormat="false" ht="15.75" hidden="false" customHeight="true" outlineLevel="0" collapsed="false"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customFormat="false" ht="15.75" hidden="false" customHeight="true" outlineLevel="0" collapsed="false"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customFormat="false" ht="15.75" hidden="false" customHeight="true" outlineLevel="0" collapsed="false"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customFormat="false" ht="15.75" hidden="false" customHeight="true" outlineLevel="0" collapsed="false"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customFormat="false" ht="15.75" hidden="false" customHeight="true" outlineLevel="0" collapsed="false"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customFormat="false" ht="15.75" hidden="false" customHeight="true" outlineLevel="0" collapsed="false"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customFormat="false" ht="15.75" hidden="false" customHeight="true" outlineLevel="0" collapsed="false"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customFormat="false" ht="15.75" hidden="false" customHeight="true" outlineLevel="0" collapsed="false"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customFormat="false" ht="15.75" hidden="false" customHeight="true" outlineLevel="0" collapsed="false"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customFormat="false" ht="15.75" hidden="false" customHeight="true" outlineLevel="0" collapsed="false"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customFormat="false" ht="15.75" hidden="false" customHeight="true" outlineLevel="0" collapsed="false"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customFormat="false" ht="15.75" hidden="false" customHeight="true" outlineLevel="0" collapsed="false"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customFormat="false" ht="15.75" hidden="false" customHeight="true" outlineLevel="0" collapsed="false"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customFormat="false" ht="15.75" hidden="false" customHeight="true" outlineLevel="0" collapsed="false"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customFormat="false" ht="15.75" hidden="false" customHeight="true" outlineLevel="0" collapsed="false"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customFormat="false" ht="15.75" hidden="false" customHeight="true" outlineLevel="0" collapsed="false"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customFormat="false" ht="15.75" hidden="false" customHeight="true" outlineLevel="0" collapsed="false"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customFormat="false" ht="15.75" hidden="false" customHeight="true" outlineLevel="0" collapsed="false"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customFormat="false" ht="15.75" hidden="false" customHeight="true" outlineLevel="0" collapsed="false"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customFormat="false" ht="15.75" hidden="false" customHeight="true" outlineLevel="0" collapsed="false"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customFormat="false" ht="15.75" hidden="false" customHeight="true" outlineLevel="0" collapsed="false"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customFormat="false" ht="15.75" hidden="false" customHeight="true" outlineLevel="0" collapsed="false"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customFormat="false" ht="15.75" hidden="false" customHeight="true" outlineLevel="0" collapsed="false"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customFormat="false" ht="15.75" hidden="false" customHeight="true" outlineLevel="0" collapsed="false"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customFormat="false" ht="15.75" hidden="false" customHeight="true" outlineLevel="0" collapsed="false"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customFormat="false" ht="15.75" hidden="false" customHeight="true" outlineLevel="0" collapsed="false"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customFormat="false" ht="15.75" hidden="false" customHeight="true" outlineLevel="0" collapsed="false"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customFormat="false" ht="15.75" hidden="false" customHeight="true" outlineLevel="0" collapsed="false"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customFormat="false" ht="15.75" hidden="false" customHeight="true" outlineLevel="0" collapsed="false"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customFormat="false" ht="15.75" hidden="false" customHeight="true" outlineLevel="0" collapsed="false"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customFormat="false" ht="15.75" hidden="false" customHeight="true" outlineLevel="0" collapsed="false"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customFormat="false" ht="15.75" hidden="false" customHeight="true" outlineLevel="0" collapsed="false"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customFormat="false" ht="15.75" hidden="false" customHeight="true" outlineLevel="0" collapsed="false"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customFormat="false" ht="15.75" hidden="false" customHeight="true" outlineLevel="0" collapsed="false"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customFormat="false" ht="15.75" hidden="false" customHeight="true" outlineLevel="0" collapsed="false"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customFormat="false" ht="15.75" hidden="false" customHeight="true" outlineLevel="0" collapsed="false"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customFormat="false" ht="15.75" hidden="false" customHeight="true" outlineLevel="0" collapsed="false"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customFormat="false" ht="15.75" hidden="false" customHeight="true" outlineLevel="0" collapsed="false"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customFormat="false" ht="15.75" hidden="false" customHeight="true" outlineLevel="0" collapsed="false"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customFormat="false" ht="15.75" hidden="false" customHeight="true" outlineLevel="0" collapsed="false"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customFormat="false" ht="15.75" hidden="false" customHeight="true" outlineLevel="0" collapsed="false"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customFormat="false" ht="15.75" hidden="false" customHeight="true" outlineLevel="0" collapsed="false"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customFormat="false" ht="15.75" hidden="false" customHeight="true" outlineLevel="0" collapsed="false"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customFormat="false" ht="15.75" hidden="false" customHeight="true" outlineLevel="0" collapsed="false"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customFormat="false" ht="15.75" hidden="false" customHeight="true" outlineLevel="0" collapsed="false"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customFormat="false" ht="15.75" hidden="false" customHeight="true" outlineLevel="0" collapsed="false"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customFormat="false" ht="15.75" hidden="false" customHeight="true" outlineLevel="0" collapsed="false"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customFormat="false" ht="15.75" hidden="false" customHeight="true" outlineLevel="0" collapsed="false"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customFormat="false" ht="15.75" hidden="false" customHeight="true" outlineLevel="0" collapsed="false"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customFormat="false" ht="15.75" hidden="false" customHeight="true" outlineLevel="0" collapsed="false"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customFormat="false" ht="15.75" hidden="false" customHeight="true" outlineLevel="0" collapsed="false"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customFormat="false" ht="15.75" hidden="false" customHeight="true" outlineLevel="0" collapsed="false"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customFormat="false" ht="15.75" hidden="false" customHeight="true" outlineLevel="0" collapsed="false"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customFormat="false" ht="15.75" hidden="false" customHeight="true" outlineLevel="0" collapsed="false"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customFormat="false" ht="15.75" hidden="false" customHeight="true" outlineLevel="0" collapsed="false"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customFormat="false" ht="15.75" hidden="false" customHeight="true" outlineLevel="0" collapsed="false"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customFormat="false" ht="15.75" hidden="false" customHeight="true" outlineLevel="0" collapsed="false"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customFormat="false" ht="15.75" hidden="false" customHeight="true" outlineLevel="0" collapsed="false"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customFormat="false" ht="15.75" hidden="false" customHeight="true" outlineLevel="0" collapsed="false"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customFormat="false" ht="15.75" hidden="false" customHeight="true" outlineLevel="0" collapsed="false"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customFormat="false" ht="15.75" hidden="false" customHeight="true" outlineLevel="0" collapsed="false"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customFormat="false" ht="15.75" hidden="false" customHeight="true" outlineLevel="0" collapsed="false"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customFormat="false" ht="15.75" hidden="false" customHeight="true" outlineLevel="0" collapsed="false"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customFormat="false" ht="15.75" hidden="false" customHeight="true" outlineLevel="0" collapsed="false"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customFormat="false" ht="15.75" hidden="false" customHeight="true" outlineLevel="0" collapsed="false"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customFormat="false" ht="15.75" hidden="false" customHeight="true" outlineLevel="0" collapsed="false"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customFormat="false" ht="15.75" hidden="false" customHeight="true" outlineLevel="0" collapsed="false"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customFormat="false" ht="15.75" hidden="false" customHeight="true" outlineLevel="0" collapsed="false"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customFormat="false" ht="15.75" hidden="false" customHeight="true" outlineLevel="0" collapsed="false"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customFormat="false" ht="15.75" hidden="false" customHeight="true" outlineLevel="0" collapsed="false"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customFormat="false" ht="15.75" hidden="false" customHeight="true" outlineLevel="0" collapsed="false"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customFormat="false" ht="15.75" hidden="false" customHeight="true" outlineLevel="0" collapsed="false"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customFormat="false" ht="15.75" hidden="false" customHeight="true" outlineLevel="0" collapsed="false"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customFormat="false" ht="15.75" hidden="false" customHeight="true" outlineLevel="0" collapsed="false"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customFormat="false" ht="15.75" hidden="false" customHeight="true" outlineLevel="0" collapsed="false"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customFormat="false" ht="15.75" hidden="false" customHeight="true" outlineLevel="0" collapsed="false"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customFormat="false" ht="15.75" hidden="false" customHeight="true" outlineLevel="0" collapsed="false"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customFormat="false" ht="15.75" hidden="false" customHeight="true" outlineLevel="0" collapsed="false"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customFormat="false" ht="15.75" hidden="false" customHeight="true" outlineLevel="0" collapsed="false"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customFormat="false" ht="15.75" hidden="false" customHeight="true" outlineLevel="0" collapsed="false"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customFormat="false" ht="15.75" hidden="false" customHeight="true" outlineLevel="0" collapsed="false"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customFormat="false" ht="15.75" hidden="false" customHeight="true" outlineLevel="0" collapsed="false"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customFormat="false" ht="15.75" hidden="false" customHeight="true" outlineLevel="0" collapsed="false"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customFormat="false" ht="15.75" hidden="false" customHeight="true" outlineLevel="0" collapsed="false"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customFormat="false" ht="15.75" hidden="false" customHeight="true" outlineLevel="0" collapsed="false"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customFormat="false" ht="15.75" hidden="false" customHeight="true" outlineLevel="0" collapsed="false"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customFormat="false" ht="15.75" hidden="false" customHeight="true" outlineLevel="0" collapsed="false"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customFormat="false" ht="15.75" hidden="false" customHeight="true" outlineLevel="0" collapsed="false"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customFormat="false" ht="15.75" hidden="false" customHeight="true" outlineLevel="0" collapsed="false"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customFormat="false" ht="15.75" hidden="false" customHeight="true" outlineLevel="0" collapsed="false"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customFormat="false" ht="15.75" hidden="false" customHeight="true" outlineLevel="0" collapsed="false"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customFormat="false" ht="15.75" hidden="false" customHeight="true" outlineLevel="0" collapsed="false"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customFormat="false" ht="15.75" hidden="false" customHeight="true" outlineLevel="0" collapsed="false"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customFormat="false" ht="15.75" hidden="false" customHeight="true" outlineLevel="0" collapsed="false"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customFormat="false" ht="15.75" hidden="false" customHeight="true" outlineLevel="0" collapsed="false"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customFormat="false" ht="15.75" hidden="false" customHeight="true" outlineLevel="0" collapsed="false"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customFormat="false" ht="15.75" hidden="false" customHeight="true" outlineLevel="0" collapsed="false"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customFormat="false" ht="15.75" hidden="false" customHeight="true" outlineLevel="0" collapsed="false"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customFormat="false" ht="15.75" hidden="false" customHeight="true" outlineLevel="0" collapsed="false"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customFormat="false" ht="15.75" hidden="false" customHeight="true" outlineLevel="0" collapsed="false"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customFormat="false" ht="15.75" hidden="false" customHeight="true" outlineLevel="0" collapsed="false"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customFormat="false" ht="15.75" hidden="false" customHeight="true" outlineLevel="0" collapsed="false"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customFormat="false" ht="15.75" hidden="false" customHeight="true" outlineLevel="0" collapsed="false"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customFormat="false" ht="15.75" hidden="false" customHeight="true" outlineLevel="0" collapsed="false"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customFormat="false" ht="15.75" hidden="false" customHeight="true" outlineLevel="0" collapsed="false"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customFormat="false" ht="15.75" hidden="false" customHeight="true" outlineLevel="0" collapsed="false"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customFormat="false" ht="15.75" hidden="false" customHeight="true" outlineLevel="0" collapsed="false"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customFormat="false" ht="15.75" hidden="false" customHeight="true" outlineLevel="0" collapsed="false"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customFormat="false" ht="15.75" hidden="false" customHeight="true" outlineLevel="0" collapsed="false"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customFormat="false" ht="15.75" hidden="false" customHeight="true" outlineLevel="0" collapsed="false"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customFormat="false" ht="15.75" hidden="false" customHeight="true" outlineLevel="0" collapsed="false"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customFormat="false" ht="15.75" hidden="false" customHeight="true" outlineLevel="0" collapsed="false"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customFormat="false" ht="15.75" hidden="false" customHeight="true" outlineLevel="0" collapsed="false"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customFormat="false" ht="15.75" hidden="false" customHeight="true" outlineLevel="0" collapsed="false"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customFormat="false" ht="15.75" hidden="false" customHeight="true" outlineLevel="0" collapsed="false"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customFormat="false" ht="15.75" hidden="false" customHeight="true" outlineLevel="0" collapsed="false"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customFormat="false" ht="15.75" hidden="false" customHeight="true" outlineLevel="0" collapsed="false"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customFormat="false" ht="15.75" hidden="false" customHeight="true" outlineLevel="0" collapsed="false"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customFormat="false" ht="15.75" hidden="false" customHeight="true" outlineLevel="0" collapsed="false"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customFormat="false" ht="15.75" hidden="false" customHeight="true" outlineLevel="0" collapsed="false"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customFormat="false" ht="15.75" hidden="false" customHeight="true" outlineLevel="0" collapsed="false"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customFormat="false" ht="15.75" hidden="false" customHeight="true" outlineLevel="0" collapsed="false"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customFormat="false" ht="15.75" hidden="false" customHeight="true" outlineLevel="0" collapsed="false"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customFormat="false" ht="15.75" hidden="false" customHeight="true" outlineLevel="0" collapsed="false"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customFormat="false" ht="15.75" hidden="false" customHeight="true" outlineLevel="0" collapsed="false"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customFormat="false" ht="15.75" hidden="false" customHeight="true" outlineLevel="0" collapsed="false"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customFormat="false" ht="15.75" hidden="false" customHeight="true" outlineLevel="0" collapsed="false"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customFormat="false" ht="15.75" hidden="false" customHeight="true" outlineLevel="0" collapsed="false"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customFormat="false" ht="15.75" hidden="false" customHeight="true" outlineLevel="0" collapsed="false"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customFormat="false" ht="15.75" hidden="false" customHeight="true" outlineLevel="0" collapsed="false"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customFormat="false" ht="15.75" hidden="false" customHeight="true" outlineLevel="0" collapsed="false"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customFormat="false" ht="15.75" hidden="false" customHeight="true" outlineLevel="0" collapsed="false"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customFormat="false" ht="15.75" hidden="false" customHeight="true" outlineLevel="0" collapsed="false"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customFormat="false" ht="15.75" hidden="false" customHeight="true" outlineLevel="0" collapsed="false"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customFormat="false" ht="15.75" hidden="false" customHeight="true" outlineLevel="0" collapsed="false"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customFormat="false" ht="15.75" hidden="false" customHeight="true" outlineLevel="0" collapsed="false"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customFormat="false" ht="15.75" hidden="false" customHeight="true" outlineLevel="0" collapsed="false"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customFormat="false" ht="15.75" hidden="false" customHeight="true" outlineLevel="0" collapsed="false"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customFormat="false" ht="15.75" hidden="false" customHeight="true" outlineLevel="0" collapsed="false"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customFormat="false" ht="15.75" hidden="false" customHeight="true" outlineLevel="0" collapsed="false"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customFormat="false" ht="15.75" hidden="false" customHeight="true" outlineLevel="0" collapsed="false"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customFormat="false" ht="15.75" hidden="false" customHeight="true" outlineLevel="0" collapsed="false"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customFormat="false" ht="15.75" hidden="false" customHeight="true" outlineLevel="0" collapsed="false"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customFormat="false" ht="15.75" hidden="false" customHeight="true" outlineLevel="0" collapsed="false"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customFormat="false" ht="15.75" hidden="false" customHeight="true" outlineLevel="0" collapsed="false"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customFormat="false" ht="15.75" hidden="false" customHeight="true" outlineLevel="0" collapsed="false"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customFormat="false" ht="15.75" hidden="false" customHeight="true" outlineLevel="0" collapsed="false"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customFormat="false" ht="15.75" hidden="false" customHeight="true" outlineLevel="0" collapsed="false"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customFormat="false" ht="15.75" hidden="false" customHeight="true" outlineLevel="0" collapsed="false"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customFormat="false" ht="15.75" hidden="false" customHeight="true" outlineLevel="0" collapsed="false"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customFormat="false" ht="15.75" hidden="false" customHeight="true" outlineLevel="0" collapsed="false"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customFormat="false" ht="15.75" hidden="false" customHeight="true" outlineLevel="0" collapsed="false"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customFormat="false" ht="15.75" hidden="false" customHeight="true" outlineLevel="0" collapsed="false"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customFormat="false" ht="15.75" hidden="false" customHeight="true" outlineLevel="0" collapsed="false"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customFormat="false" ht="15.75" hidden="false" customHeight="true" outlineLevel="0" collapsed="false"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customFormat="false" ht="15.75" hidden="false" customHeight="true" outlineLevel="0" collapsed="false"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customFormat="false" ht="15.75" hidden="false" customHeight="true" outlineLevel="0" collapsed="false"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customFormat="false" ht="15.75" hidden="false" customHeight="true" outlineLevel="0" collapsed="false"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customFormat="false" ht="15.75" hidden="false" customHeight="true" outlineLevel="0" collapsed="false"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customFormat="false" ht="15.75" hidden="false" customHeight="true" outlineLevel="0" collapsed="false"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customFormat="false" ht="15.75" hidden="false" customHeight="true" outlineLevel="0" collapsed="false"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customFormat="false" ht="15.75" hidden="false" customHeight="true" outlineLevel="0" collapsed="false"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customFormat="false" ht="15.75" hidden="false" customHeight="true" outlineLevel="0" collapsed="false"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customFormat="false" ht="15.75" hidden="false" customHeight="true" outlineLevel="0" collapsed="false"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customFormat="false" ht="15.75" hidden="false" customHeight="true" outlineLevel="0" collapsed="false"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customFormat="false" ht="15.75" hidden="false" customHeight="true" outlineLevel="0" collapsed="false"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customFormat="false" ht="15.75" hidden="false" customHeight="true" outlineLevel="0" collapsed="false"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customFormat="false" ht="15.75" hidden="false" customHeight="true" outlineLevel="0" collapsed="false"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customFormat="false" ht="15.75" hidden="false" customHeight="true" outlineLevel="0" collapsed="false"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customFormat="false" ht="15.75" hidden="false" customHeight="true" outlineLevel="0" collapsed="false"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customFormat="false" ht="15.75" hidden="false" customHeight="true" outlineLevel="0" collapsed="false"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customFormat="false" ht="15.75" hidden="false" customHeight="true" outlineLevel="0" collapsed="false"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customFormat="false" ht="15.75" hidden="false" customHeight="true" outlineLevel="0" collapsed="false"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customFormat="false" ht="15.75" hidden="false" customHeight="true" outlineLevel="0" collapsed="false"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customFormat="false" ht="15.75" hidden="false" customHeight="true" outlineLevel="0" collapsed="false"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customFormat="false" ht="15.75" hidden="false" customHeight="true" outlineLevel="0" collapsed="false"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customFormat="false" ht="15.75" hidden="false" customHeight="true" outlineLevel="0" collapsed="false"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customFormat="false" ht="15.75" hidden="false" customHeight="true" outlineLevel="0" collapsed="false"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customFormat="false" ht="15.75" hidden="false" customHeight="true" outlineLevel="0" collapsed="false"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customFormat="false" ht="15.75" hidden="false" customHeight="true" outlineLevel="0" collapsed="false"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customFormat="false" ht="15.75" hidden="false" customHeight="true" outlineLevel="0" collapsed="false"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customFormat="false" ht="15.75" hidden="false" customHeight="true" outlineLevel="0" collapsed="false"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customFormat="false" ht="15.75" hidden="false" customHeight="true" outlineLevel="0" collapsed="false"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customFormat="false" ht="15.75" hidden="false" customHeight="true" outlineLevel="0" collapsed="false"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customFormat="false" ht="15.75" hidden="false" customHeight="true" outlineLevel="0" collapsed="false"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customFormat="false" ht="15.75" hidden="false" customHeight="true" outlineLevel="0" collapsed="false"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customFormat="false" ht="15.75" hidden="false" customHeight="true" outlineLevel="0" collapsed="false"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customFormat="false" ht="15.75" hidden="false" customHeight="true" outlineLevel="0" collapsed="false"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customFormat="false" ht="15.75" hidden="false" customHeight="true" outlineLevel="0" collapsed="false"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customFormat="false" ht="15.75" hidden="false" customHeight="true" outlineLevel="0" collapsed="false"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customFormat="false" ht="15.75" hidden="false" customHeight="true" outlineLevel="0" collapsed="false"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customFormat="false" ht="15.75" hidden="false" customHeight="true" outlineLevel="0" collapsed="false"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customFormat="false" ht="15.75" hidden="false" customHeight="true" outlineLevel="0" collapsed="false"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customFormat="false" ht="15.75" hidden="false" customHeight="true" outlineLevel="0" collapsed="false"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customFormat="false" ht="15.75" hidden="false" customHeight="true" outlineLevel="0" collapsed="false"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customFormat="false" ht="15.75" hidden="false" customHeight="true" outlineLevel="0" collapsed="false"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customFormat="false" ht="15.75" hidden="false" customHeight="true" outlineLevel="0" collapsed="false"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customFormat="false" ht="15.75" hidden="false" customHeight="true" outlineLevel="0" collapsed="false"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customFormat="false" ht="15.75" hidden="false" customHeight="true" outlineLevel="0" collapsed="false"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customFormat="false" ht="15.75" hidden="false" customHeight="true" outlineLevel="0" collapsed="false"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customFormat="false" ht="15.75" hidden="false" customHeight="true" outlineLevel="0" collapsed="false"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customFormat="false" ht="15.75" hidden="false" customHeight="true" outlineLevel="0" collapsed="false"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customFormat="false" ht="15.75" hidden="false" customHeight="true" outlineLevel="0" collapsed="false"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customFormat="false" ht="15.75" hidden="false" customHeight="true" outlineLevel="0" collapsed="false"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customFormat="false" ht="15.75" hidden="false" customHeight="true" outlineLevel="0" collapsed="false"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customFormat="false" ht="15.75" hidden="false" customHeight="true" outlineLevel="0" collapsed="false"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customFormat="false" ht="15.75" hidden="false" customHeight="true" outlineLevel="0" collapsed="false"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customFormat="false" ht="15.75" hidden="false" customHeight="true" outlineLevel="0" collapsed="false"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customFormat="false" ht="15.75" hidden="false" customHeight="true" outlineLevel="0" collapsed="false"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customFormat="false" ht="15.75" hidden="false" customHeight="true" outlineLevel="0" collapsed="false"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customFormat="false" ht="15.75" hidden="false" customHeight="true" outlineLevel="0" collapsed="false"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customFormat="false" ht="15.75" hidden="false" customHeight="true" outlineLevel="0" collapsed="false"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customFormat="false" ht="15.75" hidden="false" customHeight="true" outlineLevel="0" collapsed="false"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customFormat="false" ht="15.75" hidden="false" customHeight="true" outlineLevel="0" collapsed="false"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customFormat="false" ht="15.75" hidden="false" customHeight="true" outlineLevel="0" collapsed="false"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customFormat="false" ht="15.75" hidden="false" customHeight="true" outlineLevel="0" collapsed="false"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customFormat="false" ht="15.75" hidden="false" customHeight="true" outlineLevel="0" collapsed="false"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customFormat="false" ht="15.75" hidden="false" customHeight="true" outlineLevel="0" collapsed="false"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customFormat="false" ht="15.75" hidden="false" customHeight="true" outlineLevel="0" collapsed="false"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customFormat="false" ht="15.75" hidden="false" customHeight="true" outlineLevel="0" collapsed="false"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customFormat="false" ht="15.75" hidden="false" customHeight="true" outlineLevel="0" collapsed="false"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customFormat="false" ht="15.75" hidden="false" customHeight="true" outlineLevel="0" collapsed="false"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customFormat="false" ht="15.75" hidden="false" customHeight="true" outlineLevel="0" collapsed="false"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customFormat="false" ht="15.75" hidden="false" customHeight="true" outlineLevel="0" collapsed="false"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customFormat="false" ht="15.75" hidden="false" customHeight="true" outlineLevel="0" collapsed="false"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customFormat="false" ht="15.75" hidden="false" customHeight="true" outlineLevel="0" collapsed="false"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customFormat="false" ht="15.75" hidden="false" customHeight="true" outlineLevel="0" collapsed="false"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customFormat="false" ht="15.75" hidden="false" customHeight="true" outlineLevel="0" collapsed="false"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customFormat="false" ht="15.75" hidden="false" customHeight="true" outlineLevel="0" collapsed="false"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customFormat="false" ht="15.75" hidden="false" customHeight="true" outlineLevel="0" collapsed="false"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customFormat="false" ht="15.75" hidden="false" customHeight="true" outlineLevel="0" collapsed="false"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customFormat="false" ht="15.75" hidden="false" customHeight="true" outlineLevel="0" collapsed="false"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customFormat="false" ht="15.75" hidden="false" customHeight="true" outlineLevel="0" collapsed="false"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customFormat="false" ht="15.75" hidden="false" customHeight="true" outlineLevel="0" collapsed="false"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customFormat="false" ht="15.75" hidden="false" customHeight="true" outlineLevel="0" collapsed="false"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customFormat="false" ht="15.75" hidden="false" customHeight="true" outlineLevel="0" collapsed="false"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customFormat="false" ht="15.75" hidden="false" customHeight="true" outlineLevel="0" collapsed="false"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customFormat="false" ht="15.75" hidden="false" customHeight="true" outlineLevel="0" collapsed="false"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customFormat="false" ht="15.75" hidden="false" customHeight="true" outlineLevel="0" collapsed="false"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customFormat="false" ht="15.75" hidden="false" customHeight="true" outlineLevel="0" collapsed="false"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customFormat="false" ht="15.75" hidden="false" customHeight="true" outlineLevel="0" collapsed="false"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customFormat="false" ht="15.75" hidden="false" customHeight="true" outlineLevel="0" collapsed="false"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customFormat="false" ht="15.75" hidden="false" customHeight="true" outlineLevel="0" collapsed="false"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customFormat="false" ht="15.75" hidden="false" customHeight="true" outlineLevel="0" collapsed="false"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customFormat="false" ht="15.75" hidden="false" customHeight="true" outlineLevel="0" collapsed="false"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customFormat="false" ht="15.75" hidden="false" customHeight="true" outlineLevel="0" collapsed="false"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customFormat="false" ht="15.75" hidden="false" customHeight="true" outlineLevel="0" collapsed="false"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customFormat="false" ht="15.75" hidden="false" customHeight="true" outlineLevel="0" collapsed="false"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customFormat="false" ht="15.75" hidden="false" customHeight="true" outlineLevel="0" collapsed="false"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customFormat="false" ht="15.75" hidden="false" customHeight="true" outlineLevel="0" collapsed="false"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customFormat="false" ht="15.75" hidden="false" customHeight="true" outlineLevel="0" collapsed="false"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customFormat="false" ht="15.75" hidden="false" customHeight="true" outlineLevel="0" collapsed="false"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customFormat="false" ht="15.75" hidden="false" customHeight="true" outlineLevel="0" collapsed="false"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customFormat="false" ht="15.75" hidden="false" customHeight="true" outlineLevel="0" collapsed="false"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customFormat="false" ht="15.75" hidden="false" customHeight="true" outlineLevel="0" collapsed="false"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customFormat="false" ht="15.75" hidden="false" customHeight="true" outlineLevel="0" collapsed="false"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customFormat="false" ht="15.75" hidden="false" customHeight="true" outlineLevel="0" collapsed="false"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customFormat="false" ht="15.75" hidden="false" customHeight="true" outlineLevel="0" collapsed="false"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customFormat="false" ht="15.75" hidden="false" customHeight="true" outlineLevel="0" collapsed="false"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customFormat="false" ht="15.75" hidden="false" customHeight="true" outlineLevel="0" collapsed="false"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customFormat="false" ht="15.75" hidden="false" customHeight="true" outlineLevel="0" collapsed="false"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customFormat="false" ht="15.75" hidden="false" customHeight="true" outlineLevel="0" collapsed="false"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customFormat="false" ht="15.75" hidden="false" customHeight="true" outlineLevel="0" collapsed="false"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customFormat="false" ht="15.75" hidden="false" customHeight="true" outlineLevel="0" collapsed="false"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customFormat="false" ht="15.75" hidden="false" customHeight="true" outlineLevel="0" collapsed="false"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customFormat="false" ht="15.75" hidden="false" customHeight="true" outlineLevel="0" collapsed="false"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customFormat="false" ht="15.75" hidden="false" customHeight="true" outlineLevel="0" collapsed="false"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customFormat="false" ht="15.75" hidden="false" customHeight="true" outlineLevel="0" collapsed="false"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customFormat="false" ht="15.75" hidden="false" customHeight="true" outlineLevel="0" collapsed="false"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customFormat="false" ht="15.75" hidden="false" customHeight="true" outlineLevel="0" collapsed="false"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customFormat="false" ht="15.75" hidden="false" customHeight="true" outlineLevel="0" collapsed="false"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customFormat="false" ht="15.75" hidden="false" customHeight="true" outlineLevel="0" collapsed="false"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customFormat="false" ht="15.75" hidden="false" customHeight="true" outlineLevel="0" collapsed="false"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customFormat="false" ht="15.75" hidden="false" customHeight="true" outlineLevel="0" collapsed="false"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customFormat="false" ht="15.75" hidden="false" customHeight="true" outlineLevel="0" collapsed="false"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customFormat="false" ht="15.75" hidden="false" customHeight="true" outlineLevel="0" collapsed="false"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customFormat="false" ht="15.75" hidden="false" customHeight="true" outlineLevel="0" collapsed="false"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customFormat="false" ht="15.75" hidden="false" customHeight="true" outlineLevel="0" collapsed="false"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customFormat="false" ht="15.75" hidden="false" customHeight="true" outlineLevel="0" collapsed="false"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customFormat="false" ht="15.75" hidden="false" customHeight="true" outlineLevel="0" collapsed="false"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customFormat="false" ht="15.75" hidden="false" customHeight="true" outlineLevel="0" collapsed="false"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customFormat="false" ht="15.75" hidden="false" customHeight="true" outlineLevel="0" collapsed="false"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customFormat="false" ht="15.75" hidden="false" customHeight="true" outlineLevel="0" collapsed="false"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customFormat="false" ht="15.75" hidden="false" customHeight="true" outlineLevel="0" collapsed="false"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customFormat="false" ht="15.75" hidden="false" customHeight="true" outlineLevel="0" collapsed="false"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customFormat="false" ht="15.75" hidden="false" customHeight="true" outlineLevel="0" collapsed="false"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customFormat="false" ht="15.75" hidden="false" customHeight="true" outlineLevel="0" collapsed="false"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customFormat="false" ht="15.75" hidden="false" customHeight="true" outlineLevel="0" collapsed="false"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customFormat="false" ht="15.75" hidden="false" customHeight="true" outlineLevel="0" collapsed="false"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customFormat="false" ht="15.75" hidden="false" customHeight="true" outlineLevel="0" collapsed="false"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customFormat="false" ht="15.75" hidden="false" customHeight="true" outlineLevel="0" collapsed="false"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customFormat="false" ht="15.75" hidden="false" customHeight="true" outlineLevel="0" collapsed="false"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customFormat="false" ht="15.75" hidden="false" customHeight="true" outlineLevel="0" collapsed="false"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customFormat="false" ht="15.75" hidden="false" customHeight="true" outlineLevel="0" collapsed="false"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customFormat="false" ht="15.75" hidden="false" customHeight="true" outlineLevel="0" collapsed="false"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customFormat="false" ht="15.75" hidden="false" customHeight="true" outlineLevel="0" collapsed="false"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customFormat="false" ht="15.75" hidden="false" customHeight="true" outlineLevel="0" collapsed="false"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customFormat="false" ht="15.75" hidden="false" customHeight="true" outlineLevel="0" collapsed="false"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customFormat="false" ht="15.75" hidden="false" customHeight="true" outlineLevel="0" collapsed="false"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customFormat="false" ht="15.75" hidden="false" customHeight="true" outlineLevel="0" collapsed="false"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customFormat="false" ht="15.75" hidden="false" customHeight="true" outlineLevel="0" collapsed="false"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customFormat="false" ht="15.75" hidden="false" customHeight="true" outlineLevel="0" collapsed="false"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customFormat="false" ht="15.75" hidden="false" customHeight="true" outlineLevel="0" collapsed="false"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customFormat="false" ht="15.75" hidden="false" customHeight="true" outlineLevel="0" collapsed="false"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customFormat="false" ht="15.75" hidden="false" customHeight="true" outlineLevel="0" collapsed="false"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customFormat="false" ht="15.75" hidden="false" customHeight="true" outlineLevel="0" collapsed="false"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customFormat="false" ht="15.75" hidden="false" customHeight="true" outlineLevel="0" collapsed="false"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customFormat="false" ht="15.75" hidden="false" customHeight="true" outlineLevel="0" collapsed="false"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customFormat="false" ht="15.75" hidden="false" customHeight="true" outlineLevel="0" collapsed="false"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customFormat="false" ht="15.75" hidden="false" customHeight="true" outlineLevel="0" collapsed="false"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customFormat="false" ht="15.75" hidden="false" customHeight="true" outlineLevel="0" collapsed="false"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customFormat="false" ht="15.75" hidden="false" customHeight="true" outlineLevel="0" collapsed="false"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customFormat="false" ht="15.75" hidden="false" customHeight="true" outlineLevel="0" collapsed="false"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customFormat="false" ht="15.75" hidden="false" customHeight="true" outlineLevel="0" collapsed="false"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customFormat="false" ht="15.75" hidden="false" customHeight="true" outlineLevel="0" collapsed="false"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customFormat="false" ht="15.75" hidden="false" customHeight="true" outlineLevel="0" collapsed="false"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customFormat="false" ht="15.75" hidden="false" customHeight="true" outlineLevel="0" collapsed="false"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customFormat="false" ht="15.75" hidden="false" customHeight="true" outlineLevel="0" collapsed="false"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customFormat="false" ht="15.75" hidden="false" customHeight="true" outlineLevel="0" collapsed="false"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customFormat="false" ht="15.75" hidden="false" customHeight="true" outlineLevel="0" collapsed="false"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customFormat="false" ht="15.75" hidden="false" customHeight="true" outlineLevel="0" collapsed="false"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customFormat="false" ht="15.75" hidden="false" customHeight="true" outlineLevel="0" collapsed="false"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customFormat="false" ht="15.75" hidden="false" customHeight="true" outlineLevel="0" collapsed="false"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customFormat="false" ht="15.75" hidden="false" customHeight="true" outlineLevel="0" collapsed="false"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customFormat="false" ht="15.75" hidden="false" customHeight="true" outlineLevel="0" collapsed="false"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customFormat="false" ht="15.75" hidden="false" customHeight="true" outlineLevel="0" collapsed="false"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customFormat="false" ht="15.75" hidden="false" customHeight="true" outlineLevel="0" collapsed="false"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customFormat="false" ht="15.75" hidden="false" customHeight="true" outlineLevel="0" collapsed="false"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customFormat="false" ht="15.75" hidden="false" customHeight="true" outlineLevel="0" collapsed="false"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customFormat="false" ht="15.75" hidden="false" customHeight="true" outlineLevel="0" collapsed="false"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customFormat="false" ht="15.75" hidden="false" customHeight="true" outlineLevel="0" collapsed="false"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customFormat="false" ht="15.75" hidden="false" customHeight="true" outlineLevel="0" collapsed="false"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customFormat="false" ht="15.75" hidden="false" customHeight="true" outlineLevel="0" collapsed="false"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customFormat="false" ht="15.75" hidden="false" customHeight="true" outlineLevel="0" collapsed="false"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customFormat="false" ht="15.75" hidden="false" customHeight="true" outlineLevel="0" collapsed="false"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customFormat="false" ht="15.75" hidden="false" customHeight="true" outlineLevel="0" collapsed="false"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customFormat="false" ht="15.75" hidden="false" customHeight="true" outlineLevel="0" collapsed="false"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customFormat="false" ht="15.75" hidden="false" customHeight="true" outlineLevel="0" collapsed="false"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customFormat="false" ht="15.75" hidden="false" customHeight="true" outlineLevel="0" collapsed="false"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customFormat="false" ht="15.75" hidden="false" customHeight="true" outlineLevel="0" collapsed="false"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customFormat="false" ht="15.75" hidden="false" customHeight="true" outlineLevel="0" collapsed="false"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customFormat="false" ht="15.75" hidden="false" customHeight="true" outlineLevel="0" collapsed="false"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customFormat="false" ht="15.75" hidden="false" customHeight="true" outlineLevel="0" collapsed="false"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customFormat="false" ht="15.75" hidden="false" customHeight="true" outlineLevel="0" collapsed="false"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customFormat="false" ht="15.75" hidden="false" customHeight="true" outlineLevel="0" collapsed="false"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customFormat="false" ht="15.75" hidden="false" customHeight="true" outlineLevel="0" collapsed="false"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customFormat="false" ht="15.75" hidden="false" customHeight="true" outlineLevel="0" collapsed="false"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customFormat="false" ht="15.75" hidden="false" customHeight="true" outlineLevel="0" collapsed="false"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customFormat="false" ht="15.75" hidden="false" customHeight="true" outlineLevel="0" collapsed="false"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customFormat="false" ht="15.75" hidden="false" customHeight="true" outlineLevel="0" collapsed="false"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customFormat="false" ht="15.75" hidden="false" customHeight="true" outlineLevel="0" collapsed="false"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customFormat="false" ht="15.75" hidden="false" customHeight="true" outlineLevel="0" collapsed="false"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customFormat="false" ht="15.75" hidden="false" customHeight="true" outlineLevel="0" collapsed="false"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customFormat="false" ht="15.75" hidden="false" customHeight="true" outlineLevel="0" collapsed="false"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customFormat="false" ht="15.75" hidden="false" customHeight="true" outlineLevel="0" collapsed="false"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customFormat="false" ht="15.75" hidden="false" customHeight="true" outlineLevel="0" collapsed="false"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customFormat="false" ht="15.75" hidden="false" customHeight="true" outlineLevel="0" collapsed="false"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customFormat="false" ht="15.75" hidden="false" customHeight="true" outlineLevel="0" collapsed="false"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customFormat="false" ht="15.75" hidden="false" customHeight="true" outlineLevel="0" collapsed="false"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customFormat="false" ht="15.75" hidden="false" customHeight="true" outlineLevel="0" collapsed="false"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customFormat="false" ht="15.75" hidden="false" customHeight="true" outlineLevel="0" collapsed="false"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customFormat="false" ht="15.75" hidden="false" customHeight="true" outlineLevel="0" collapsed="false"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customFormat="false" ht="15.75" hidden="false" customHeight="true" outlineLevel="0" collapsed="false"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customFormat="false" ht="15.75" hidden="false" customHeight="true" outlineLevel="0" collapsed="false"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customFormat="false" ht="15.75" hidden="false" customHeight="true" outlineLevel="0" collapsed="false"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customFormat="false" ht="15.75" hidden="false" customHeight="true" outlineLevel="0" collapsed="false"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customFormat="false" ht="15.75" hidden="false" customHeight="true" outlineLevel="0" collapsed="false"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customFormat="false" ht="15.75" hidden="false" customHeight="true" outlineLevel="0" collapsed="false"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customFormat="false" ht="15.75" hidden="false" customHeight="true" outlineLevel="0" collapsed="false"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customFormat="false" ht="15.75" hidden="false" customHeight="true" outlineLevel="0" collapsed="false"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customFormat="false" ht="15.75" hidden="false" customHeight="true" outlineLevel="0" collapsed="false"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customFormat="false" ht="15.75" hidden="false" customHeight="true" outlineLevel="0" collapsed="false"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customFormat="false" ht="15.75" hidden="false" customHeight="true" outlineLevel="0" collapsed="false"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customFormat="false" ht="15.75" hidden="false" customHeight="true" outlineLevel="0" collapsed="false"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customFormat="false" ht="15.75" hidden="false" customHeight="true" outlineLevel="0" collapsed="false"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customFormat="false" ht="15.75" hidden="false" customHeight="true" outlineLevel="0" collapsed="false"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customFormat="false" ht="15.75" hidden="false" customHeight="true" outlineLevel="0" collapsed="false"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customFormat="false" ht="15.75" hidden="false" customHeight="true" outlineLevel="0" collapsed="false"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customFormat="false" ht="15.75" hidden="false" customHeight="true" outlineLevel="0" collapsed="false"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customFormat="false" ht="15.75" hidden="false" customHeight="true" outlineLevel="0" collapsed="false"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customFormat="false" ht="15.75" hidden="false" customHeight="true" outlineLevel="0" collapsed="false"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customFormat="false" ht="15.75" hidden="false" customHeight="true" outlineLevel="0" collapsed="false"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customFormat="false" ht="15.75" hidden="false" customHeight="true" outlineLevel="0" collapsed="false"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customFormat="false" ht="15.75" hidden="false" customHeight="true" outlineLevel="0" collapsed="false"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customFormat="false" ht="15.75" hidden="false" customHeight="true" outlineLevel="0" collapsed="false"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customFormat="false" ht="15.75" hidden="false" customHeight="true" outlineLevel="0" collapsed="false"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customFormat="false" ht="15.75" hidden="false" customHeight="true" outlineLevel="0" collapsed="false"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customFormat="false" ht="15.75" hidden="false" customHeight="true" outlineLevel="0" collapsed="false"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customFormat="false" ht="15.75" hidden="false" customHeight="true" outlineLevel="0" collapsed="false"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customFormat="false" ht="15.75" hidden="false" customHeight="true" outlineLevel="0" collapsed="false"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customFormat="false" ht="15.75" hidden="false" customHeight="true" outlineLevel="0" collapsed="false"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customFormat="false" ht="15.75" hidden="false" customHeight="true" outlineLevel="0" collapsed="false"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customFormat="false" ht="15.75" hidden="false" customHeight="true" outlineLevel="0" collapsed="false"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customFormat="false" ht="15.75" hidden="false" customHeight="true" outlineLevel="0" collapsed="false"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customFormat="false" ht="15.75" hidden="false" customHeight="true" outlineLevel="0" collapsed="false"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customFormat="false" ht="15.75" hidden="false" customHeight="true" outlineLevel="0" collapsed="false"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customFormat="false" ht="15.75" hidden="false" customHeight="true" outlineLevel="0" collapsed="false"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customFormat="false" ht="15.75" hidden="false" customHeight="true" outlineLevel="0" collapsed="false"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customFormat="false" ht="15.75" hidden="false" customHeight="true" outlineLevel="0" collapsed="false"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customFormat="false" ht="15.75" hidden="false" customHeight="true" outlineLevel="0" collapsed="false"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customFormat="false" ht="15.75" hidden="false" customHeight="true" outlineLevel="0" collapsed="false"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customFormat="false" ht="15.75" hidden="false" customHeight="true" outlineLevel="0" collapsed="false"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customFormat="false" ht="15.75" hidden="false" customHeight="true" outlineLevel="0" collapsed="false"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customFormat="false" ht="15.75" hidden="false" customHeight="true" outlineLevel="0" collapsed="false"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customFormat="false" ht="15.75" hidden="false" customHeight="true" outlineLevel="0" collapsed="false"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customFormat="false" ht="15.75" hidden="false" customHeight="true" outlineLevel="0" collapsed="false"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customFormat="false" ht="15.75" hidden="false" customHeight="true" outlineLevel="0" collapsed="false"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customFormat="false" ht="15.75" hidden="false" customHeight="true" outlineLevel="0" collapsed="false"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customFormat="false" ht="15.75" hidden="false" customHeight="true" outlineLevel="0" collapsed="false"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customFormat="false" ht="15.75" hidden="false" customHeight="true" outlineLevel="0" collapsed="false"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customFormat="false" ht="15.75" hidden="false" customHeight="true" outlineLevel="0" collapsed="false"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customFormat="false" ht="15.75" hidden="false" customHeight="true" outlineLevel="0" collapsed="false"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customFormat="false" ht="15.75" hidden="false" customHeight="true" outlineLevel="0" collapsed="false"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customFormat="false" ht="15.75" hidden="false" customHeight="true" outlineLevel="0" collapsed="false"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customFormat="false" ht="15.75" hidden="false" customHeight="true" outlineLevel="0" collapsed="false"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customFormat="false" ht="15.75" hidden="false" customHeight="true" outlineLevel="0" collapsed="false"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customFormat="false" ht="15.75" hidden="false" customHeight="true" outlineLevel="0" collapsed="false"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customFormat="false" ht="15.75" hidden="false" customHeight="true" outlineLevel="0" collapsed="false"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customFormat="false" ht="15.75" hidden="false" customHeight="true" outlineLevel="0" collapsed="false"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customFormat="false" ht="15.75" hidden="false" customHeight="true" outlineLevel="0" collapsed="false"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customFormat="false" ht="15.75" hidden="false" customHeight="true" outlineLevel="0" collapsed="false"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customFormat="false" ht="15.75" hidden="false" customHeight="true" outlineLevel="0" collapsed="false"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customFormat="false" ht="15.75" hidden="false" customHeight="true" outlineLevel="0" collapsed="false"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customFormat="false" ht="15.75" hidden="false" customHeight="true" outlineLevel="0" collapsed="false"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customFormat="false" ht="15.75" hidden="false" customHeight="true" outlineLevel="0" collapsed="false"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customFormat="false" ht="15.75" hidden="false" customHeight="true" outlineLevel="0" collapsed="false"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customFormat="false" ht="15.75" hidden="false" customHeight="true" outlineLevel="0" collapsed="false"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customFormat="false" ht="15.75" hidden="false" customHeight="true" outlineLevel="0" collapsed="false"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customFormat="false" ht="15.75" hidden="false" customHeight="true" outlineLevel="0" collapsed="false"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customFormat="false" ht="15.75" hidden="false" customHeight="true" outlineLevel="0" collapsed="false"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customFormat="false" ht="15.75" hidden="false" customHeight="true" outlineLevel="0" collapsed="false"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customFormat="false" ht="15.75" hidden="false" customHeight="true" outlineLevel="0" collapsed="false"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customFormat="false" ht="15.75" hidden="false" customHeight="true" outlineLevel="0" collapsed="false"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customFormat="false" ht="15.75" hidden="false" customHeight="true" outlineLevel="0" collapsed="false"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customFormat="false" ht="15.75" hidden="false" customHeight="true" outlineLevel="0" collapsed="false"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customFormat="false" ht="15.75" hidden="false" customHeight="true" outlineLevel="0" collapsed="false"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customFormat="false" ht="15.75" hidden="false" customHeight="true" outlineLevel="0" collapsed="false"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customFormat="false" ht="15.75" hidden="false" customHeight="true" outlineLevel="0" collapsed="false"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customFormat="false" ht="15.75" hidden="false" customHeight="true" outlineLevel="0" collapsed="false"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customFormat="false" ht="15.75" hidden="false" customHeight="true" outlineLevel="0" collapsed="false"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customFormat="false" ht="15.75" hidden="false" customHeight="true" outlineLevel="0" collapsed="false"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customFormat="false" ht="15.75" hidden="false" customHeight="true" outlineLevel="0" collapsed="false"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3" customFormat="false" ht="21.75" hidden="false" customHeight="true" outlineLevel="0" collapsed="false">
      <c r="B1003" s="204" t="s">
        <v>1415</v>
      </c>
      <c r="C1003" s="204"/>
      <c r="D1003" s="204"/>
      <c r="E1003" s="204"/>
      <c r="F1003" s="204"/>
    </row>
    <row r="1005" customFormat="false" ht="21.75" hidden="false" customHeight="true" outlineLevel="0" collapsed="false">
      <c r="B1005" s="205" t="s">
        <v>1416</v>
      </c>
      <c r="C1005" s="205" t="s">
        <v>1417</v>
      </c>
      <c r="D1005" s="205" t="s">
        <v>1369</v>
      </c>
      <c r="E1005" s="205" t="s">
        <v>1205</v>
      </c>
    </row>
    <row r="1006" customFormat="false" ht="63.75" hidden="false" customHeight="true" outlineLevel="0" collapsed="false">
      <c r="B1006" s="206" t="s">
        <v>1418</v>
      </c>
      <c r="C1006" s="207" t="s">
        <v>1419</v>
      </c>
      <c r="D1006" s="208" t="n">
        <v>0.1</v>
      </c>
      <c r="E1006" s="209" t="s">
        <v>1420</v>
      </c>
    </row>
    <row r="1007" customFormat="false" ht="53.25" hidden="false" customHeight="true" outlineLevel="0" collapsed="false">
      <c r="B1007" s="206" t="s">
        <v>1418</v>
      </c>
      <c r="C1007" s="207" t="s">
        <v>1421</v>
      </c>
      <c r="D1007" s="208" t="n">
        <v>0.15</v>
      </c>
      <c r="E1007" s="209" t="s">
        <v>1422</v>
      </c>
    </row>
    <row r="1008" customFormat="false" ht="63.75" hidden="false" customHeight="true" outlineLevel="0" collapsed="false">
      <c r="B1008" s="206" t="s">
        <v>1418</v>
      </c>
      <c r="C1008" s="207" t="s">
        <v>1423</v>
      </c>
      <c r="D1008" s="208" t="n">
        <v>0.2</v>
      </c>
      <c r="E1008" s="209" t="s">
        <v>1424</v>
      </c>
    </row>
    <row r="1009" customFormat="false" ht="53.25" hidden="false" customHeight="true" outlineLevel="0" collapsed="false">
      <c r="B1009" s="206" t="s">
        <v>1418</v>
      </c>
      <c r="C1009" s="207" t="s">
        <v>1425</v>
      </c>
      <c r="D1009" s="208" t="n">
        <v>0.3</v>
      </c>
      <c r="E1009" s="209" t="s">
        <v>1426</v>
      </c>
    </row>
    <row r="1010" customFormat="false" ht="63.75" hidden="false" customHeight="true" outlineLevel="0" collapsed="false">
      <c r="B1010" s="206" t="s">
        <v>1418</v>
      </c>
      <c r="C1010" s="207" t="s">
        <v>1427</v>
      </c>
      <c r="D1010" s="208" t="n">
        <v>0.3</v>
      </c>
      <c r="E1010" s="209" t="s">
        <v>1428</v>
      </c>
    </row>
    <row r="1011" customFormat="false" ht="53.25" hidden="false" customHeight="true" outlineLevel="0" collapsed="false">
      <c r="B1011" s="206" t="s">
        <v>1418</v>
      </c>
      <c r="C1011" s="207" t="s">
        <v>1429</v>
      </c>
      <c r="D1011" s="208" t="n">
        <v>0.45</v>
      </c>
      <c r="E1011" s="209" t="s">
        <v>1430</v>
      </c>
    </row>
    <row r="1012" customFormat="false" ht="74.25" hidden="false" customHeight="true" outlineLevel="0" collapsed="false">
      <c r="B1012" s="206" t="s">
        <v>1418</v>
      </c>
      <c r="C1012" s="207" t="s">
        <v>1431</v>
      </c>
      <c r="D1012" s="208" t="n">
        <v>0.1</v>
      </c>
      <c r="E1012" s="209" t="s">
        <v>1432</v>
      </c>
    </row>
    <row r="1013" customFormat="false" ht="74.25" hidden="false" customHeight="true" outlineLevel="0" collapsed="false">
      <c r="B1013" s="206" t="s">
        <v>1418</v>
      </c>
      <c r="C1013" s="207" t="s">
        <v>1433</v>
      </c>
      <c r="D1013" s="208" t="n">
        <v>0.15</v>
      </c>
      <c r="E1013" s="209" t="s">
        <v>1434</v>
      </c>
    </row>
    <row r="1014" customFormat="false" ht="74.25" hidden="false" customHeight="true" outlineLevel="0" collapsed="false">
      <c r="B1014" s="206" t="s">
        <v>1418</v>
      </c>
      <c r="C1014" s="207" t="s">
        <v>1435</v>
      </c>
      <c r="D1014" s="208" t="n">
        <v>0.35</v>
      </c>
      <c r="E1014" s="209" t="s">
        <v>1436</v>
      </c>
    </row>
    <row r="1015" customFormat="false" ht="74.25" hidden="false" customHeight="true" outlineLevel="0" collapsed="false">
      <c r="B1015" s="206" t="s">
        <v>1418</v>
      </c>
      <c r="C1015" s="207" t="s">
        <v>1437</v>
      </c>
      <c r="D1015" s="208" t="n">
        <v>0.1</v>
      </c>
      <c r="E1015" s="209" t="s">
        <v>1438</v>
      </c>
    </row>
    <row r="1016" customFormat="false" ht="63.75" hidden="false" customHeight="true" outlineLevel="0" collapsed="false">
      <c r="B1016" s="206" t="s">
        <v>1418</v>
      </c>
      <c r="C1016" s="207" t="s">
        <v>1439</v>
      </c>
      <c r="D1016" s="208" t="n">
        <v>0.25</v>
      </c>
      <c r="E1016" s="209" t="s">
        <v>1440</v>
      </c>
    </row>
    <row r="1017" customFormat="false" ht="74.25" hidden="false" customHeight="true" outlineLevel="0" collapsed="false">
      <c r="B1017" s="206" t="s">
        <v>1418</v>
      </c>
      <c r="C1017" s="207" t="s">
        <v>1441</v>
      </c>
      <c r="D1017" s="208" t="n">
        <v>0.2</v>
      </c>
      <c r="E1017" s="209" t="s">
        <v>1442</v>
      </c>
    </row>
    <row r="1018" customFormat="false" ht="74.25" hidden="false" customHeight="true" outlineLevel="0" collapsed="false">
      <c r="B1018" s="206" t="s">
        <v>1418</v>
      </c>
      <c r="C1018" s="207" t="s">
        <v>1443</v>
      </c>
      <c r="D1018" s="208" t="n">
        <v>0.15</v>
      </c>
      <c r="E1018" s="209" t="s">
        <v>1444</v>
      </c>
    </row>
    <row r="1019" customFormat="false" ht="32.25" hidden="false" customHeight="true" outlineLevel="0" collapsed="false">
      <c r="B1019" s="206" t="s">
        <v>1418</v>
      </c>
      <c r="C1019" s="207" t="s">
        <v>1445</v>
      </c>
      <c r="D1019" s="208" t="n">
        <v>0.25</v>
      </c>
      <c r="E1019" s="209" t="s">
        <v>1446</v>
      </c>
    </row>
    <row r="1020" customFormat="false" ht="63.75" hidden="false" customHeight="true" outlineLevel="0" collapsed="false">
      <c r="B1020" s="206" t="s">
        <v>1418</v>
      </c>
      <c r="C1020" s="207" t="s">
        <v>1447</v>
      </c>
      <c r="D1020" s="208" t="n">
        <v>0.1</v>
      </c>
      <c r="E1020" s="209" t="s">
        <v>1448</v>
      </c>
    </row>
    <row r="1021" customFormat="false" ht="24" hidden="false" customHeight="true" outlineLevel="0" collapsed="false">
      <c r="B1021" s="210" t="s">
        <v>1449</v>
      </c>
      <c r="C1021" s="211" t="n">
        <f aca="false">SUMPRODUCT((B1006:B1020="Yes")*D1006:D1020)</f>
        <v>0</v>
      </c>
      <c r="D1021" s="211"/>
      <c r="E1021" s="212" t="s">
        <v>1450</v>
      </c>
    </row>
  </sheetData>
  <mergeCells count="2">
    <mergeCell ref="B1003:F1003"/>
    <mergeCell ref="C1021:D1021"/>
  </mergeCells>
  <dataValidations count="1">
    <dataValidation allowBlank="true" errorStyle="stop" operator="between" showDropDown="false" showErrorMessage="false" showInputMessage="false" sqref="B1006:B1020" type="list">
      <formula1>"Yes,No"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D06E"/>
    <outlinePr summaryBelow="0"/>
    <pageSetUpPr fitToPage="false"/>
  </sheetPr>
  <dimension ref="A1:F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5.84"/>
    <col collapsed="false" customWidth="true" hidden="false" outlineLevel="0" max="3" min="3" style="1" width="20.14"/>
    <col collapsed="false" customWidth="true" hidden="false" outlineLevel="0" max="4" min="4" style="1" width="11.57"/>
    <col collapsed="false" customWidth="true" hidden="false" outlineLevel="0" max="5" min="5" style="1" width="23"/>
    <col collapsed="false" customWidth="true" hidden="false" outlineLevel="0" max="6" min="6" style="1" width="3"/>
  </cols>
  <sheetData>
    <row r="1" customFormat="false" ht="6" hidden="false" customHeight="true" outlineLevel="0" collapsed="false">
      <c r="A1" s="89"/>
      <c r="B1" s="89"/>
      <c r="C1" s="89"/>
      <c r="D1" s="89"/>
      <c r="E1" s="89"/>
      <c r="F1" s="89"/>
    </row>
    <row r="2" customFormat="false" ht="10.5" hidden="false" customHeight="true" outlineLevel="0" collapsed="false">
      <c r="B2" s="213" t="s">
        <v>0</v>
      </c>
      <c r="C2" s="213"/>
      <c r="D2" s="214" t="s">
        <v>1451</v>
      </c>
      <c r="E2" s="215" t="s">
        <v>1452</v>
      </c>
    </row>
    <row r="3" customFormat="false" ht="10.5" hidden="false" customHeight="true" outlineLevel="0" collapsed="false">
      <c r="B3" s="213"/>
      <c r="C3" s="213"/>
      <c r="D3" s="214" t="s">
        <v>1453</v>
      </c>
      <c r="E3" s="215" t="s">
        <v>1454</v>
      </c>
    </row>
    <row r="4" customFormat="false" ht="10.5" hidden="false" customHeight="true" outlineLevel="0" collapsed="false">
      <c r="D4" s="214" t="s">
        <v>1455</v>
      </c>
      <c r="E4" s="215" t="s">
        <v>1456</v>
      </c>
    </row>
    <row r="5" customFormat="false" ht="10.5" hidden="false" customHeight="true" outlineLevel="0" collapsed="false">
      <c r="D5" s="214" t="s">
        <v>1457</v>
      </c>
      <c r="E5" s="215" t="s">
        <v>1458</v>
      </c>
    </row>
    <row r="6" customFormat="false" ht="10.5" hidden="false" customHeight="true" outlineLevel="0" collapsed="false">
      <c r="D6" s="214" t="s">
        <v>1459</v>
      </c>
      <c r="E6" s="215" t="s">
        <v>1460</v>
      </c>
    </row>
    <row r="7" customFormat="false" ht="10.5" hidden="false" customHeight="true" outlineLevel="0" collapsed="false">
      <c r="D7" s="214" t="s">
        <v>1461</v>
      </c>
      <c r="E7" s="215" t="s">
        <v>1462</v>
      </c>
    </row>
    <row r="9" customFormat="false" ht="6" hidden="false" customHeight="true" outlineLevel="0" collapsed="false"/>
    <row r="10" customFormat="false" ht="3" hidden="false" customHeight="true" outlineLevel="0" collapsed="false">
      <c r="A10" s="89"/>
      <c r="B10" s="89"/>
      <c r="C10" s="89"/>
      <c r="D10" s="89"/>
      <c r="E10" s="89"/>
      <c r="F10" s="89"/>
    </row>
    <row r="11" customFormat="false" ht="4.5" hidden="false" customHeight="true" outlineLevel="0" collapsed="false"/>
    <row r="12" customFormat="false" ht="21" hidden="false" customHeight="true" outlineLevel="0" collapsed="false">
      <c r="B12" s="216" t="s">
        <v>1463</v>
      </c>
      <c r="C12" s="217" t="s">
        <v>1464</v>
      </c>
      <c r="D12" s="217" t="s">
        <v>1465</v>
      </c>
      <c r="E12" s="217" t="s">
        <v>1466</v>
      </c>
    </row>
    <row r="13" customFormat="false" ht="1.5" hidden="false" customHeight="true" outlineLevel="0" collapsed="false">
      <c r="B13" s="218"/>
      <c r="C13" s="218"/>
      <c r="D13" s="218"/>
      <c r="E13" s="218"/>
    </row>
    <row r="14" customFormat="false" ht="19.5" hidden="false" customHeight="true" outlineLevel="0" collapsed="false">
      <c r="B14" s="219" t="s">
        <v>1467</v>
      </c>
      <c r="C14" s="220" t="s">
        <v>1468</v>
      </c>
      <c r="D14" s="221" t="n">
        <v>1</v>
      </c>
      <c r="E14" s="220" t="s">
        <v>1468</v>
      </c>
    </row>
    <row r="15" customFormat="false" ht="19.5" hidden="false" customHeight="true" outlineLevel="0" collapsed="false">
      <c r="B15" s="222" t="s">
        <v>1469</v>
      </c>
      <c r="C15" s="223" t="s">
        <v>1470</v>
      </c>
      <c r="D15" s="224" t="n">
        <v>1</v>
      </c>
      <c r="E15" s="223" t="s">
        <v>1470</v>
      </c>
    </row>
    <row r="16" customFormat="false" ht="18" hidden="false" customHeight="true" outlineLevel="0" collapsed="false">
      <c r="B16" s="216" t="s">
        <v>1471</v>
      </c>
      <c r="C16" s="225"/>
      <c r="D16" s="226" t="s">
        <v>1472</v>
      </c>
      <c r="E16" s="220" t="s">
        <v>1473</v>
      </c>
    </row>
    <row r="17" customFormat="false" ht="52.5" hidden="false" customHeight="true" outlineLevel="0" collapsed="false">
      <c r="B17" s="227" t="s">
        <v>1474</v>
      </c>
      <c r="C17" s="228"/>
      <c r="D17" s="226" t="s">
        <v>1475</v>
      </c>
      <c r="E17" s="229" t="n">
        <v>0.15</v>
      </c>
    </row>
    <row r="18" customFormat="false" ht="15" hidden="false" customHeight="true" outlineLevel="0" collapsed="false">
      <c r="D18" s="226" t="s">
        <v>1476</v>
      </c>
      <c r="E18" s="220" t="s">
        <v>1477</v>
      </c>
    </row>
    <row r="19" customFormat="false" ht="3" hidden="false" customHeight="true" outlineLevel="0" collapsed="false"/>
    <row r="20" customFormat="false" ht="22.5" hidden="false" customHeight="true" outlineLevel="0" collapsed="false">
      <c r="D20" s="230" t="s">
        <v>1478</v>
      </c>
      <c r="E20" s="231" t="s">
        <v>1479</v>
      </c>
    </row>
    <row r="22" customFormat="false" ht="6" hidden="false" customHeight="true" outlineLevel="0" collapsed="false"/>
    <row r="23" customFormat="false" ht="19.5" hidden="false" customHeight="true" outlineLevel="0" collapsed="false">
      <c r="B23" s="232" t="s">
        <v>1480</v>
      </c>
      <c r="C23" s="232"/>
      <c r="D23" s="232"/>
      <c r="E23" s="232"/>
    </row>
    <row r="24" customFormat="false" ht="15" hidden="false" customHeight="true" outlineLevel="0" collapsed="false">
      <c r="B24" s="233" t="s">
        <v>1481</v>
      </c>
      <c r="C24" s="234" t="s">
        <v>1482</v>
      </c>
      <c r="D24" s="234" t="s">
        <v>1483</v>
      </c>
      <c r="E24" s="234" t="s">
        <v>1484</v>
      </c>
    </row>
    <row r="25" customFormat="false" ht="16.5" hidden="false" customHeight="true" outlineLevel="0" collapsed="false">
      <c r="B25" s="219" t="s">
        <v>1485</v>
      </c>
      <c r="C25" s="220" t="s">
        <v>1360</v>
      </c>
      <c r="D25" s="235" t="s">
        <v>1486</v>
      </c>
      <c r="E25" s="236" t="s">
        <v>1487</v>
      </c>
    </row>
    <row r="26" customFormat="false" ht="16.5" hidden="false" customHeight="true" outlineLevel="0" collapsed="false">
      <c r="B26" s="237" t="s">
        <v>1488</v>
      </c>
      <c r="C26" s="238" t="s">
        <v>1489</v>
      </c>
      <c r="D26" s="238" t="s">
        <v>1490</v>
      </c>
      <c r="E26" s="239" t="s">
        <v>1491</v>
      </c>
    </row>
    <row r="27" customFormat="false" ht="16.5" hidden="false" customHeight="true" outlineLevel="0" collapsed="false">
      <c r="B27" s="219" t="s">
        <v>1492</v>
      </c>
      <c r="C27" s="220" t="s">
        <v>1493</v>
      </c>
      <c r="D27" s="220" t="s">
        <v>1490</v>
      </c>
      <c r="E27" s="240" t="s">
        <v>1491</v>
      </c>
    </row>
    <row r="28" customFormat="false" ht="16.5" hidden="false" customHeight="true" outlineLevel="0" collapsed="false">
      <c r="B28" s="237" t="s">
        <v>1494</v>
      </c>
      <c r="C28" s="238" t="s">
        <v>1495</v>
      </c>
      <c r="D28" s="238" t="s">
        <v>1490</v>
      </c>
      <c r="E28" s="239" t="s">
        <v>1491</v>
      </c>
    </row>
    <row r="29" customFormat="false" ht="16.5" hidden="false" customHeight="true" outlineLevel="0" collapsed="false">
      <c r="B29" s="219" t="s">
        <v>1496</v>
      </c>
      <c r="C29" s="220" t="s">
        <v>1497</v>
      </c>
      <c r="D29" s="220" t="s">
        <v>1490</v>
      </c>
      <c r="E29" s="240" t="s">
        <v>1491</v>
      </c>
    </row>
    <row r="30" customFormat="false" ht="16.5" hidden="false" customHeight="true" outlineLevel="0" collapsed="false">
      <c r="B30" s="237" t="s">
        <v>1498</v>
      </c>
      <c r="C30" s="238" t="s">
        <v>1499</v>
      </c>
      <c r="D30" s="238" t="s">
        <v>1490</v>
      </c>
      <c r="E30" s="239" t="s">
        <v>1491</v>
      </c>
    </row>
    <row r="31" customFormat="false" ht="16.5" hidden="false" customHeight="true" outlineLevel="0" collapsed="false">
      <c r="B31" s="219" t="s">
        <v>1500</v>
      </c>
      <c r="C31" s="220" t="s">
        <v>1501</v>
      </c>
      <c r="D31" s="220" t="s">
        <v>1490</v>
      </c>
      <c r="E31" s="240" t="s">
        <v>1491</v>
      </c>
    </row>
    <row r="32" customFormat="false" ht="18" hidden="false" customHeight="true" outlineLevel="0" collapsed="false">
      <c r="B32" s="241" t="s">
        <v>1502</v>
      </c>
      <c r="C32" s="241"/>
      <c r="D32" s="217" t="s">
        <v>1503</v>
      </c>
      <c r="E32" s="242" t="s">
        <v>1504</v>
      </c>
    </row>
    <row r="34" customFormat="false" ht="27" hidden="false" customHeight="true" outlineLevel="0" collapsed="false">
      <c r="B34" s="243" t="s">
        <v>1505</v>
      </c>
      <c r="C34" s="243"/>
      <c r="D34" s="243"/>
      <c r="E34" s="243"/>
    </row>
    <row r="36" customFormat="false" ht="4.5" hidden="false" customHeight="true" outlineLevel="0" collapsed="false">
      <c r="A36" s="218"/>
      <c r="B36" s="218"/>
      <c r="C36" s="218"/>
      <c r="D36" s="218"/>
      <c r="E36" s="218"/>
      <c r="F36" s="218"/>
    </row>
    <row r="37" customFormat="false" ht="45" hidden="false" customHeight="true" outlineLevel="0" collapsed="false">
      <c r="A37" s="244"/>
      <c r="B37" s="245" t="s">
        <v>1506</v>
      </c>
      <c r="C37" s="245"/>
      <c r="D37" s="245"/>
      <c r="E37" s="245"/>
      <c r="F37" s="244"/>
    </row>
    <row r="38" customFormat="false" ht="9" hidden="false" customHeight="true" outlineLevel="0" collapsed="false">
      <c r="B38" s="246" t="s">
        <v>1507</v>
      </c>
      <c r="C38" s="246"/>
      <c r="D38" s="246"/>
      <c r="E38" s="246"/>
    </row>
  </sheetData>
  <mergeCells count="8">
    <mergeCell ref="A1:F1"/>
    <mergeCell ref="B2:C3"/>
    <mergeCell ref="A10:F10"/>
    <mergeCell ref="B23:E23"/>
    <mergeCell ref="B32:C32"/>
    <mergeCell ref="B34:E34"/>
    <mergeCell ref="B37:E37"/>
    <mergeCell ref="B38:E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O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6"/>
    <col collapsed="false" customWidth="true" hidden="false" outlineLevel="0" max="3" min="3" style="1" width="11"/>
    <col collapsed="false" customWidth="true" hidden="false" outlineLevel="0" max="4" min="4" style="1" width="22"/>
    <col collapsed="false" customWidth="true" hidden="false" outlineLevel="0" max="5" min="5" style="1" width="28"/>
    <col collapsed="false" customWidth="true" hidden="false" outlineLevel="0" max="6" min="6" style="1" width="14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12" min="9" style="1" width="13"/>
    <col collapsed="false" customWidth="true" hidden="false" outlineLevel="0" max="13" min="13" style="1" width="12"/>
    <col collapsed="false" customWidth="true" hidden="false" outlineLevel="0" max="14" min="14" style="1" width="16"/>
    <col collapsed="false" customWidth="true" hidden="false" outlineLevel="0" max="15" min="15" style="1" width="14"/>
  </cols>
  <sheetData>
    <row r="1" customFormat="false" ht="7.5" hidden="false" customHeight="true" outlineLevel="0" collapsed="false"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</row>
    <row r="2" customFormat="false" ht="25.5" hidden="false" customHeight="true" outlineLevel="0" collapsed="false">
      <c r="B2" s="90" t="s">
        <v>1508</v>
      </c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</row>
    <row r="3" customFormat="false" ht="19.5" hidden="false" customHeight="true" outlineLevel="0" collapsed="false">
      <c r="B3" s="247" t="s">
        <v>1509</v>
      </c>
      <c r="C3" s="247"/>
      <c r="D3" s="247"/>
      <c r="E3" s="247"/>
      <c r="F3" s="247"/>
      <c r="G3" s="247"/>
      <c r="H3" s="247"/>
      <c r="I3" s="247"/>
      <c r="J3" s="247"/>
      <c r="K3" s="247"/>
      <c r="L3" s="247"/>
      <c r="M3" s="247"/>
      <c r="N3" s="247"/>
      <c r="O3" s="247"/>
    </row>
    <row r="4" customFormat="false" ht="30" hidden="false" customHeight="true" outlineLevel="0" collapsed="false">
      <c r="B4" s="93" t="s">
        <v>1510</v>
      </c>
      <c r="C4" s="93" t="s">
        <v>1511</v>
      </c>
      <c r="D4" s="93" t="s">
        <v>1512</v>
      </c>
      <c r="E4" s="93" t="s">
        <v>1513</v>
      </c>
      <c r="F4" s="93" t="s">
        <v>1514</v>
      </c>
      <c r="G4" s="93" t="s">
        <v>1515</v>
      </c>
      <c r="H4" s="93" t="s">
        <v>1516</v>
      </c>
      <c r="I4" s="93" t="s">
        <v>1517</v>
      </c>
      <c r="J4" s="93" t="s">
        <v>1518</v>
      </c>
      <c r="K4" s="93" t="s">
        <v>1519</v>
      </c>
      <c r="L4" s="93" t="s">
        <v>1520</v>
      </c>
      <c r="M4" s="93" t="s">
        <v>1478</v>
      </c>
      <c r="N4" s="93" t="s">
        <v>1521</v>
      </c>
      <c r="O4" s="93" t="s">
        <v>1522</v>
      </c>
    </row>
    <row r="5" customFormat="false" ht="15" hidden="false" customHeight="true" outlineLevel="0" collapsed="false">
      <c r="B5" s="248" t="s">
        <v>1523</v>
      </c>
      <c r="C5" s="249" t="s">
        <v>1524</v>
      </c>
      <c r="D5" s="249" t="s">
        <v>1525</v>
      </c>
      <c r="E5" s="249" t="s">
        <v>1526</v>
      </c>
      <c r="F5" s="249" t="s">
        <v>1527</v>
      </c>
      <c r="G5" s="249" t="s">
        <v>1462</v>
      </c>
      <c r="H5" s="249" t="n">
        <v>3</v>
      </c>
      <c r="I5" s="250" t="n">
        <v>125000</v>
      </c>
      <c r="J5" s="249" t="s">
        <v>1528</v>
      </c>
      <c r="K5" s="250" t="n">
        <v>137500</v>
      </c>
      <c r="L5" s="250" t="n">
        <v>20625</v>
      </c>
      <c r="M5" s="250" t="n">
        <v>158125</v>
      </c>
      <c r="N5" s="249" t="s">
        <v>1529</v>
      </c>
      <c r="O5" s="249" t="s">
        <v>1530</v>
      </c>
    </row>
  </sheetData>
  <mergeCells count="3">
    <mergeCell ref="B1:O1"/>
    <mergeCell ref="B2:O2"/>
    <mergeCell ref="B3:O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D2B1A"/>
    <outlinePr summaryBelow="0"/>
    <pageSetUpPr fitToPage="false"/>
  </sheetPr>
  <dimension ref="A1:B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8.86"/>
    <col collapsed="false" customWidth="true" hidden="false" outlineLevel="0" max="2" min="2" style="1" width="35"/>
  </cols>
  <sheetData>
    <row r="1" customFormat="false" ht="15" hidden="false" customHeight="true" outlineLevel="0" collapsed="false">
      <c r="A1" s="251" t="s">
        <v>1531</v>
      </c>
      <c r="B1" s="251" t="s">
        <v>1532</v>
      </c>
    </row>
    <row r="2" customFormat="false" ht="15" hidden="false" customHeight="true" outlineLevel="0" collapsed="false">
      <c r="A2" s="1" t="s">
        <v>1533</v>
      </c>
      <c r="B2" s="1" t="s">
        <v>1534</v>
      </c>
    </row>
    <row r="3" customFormat="false" ht="15" hidden="false" customHeight="true" outlineLevel="0" collapsed="false">
      <c r="A3" s="1" t="s">
        <v>1535</v>
      </c>
      <c r="B3" s="1" t="s">
        <v>1536</v>
      </c>
    </row>
    <row r="4" customFormat="false" ht="15" hidden="false" customHeight="true" outlineLevel="0" collapsed="false">
      <c r="A4" s="1" t="s">
        <v>1537</v>
      </c>
      <c r="B4" s="1" t="s">
        <v>1538</v>
      </c>
    </row>
    <row r="5" customFormat="false" ht="15" hidden="false" customHeight="true" outlineLevel="0" collapsed="false">
      <c r="A5" s="1" t="s">
        <v>1539</v>
      </c>
      <c r="B5" s="1" t="s">
        <v>1540</v>
      </c>
    </row>
    <row r="6" customFormat="false" ht="15" hidden="false" customHeight="true" outlineLevel="0" collapsed="false">
      <c r="A6" s="1" t="s">
        <v>1541</v>
      </c>
      <c r="B6" s="1" t="s">
        <v>1542</v>
      </c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false"/>
  </sheetPr>
  <dimension ref="A1:L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3" activeCellId="0" sqref="B3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22.15"/>
    <col collapsed="false" customWidth="true" hidden="false" outlineLevel="0" max="2" min="2" style="1" width="31.86"/>
    <col collapsed="false" customWidth="true" hidden="false" outlineLevel="0" max="4" min="3" style="1" width="22.15"/>
    <col collapsed="false" customWidth="true" hidden="false" outlineLevel="0" max="5" min="5" style="1" width="24.57"/>
    <col collapsed="false" customWidth="true" hidden="false" outlineLevel="0" max="6" min="6" style="1" width="26.71"/>
    <col collapsed="false" customWidth="true" hidden="false" outlineLevel="0" max="7" min="7" style="1" width="32.57"/>
    <col collapsed="false" customWidth="true" hidden="false" outlineLevel="0" max="12" min="8" style="1" width="22.15"/>
  </cols>
  <sheetData>
    <row r="1" customFormat="false" ht="19.5" hidden="false" customHeight="true" outlineLevel="0" collapsed="false">
      <c r="A1" s="252" t="s">
        <v>1543</v>
      </c>
      <c r="B1" s="252"/>
      <c r="C1" s="252"/>
      <c r="D1" s="252"/>
      <c r="E1" s="252"/>
      <c r="F1" s="252"/>
      <c r="G1" s="252"/>
      <c r="H1" s="252"/>
      <c r="I1" s="252"/>
      <c r="J1" s="252"/>
      <c r="K1" s="252"/>
      <c r="L1" s="252"/>
    </row>
    <row r="2" customFormat="false" ht="15" hidden="false" customHeight="true" outlineLevel="0" collapsed="false">
      <c r="A2" s="99" t="s">
        <v>1544</v>
      </c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</row>
    <row r="3" customFormat="false" ht="15" hidden="false" customHeight="true" outlineLevel="0" collapsed="false">
      <c r="A3" s="253"/>
      <c r="B3" s="253"/>
      <c r="C3" s="253"/>
      <c r="D3" s="253"/>
      <c r="E3" s="253"/>
      <c r="F3" s="253"/>
      <c r="G3" s="253"/>
      <c r="H3" s="253"/>
      <c r="I3" s="253"/>
      <c r="J3" s="253"/>
      <c r="K3" s="253"/>
      <c r="L3" s="253"/>
    </row>
    <row r="4" customFormat="false" ht="15" hidden="false" customHeight="true" outlineLevel="0" collapsed="false">
      <c r="A4" s="254" t="s">
        <v>1545</v>
      </c>
      <c r="B4" s="254"/>
      <c r="C4" s="254"/>
      <c r="D4" s="254"/>
      <c r="E4" s="254"/>
      <c r="F4" s="254"/>
      <c r="G4" s="254"/>
      <c r="H4" s="254"/>
      <c r="I4" s="254"/>
      <c r="J4" s="254"/>
      <c r="K4" s="254"/>
      <c r="L4" s="254"/>
    </row>
    <row r="5" customFormat="false" ht="15" hidden="false" customHeight="true" outlineLevel="0" collapsed="false">
      <c r="A5" s="255" t="s">
        <v>1546</v>
      </c>
      <c r="B5" s="255" t="s">
        <v>1547</v>
      </c>
      <c r="C5" s="255" t="s">
        <v>65</v>
      </c>
      <c r="D5" s="255" t="s">
        <v>1548</v>
      </c>
      <c r="E5" s="255" t="s">
        <v>1549</v>
      </c>
      <c r="F5" s="255" t="s">
        <v>1550</v>
      </c>
      <c r="G5" s="255" t="s">
        <v>1551</v>
      </c>
      <c r="H5" s="255" t="s">
        <v>1552</v>
      </c>
      <c r="I5" s="255" t="s">
        <v>1553</v>
      </c>
      <c r="J5" s="255" t="s">
        <v>1554</v>
      </c>
      <c r="K5" s="256"/>
      <c r="L5" s="256"/>
    </row>
    <row r="6" customFormat="false" ht="15" hidden="false" customHeight="true" outlineLevel="0" collapsed="false">
      <c r="A6" s="257" t="s">
        <v>1555</v>
      </c>
      <c r="B6" s="257" t="s">
        <v>1556</v>
      </c>
      <c r="C6" s="257" t="s">
        <v>219</v>
      </c>
      <c r="D6" s="257" t="s">
        <v>1557</v>
      </c>
      <c r="E6" s="257" t="s">
        <v>1558</v>
      </c>
      <c r="F6" s="257" t="s">
        <v>1559</v>
      </c>
      <c r="G6" s="257" t="s">
        <v>1560</v>
      </c>
      <c r="H6" s="257" t="s">
        <v>1561</v>
      </c>
      <c r="I6" s="257" t="s">
        <v>1562</v>
      </c>
      <c r="J6" s="257" t="s">
        <v>1563</v>
      </c>
      <c r="K6" s="130"/>
      <c r="L6" s="130"/>
    </row>
    <row r="7" customFormat="false" ht="15" hidden="false" customHeight="true" outlineLevel="0" collapsed="false">
      <c r="A7" s="258" t="s">
        <v>1564</v>
      </c>
      <c r="B7" s="258" t="s">
        <v>1556</v>
      </c>
      <c r="C7" s="258" t="s">
        <v>219</v>
      </c>
      <c r="D7" s="258" t="s">
        <v>1565</v>
      </c>
      <c r="E7" s="258" t="s">
        <v>1566</v>
      </c>
      <c r="F7" s="258" t="s">
        <v>1567</v>
      </c>
      <c r="G7" s="258" t="s">
        <v>1568</v>
      </c>
      <c r="H7" s="258" t="s">
        <v>1569</v>
      </c>
      <c r="I7" s="258" t="s">
        <v>1570</v>
      </c>
      <c r="J7" s="258" t="s">
        <v>1571</v>
      </c>
      <c r="K7" s="259"/>
      <c r="L7" s="259"/>
    </row>
    <row r="8" customFormat="false" ht="15" hidden="false" customHeight="true" outlineLevel="0" collapsed="false">
      <c r="A8" s="257" t="s">
        <v>1572</v>
      </c>
      <c r="B8" s="257" t="s">
        <v>1573</v>
      </c>
      <c r="C8" s="257" t="s">
        <v>219</v>
      </c>
      <c r="D8" s="257" t="s">
        <v>1574</v>
      </c>
      <c r="E8" s="257" t="s">
        <v>1575</v>
      </c>
      <c r="F8" s="257" t="s">
        <v>1576</v>
      </c>
      <c r="G8" s="257" t="s">
        <v>1577</v>
      </c>
      <c r="H8" s="257" t="s">
        <v>1578</v>
      </c>
      <c r="I8" s="257" t="s">
        <v>1579</v>
      </c>
      <c r="J8" s="257" t="s">
        <v>1580</v>
      </c>
      <c r="K8" s="130"/>
      <c r="L8" s="130"/>
    </row>
    <row r="9" customFormat="false" ht="15" hidden="false" customHeight="true" outlineLevel="0" collapsed="false">
      <c r="A9" s="258" t="s">
        <v>1581</v>
      </c>
      <c r="B9" s="258" t="s">
        <v>1573</v>
      </c>
      <c r="C9" s="258" t="s">
        <v>219</v>
      </c>
      <c r="D9" s="258" t="s">
        <v>1582</v>
      </c>
      <c r="E9" s="258" t="s">
        <v>1583</v>
      </c>
      <c r="F9" s="258" t="s">
        <v>1584</v>
      </c>
      <c r="G9" s="258" t="s">
        <v>1585</v>
      </c>
      <c r="H9" s="258" t="s">
        <v>1586</v>
      </c>
      <c r="I9" s="258" t="s">
        <v>1587</v>
      </c>
      <c r="J9" s="258" t="s">
        <v>1588</v>
      </c>
      <c r="K9" s="259"/>
      <c r="L9" s="259"/>
    </row>
    <row r="10" customFormat="false" ht="15" hidden="false" customHeight="true" outlineLevel="0" collapsed="false">
      <c r="A10" s="257" t="s">
        <v>1589</v>
      </c>
      <c r="B10" s="257" t="s">
        <v>1590</v>
      </c>
      <c r="C10" s="257" t="s">
        <v>219</v>
      </c>
      <c r="D10" s="257" t="s">
        <v>1591</v>
      </c>
      <c r="E10" s="257" t="s">
        <v>1592</v>
      </c>
      <c r="F10" s="257" t="s">
        <v>1593</v>
      </c>
      <c r="G10" s="257" t="s">
        <v>1594</v>
      </c>
      <c r="H10" s="257" t="s">
        <v>1586</v>
      </c>
      <c r="I10" s="257" t="s">
        <v>1570</v>
      </c>
      <c r="J10" s="257" t="s">
        <v>1595</v>
      </c>
      <c r="K10" s="130"/>
      <c r="L10" s="130"/>
    </row>
    <row r="11" customFormat="false" ht="15" hidden="false" customHeight="true" outlineLevel="0" collapsed="false">
      <c r="A11" s="258" t="s">
        <v>1596</v>
      </c>
      <c r="B11" s="258" t="s">
        <v>1590</v>
      </c>
      <c r="C11" s="258" t="s">
        <v>219</v>
      </c>
      <c r="D11" s="258" t="s">
        <v>1597</v>
      </c>
      <c r="E11" s="258" t="s">
        <v>1598</v>
      </c>
      <c r="F11" s="258" t="s">
        <v>1599</v>
      </c>
      <c r="G11" s="258" t="s">
        <v>1600</v>
      </c>
      <c r="H11" s="258" t="s">
        <v>1601</v>
      </c>
      <c r="I11" s="258" t="s">
        <v>1602</v>
      </c>
      <c r="J11" s="258" t="s">
        <v>1603</v>
      </c>
      <c r="K11" s="259"/>
      <c r="L11" s="259"/>
    </row>
    <row r="12" customFormat="false" ht="15" hidden="false" customHeight="true" outlineLevel="0" collapsed="false">
      <c r="A12" s="257"/>
      <c r="B12" s="257"/>
      <c r="C12" s="257"/>
      <c r="D12" s="257"/>
      <c r="E12" s="257"/>
      <c r="F12" s="257"/>
      <c r="G12" s="257"/>
      <c r="H12" s="257"/>
      <c r="I12" s="257"/>
      <c r="J12" s="257"/>
      <c r="K12" s="130"/>
      <c r="L12" s="130"/>
    </row>
    <row r="13" customFormat="false" ht="15" hidden="false" customHeight="true" outlineLevel="0" collapsed="false">
      <c r="A13" s="254" t="s">
        <v>1604</v>
      </c>
      <c r="B13" s="254"/>
      <c r="C13" s="254"/>
      <c r="D13" s="254"/>
      <c r="E13" s="254"/>
      <c r="F13" s="254"/>
      <c r="G13" s="254"/>
      <c r="H13" s="254"/>
      <c r="I13" s="254"/>
      <c r="J13" s="254"/>
      <c r="K13" s="254"/>
      <c r="L13" s="254"/>
    </row>
    <row r="14" customFormat="false" ht="15" hidden="false" customHeight="true" outlineLevel="0" collapsed="false">
      <c r="A14" s="255" t="s">
        <v>1546</v>
      </c>
      <c r="B14" s="255" t="s">
        <v>1547</v>
      </c>
      <c r="C14" s="255" t="s">
        <v>65</v>
      </c>
      <c r="D14" s="255" t="s">
        <v>1548</v>
      </c>
      <c r="E14" s="255" t="s">
        <v>1605</v>
      </c>
      <c r="F14" s="255" t="s">
        <v>1606</v>
      </c>
      <c r="G14" s="255" t="s">
        <v>1607</v>
      </c>
      <c r="H14" s="255" t="s">
        <v>1552</v>
      </c>
      <c r="I14" s="255" t="s">
        <v>1553</v>
      </c>
      <c r="J14" s="255" t="s">
        <v>1554</v>
      </c>
      <c r="K14" s="256"/>
      <c r="L14" s="256"/>
    </row>
    <row r="15" customFormat="false" ht="15" hidden="false" customHeight="true" outlineLevel="0" collapsed="false">
      <c r="A15" s="257" t="s">
        <v>226</v>
      </c>
      <c r="B15" s="257" t="s">
        <v>1608</v>
      </c>
      <c r="C15" s="257" t="s">
        <v>219</v>
      </c>
      <c r="D15" s="257" t="s">
        <v>1609</v>
      </c>
      <c r="E15" s="257" t="s">
        <v>1610</v>
      </c>
      <c r="F15" s="257" t="s">
        <v>1611</v>
      </c>
      <c r="G15" s="257" t="s">
        <v>1612</v>
      </c>
      <c r="H15" s="257" t="s">
        <v>1578</v>
      </c>
      <c r="I15" s="257" t="s">
        <v>1613</v>
      </c>
      <c r="J15" s="257" t="s">
        <v>1614</v>
      </c>
      <c r="K15" s="130"/>
      <c r="L15" s="130"/>
    </row>
    <row r="16" customFormat="false" ht="15" hidden="false" customHeight="true" outlineLevel="0" collapsed="false">
      <c r="A16" s="258" t="s">
        <v>1615</v>
      </c>
      <c r="B16" s="258" t="s">
        <v>1608</v>
      </c>
      <c r="C16" s="258" t="s">
        <v>219</v>
      </c>
      <c r="D16" s="258" t="s">
        <v>1616</v>
      </c>
      <c r="E16" s="258" t="s">
        <v>1617</v>
      </c>
      <c r="F16" s="258" t="s">
        <v>1618</v>
      </c>
      <c r="G16" s="258" t="s">
        <v>1619</v>
      </c>
      <c r="H16" s="258" t="s">
        <v>1586</v>
      </c>
      <c r="I16" s="258" t="s">
        <v>1620</v>
      </c>
      <c r="J16" s="258" t="s">
        <v>1621</v>
      </c>
      <c r="K16" s="259"/>
      <c r="L16" s="259"/>
    </row>
    <row r="17" customFormat="false" ht="15" hidden="false" customHeight="true" outlineLevel="0" collapsed="false">
      <c r="A17" s="257" t="s">
        <v>1622</v>
      </c>
      <c r="B17" s="257" t="s">
        <v>1623</v>
      </c>
      <c r="C17" s="257" t="s">
        <v>151</v>
      </c>
      <c r="D17" s="257" t="s">
        <v>1624</v>
      </c>
      <c r="E17" s="257" t="s">
        <v>1625</v>
      </c>
      <c r="F17" s="257" t="s">
        <v>1626</v>
      </c>
      <c r="G17" s="257" t="s">
        <v>1627</v>
      </c>
      <c r="H17" s="257" t="s">
        <v>1628</v>
      </c>
      <c r="I17" s="257" t="s">
        <v>1602</v>
      </c>
      <c r="J17" s="257" t="s">
        <v>1629</v>
      </c>
      <c r="K17" s="130"/>
      <c r="L17" s="130"/>
    </row>
    <row r="18" customFormat="false" ht="15" hidden="false" customHeight="true" outlineLevel="0" collapsed="false">
      <c r="A18" s="258" t="s">
        <v>1630</v>
      </c>
      <c r="B18" s="258" t="s">
        <v>1631</v>
      </c>
      <c r="C18" s="258" t="s">
        <v>151</v>
      </c>
      <c r="D18" s="258" t="s">
        <v>1632</v>
      </c>
      <c r="E18" s="258" t="s">
        <v>1633</v>
      </c>
      <c r="F18" s="258" t="s">
        <v>1634</v>
      </c>
      <c r="G18" s="258" t="s">
        <v>1635</v>
      </c>
      <c r="H18" s="258" t="s">
        <v>1636</v>
      </c>
      <c r="I18" s="258" t="s">
        <v>1637</v>
      </c>
      <c r="J18" s="258" t="s">
        <v>1638</v>
      </c>
      <c r="K18" s="259"/>
      <c r="L18" s="259"/>
    </row>
    <row r="19" customFormat="false" ht="15" hidden="false" customHeight="true" outlineLevel="0" collapsed="false">
      <c r="A19" s="257" t="s">
        <v>1639</v>
      </c>
      <c r="B19" s="257" t="s">
        <v>1640</v>
      </c>
      <c r="C19" s="257" t="s">
        <v>151</v>
      </c>
      <c r="D19" s="257" t="s">
        <v>1641</v>
      </c>
      <c r="E19" s="257" t="s">
        <v>1642</v>
      </c>
      <c r="F19" s="257" t="s">
        <v>1643</v>
      </c>
      <c r="G19" s="257" t="s">
        <v>1644</v>
      </c>
      <c r="H19" s="257" t="s">
        <v>1628</v>
      </c>
      <c r="I19" s="257" t="s">
        <v>1620</v>
      </c>
      <c r="J19" s="257" t="s">
        <v>1645</v>
      </c>
      <c r="K19" s="130"/>
      <c r="L19" s="130"/>
    </row>
    <row r="20" customFormat="false" ht="15" hidden="false" customHeight="true" outlineLevel="0" collapsed="false">
      <c r="A20" s="258" t="s">
        <v>1646</v>
      </c>
      <c r="B20" s="258" t="s">
        <v>1623</v>
      </c>
      <c r="C20" s="258" t="s">
        <v>219</v>
      </c>
      <c r="D20" s="258" t="s">
        <v>1647</v>
      </c>
      <c r="E20" s="258" t="s">
        <v>1648</v>
      </c>
      <c r="F20" s="258" t="s">
        <v>1649</v>
      </c>
      <c r="G20" s="258" t="s">
        <v>1650</v>
      </c>
      <c r="H20" s="258" t="s">
        <v>1586</v>
      </c>
      <c r="I20" s="258" t="s">
        <v>1579</v>
      </c>
      <c r="J20" s="258" t="s">
        <v>1651</v>
      </c>
      <c r="K20" s="259"/>
      <c r="L20" s="259"/>
    </row>
    <row r="21" customFormat="false" ht="15.75" hidden="false" customHeight="true" outlineLevel="0" collapsed="false">
      <c r="A21" s="257"/>
      <c r="B21" s="257"/>
      <c r="C21" s="257"/>
      <c r="D21" s="257"/>
      <c r="E21" s="257"/>
      <c r="F21" s="257"/>
      <c r="G21" s="257"/>
      <c r="H21" s="257"/>
      <c r="I21" s="257"/>
      <c r="J21" s="257"/>
      <c r="K21" s="257"/>
      <c r="L21" s="257"/>
    </row>
    <row r="22" customFormat="false" ht="15.75" hidden="false" customHeight="true" outlineLevel="0" collapsed="false">
      <c r="A22" s="260" t="s">
        <v>1652</v>
      </c>
      <c r="B22" s="260"/>
      <c r="C22" s="260"/>
      <c r="D22" s="260"/>
      <c r="E22" s="260"/>
      <c r="F22" s="260"/>
      <c r="G22" s="260"/>
      <c r="H22" s="260"/>
      <c r="I22" s="260"/>
      <c r="J22" s="260"/>
      <c r="K22" s="260"/>
      <c r="L22" s="260"/>
    </row>
    <row r="23" customFormat="false" ht="15.75" hidden="false" customHeight="true" outlineLevel="0" collapsed="false">
      <c r="A23" s="255" t="s">
        <v>1653</v>
      </c>
      <c r="B23" s="255" t="s">
        <v>1357</v>
      </c>
      <c r="C23" s="255" t="s">
        <v>1654</v>
      </c>
      <c r="D23" s="255" t="s">
        <v>1655</v>
      </c>
      <c r="E23" s="255" t="s">
        <v>1656</v>
      </c>
      <c r="F23" s="255" t="s">
        <v>1657</v>
      </c>
      <c r="G23" s="255" t="s">
        <v>1658</v>
      </c>
      <c r="H23" s="255" t="s">
        <v>1659</v>
      </c>
      <c r="I23" s="255" t="s">
        <v>1660</v>
      </c>
      <c r="J23" s="255" t="s">
        <v>1661</v>
      </c>
      <c r="K23" s="256"/>
      <c r="L23" s="256"/>
    </row>
    <row r="24" customFormat="false" ht="15.75" hidden="false" customHeight="true" outlineLevel="0" collapsed="false">
      <c r="A24" s="257" t="s">
        <v>85</v>
      </c>
      <c r="B24" s="257" t="s">
        <v>1662</v>
      </c>
      <c r="C24" s="257" t="s">
        <v>1663</v>
      </c>
      <c r="D24" s="257" t="s">
        <v>1664</v>
      </c>
      <c r="E24" s="257" t="s">
        <v>1665</v>
      </c>
      <c r="F24" s="257" t="s">
        <v>1666</v>
      </c>
      <c r="G24" s="257" t="s">
        <v>1667</v>
      </c>
      <c r="H24" s="257" t="s">
        <v>1668</v>
      </c>
      <c r="I24" s="257" t="s">
        <v>1669</v>
      </c>
      <c r="J24" s="257" t="s">
        <v>1670</v>
      </c>
      <c r="K24" s="130"/>
      <c r="L24" s="130"/>
    </row>
    <row r="25" customFormat="false" ht="15.75" hidden="false" customHeight="true" outlineLevel="0" collapsed="false">
      <c r="A25" s="258" t="s">
        <v>85</v>
      </c>
      <c r="B25" s="258" t="s">
        <v>1671</v>
      </c>
      <c r="C25" s="258" t="s">
        <v>1672</v>
      </c>
      <c r="D25" s="258" t="s">
        <v>1673</v>
      </c>
      <c r="E25" s="258" t="s">
        <v>1674</v>
      </c>
      <c r="F25" s="258" t="s">
        <v>1675</v>
      </c>
      <c r="G25" s="258" t="s">
        <v>1676</v>
      </c>
      <c r="H25" s="258" t="s">
        <v>1677</v>
      </c>
      <c r="I25" s="258" t="s">
        <v>1678</v>
      </c>
      <c r="J25" s="258" t="s">
        <v>1679</v>
      </c>
      <c r="K25" s="259"/>
      <c r="L25" s="259"/>
    </row>
    <row r="26" customFormat="false" ht="15.75" hidden="false" customHeight="true" outlineLevel="0" collapsed="false">
      <c r="A26" s="257" t="s">
        <v>88</v>
      </c>
      <c r="B26" s="257" t="s">
        <v>1680</v>
      </c>
      <c r="C26" s="257" t="s">
        <v>1681</v>
      </c>
      <c r="D26" s="257" t="s">
        <v>1682</v>
      </c>
      <c r="E26" s="257" t="s">
        <v>1683</v>
      </c>
      <c r="F26" s="257" t="s">
        <v>1684</v>
      </c>
      <c r="G26" s="257" t="s">
        <v>1685</v>
      </c>
      <c r="H26" s="257" t="s">
        <v>1686</v>
      </c>
      <c r="I26" s="257" t="s">
        <v>1687</v>
      </c>
      <c r="J26" s="257" t="s">
        <v>1688</v>
      </c>
      <c r="K26" s="130"/>
      <c r="L26" s="130"/>
    </row>
    <row r="27" customFormat="false" ht="15.75" hidden="false" customHeight="true" outlineLevel="0" collapsed="false">
      <c r="A27" s="258" t="s">
        <v>87</v>
      </c>
      <c r="B27" s="258" t="s">
        <v>1689</v>
      </c>
      <c r="C27" s="258" t="s">
        <v>1690</v>
      </c>
      <c r="D27" s="258" t="s">
        <v>1691</v>
      </c>
      <c r="E27" s="258" t="s">
        <v>1558</v>
      </c>
      <c r="F27" s="258" t="s">
        <v>1692</v>
      </c>
      <c r="G27" s="258" t="s">
        <v>1693</v>
      </c>
      <c r="H27" s="258" t="s">
        <v>1694</v>
      </c>
      <c r="I27" s="258" t="s">
        <v>1695</v>
      </c>
      <c r="J27" s="258" t="s">
        <v>1696</v>
      </c>
      <c r="K27" s="259"/>
      <c r="L27" s="259"/>
    </row>
    <row r="28" customFormat="false" ht="15.75" hidden="false" customHeight="true" outlineLevel="0" collapsed="false">
      <c r="A28" s="257" t="s">
        <v>87</v>
      </c>
      <c r="B28" s="257" t="s">
        <v>1697</v>
      </c>
      <c r="C28" s="257" t="s">
        <v>1663</v>
      </c>
      <c r="D28" s="257" t="s">
        <v>1698</v>
      </c>
      <c r="E28" s="257" t="s">
        <v>1674</v>
      </c>
      <c r="F28" s="257" t="s">
        <v>1699</v>
      </c>
      <c r="G28" s="257" t="s">
        <v>1700</v>
      </c>
      <c r="H28" s="257" t="s">
        <v>1668</v>
      </c>
      <c r="I28" s="257" t="s">
        <v>1701</v>
      </c>
      <c r="J28" s="257" t="s">
        <v>1702</v>
      </c>
      <c r="K28" s="130"/>
      <c r="L28" s="130"/>
    </row>
    <row r="29" customFormat="false" ht="15.75" hidden="false" customHeight="true" outlineLevel="0" collapsed="false">
      <c r="A29" s="258" t="s">
        <v>86</v>
      </c>
      <c r="B29" s="258" t="s">
        <v>1703</v>
      </c>
      <c r="C29" s="258" t="s">
        <v>1698</v>
      </c>
      <c r="D29" s="258" t="s">
        <v>1583</v>
      </c>
      <c r="E29" s="258" t="s">
        <v>1704</v>
      </c>
      <c r="F29" s="258" t="s">
        <v>1705</v>
      </c>
      <c r="G29" s="258" t="s">
        <v>1706</v>
      </c>
      <c r="H29" s="258" t="s">
        <v>1707</v>
      </c>
      <c r="I29" s="258" t="s">
        <v>1708</v>
      </c>
      <c r="J29" s="258" t="s">
        <v>1709</v>
      </c>
      <c r="K29" s="259"/>
      <c r="L29" s="259"/>
    </row>
    <row r="30" customFormat="false" ht="15.75" hidden="false" customHeight="true" outlineLevel="0" collapsed="false">
      <c r="A30" s="257" t="s">
        <v>1710</v>
      </c>
      <c r="B30" s="257" t="s">
        <v>1711</v>
      </c>
      <c r="C30" s="257" t="s">
        <v>1712</v>
      </c>
      <c r="D30" s="257" t="s">
        <v>1690</v>
      </c>
      <c r="E30" s="257" t="s">
        <v>1713</v>
      </c>
      <c r="F30" s="257" t="s">
        <v>1683</v>
      </c>
      <c r="G30" s="257" t="s">
        <v>1714</v>
      </c>
      <c r="H30" s="257" t="s">
        <v>1694</v>
      </c>
      <c r="I30" s="257" t="s">
        <v>1715</v>
      </c>
      <c r="J30" s="257" t="s">
        <v>1716</v>
      </c>
      <c r="K30" s="130"/>
      <c r="L30" s="130"/>
    </row>
    <row r="31" customFormat="false" ht="15.75" hidden="false" customHeight="true" outlineLevel="0" collapsed="false">
      <c r="A31" s="258"/>
      <c r="B31" s="258"/>
      <c r="C31" s="258"/>
      <c r="D31" s="258"/>
      <c r="E31" s="258"/>
      <c r="F31" s="258"/>
      <c r="G31" s="258"/>
      <c r="H31" s="258"/>
      <c r="I31" s="258"/>
      <c r="J31" s="258"/>
      <c r="K31" s="258"/>
      <c r="L31" s="258"/>
    </row>
    <row r="32" customFormat="false" ht="15.75" hidden="false" customHeight="true" outlineLevel="0" collapsed="false">
      <c r="A32" s="260" t="s">
        <v>1717</v>
      </c>
      <c r="B32" s="260"/>
      <c r="C32" s="260"/>
      <c r="D32" s="260"/>
      <c r="E32" s="260"/>
      <c r="F32" s="260"/>
      <c r="G32" s="260"/>
      <c r="H32" s="260"/>
      <c r="I32" s="260"/>
      <c r="J32" s="260"/>
      <c r="K32" s="260"/>
      <c r="L32" s="260"/>
    </row>
    <row r="33" customFormat="false" ht="15.75" hidden="false" customHeight="true" outlineLevel="0" collapsed="false">
      <c r="A33" s="255" t="s">
        <v>1718</v>
      </c>
      <c r="B33" s="255" t="s">
        <v>1719</v>
      </c>
      <c r="C33" s="255" t="s">
        <v>1720</v>
      </c>
      <c r="D33" s="255" t="s">
        <v>1721</v>
      </c>
      <c r="E33" s="255" t="s">
        <v>1722</v>
      </c>
      <c r="F33" s="255" t="s">
        <v>1723</v>
      </c>
      <c r="G33" s="255" t="s">
        <v>1724</v>
      </c>
      <c r="H33" s="255" t="s">
        <v>1725</v>
      </c>
      <c r="I33" s="256"/>
      <c r="J33" s="256"/>
      <c r="K33" s="256"/>
      <c r="L33" s="256"/>
    </row>
    <row r="34" customFormat="false" ht="15.75" hidden="false" customHeight="true" outlineLevel="0" collapsed="false">
      <c r="A34" s="257" t="s">
        <v>1726</v>
      </c>
      <c r="B34" s="261" t="n">
        <v>0.15</v>
      </c>
      <c r="C34" s="261" t="n">
        <v>0.25</v>
      </c>
      <c r="D34" s="261" t="n">
        <v>0.4</v>
      </c>
      <c r="E34" s="261" t="n">
        <v>0.25</v>
      </c>
      <c r="F34" s="257" t="s">
        <v>1727</v>
      </c>
      <c r="G34" s="257" t="s">
        <v>1727</v>
      </c>
      <c r="H34" s="257" t="s">
        <v>1728</v>
      </c>
      <c r="I34" s="130"/>
      <c r="J34" s="130"/>
      <c r="K34" s="130"/>
      <c r="L34" s="130"/>
    </row>
    <row r="35" customFormat="false" ht="15.75" hidden="false" customHeight="true" outlineLevel="0" collapsed="false">
      <c r="A35" s="258" t="s">
        <v>1729</v>
      </c>
      <c r="B35" s="262" t="n">
        <v>0.3</v>
      </c>
      <c r="C35" s="262" t="n">
        <v>0.5</v>
      </c>
      <c r="D35" s="262" t="n">
        <v>0.75</v>
      </c>
      <c r="E35" s="262" t="n">
        <v>0.4</v>
      </c>
      <c r="F35" s="258" t="s">
        <v>1730</v>
      </c>
      <c r="G35" s="258" t="s">
        <v>1730</v>
      </c>
      <c r="H35" s="258" t="s">
        <v>1731</v>
      </c>
      <c r="I35" s="259"/>
      <c r="J35" s="259"/>
      <c r="K35" s="259"/>
      <c r="L35" s="259"/>
    </row>
    <row r="36" customFormat="false" ht="15.75" hidden="false" customHeight="true" outlineLevel="0" collapsed="false">
      <c r="A36" s="257" t="s">
        <v>1732</v>
      </c>
      <c r="B36" s="261" t="n">
        <v>0.15</v>
      </c>
      <c r="C36" s="261" t="n">
        <v>0.25</v>
      </c>
      <c r="D36" s="261" t="n">
        <v>0.35</v>
      </c>
      <c r="E36" s="261" t="n">
        <v>0.2</v>
      </c>
      <c r="F36" s="257" t="s">
        <v>1733</v>
      </c>
      <c r="G36" s="257" t="s">
        <v>1733</v>
      </c>
      <c r="H36" s="257" t="s">
        <v>1734</v>
      </c>
      <c r="I36" s="130"/>
      <c r="J36" s="130"/>
      <c r="K36" s="130"/>
      <c r="L36" s="130"/>
    </row>
    <row r="37" customFormat="false" ht="15.75" hidden="false" customHeight="true" outlineLevel="0" collapsed="false">
      <c r="A37" s="258" t="s">
        <v>1735</v>
      </c>
      <c r="B37" s="262" t="n">
        <v>0.2</v>
      </c>
      <c r="C37" s="262" t="n">
        <v>0.35</v>
      </c>
      <c r="D37" s="262" t="n">
        <v>0.5</v>
      </c>
      <c r="E37" s="262" t="n">
        <v>0.3</v>
      </c>
      <c r="F37" s="258" t="s">
        <v>1733</v>
      </c>
      <c r="G37" s="258" t="s">
        <v>1733</v>
      </c>
      <c r="H37" s="258" t="s">
        <v>1736</v>
      </c>
      <c r="I37" s="259"/>
      <c r="J37" s="259"/>
      <c r="K37" s="259"/>
      <c r="L37" s="259"/>
    </row>
    <row r="38" customFormat="false" ht="15.75" hidden="false" customHeight="true" outlineLevel="0" collapsed="false">
      <c r="A38" s="257" t="s">
        <v>1737</v>
      </c>
      <c r="B38" s="261" t="n">
        <v>0.4</v>
      </c>
      <c r="C38" s="261" t="n">
        <v>0.6</v>
      </c>
      <c r="D38" s="261" t="n">
        <v>0.8</v>
      </c>
      <c r="E38" s="261" t="n">
        <v>0.5</v>
      </c>
      <c r="F38" s="257" t="s">
        <v>1730</v>
      </c>
      <c r="G38" s="257" t="s">
        <v>1730</v>
      </c>
      <c r="H38" s="257" t="s">
        <v>1736</v>
      </c>
      <c r="I38" s="130"/>
      <c r="J38" s="130"/>
      <c r="K38" s="130"/>
      <c r="L38" s="130"/>
    </row>
    <row r="39" customFormat="false" ht="15.75" hidden="false" customHeight="true" outlineLevel="0" collapsed="false">
      <c r="A39" s="258" t="s">
        <v>1738</v>
      </c>
      <c r="B39" s="262" t="n">
        <v>0.15</v>
      </c>
      <c r="C39" s="262" t="n">
        <v>0.25</v>
      </c>
      <c r="D39" s="262" t="n">
        <v>0.4</v>
      </c>
      <c r="E39" s="262" t="n">
        <v>0.2</v>
      </c>
      <c r="F39" s="258" t="s">
        <v>1733</v>
      </c>
      <c r="G39" s="258" t="s">
        <v>1733</v>
      </c>
      <c r="H39" s="258" t="s">
        <v>1739</v>
      </c>
      <c r="I39" s="259"/>
      <c r="J39" s="259"/>
      <c r="K39" s="259"/>
      <c r="L39" s="259"/>
    </row>
    <row r="40" customFormat="false" ht="15.75" hidden="false" customHeight="true" outlineLevel="0" collapsed="false">
      <c r="A40" s="257" t="s">
        <v>1740</v>
      </c>
      <c r="B40" s="261" t="n">
        <v>0.25</v>
      </c>
      <c r="C40" s="261" t="n">
        <v>0.35</v>
      </c>
      <c r="D40" s="261" t="n">
        <v>0.5</v>
      </c>
      <c r="E40" s="261" t="n">
        <v>0.35</v>
      </c>
      <c r="F40" s="257" t="s">
        <v>1727</v>
      </c>
      <c r="G40" s="257" t="s">
        <v>1727</v>
      </c>
      <c r="H40" s="257" t="s">
        <v>1741</v>
      </c>
      <c r="I40" s="130"/>
      <c r="J40" s="130"/>
      <c r="K40" s="130"/>
      <c r="L40" s="130"/>
    </row>
    <row r="41" customFormat="false" ht="15.75" hidden="false" customHeight="true" outlineLevel="0" collapsed="false">
      <c r="A41" s="258"/>
      <c r="B41" s="258"/>
      <c r="C41" s="258"/>
      <c r="D41" s="258"/>
      <c r="E41" s="258"/>
      <c r="F41" s="258"/>
      <c r="G41" s="258"/>
      <c r="H41" s="258"/>
      <c r="I41" s="258"/>
      <c r="J41" s="258"/>
      <c r="K41" s="258"/>
      <c r="L41" s="258"/>
    </row>
    <row r="42" customFormat="false" ht="15.75" hidden="false" customHeight="true" outlineLevel="0" collapsed="false">
      <c r="A42" s="260" t="s">
        <v>1742</v>
      </c>
      <c r="B42" s="260"/>
      <c r="C42" s="260"/>
      <c r="D42" s="260"/>
      <c r="E42" s="260"/>
      <c r="F42" s="260"/>
      <c r="G42" s="260"/>
      <c r="H42" s="260"/>
      <c r="I42" s="260"/>
      <c r="J42" s="260"/>
      <c r="K42" s="260"/>
      <c r="L42" s="260"/>
    </row>
    <row r="43" customFormat="false" ht="15.75" hidden="false" customHeight="true" outlineLevel="0" collapsed="false">
      <c r="A43" s="255" t="s">
        <v>1743</v>
      </c>
      <c r="B43" s="255" t="s">
        <v>226</v>
      </c>
      <c r="C43" s="255" t="s">
        <v>1744</v>
      </c>
      <c r="D43" s="255" t="s">
        <v>1745</v>
      </c>
      <c r="E43" s="255" t="s">
        <v>1746</v>
      </c>
      <c r="F43" s="255" t="s">
        <v>1747</v>
      </c>
      <c r="G43" s="255" t="s">
        <v>1748</v>
      </c>
      <c r="H43" s="256"/>
      <c r="I43" s="256"/>
      <c r="J43" s="256"/>
      <c r="K43" s="256"/>
      <c r="L43" s="256"/>
    </row>
    <row r="44" customFormat="false" ht="15.75" hidden="false" customHeight="true" outlineLevel="0" collapsed="false">
      <c r="A44" s="257" t="s">
        <v>1749</v>
      </c>
      <c r="B44" s="257" t="s">
        <v>1750</v>
      </c>
      <c r="C44" s="257" t="s">
        <v>1751</v>
      </c>
      <c r="D44" s="257" t="s">
        <v>1752</v>
      </c>
      <c r="E44" s="257" t="s">
        <v>1753</v>
      </c>
      <c r="F44" s="257" t="s">
        <v>1754</v>
      </c>
      <c r="G44" s="257" t="s">
        <v>1755</v>
      </c>
      <c r="H44" s="130"/>
      <c r="I44" s="130"/>
      <c r="J44" s="130"/>
      <c r="K44" s="130"/>
      <c r="L44" s="130"/>
    </row>
    <row r="45" customFormat="false" ht="15.75" hidden="false" customHeight="true" outlineLevel="0" collapsed="false">
      <c r="A45" s="258" t="s">
        <v>1756</v>
      </c>
      <c r="B45" s="258" t="s">
        <v>1757</v>
      </c>
      <c r="C45" s="258" t="s">
        <v>1758</v>
      </c>
      <c r="D45" s="258" t="s">
        <v>1759</v>
      </c>
      <c r="E45" s="258" t="s">
        <v>1760</v>
      </c>
      <c r="F45" s="258" t="s">
        <v>1754</v>
      </c>
      <c r="G45" s="258" t="s">
        <v>1761</v>
      </c>
      <c r="H45" s="259"/>
      <c r="I45" s="259"/>
      <c r="J45" s="259"/>
      <c r="K45" s="259"/>
      <c r="L45" s="259"/>
    </row>
    <row r="46" customFormat="false" ht="15.75" hidden="false" customHeight="true" outlineLevel="0" collapsed="false">
      <c r="A46" s="257" t="s">
        <v>1762</v>
      </c>
      <c r="B46" s="257" t="s">
        <v>1763</v>
      </c>
      <c r="C46" s="257" t="s">
        <v>1764</v>
      </c>
      <c r="D46" s="257" t="s">
        <v>1666</v>
      </c>
      <c r="E46" s="257" t="s">
        <v>1760</v>
      </c>
      <c r="F46" s="257" t="s">
        <v>1765</v>
      </c>
      <c r="G46" s="257" t="s">
        <v>1766</v>
      </c>
      <c r="H46" s="130"/>
      <c r="I46" s="130"/>
      <c r="J46" s="130"/>
      <c r="K46" s="130"/>
      <c r="L46" s="130"/>
    </row>
    <row r="47" customFormat="false" ht="15.75" hidden="false" customHeight="true" outlineLevel="0" collapsed="false">
      <c r="A47" s="258" t="s">
        <v>1767</v>
      </c>
      <c r="B47" s="258" t="s">
        <v>1768</v>
      </c>
      <c r="C47" s="258" t="s">
        <v>1769</v>
      </c>
      <c r="D47" s="258" t="s">
        <v>1770</v>
      </c>
      <c r="E47" s="258" t="s">
        <v>1771</v>
      </c>
      <c r="F47" s="258" t="s">
        <v>1772</v>
      </c>
      <c r="G47" s="258" t="s">
        <v>1773</v>
      </c>
      <c r="H47" s="259"/>
      <c r="I47" s="259"/>
      <c r="J47" s="259"/>
      <c r="K47" s="259"/>
      <c r="L47" s="259"/>
    </row>
    <row r="48" customFormat="false" ht="15.75" hidden="false" customHeight="true" outlineLevel="0" collapsed="false">
      <c r="A48" s="257" t="s">
        <v>1169</v>
      </c>
      <c r="B48" s="257" t="s">
        <v>1774</v>
      </c>
      <c r="C48" s="257" t="s">
        <v>1775</v>
      </c>
      <c r="D48" s="257" t="s">
        <v>1769</v>
      </c>
      <c r="E48" s="257" t="s">
        <v>1776</v>
      </c>
      <c r="F48" s="257" t="s">
        <v>1772</v>
      </c>
      <c r="G48" s="257" t="s">
        <v>1777</v>
      </c>
      <c r="H48" s="130"/>
      <c r="I48" s="130"/>
      <c r="J48" s="130"/>
      <c r="K48" s="130"/>
      <c r="L48" s="130"/>
    </row>
    <row r="49" customFormat="false" ht="15.75" hidden="false" customHeight="true" outlineLevel="0" collapsed="false">
      <c r="A49" s="258"/>
      <c r="B49" s="258"/>
      <c r="C49" s="258"/>
      <c r="D49" s="258"/>
      <c r="E49" s="258"/>
      <c r="F49" s="258"/>
      <c r="G49" s="258"/>
      <c r="H49" s="258"/>
      <c r="I49" s="258"/>
      <c r="J49" s="258"/>
      <c r="K49" s="258"/>
      <c r="L49" s="258"/>
    </row>
    <row r="50" customFormat="false" ht="15.75" hidden="false" customHeight="true" outlineLevel="0" collapsed="false">
      <c r="A50" s="260" t="s">
        <v>1778</v>
      </c>
      <c r="B50" s="254"/>
      <c r="C50" s="254"/>
      <c r="D50" s="254"/>
      <c r="E50" s="254"/>
      <c r="F50" s="254"/>
      <c r="G50" s="254"/>
      <c r="H50" s="254"/>
      <c r="I50" s="254"/>
      <c r="J50" s="254"/>
      <c r="K50" s="254"/>
      <c r="L50" s="254"/>
    </row>
    <row r="51" customFormat="false" ht="15.75" hidden="false" customHeight="true" outlineLevel="0" collapsed="false">
      <c r="A51" s="263" t="s">
        <v>1779</v>
      </c>
      <c r="B51" s="264"/>
      <c r="C51" s="264"/>
      <c r="D51" s="264"/>
      <c r="E51" s="264"/>
      <c r="F51" s="264"/>
      <c r="G51" s="264"/>
      <c r="H51" s="264"/>
      <c r="I51" s="264"/>
      <c r="J51" s="264"/>
      <c r="K51" s="264"/>
      <c r="L51" s="264"/>
    </row>
    <row r="52" customFormat="false" ht="15.75" hidden="false" customHeight="true" outlineLevel="0" collapsed="false">
      <c r="A52" s="253"/>
      <c r="B52" s="265"/>
      <c r="C52" s="265"/>
      <c r="D52" s="265"/>
      <c r="E52" s="265"/>
      <c r="F52" s="265"/>
      <c r="G52" s="265"/>
      <c r="H52" s="265"/>
      <c r="I52" s="265"/>
      <c r="J52" s="265"/>
      <c r="K52" s="265"/>
      <c r="L52" s="265"/>
    </row>
    <row r="53" customFormat="false" ht="15.75" hidden="false" customHeight="true" outlineLevel="0" collapsed="false">
      <c r="A53" s="255" t="s">
        <v>1300</v>
      </c>
      <c r="B53" s="255" t="s">
        <v>1780</v>
      </c>
      <c r="C53" s="255"/>
      <c r="D53" s="255"/>
      <c r="E53" s="255"/>
      <c r="F53" s="255"/>
      <c r="G53" s="255"/>
      <c r="H53" s="255"/>
      <c r="I53" s="255"/>
      <c r="J53" s="255"/>
      <c r="K53" s="255"/>
      <c r="L53" s="255"/>
    </row>
    <row r="54" customFormat="false" ht="15.75" hidden="false" customHeight="true" outlineLevel="0" collapsed="false">
      <c r="A54" s="266" t="s">
        <v>1781</v>
      </c>
      <c r="B54" s="266" t="s">
        <v>1782</v>
      </c>
      <c r="C54" s="266"/>
      <c r="D54" s="266"/>
      <c r="E54" s="266"/>
      <c r="F54" s="266"/>
      <c r="G54" s="266"/>
      <c r="H54" s="266"/>
      <c r="I54" s="266"/>
      <c r="J54" s="266"/>
      <c r="K54" s="266"/>
      <c r="L54" s="266"/>
    </row>
    <row r="55" customFormat="false" ht="15.75" hidden="false" customHeight="true" outlineLevel="0" collapsed="false">
      <c r="A55" s="266" t="s">
        <v>1783</v>
      </c>
      <c r="B55" s="266" t="s">
        <v>1784</v>
      </c>
      <c r="C55" s="266"/>
      <c r="D55" s="266"/>
      <c r="E55" s="266"/>
      <c r="F55" s="266"/>
      <c r="G55" s="266"/>
      <c r="H55" s="266"/>
      <c r="I55" s="266"/>
      <c r="J55" s="266"/>
      <c r="K55" s="266"/>
      <c r="L55" s="266"/>
    </row>
    <row r="56" customFormat="false" ht="15.75" hidden="false" customHeight="true" outlineLevel="0" collapsed="false">
      <c r="A56" s="266" t="s">
        <v>1785</v>
      </c>
      <c r="B56" s="266" t="s">
        <v>1786</v>
      </c>
      <c r="C56" s="266"/>
      <c r="D56" s="266"/>
      <c r="E56" s="266"/>
      <c r="F56" s="266"/>
      <c r="G56" s="266"/>
      <c r="H56" s="266"/>
      <c r="I56" s="266"/>
      <c r="J56" s="266"/>
      <c r="K56" s="266"/>
      <c r="L56" s="266"/>
    </row>
    <row r="57" customFormat="false" ht="15.75" hidden="false" customHeight="true" outlineLevel="0" collapsed="false">
      <c r="A57" s="266" t="s">
        <v>1787</v>
      </c>
      <c r="B57" s="266" t="s">
        <v>1788</v>
      </c>
      <c r="C57" s="266" t="s">
        <v>1789</v>
      </c>
      <c r="D57" s="266" t="s">
        <v>1790</v>
      </c>
      <c r="E57" s="266" t="s">
        <v>1791</v>
      </c>
      <c r="F57" s="267"/>
      <c r="G57" s="267"/>
      <c r="H57" s="267"/>
      <c r="I57" s="267"/>
      <c r="J57" s="267"/>
      <c r="K57" s="267"/>
      <c r="L57" s="267"/>
    </row>
    <row r="58" customFormat="false" ht="15.75" hidden="false" customHeight="true" outlineLevel="0" collapsed="false">
      <c r="A58" s="266" t="s">
        <v>1792</v>
      </c>
      <c r="B58" s="266" t="s">
        <v>1793</v>
      </c>
      <c r="C58" s="266" t="s">
        <v>1794</v>
      </c>
      <c r="D58" s="266" t="s">
        <v>1795</v>
      </c>
      <c r="E58" s="266" t="s">
        <v>1796</v>
      </c>
      <c r="F58" s="267"/>
      <c r="G58" s="267"/>
      <c r="H58" s="267"/>
      <c r="I58" s="267"/>
      <c r="J58" s="267"/>
      <c r="K58" s="267"/>
      <c r="L58" s="267"/>
    </row>
    <row r="59" customFormat="false" ht="15.75" hidden="false" customHeight="true" outlineLevel="0" collapsed="false">
      <c r="A59" s="266"/>
      <c r="B59" s="266"/>
      <c r="C59" s="266"/>
      <c r="D59" s="266"/>
      <c r="E59" s="266"/>
      <c r="F59" s="267"/>
      <c r="G59" s="267"/>
      <c r="H59" s="267"/>
      <c r="I59" s="267"/>
      <c r="J59" s="267"/>
      <c r="K59" s="267"/>
      <c r="L59" s="267"/>
    </row>
    <row r="60" customFormat="false" ht="15.75" hidden="false" customHeight="true" outlineLevel="0" collapsed="false">
      <c r="A60" s="266" t="s">
        <v>1797</v>
      </c>
      <c r="B60" s="266"/>
      <c r="C60" s="266"/>
      <c r="D60" s="266"/>
      <c r="E60" s="266"/>
      <c r="F60" s="267"/>
      <c r="G60" s="267"/>
      <c r="H60" s="267"/>
      <c r="I60" s="267"/>
      <c r="J60" s="267"/>
      <c r="K60" s="267"/>
      <c r="L60" s="267"/>
    </row>
    <row r="61" customFormat="false" ht="15.75" hidden="false" customHeight="true" outlineLevel="0" collapsed="false">
      <c r="A61" s="260" t="s">
        <v>1798</v>
      </c>
      <c r="B61" s="260" t="s">
        <v>1799</v>
      </c>
      <c r="C61" s="260"/>
      <c r="D61" s="260"/>
      <c r="E61" s="260"/>
      <c r="F61" s="260"/>
      <c r="G61" s="260"/>
      <c r="H61" s="260"/>
      <c r="I61" s="260"/>
      <c r="J61" s="260"/>
      <c r="K61" s="260"/>
      <c r="L61" s="260"/>
    </row>
    <row r="62" customFormat="false" ht="15.75" hidden="false" customHeight="true" outlineLevel="0" collapsed="false">
      <c r="A62" s="268" t="s">
        <v>1800</v>
      </c>
      <c r="B62" s="268" t="s">
        <v>1801</v>
      </c>
      <c r="C62" s="268"/>
      <c r="D62" s="268"/>
      <c r="E62" s="268"/>
      <c r="F62" s="268"/>
      <c r="G62" s="268"/>
      <c r="H62" s="268"/>
      <c r="I62" s="268"/>
      <c r="J62" s="268"/>
      <c r="K62" s="268"/>
      <c r="L62" s="268"/>
    </row>
    <row r="63" customFormat="false" ht="15.75" hidden="false" customHeight="true" outlineLevel="0" collapsed="false">
      <c r="A63" s="268" t="s">
        <v>1802</v>
      </c>
      <c r="B63" s="268" t="s">
        <v>1803</v>
      </c>
      <c r="C63" s="268"/>
      <c r="D63" s="268"/>
      <c r="E63" s="268"/>
      <c r="F63" s="268"/>
      <c r="G63" s="268"/>
      <c r="H63" s="268"/>
      <c r="I63" s="268"/>
      <c r="J63" s="268"/>
      <c r="K63" s="268"/>
      <c r="L63" s="268"/>
    </row>
    <row r="64" customFormat="false" ht="15.75" hidden="false" customHeight="true" outlineLevel="0" collapsed="false">
      <c r="A64" s="268" t="s">
        <v>1804</v>
      </c>
      <c r="B64" s="268" t="s">
        <v>1805</v>
      </c>
      <c r="C64" s="268"/>
      <c r="D64" s="268"/>
      <c r="E64" s="268"/>
      <c r="F64" s="268"/>
      <c r="G64" s="268"/>
      <c r="H64" s="268"/>
      <c r="I64" s="268"/>
      <c r="J64" s="268"/>
      <c r="K64" s="268"/>
      <c r="L64" s="268"/>
    </row>
    <row r="65" customFormat="false" ht="15.75" hidden="false" customHeight="true" outlineLevel="0" collapsed="false">
      <c r="A65" s="268" t="s">
        <v>1806</v>
      </c>
      <c r="B65" s="268" t="s">
        <v>1807</v>
      </c>
      <c r="C65" s="268"/>
      <c r="D65" s="268"/>
      <c r="E65" s="268"/>
      <c r="F65" s="268"/>
      <c r="G65" s="268"/>
      <c r="H65" s="268"/>
      <c r="I65" s="268"/>
      <c r="J65" s="268"/>
      <c r="K65" s="268"/>
      <c r="L65" s="268"/>
    </row>
    <row r="66" customFormat="false" ht="15.75" hidden="false" customHeight="true" outlineLevel="0" collapsed="false">
      <c r="A66" s="268" t="s">
        <v>1808</v>
      </c>
      <c r="B66" s="268" t="s">
        <v>1809</v>
      </c>
      <c r="C66" s="268"/>
      <c r="D66" s="268"/>
      <c r="E66" s="268"/>
      <c r="F66" s="268"/>
      <c r="G66" s="268"/>
      <c r="H66" s="268"/>
      <c r="I66" s="268"/>
      <c r="J66" s="268"/>
      <c r="K66" s="268"/>
      <c r="L66" s="268"/>
    </row>
    <row r="67" customFormat="false" ht="15.75" hidden="false" customHeight="true" outlineLevel="0" collapsed="false">
      <c r="A67" s="268"/>
      <c r="B67" s="268"/>
      <c r="C67" s="268"/>
      <c r="D67" s="268"/>
      <c r="E67" s="268"/>
      <c r="F67" s="268"/>
      <c r="G67" s="268"/>
      <c r="H67" s="268"/>
      <c r="I67" s="268"/>
      <c r="J67" s="268"/>
      <c r="K67" s="268"/>
      <c r="L67" s="268"/>
    </row>
    <row r="68" customFormat="false" ht="15.75" hidden="false" customHeight="true" outlineLevel="0" collapsed="false">
      <c r="A68" s="268" t="s">
        <v>1810</v>
      </c>
      <c r="B68" s="268"/>
      <c r="C68" s="268"/>
      <c r="D68" s="268"/>
      <c r="E68" s="268"/>
      <c r="F68" s="268"/>
      <c r="G68" s="268"/>
      <c r="H68" s="268"/>
      <c r="I68" s="268"/>
      <c r="J68" s="268"/>
      <c r="K68" s="268"/>
      <c r="L68" s="268"/>
    </row>
    <row r="69" customFormat="false" ht="15.75" hidden="false" customHeight="true" outlineLevel="0" collapsed="false">
      <c r="A69" s="260" t="s">
        <v>1725</v>
      </c>
      <c r="B69" s="260" t="s">
        <v>1811</v>
      </c>
      <c r="C69" s="260" t="s">
        <v>1812</v>
      </c>
      <c r="D69" s="260" t="s">
        <v>1813</v>
      </c>
      <c r="E69" s="260"/>
      <c r="F69" s="260"/>
      <c r="G69" s="260"/>
      <c r="H69" s="260"/>
      <c r="I69" s="260"/>
      <c r="J69" s="260"/>
      <c r="K69" s="260"/>
      <c r="L69" s="260"/>
    </row>
    <row r="70" customFormat="false" ht="15.75" hidden="false" customHeight="true" outlineLevel="0" collapsed="false">
      <c r="A70" s="256" t="s">
        <v>1814</v>
      </c>
      <c r="B70" s="256" t="s">
        <v>1815</v>
      </c>
      <c r="C70" s="256" t="s">
        <v>1816</v>
      </c>
      <c r="D70" s="256" t="s">
        <v>1817</v>
      </c>
      <c r="E70" s="256"/>
      <c r="F70" s="256"/>
      <c r="G70" s="256"/>
      <c r="H70" s="256"/>
      <c r="I70" s="256"/>
      <c r="J70" s="256"/>
      <c r="K70" s="256"/>
      <c r="L70" s="256"/>
    </row>
    <row r="71" customFormat="false" ht="15.75" hidden="false" customHeight="true" outlineLevel="0" collapsed="false">
      <c r="A71" s="269" t="s">
        <v>1818</v>
      </c>
      <c r="B71" s="269" t="s">
        <v>1819</v>
      </c>
      <c r="C71" s="269" t="s">
        <v>1820</v>
      </c>
      <c r="D71" s="269" t="s">
        <v>1821</v>
      </c>
      <c r="E71" s="269"/>
      <c r="F71" s="269"/>
      <c r="G71" s="269"/>
      <c r="H71" s="269"/>
      <c r="I71" s="269"/>
      <c r="J71" s="269"/>
      <c r="K71" s="269"/>
      <c r="L71" s="269"/>
    </row>
    <row r="72" customFormat="false" ht="15.75" hidden="false" customHeight="true" outlineLevel="0" collapsed="false">
      <c r="A72" s="156" t="s">
        <v>1595</v>
      </c>
      <c r="B72" s="156" t="s">
        <v>1822</v>
      </c>
      <c r="C72" s="156" t="s">
        <v>1823</v>
      </c>
      <c r="D72" s="156" t="s">
        <v>1824</v>
      </c>
      <c r="E72" s="156"/>
      <c r="F72" s="156"/>
      <c r="G72" s="156"/>
      <c r="H72" s="156"/>
      <c r="I72" s="156"/>
      <c r="J72" s="156"/>
      <c r="K72" s="156"/>
      <c r="L72" s="156"/>
    </row>
    <row r="73" customFormat="false" ht="15.75" hidden="false" customHeight="true" outlineLevel="0" collapsed="false">
      <c r="A73" s="269" t="s">
        <v>1825</v>
      </c>
      <c r="B73" s="269" t="s">
        <v>1826</v>
      </c>
      <c r="C73" s="269" t="s">
        <v>1827</v>
      </c>
      <c r="D73" s="269" t="s">
        <v>1828</v>
      </c>
      <c r="E73" s="269"/>
      <c r="F73" s="269"/>
      <c r="G73" s="269"/>
      <c r="H73" s="269"/>
      <c r="I73" s="269"/>
      <c r="J73" s="269"/>
      <c r="K73" s="269"/>
      <c r="L73" s="269"/>
    </row>
    <row r="74" customFormat="false" ht="15.75" hidden="false" customHeight="true" outlineLevel="0" collapsed="false">
      <c r="A74" s="156" t="s">
        <v>1603</v>
      </c>
      <c r="B74" s="156" t="s">
        <v>1829</v>
      </c>
      <c r="C74" s="156" t="s">
        <v>1830</v>
      </c>
      <c r="D74" s="156" t="s">
        <v>1831</v>
      </c>
      <c r="E74" s="156"/>
      <c r="F74" s="156"/>
      <c r="G74" s="156"/>
      <c r="H74" s="156"/>
      <c r="I74" s="156"/>
      <c r="J74" s="156"/>
      <c r="K74" s="156"/>
      <c r="L74" s="156"/>
    </row>
    <row r="75" customFormat="false" ht="15.75" hidden="false" customHeight="true" outlineLevel="0" collapsed="false">
      <c r="A75" s="269" t="s">
        <v>1832</v>
      </c>
      <c r="B75" s="269" t="s">
        <v>1833</v>
      </c>
      <c r="C75" s="269" t="s">
        <v>1834</v>
      </c>
      <c r="D75" s="269" t="s">
        <v>1835</v>
      </c>
      <c r="E75" s="269"/>
      <c r="F75" s="269"/>
      <c r="G75" s="269"/>
      <c r="H75" s="269"/>
      <c r="I75" s="269"/>
      <c r="J75" s="269"/>
      <c r="K75" s="269"/>
      <c r="L75" s="269"/>
    </row>
    <row r="76" customFormat="false" ht="15.75" hidden="false" customHeight="true" outlineLevel="0" collapsed="false">
      <c r="A76" s="156" t="s">
        <v>1836</v>
      </c>
      <c r="B76" s="156" t="s">
        <v>1720</v>
      </c>
      <c r="C76" s="156" t="s">
        <v>1837</v>
      </c>
      <c r="D76" s="156" t="s">
        <v>1838</v>
      </c>
      <c r="E76" s="156"/>
      <c r="F76" s="156"/>
      <c r="G76" s="156"/>
      <c r="H76" s="156"/>
      <c r="I76" s="156"/>
      <c r="J76" s="156"/>
      <c r="K76" s="156"/>
      <c r="L76" s="156"/>
    </row>
    <row r="77" customFormat="false" ht="15.75" hidden="false" customHeight="true" outlineLevel="0" collapsed="false">
      <c r="A77" s="269" t="s">
        <v>1839</v>
      </c>
      <c r="B77" s="269" t="s">
        <v>1840</v>
      </c>
      <c r="C77" s="269" t="s">
        <v>1841</v>
      </c>
      <c r="D77" s="269" t="s">
        <v>1842</v>
      </c>
      <c r="E77" s="269"/>
      <c r="F77" s="269"/>
      <c r="G77" s="269"/>
      <c r="H77" s="269"/>
      <c r="I77" s="269"/>
      <c r="J77" s="269"/>
      <c r="K77" s="269"/>
      <c r="L77" s="269"/>
    </row>
    <row r="78" customFormat="false" ht="15.75" hidden="false" customHeight="true" outlineLevel="0" collapsed="false">
      <c r="A78" s="156"/>
      <c r="B78" s="156"/>
      <c r="C78" s="156"/>
      <c r="D78" s="156"/>
      <c r="E78" s="156"/>
      <c r="F78" s="156"/>
      <c r="G78" s="156"/>
      <c r="H78" s="156"/>
      <c r="I78" s="156"/>
      <c r="J78" s="156"/>
      <c r="K78" s="156"/>
      <c r="L78" s="156"/>
    </row>
    <row r="79" customFormat="false" ht="15.75" hidden="false" customHeight="true" outlineLevel="0" collapsed="false">
      <c r="A79" s="269"/>
      <c r="B79" s="269"/>
      <c r="C79" s="269"/>
      <c r="D79" s="269"/>
      <c r="E79" s="269"/>
      <c r="F79" s="269"/>
      <c r="G79" s="269"/>
      <c r="H79" s="269"/>
      <c r="I79" s="269"/>
      <c r="J79" s="269"/>
      <c r="K79" s="269"/>
      <c r="L79" s="269"/>
    </row>
    <row r="80" customFormat="false" ht="15.75" hidden="false" customHeight="true" outlineLevel="0" collapsed="false">
      <c r="A80" s="253"/>
      <c r="B80" s="253"/>
      <c r="C80" s="253"/>
      <c r="D80" s="253"/>
      <c r="E80" s="253"/>
      <c r="F80" s="253"/>
      <c r="G80" s="253"/>
      <c r="H80" s="253"/>
      <c r="I80" s="253"/>
      <c r="J80" s="253"/>
      <c r="K80" s="253"/>
      <c r="L80" s="253"/>
    </row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15">
    <mergeCell ref="A1:L1"/>
    <mergeCell ref="A2:L2"/>
    <mergeCell ref="A4:L4"/>
    <mergeCell ref="A13:L13"/>
    <mergeCell ref="A21:L21"/>
    <mergeCell ref="A31:L31"/>
    <mergeCell ref="A41:L41"/>
    <mergeCell ref="A49:L49"/>
    <mergeCell ref="B50:L50"/>
    <mergeCell ref="B51:L51"/>
    <mergeCell ref="B52:L52"/>
    <mergeCell ref="B53:L53"/>
    <mergeCell ref="B54:L54"/>
    <mergeCell ref="B55:L55"/>
    <mergeCell ref="B56:L5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false"/>
  </sheetPr>
  <dimension ref="A1:Z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.29"/>
    <col collapsed="false" customWidth="true" hidden="false" outlineLevel="0" max="3" min="3" style="1" width="85.86"/>
    <col collapsed="false" customWidth="true" hidden="false" outlineLevel="0" max="4" min="4" style="1" width="65"/>
    <col collapsed="false" customWidth="true" hidden="false" outlineLevel="0" max="23" min="5" style="1" width="8.71"/>
  </cols>
  <sheetData>
    <row r="1" customFormat="false" ht="15" hidden="false" customHeight="true" outlineLevel="0" collapsed="false">
      <c r="A1" s="253"/>
      <c r="B1" s="253"/>
      <c r="C1" s="253"/>
      <c r="D1" s="253"/>
      <c r="X1" s="1"/>
      <c r="Y1" s="1"/>
      <c r="Z1" s="1"/>
    </row>
    <row r="2" customFormat="false" ht="19.5" hidden="false" customHeight="true" outlineLevel="0" collapsed="false">
      <c r="A2" s="270"/>
      <c r="B2" s="270" t="s">
        <v>1843</v>
      </c>
      <c r="C2" s="270"/>
      <c r="D2" s="270"/>
      <c r="X2" s="1"/>
      <c r="Y2" s="1"/>
      <c r="Z2" s="1"/>
    </row>
    <row r="3" customFormat="false" ht="15" hidden="false" customHeight="true" outlineLevel="0" collapsed="false">
      <c r="A3" s="271"/>
      <c r="B3" s="271" t="s">
        <v>1844</v>
      </c>
      <c r="C3" s="271"/>
      <c r="D3" s="271"/>
      <c r="X3" s="1"/>
      <c r="Y3" s="1"/>
      <c r="Z3" s="1"/>
    </row>
    <row r="4" customFormat="false" ht="15" hidden="false" customHeight="true" outlineLevel="0" collapsed="false">
      <c r="A4" s="253"/>
      <c r="B4" s="253"/>
      <c r="C4" s="253"/>
      <c r="D4" s="253"/>
      <c r="X4" s="1"/>
      <c r="Y4" s="1"/>
      <c r="Z4" s="1"/>
    </row>
    <row r="5" customFormat="false" ht="15" hidden="false" customHeight="true" outlineLevel="0" collapsed="false">
      <c r="A5" s="260"/>
      <c r="B5" s="272" t="s">
        <v>1845</v>
      </c>
      <c r="C5" s="260"/>
      <c r="D5" s="260"/>
      <c r="X5" s="1"/>
      <c r="Y5" s="1"/>
      <c r="Z5" s="1"/>
    </row>
    <row r="6" customFormat="false" ht="15" hidden="false" customHeight="true" outlineLevel="0" collapsed="false">
      <c r="A6" s="273"/>
      <c r="B6" s="274" t="s">
        <v>1846</v>
      </c>
      <c r="C6" s="273"/>
      <c r="D6" s="273"/>
      <c r="X6" s="1"/>
      <c r="Y6" s="1"/>
      <c r="Z6" s="1"/>
    </row>
    <row r="7" customFormat="false" ht="15" hidden="false" customHeight="true" outlineLevel="0" collapsed="false">
      <c r="A7" s="259"/>
      <c r="B7" s="259" t="s">
        <v>1847</v>
      </c>
      <c r="C7" s="259"/>
      <c r="D7" s="259"/>
      <c r="X7" s="1"/>
      <c r="Y7" s="1"/>
      <c r="Z7" s="1"/>
    </row>
    <row r="8" customFormat="false" ht="15" hidden="false" customHeight="true" outlineLevel="0" collapsed="false">
      <c r="A8" s="253"/>
      <c r="B8" s="253"/>
      <c r="C8" s="253"/>
      <c r="D8" s="253"/>
      <c r="X8" s="1"/>
      <c r="Y8" s="1"/>
      <c r="Z8" s="1"/>
    </row>
    <row r="9" customFormat="false" ht="15" hidden="false" customHeight="true" outlineLevel="0" collapsed="false">
      <c r="A9" s="273"/>
      <c r="B9" s="274" t="s">
        <v>1848</v>
      </c>
      <c r="C9" s="273"/>
      <c r="D9" s="273"/>
      <c r="X9" s="1"/>
      <c r="Y9" s="1"/>
      <c r="Z9" s="1"/>
    </row>
    <row r="10" customFormat="false" ht="15" hidden="false" customHeight="true" outlineLevel="0" collapsed="false">
      <c r="A10" s="259"/>
      <c r="B10" s="259" t="s">
        <v>1849</v>
      </c>
      <c r="C10" s="259"/>
      <c r="D10" s="259"/>
      <c r="X10" s="1"/>
      <c r="Y10" s="1"/>
      <c r="Z10" s="1"/>
    </row>
    <row r="11" customFormat="false" ht="15" hidden="false" customHeight="true" outlineLevel="0" collapsed="false">
      <c r="A11" s="253"/>
      <c r="B11" s="253"/>
      <c r="C11" s="253"/>
      <c r="D11" s="253"/>
      <c r="X11" s="1"/>
      <c r="Y11" s="1"/>
      <c r="Z11" s="1"/>
    </row>
    <row r="12" customFormat="false" ht="15" hidden="false" customHeight="true" outlineLevel="0" collapsed="false">
      <c r="A12" s="273"/>
      <c r="B12" s="274" t="s">
        <v>1850</v>
      </c>
      <c r="C12" s="273"/>
      <c r="D12" s="273"/>
      <c r="X12" s="1"/>
      <c r="Y12" s="1"/>
      <c r="Z12" s="1"/>
    </row>
    <row r="13" customFormat="false" ht="15" hidden="false" customHeight="true" outlineLevel="0" collapsed="false">
      <c r="A13" s="259"/>
      <c r="B13" s="259" t="s">
        <v>1851</v>
      </c>
      <c r="C13" s="259"/>
      <c r="D13" s="259"/>
      <c r="X13" s="1"/>
      <c r="Y13" s="1"/>
      <c r="Z13" s="1"/>
    </row>
    <row r="14" customFormat="false" ht="15" hidden="false" customHeight="true" outlineLevel="0" collapsed="false">
      <c r="A14" s="253"/>
      <c r="B14" s="253"/>
      <c r="C14" s="253"/>
      <c r="D14" s="253"/>
      <c r="X14" s="1"/>
      <c r="Y14" s="1"/>
      <c r="Z14" s="1"/>
    </row>
    <row r="15" customFormat="false" ht="15" hidden="false" customHeight="true" outlineLevel="0" collapsed="false">
      <c r="A15" s="273"/>
      <c r="B15" s="274" t="s">
        <v>1852</v>
      </c>
      <c r="C15" s="273"/>
      <c r="D15" s="273"/>
      <c r="X15" s="1"/>
      <c r="Y15" s="1"/>
      <c r="Z15" s="1"/>
    </row>
    <row r="16" customFormat="false" ht="15" hidden="false" customHeight="true" outlineLevel="0" collapsed="false">
      <c r="A16" s="259"/>
      <c r="B16" s="259" t="s">
        <v>1853</v>
      </c>
      <c r="C16" s="259"/>
      <c r="D16" s="259"/>
      <c r="X16" s="1"/>
      <c r="Y16" s="1"/>
      <c r="Z16" s="1"/>
    </row>
    <row r="17" customFormat="false" ht="15" hidden="false" customHeight="true" outlineLevel="0" collapsed="false">
      <c r="A17" s="253"/>
      <c r="B17" s="253"/>
      <c r="C17" s="253"/>
      <c r="D17" s="253"/>
      <c r="X17" s="1"/>
      <c r="Y17" s="1"/>
      <c r="Z17" s="1"/>
    </row>
    <row r="18" customFormat="false" ht="15" hidden="false" customHeight="true" outlineLevel="0" collapsed="false">
      <c r="A18" s="273"/>
      <c r="B18" s="274" t="s">
        <v>1854</v>
      </c>
      <c r="C18" s="273"/>
      <c r="D18" s="273"/>
      <c r="X18" s="1"/>
      <c r="Y18" s="1"/>
      <c r="Z18" s="1"/>
    </row>
    <row r="19" customFormat="false" ht="15" hidden="false" customHeight="true" outlineLevel="0" collapsed="false">
      <c r="A19" s="259"/>
      <c r="B19" s="259" t="s">
        <v>1855</v>
      </c>
      <c r="C19" s="259"/>
      <c r="D19" s="259"/>
      <c r="X19" s="1"/>
      <c r="Y19" s="1"/>
      <c r="Z19" s="1"/>
    </row>
    <row r="20" customFormat="false" ht="15" hidden="false" customHeight="true" outlineLevel="0" collapsed="false">
      <c r="A20" s="260"/>
      <c r="B20" s="260"/>
      <c r="C20" s="260"/>
      <c r="D20" s="260"/>
      <c r="X20" s="1"/>
      <c r="Y20" s="1"/>
      <c r="Z20" s="1"/>
    </row>
    <row r="21" customFormat="false" ht="15.75" hidden="false" customHeight="true" outlineLevel="0" collapsed="false">
      <c r="A21" s="154"/>
      <c r="B21" s="275" t="s">
        <v>1856</v>
      </c>
      <c r="C21" s="154"/>
      <c r="D21" s="154"/>
      <c r="X21" s="1"/>
      <c r="Y21" s="1"/>
      <c r="Z21" s="1"/>
    </row>
    <row r="22" customFormat="false" ht="15.75" hidden="false" customHeight="true" outlineLevel="0" collapsed="false">
      <c r="A22" s="267"/>
      <c r="B22" s="267" t="s">
        <v>1857</v>
      </c>
      <c r="C22" s="267"/>
      <c r="D22" s="267"/>
      <c r="X22" s="1"/>
      <c r="Y22" s="1"/>
      <c r="Z22" s="1"/>
    </row>
    <row r="23" customFormat="false" ht="15.75" hidden="false" customHeight="true" outlineLevel="0" collapsed="false">
      <c r="A23" s="260"/>
      <c r="B23" s="260" t="s">
        <v>1858</v>
      </c>
      <c r="C23" s="260"/>
      <c r="D23" s="260"/>
      <c r="X23" s="1"/>
      <c r="Y23" s="1"/>
      <c r="Z23" s="1"/>
    </row>
    <row r="24" customFormat="false" ht="15.75" hidden="false" customHeight="true" outlineLevel="0" collapsed="false">
      <c r="A24" s="253"/>
      <c r="B24" s="253"/>
      <c r="C24" s="253"/>
      <c r="D24" s="253"/>
      <c r="X24" s="1"/>
      <c r="Y24" s="1"/>
      <c r="Z24" s="1"/>
    </row>
    <row r="25" customFormat="false" ht="15.75" hidden="false" customHeight="true" outlineLevel="0" collapsed="false">
      <c r="A25" s="273"/>
      <c r="B25" s="276" t="s">
        <v>1859</v>
      </c>
      <c r="C25" s="273"/>
      <c r="D25" s="273"/>
      <c r="X25" s="1"/>
      <c r="Y25" s="1"/>
      <c r="Z25" s="1"/>
    </row>
    <row r="26" customFormat="false" ht="15.75" hidden="false" customHeight="true" outlineLevel="0" collapsed="false">
      <c r="A26" s="259"/>
      <c r="B26" s="277" t="s">
        <v>1860</v>
      </c>
      <c r="C26" s="259"/>
      <c r="D26" s="259"/>
      <c r="X26" s="1"/>
      <c r="Y26" s="1"/>
      <c r="Z26" s="1"/>
    </row>
    <row r="27" customFormat="false" ht="15.75" hidden="false" customHeight="true" outlineLevel="0" collapsed="false">
      <c r="A27" s="253"/>
      <c r="B27" s="253"/>
      <c r="C27" s="253"/>
      <c r="D27" s="253"/>
      <c r="X27" s="1"/>
      <c r="Y27" s="1"/>
      <c r="Z27" s="1"/>
    </row>
    <row r="28" customFormat="false" ht="15.75" hidden="false" customHeight="true" outlineLevel="0" collapsed="false">
      <c r="A28" s="273"/>
      <c r="B28" s="273" t="s">
        <v>1861</v>
      </c>
      <c r="C28" s="273"/>
      <c r="D28" s="273"/>
      <c r="X28" s="1"/>
      <c r="Y28" s="1"/>
      <c r="Z28" s="1"/>
    </row>
    <row r="29" customFormat="false" ht="15.75" hidden="false" customHeight="true" outlineLevel="0" collapsed="false">
      <c r="A29" s="259"/>
      <c r="B29" s="277" t="s">
        <v>1862</v>
      </c>
      <c r="C29" s="259"/>
      <c r="D29" s="259"/>
      <c r="X29" s="1"/>
      <c r="Y29" s="1"/>
      <c r="Z29" s="1"/>
    </row>
    <row r="30" customFormat="false" ht="15.75" hidden="false" customHeight="true" outlineLevel="0" collapsed="false">
      <c r="A30" s="253"/>
      <c r="B30" s="253"/>
      <c r="C30" s="253"/>
      <c r="D30" s="253"/>
      <c r="X30" s="1"/>
      <c r="Y30" s="1"/>
      <c r="Z30" s="1"/>
    </row>
    <row r="31" customFormat="false" ht="15.75" hidden="false" customHeight="true" outlineLevel="0" collapsed="false">
      <c r="A31" s="273"/>
      <c r="B31" s="273" t="s">
        <v>1863</v>
      </c>
      <c r="C31" s="273"/>
      <c r="D31" s="273"/>
      <c r="X31" s="1"/>
      <c r="Y31" s="1"/>
      <c r="Z31" s="1"/>
    </row>
    <row r="32" customFormat="false" ht="15.75" hidden="false" customHeight="true" outlineLevel="0" collapsed="false">
      <c r="A32" s="259"/>
      <c r="B32" s="277" t="s">
        <v>1864</v>
      </c>
      <c r="C32" s="259"/>
      <c r="D32" s="259"/>
      <c r="X32" s="1"/>
      <c r="Y32" s="1"/>
      <c r="Z32" s="1"/>
    </row>
    <row r="33" customFormat="false" ht="15.75" hidden="false" customHeight="true" outlineLevel="0" collapsed="false">
      <c r="A33" s="253"/>
      <c r="B33" s="253"/>
      <c r="C33" s="253"/>
      <c r="D33" s="253"/>
      <c r="X33" s="1"/>
      <c r="Y33" s="1"/>
      <c r="Z33" s="1"/>
    </row>
    <row r="34" customFormat="false" ht="15.75" hidden="false" customHeight="true" outlineLevel="0" collapsed="false">
      <c r="A34" s="273"/>
      <c r="B34" s="273" t="s">
        <v>1865</v>
      </c>
      <c r="C34" s="273"/>
      <c r="D34" s="273"/>
      <c r="X34" s="1"/>
      <c r="Y34" s="1"/>
      <c r="Z34" s="1"/>
    </row>
    <row r="35" customFormat="false" ht="15.75" hidden="false" customHeight="true" outlineLevel="0" collapsed="false">
      <c r="A35" s="259"/>
      <c r="B35" s="278" t="s">
        <v>1866</v>
      </c>
      <c r="C35" s="259"/>
      <c r="D35" s="259"/>
      <c r="X35" s="1"/>
      <c r="Y35" s="1"/>
      <c r="Z35" s="1"/>
    </row>
    <row r="36" customFormat="false" ht="15.75" hidden="false" customHeight="true" outlineLevel="0" collapsed="false">
      <c r="A36" s="253"/>
      <c r="B36" s="253"/>
      <c r="C36" s="253"/>
      <c r="D36" s="253"/>
      <c r="X36" s="1"/>
      <c r="Y36" s="1"/>
      <c r="Z36" s="1"/>
    </row>
    <row r="37" customFormat="false" ht="15.75" hidden="false" customHeight="true" outlineLevel="0" collapsed="false">
      <c r="A37" s="273"/>
      <c r="B37" s="273" t="s">
        <v>1867</v>
      </c>
      <c r="C37" s="273"/>
      <c r="D37" s="273"/>
      <c r="X37" s="1"/>
      <c r="Y37" s="1"/>
      <c r="Z37" s="1"/>
    </row>
    <row r="38" customFormat="false" ht="15.75" hidden="false" customHeight="true" outlineLevel="0" collapsed="false">
      <c r="A38" s="259"/>
      <c r="B38" s="259" t="s">
        <v>1868</v>
      </c>
      <c r="C38" s="259"/>
      <c r="D38" s="259"/>
      <c r="X38" s="1"/>
      <c r="Y38" s="1"/>
      <c r="Z38" s="1"/>
    </row>
    <row r="39" customFormat="false" ht="15.75" hidden="false" customHeight="true" outlineLevel="0" collapsed="false">
      <c r="A39" s="253"/>
      <c r="B39" s="253"/>
      <c r="C39" s="253"/>
      <c r="D39" s="253"/>
      <c r="X39" s="1"/>
      <c r="Y39" s="1"/>
      <c r="Z39" s="1"/>
    </row>
    <row r="40" customFormat="false" ht="15.75" hidden="false" customHeight="true" outlineLevel="0" collapsed="false">
      <c r="A40" s="260"/>
      <c r="B40" s="260" t="s">
        <v>1869</v>
      </c>
      <c r="C40" s="260"/>
      <c r="D40" s="260"/>
      <c r="X40" s="1"/>
      <c r="Y40" s="1"/>
      <c r="Z40" s="1"/>
    </row>
    <row r="41" customFormat="false" ht="15.75" hidden="false" customHeight="true" outlineLevel="0" collapsed="false">
      <c r="A41" s="273"/>
      <c r="B41" s="273" t="s">
        <v>1870</v>
      </c>
      <c r="C41" s="273"/>
      <c r="D41" s="273"/>
      <c r="X41" s="1"/>
      <c r="Y41" s="1"/>
      <c r="Z41" s="1"/>
    </row>
    <row r="42" customFormat="false" ht="15.75" hidden="false" customHeight="true" outlineLevel="0" collapsed="false">
      <c r="A42" s="259"/>
      <c r="B42" s="259"/>
      <c r="C42" s="259"/>
      <c r="D42" s="259"/>
      <c r="X42" s="1"/>
      <c r="Y42" s="1"/>
      <c r="Z42" s="1"/>
    </row>
    <row r="43" customFormat="false" ht="15.75" hidden="false" customHeight="true" outlineLevel="0" collapsed="false">
      <c r="A43" s="253"/>
      <c r="B43" s="253" t="s">
        <v>1871</v>
      </c>
      <c r="C43" s="253"/>
      <c r="D43" s="253"/>
      <c r="X43" s="1"/>
      <c r="Y43" s="1"/>
      <c r="Z43" s="1"/>
    </row>
    <row r="44" customFormat="false" ht="15.75" hidden="false" customHeight="true" outlineLevel="0" collapsed="false">
      <c r="A44" s="273"/>
      <c r="B44" s="273" t="s">
        <v>33</v>
      </c>
      <c r="C44" s="273"/>
      <c r="D44" s="273"/>
      <c r="X44" s="1"/>
      <c r="Y44" s="1"/>
      <c r="Z44" s="1"/>
    </row>
    <row r="45" customFormat="false" ht="15.75" hidden="false" customHeight="true" outlineLevel="0" collapsed="false">
      <c r="A45" s="259"/>
      <c r="B45" s="259" t="s">
        <v>1872</v>
      </c>
      <c r="C45" s="259"/>
      <c r="D45" s="259"/>
      <c r="X45" s="1"/>
      <c r="Y45" s="1"/>
      <c r="Z45" s="1"/>
    </row>
    <row r="46" customFormat="false" ht="15.75" hidden="false" customHeight="true" outlineLevel="0" collapsed="false">
      <c r="A46" s="253"/>
      <c r="B46" s="253"/>
      <c r="C46" s="253"/>
      <c r="D46" s="253"/>
      <c r="X46" s="1"/>
      <c r="Y46" s="1"/>
      <c r="Z46" s="1"/>
    </row>
    <row r="47" customFormat="false" ht="15.75" hidden="false" customHeight="true" outlineLevel="0" collapsed="false">
      <c r="A47" s="273"/>
      <c r="B47" s="273" t="s">
        <v>35</v>
      </c>
      <c r="C47" s="273"/>
      <c r="D47" s="273"/>
      <c r="X47" s="1"/>
      <c r="Y47" s="1"/>
      <c r="Z47" s="1"/>
    </row>
    <row r="48" customFormat="false" ht="15.75" hidden="false" customHeight="true" outlineLevel="0" collapsed="false">
      <c r="A48" s="259"/>
      <c r="B48" s="259" t="s">
        <v>1873</v>
      </c>
      <c r="C48" s="259"/>
      <c r="D48" s="259"/>
      <c r="X48" s="1"/>
      <c r="Y48" s="1"/>
      <c r="Z48" s="1"/>
    </row>
    <row r="49" customFormat="false" ht="15.75" hidden="false" customHeight="true" outlineLevel="0" collapsed="false">
      <c r="A49" s="253"/>
      <c r="B49" s="253"/>
      <c r="C49" s="253"/>
      <c r="D49" s="253"/>
      <c r="X49" s="1"/>
      <c r="Y49" s="1"/>
      <c r="Z49" s="1"/>
    </row>
    <row r="50" customFormat="false" ht="15.75" hidden="false" customHeight="true" outlineLevel="0" collapsed="false">
      <c r="A50" s="279"/>
      <c r="B50" s="280" t="s">
        <v>37</v>
      </c>
      <c r="C50" s="279"/>
      <c r="D50" s="279"/>
      <c r="X50" s="1"/>
      <c r="Y50" s="1"/>
      <c r="Z50" s="1"/>
    </row>
    <row r="51" customFormat="false" ht="15.75" hidden="false" customHeight="true" outlineLevel="0" collapsed="false">
      <c r="A51" s="253"/>
      <c r="B51" s="253" t="s">
        <v>1874</v>
      </c>
      <c r="C51" s="253"/>
      <c r="D51" s="253"/>
      <c r="X51" s="1"/>
      <c r="Y51" s="1"/>
      <c r="Z51" s="1"/>
    </row>
    <row r="52" customFormat="false" ht="15.75" hidden="false" customHeight="true" outlineLevel="0" collapsed="false">
      <c r="A52" s="260"/>
      <c r="B52" s="260"/>
      <c r="C52" s="260"/>
      <c r="D52" s="260"/>
      <c r="X52" s="1"/>
      <c r="Y52" s="1"/>
      <c r="Z52" s="1"/>
    </row>
    <row r="53" customFormat="false" ht="15.75" hidden="false" customHeight="true" outlineLevel="0" collapsed="false">
      <c r="A53" s="268"/>
      <c r="B53" s="268" t="s">
        <v>1875</v>
      </c>
      <c r="C53" s="268"/>
      <c r="D53" s="268"/>
      <c r="X53" s="1"/>
      <c r="Y53" s="1"/>
      <c r="Z53" s="1"/>
    </row>
    <row r="54" customFormat="false" ht="15.75" hidden="false" customHeight="true" outlineLevel="0" collapsed="false">
      <c r="A54" s="130"/>
      <c r="B54" s="130" t="s">
        <v>1876</v>
      </c>
      <c r="C54" s="130"/>
      <c r="D54" s="130"/>
      <c r="X54" s="1"/>
      <c r="Y54" s="1"/>
      <c r="Z54" s="1"/>
    </row>
    <row r="55" customFormat="false" ht="15.75" hidden="false" customHeight="true" outlineLevel="0" collapsed="false">
      <c r="A55" s="268"/>
      <c r="B55" s="268" t="s">
        <v>1877</v>
      </c>
      <c r="C55" s="268"/>
      <c r="D55" s="268"/>
      <c r="X55" s="1"/>
      <c r="Y55" s="1"/>
      <c r="Z55" s="1"/>
    </row>
    <row r="56" customFormat="false" ht="15.75" hidden="false" customHeight="true" outlineLevel="0" collapsed="false">
      <c r="A56" s="130"/>
      <c r="B56" s="130" t="s">
        <v>1878</v>
      </c>
      <c r="C56" s="130"/>
      <c r="D56" s="130"/>
      <c r="X56" s="1"/>
      <c r="Y56" s="1"/>
      <c r="Z56" s="1"/>
    </row>
    <row r="57" customFormat="false" ht="15.75" hidden="false" customHeight="true" outlineLevel="0" collapsed="false">
      <c r="A57" s="268"/>
      <c r="B57" s="268" t="s">
        <v>1879</v>
      </c>
      <c r="C57" s="268"/>
      <c r="D57" s="268"/>
      <c r="X57" s="1"/>
      <c r="Y57" s="1"/>
      <c r="Z57" s="1"/>
    </row>
    <row r="58" customFormat="false" ht="15.75" hidden="false" customHeight="true" outlineLevel="0" collapsed="false">
      <c r="A58" s="130"/>
      <c r="B58" s="130" t="s">
        <v>1880</v>
      </c>
      <c r="C58" s="130"/>
      <c r="D58" s="130"/>
      <c r="X58" s="1"/>
      <c r="Y58" s="1"/>
      <c r="Z58" s="1"/>
    </row>
    <row r="59" customFormat="false" ht="15.75" hidden="false" customHeight="true" outlineLevel="0" collapsed="false">
      <c r="A59" s="268"/>
      <c r="B59" s="268" t="s">
        <v>1881</v>
      </c>
      <c r="C59" s="268"/>
      <c r="D59" s="268"/>
      <c r="X59" s="1"/>
      <c r="Y59" s="1"/>
      <c r="Z59" s="1"/>
    </row>
    <row r="60" customFormat="false" ht="15.75" hidden="false" customHeight="true" outlineLevel="0" collapsed="false">
      <c r="A60" s="130"/>
      <c r="B60" s="130" t="s">
        <v>1882</v>
      </c>
      <c r="C60" s="130"/>
      <c r="D60" s="130"/>
      <c r="X60" s="1"/>
      <c r="Y60" s="1"/>
      <c r="Z60" s="1"/>
    </row>
    <row r="61" customFormat="false" ht="15.75" hidden="false" customHeight="true" outlineLevel="0" collapsed="false">
      <c r="A61" s="268"/>
      <c r="B61" s="268" t="s">
        <v>1883</v>
      </c>
      <c r="C61" s="268"/>
      <c r="D61" s="268"/>
      <c r="X61" s="1"/>
      <c r="Y61" s="1"/>
      <c r="Z61" s="1"/>
    </row>
    <row r="62" customFormat="false" ht="15.75" hidden="false" customHeight="true" outlineLevel="0" collapsed="false">
      <c r="A62" s="130"/>
      <c r="B62" s="130" t="s">
        <v>1884</v>
      </c>
      <c r="C62" s="130"/>
      <c r="D62" s="130"/>
      <c r="X62" s="1"/>
      <c r="Y62" s="1"/>
      <c r="Z62" s="1"/>
    </row>
    <row r="63" customFormat="false" ht="15.75" hidden="false" customHeight="true" outlineLevel="0" collapsed="false">
      <c r="A63" s="268"/>
      <c r="B63" s="268" t="s">
        <v>1885</v>
      </c>
      <c r="C63" s="268"/>
      <c r="D63" s="268"/>
      <c r="X63" s="1"/>
      <c r="Y63" s="1"/>
      <c r="Z63" s="1"/>
    </row>
    <row r="64" customFormat="false" ht="15.75" hidden="false" customHeight="true" outlineLevel="0" collapsed="false">
      <c r="A64" s="130"/>
      <c r="B64" s="130" t="s">
        <v>1886</v>
      </c>
      <c r="C64" s="130"/>
      <c r="D64" s="130"/>
      <c r="X64" s="1"/>
      <c r="Y64" s="1"/>
      <c r="Z64" s="1"/>
    </row>
    <row r="65" customFormat="false" ht="15.75" hidden="false" customHeight="true" outlineLevel="0" collapsed="false">
      <c r="A65" s="260"/>
      <c r="B65" s="260" t="s">
        <v>1887</v>
      </c>
      <c r="C65" s="260"/>
      <c r="D65" s="260"/>
      <c r="X65" s="1"/>
      <c r="Y65" s="1"/>
      <c r="Z65" s="1"/>
    </row>
    <row r="66" customFormat="false" ht="15.75" hidden="false" customHeight="true" outlineLevel="0" collapsed="false">
      <c r="A66" s="253"/>
      <c r="B66" s="253"/>
      <c r="C66" s="253"/>
      <c r="D66" s="253"/>
      <c r="X66" s="1"/>
      <c r="Y66" s="1"/>
      <c r="Z66" s="1"/>
    </row>
    <row r="67" customFormat="false" ht="15.75" hidden="false" customHeight="true" outlineLevel="0" collapsed="false">
      <c r="A67" s="281"/>
      <c r="B67" s="281" t="s">
        <v>1888</v>
      </c>
      <c r="C67" s="281"/>
      <c r="D67" s="281"/>
      <c r="X67" s="1"/>
      <c r="Y67" s="1"/>
      <c r="Z67" s="1"/>
    </row>
    <row r="68" customFormat="false" ht="15.75" hidden="false" customHeight="true" outlineLevel="0" collapsed="false">
      <c r="A68" s="156"/>
      <c r="B68" s="156" t="s">
        <v>1889</v>
      </c>
      <c r="C68" s="156"/>
      <c r="D68" s="156"/>
      <c r="X68" s="1"/>
      <c r="Y68" s="1"/>
      <c r="Z68" s="1"/>
    </row>
    <row r="69" customFormat="false" ht="15.75" hidden="false" customHeight="true" outlineLevel="0" collapsed="false">
      <c r="A69" s="253"/>
      <c r="B69" s="253"/>
      <c r="C69" s="253"/>
      <c r="D69" s="253"/>
      <c r="X69" s="1"/>
      <c r="Y69" s="1"/>
      <c r="Z69" s="1"/>
    </row>
    <row r="70" customFormat="false" ht="15.75" hidden="false" customHeight="true" outlineLevel="0" collapsed="false">
      <c r="A70" s="281"/>
      <c r="B70" s="281" t="s">
        <v>1890</v>
      </c>
      <c r="C70" s="281"/>
      <c r="D70" s="281"/>
      <c r="X70" s="1"/>
      <c r="Y70" s="1"/>
      <c r="Z70" s="1"/>
    </row>
    <row r="71" customFormat="false" ht="15.75" hidden="false" customHeight="true" outlineLevel="0" collapsed="false">
      <c r="A71" s="156"/>
      <c r="B71" s="156" t="s">
        <v>1891</v>
      </c>
      <c r="C71" s="156"/>
      <c r="D71" s="156"/>
      <c r="X71" s="1"/>
      <c r="Y71" s="1"/>
      <c r="Z71" s="1"/>
    </row>
    <row r="72" customFormat="false" ht="15.75" hidden="false" customHeight="true" outlineLevel="0" collapsed="false">
      <c r="A72" s="253"/>
      <c r="B72" s="253"/>
      <c r="C72" s="253"/>
      <c r="D72" s="253"/>
      <c r="X72" s="1"/>
      <c r="Y72" s="1"/>
      <c r="Z72" s="1"/>
    </row>
    <row r="73" customFormat="false" ht="15.75" hidden="false" customHeight="true" outlineLevel="0" collapsed="false">
      <c r="A73" s="281"/>
      <c r="B73" s="281" t="s">
        <v>1892</v>
      </c>
      <c r="C73" s="281"/>
      <c r="D73" s="281"/>
      <c r="X73" s="1"/>
      <c r="Y73" s="1"/>
      <c r="Z73" s="1"/>
    </row>
    <row r="74" customFormat="false" ht="15.75" hidden="false" customHeight="true" outlineLevel="0" collapsed="false">
      <c r="A74" s="156"/>
      <c r="B74" s="156" t="s">
        <v>1893</v>
      </c>
      <c r="C74" s="156"/>
      <c r="D74" s="156"/>
      <c r="X74" s="1"/>
      <c r="Y74" s="1"/>
      <c r="Z74" s="1"/>
    </row>
    <row r="75" customFormat="false" ht="15.75" hidden="false" customHeight="true" outlineLevel="0" collapsed="false">
      <c r="A75" s="253"/>
      <c r="B75" s="253"/>
      <c r="C75" s="253"/>
      <c r="D75" s="253"/>
      <c r="X75" s="1"/>
      <c r="Y75" s="1"/>
      <c r="Z75" s="1"/>
    </row>
    <row r="76" customFormat="false" ht="15.75" hidden="false" customHeight="true" outlineLevel="0" collapsed="false">
      <c r="A76" s="281"/>
      <c r="B76" s="281" t="s">
        <v>1894</v>
      </c>
      <c r="C76" s="281"/>
      <c r="D76" s="281"/>
      <c r="X76" s="1"/>
      <c r="Y76" s="1"/>
      <c r="Z76" s="1"/>
    </row>
    <row r="77" customFormat="false" ht="15.75" hidden="false" customHeight="true" outlineLevel="0" collapsed="false">
      <c r="A77" s="156"/>
      <c r="B77" s="156" t="s">
        <v>1895</v>
      </c>
      <c r="C77" s="156"/>
      <c r="D77" s="156"/>
      <c r="X77" s="1"/>
      <c r="Y77" s="1"/>
      <c r="Z77" s="1"/>
    </row>
    <row r="78" customFormat="false" ht="15.75" hidden="false" customHeight="true" outlineLevel="0" collapsed="false">
      <c r="A78" s="253"/>
      <c r="B78" s="253"/>
      <c r="C78" s="253"/>
      <c r="D78" s="253"/>
      <c r="X78" s="1"/>
      <c r="Y78" s="1"/>
      <c r="Z78" s="1"/>
    </row>
    <row r="79" customFormat="false" ht="15.75" hidden="false" customHeight="true" outlineLevel="0" collapsed="false">
      <c r="A79" s="281"/>
      <c r="B79" s="281" t="s">
        <v>1896</v>
      </c>
      <c r="C79" s="281"/>
      <c r="D79" s="281"/>
      <c r="X79" s="1"/>
      <c r="Y79" s="1"/>
      <c r="Z79" s="1"/>
    </row>
    <row r="80" customFormat="false" ht="15.75" hidden="false" customHeight="true" outlineLevel="0" collapsed="false">
      <c r="A80" s="156"/>
      <c r="B80" s="156" t="s">
        <v>1897</v>
      </c>
      <c r="C80" s="156"/>
      <c r="D80" s="156"/>
      <c r="X80" s="1"/>
      <c r="Y80" s="1"/>
      <c r="Z80" s="1"/>
    </row>
    <row r="81" customFormat="false" ht="15.75" hidden="false" customHeight="true" outlineLevel="0" collapsed="false">
      <c r="A81" s="253"/>
      <c r="B81" s="253"/>
      <c r="C81" s="253"/>
      <c r="D81" s="253"/>
      <c r="X81" s="1"/>
      <c r="Y81" s="1"/>
      <c r="Z81" s="1"/>
    </row>
    <row r="82" customFormat="false" ht="15.75" hidden="false" customHeight="true" outlineLevel="0" collapsed="false">
      <c r="A82" s="281"/>
      <c r="B82" s="281" t="s">
        <v>1898</v>
      </c>
      <c r="C82" s="281"/>
      <c r="D82" s="281"/>
      <c r="X82" s="1"/>
      <c r="Y82" s="1"/>
      <c r="Z82" s="1"/>
    </row>
    <row r="83" customFormat="false" ht="15.75" hidden="false" customHeight="true" outlineLevel="0" collapsed="false">
      <c r="A83" s="156"/>
      <c r="B83" s="156" t="s">
        <v>1899</v>
      </c>
      <c r="C83" s="156"/>
      <c r="D83" s="156"/>
      <c r="X83" s="1"/>
      <c r="Y83" s="1"/>
      <c r="Z83" s="1"/>
    </row>
    <row r="84" customFormat="false" ht="15.75" hidden="false" customHeight="true" outlineLevel="0" collapsed="false">
      <c r="A84" s="253"/>
      <c r="B84" s="253"/>
      <c r="C84" s="253"/>
      <c r="D84" s="253"/>
      <c r="X84" s="1"/>
      <c r="Y84" s="1"/>
      <c r="Z84" s="1"/>
    </row>
    <row r="85" customFormat="false" ht="15.75" hidden="false" customHeight="true" outlineLevel="0" collapsed="false">
      <c r="A85" s="281"/>
      <c r="B85" s="281" t="s">
        <v>1900</v>
      </c>
      <c r="C85" s="281"/>
      <c r="D85" s="281"/>
      <c r="X85" s="1"/>
      <c r="Y85" s="1"/>
      <c r="Z85" s="1"/>
    </row>
    <row r="86" customFormat="false" ht="15.75" hidden="false" customHeight="true" outlineLevel="0" collapsed="false">
      <c r="A86" s="156"/>
      <c r="B86" s="156" t="s">
        <v>1901</v>
      </c>
      <c r="C86" s="156"/>
      <c r="D86" s="156"/>
      <c r="X86" s="1"/>
      <c r="Y86" s="1"/>
      <c r="Z86" s="1"/>
    </row>
    <row r="87" customFormat="false" ht="15.75" hidden="false" customHeight="true" outlineLevel="0" collapsed="false">
      <c r="A87" s="253"/>
      <c r="B87" s="253"/>
      <c r="C87" s="253"/>
      <c r="D87" s="253"/>
      <c r="X87" s="1"/>
      <c r="Y87" s="1"/>
      <c r="Z87" s="1"/>
    </row>
    <row r="88" customFormat="false" ht="15.75" hidden="false" customHeight="true" outlineLevel="0" collapsed="false">
      <c r="A88" s="281"/>
      <c r="B88" s="281" t="s">
        <v>1902</v>
      </c>
      <c r="C88" s="281"/>
      <c r="D88" s="281"/>
      <c r="X88" s="1"/>
      <c r="Y88" s="1"/>
      <c r="Z88" s="1"/>
    </row>
    <row r="89" customFormat="false" ht="15.75" hidden="false" customHeight="true" outlineLevel="0" collapsed="false">
      <c r="A89" s="156"/>
      <c r="B89" s="156" t="s">
        <v>1903</v>
      </c>
      <c r="C89" s="156"/>
      <c r="D89" s="156"/>
      <c r="X89" s="1"/>
      <c r="Y89" s="1"/>
      <c r="Z89" s="1"/>
    </row>
    <row r="90" customFormat="false" ht="15.75" hidden="false" customHeight="true" outlineLevel="0" collapsed="false">
      <c r="A90" s="253"/>
      <c r="B90" s="253"/>
      <c r="C90" s="253"/>
      <c r="D90" s="253"/>
      <c r="X90" s="1"/>
      <c r="Y90" s="1"/>
      <c r="Z90" s="1"/>
    </row>
    <row r="91" customFormat="false" ht="15.75" hidden="false" customHeight="true" outlineLevel="0" collapsed="false">
      <c r="A91" s="281"/>
      <c r="B91" s="281" t="s">
        <v>1904</v>
      </c>
      <c r="C91" s="281"/>
      <c r="D91" s="281"/>
      <c r="X91" s="1"/>
      <c r="Y91" s="1"/>
      <c r="Z91" s="1"/>
    </row>
    <row r="92" customFormat="false" ht="15.75" hidden="false" customHeight="true" outlineLevel="0" collapsed="false">
      <c r="A92" s="156"/>
      <c r="B92" s="156" t="s">
        <v>1905</v>
      </c>
      <c r="C92" s="156"/>
      <c r="D92" s="156"/>
      <c r="X92" s="1"/>
      <c r="Y92" s="1"/>
      <c r="Z92" s="1"/>
    </row>
    <row r="93" customFormat="false" ht="15.75" hidden="false" customHeight="true" outlineLevel="0" collapsed="false">
      <c r="A93" s="253"/>
      <c r="B93" s="253"/>
      <c r="C93" s="253"/>
      <c r="D93" s="253"/>
      <c r="X93" s="1"/>
      <c r="Y93" s="1"/>
      <c r="Z93" s="1"/>
    </row>
    <row r="94" customFormat="false" ht="15.75" hidden="false" customHeight="true" outlineLevel="0" collapsed="false">
      <c r="A94" s="253"/>
      <c r="B94" s="253" t="s">
        <v>1906</v>
      </c>
      <c r="C94" s="253"/>
      <c r="D94" s="253"/>
      <c r="X94" s="1"/>
      <c r="Y94" s="1"/>
      <c r="Z94" s="1"/>
    </row>
    <row r="95" customFormat="false" ht="15.75" hidden="false" customHeight="true" outlineLevel="0" collapsed="false">
      <c r="A95" s="253"/>
      <c r="B95" s="253" t="s">
        <v>1907</v>
      </c>
      <c r="C95" s="253"/>
      <c r="D95" s="253"/>
      <c r="X95" s="1"/>
      <c r="Y95" s="1"/>
      <c r="Z95" s="1"/>
    </row>
    <row r="96" customFormat="false" ht="15.75" hidden="false" customHeight="true" outlineLevel="0" collapsed="false">
      <c r="A96" s="260"/>
      <c r="B96" s="260"/>
      <c r="C96" s="260"/>
      <c r="D96" s="260"/>
      <c r="X96" s="1"/>
      <c r="Y96" s="1"/>
      <c r="Z96" s="1"/>
    </row>
    <row r="97" customFormat="false" ht="15.75" hidden="false" customHeight="true" outlineLevel="0" collapsed="false">
      <c r="A97" s="282"/>
      <c r="B97" s="282" t="s">
        <v>1908</v>
      </c>
      <c r="C97" s="282"/>
      <c r="D97" s="282"/>
      <c r="X97" s="1"/>
      <c r="Y97" s="1"/>
      <c r="Z97" s="1"/>
    </row>
    <row r="98" customFormat="false" ht="15.75" hidden="false" customHeight="true" outlineLevel="0" collapsed="false">
      <c r="A98" s="282"/>
      <c r="B98" s="282" t="s">
        <v>1909</v>
      </c>
      <c r="C98" s="282"/>
      <c r="D98" s="282"/>
      <c r="X98" s="1"/>
      <c r="Y98" s="1"/>
      <c r="Z98" s="1"/>
    </row>
    <row r="99" customFormat="false" ht="15.75" hidden="false" customHeight="true" outlineLevel="0" collapsed="false">
      <c r="A99" s="282"/>
      <c r="B99" s="282" t="s">
        <v>1910</v>
      </c>
      <c r="C99" s="282"/>
      <c r="D99" s="282"/>
      <c r="X99" s="1"/>
      <c r="Y99" s="1"/>
      <c r="Z99" s="1"/>
    </row>
    <row r="100" customFormat="false" ht="15.75" hidden="false" customHeight="true" outlineLevel="0" collapsed="false">
      <c r="A100" s="282"/>
      <c r="B100" s="282" t="s">
        <v>1911</v>
      </c>
      <c r="C100" s="282"/>
      <c r="D100" s="282"/>
      <c r="X100" s="1"/>
      <c r="Y100" s="1"/>
      <c r="Z100" s="1"/>
    </row>
    <row r="101" customFormat="false" ht="15.75" hidden="false" customHeight="true" outlineLevel="0" collapsed="false">
      <c r="A101" s="282"/>
      <c r="B101" s="282" t="s">
        <v>1912</v>
      </c>
      <c r="C101" s="282"/>
      <c r="D101" s="282"/>
      <c r="X101" s="1"/>
      <c r="Y101" s="1"/>
      <c r="Z101" s="1"/>
    </row>
    <row r="102" customFormat="false" ht="15.75" hidden="false" customHeight="true" outlineLevel="0" collapsed="false">
      <c r="A102" s="282"/>
      <c r="B102" s="282" t="s">
        <v>1913</v>
      </c>
      <c r="C102" s="282"/>
      <c r="D102" s="282"/>
      <c r="X102" s="1"/>
      <c r="Y102" s="1"/>
      <c r="Z102" s="1"/>
    </row>
    <row r="103" customFormat="false" ht="15.75" hidden="false" customHeight="true" outlineLevel="0" collapsed="false">
      <c r="A103" s="282"/>
      <c r="B103" s="282" t="s">
        <v>1914</v>
      </c>
      <c r="C103" s="282"/>
      <c r="D103" s="282"/>
      <c r="X103" s="1"/>
      <c r="Y103" s="1"/>
      <c r="Z103" s="1"/>
    </row>
    <row r="104" customFormat="false" ht="15.75" hidden="false" customHeight="true" outlineLevel="0" collapsed="false">
      <c r="A104" s="282"/>
      <c r="B104" s="282" t="s">
        <v>1915</v>
      </c>
      <c r="C104" s="282"/>
      <c r="D104" s="282"/>
      <c r="X104" s="1"/>
      <c r="Y104" s="1"/>
      <c r="Z104" s="1"/>
    </row>
    <row r="105" customFormat="false" ht="15.75" hidden="false" customHeight="true" outlineLevel="0" collapsed="false">
      <c r="A105" s="282"/>
      <c r="B105" s="282" t="s">
        <v>1916</v>
      </c>
      <c r="C105" s="282"/>
      <c r="D105" s="282"/>
      <c r="X105" s="1"/>
      <c r="Y105" s="1"/>
      <c r="Z105" s="1"/>
    </row>
    <row r="106" customFormat="false" ht="15.75" hidden="false" customHeight="true" outlineLevel="0" collapsed="false">
      <c r="A106" s="282"/>
      <c r="B106" s="282" t="s">
        <v>1917</v>
      </c>
      <c r="C106" s="282"/>
      <c r="D106" s="282"/>
      <c r="X106" s="1"/>
      <c r="Y106" s="1"/>
      <c r="Z106" s="1"/>
    </row>
    <row r="107" customFormat="false" ht="15.75" hidden="false" customHeight="true" outlineLevel="0" collapsed="false">
      <c r="A107" s="282"/>
      <c r="B107" s="282" t="s">
        <v>1918</v>
      </c>
      <c r="C107" s="282"/>
      <c r="D107" s="282"/>
      <c r="X107" s="1"/>
      <c r="Y107" s="1"/>
      <c r="Z107" s="1"/>
    </row>
    <row r="108" customFormat="false" ht="15.75" hidden="false" customHeight="true" outlineLevel="0" collapsed="false">
      <c r="A108" s="253"/>
      <c r="B108" s="253"/>
      <c r="C108" s="253"/>
      <c r="D108" s="253"/>
      <c r="X108" s="1"/>
      <c r="Y108" s="1"/>
      <c r="Z108" s="1"/>
    </row>
    <row r="109" customFormat="false" ht="27" hidden="false" customHeight="true" outlineLevel="0" collapsed="false">
      <c r="A109" s="283"/>
      <c r="B109" s="283" t="s">
        <v>1919</v>
      </c>
      <c r="C109" s="283"/>
      <c r="D109" s="283"/>
      <c r="X109" s="1"/>
      <c r="Y109" s="1"/>
      <c r="Z109" s="1"/>
    </row>
    <row r="110" customFormat="false" ht="22.5" hidden="false" customHeight="true" outlineLevel="0" collapsed="false">
      <c r="A110" s="284"/>
      <c r="B110" s="284" t="s">
        <v>1920</v>
      </c>
      <c r="C110" s="284"/>
      <c r="D110" s="284"/>
      <c r="X110" s="1"/>
      <c r="Y110" s="1"/>
      <c r="Z110" s="1"/>
    </row>
    <row r="111" customFormat="false" ht="15.75" hidden="false" customHeight="true" outlineLevel="0" collapsed="false">
      <c r="A111" s="253"/>
      <c r="B111" s="253" t="s">
        <v>1921</v>
      </c>
      <c r="C111" s="253"/>
      <c r="D111" s="253"/>
      <c r="X111" s="1"/>
      <c r="Y111" s="1"/>
      <c r="Z111" s="1"/>
    </row>
    <row r="112" customFormat="false" ht="15.75" hidden="false" customHeight="true" outlineLevel="0" collapsed="false">
      <c r="A112" s="253"/>
      <c r="B112" s="253"/>
      <c r="C112" s="253"/>
      <c r="D112" s="253"/>
      <c r="X112" s="1"/>
      <c r="Y112" s="1"/>
      <c r="Z112" s="1"/>
    </row>
    <row r="113" customFormat="false" ht="22.5" hidden="false" customHeight="true" outlineLevel="0" collapsed="false">
      <c r="A113" s="284"/>
      <c r="B113" s="284" t="s">
        <v>1922</v>
      </c>
      <c r="C113" s="284"/>
      <c r="D113" s="284"/>
      <c r="X113" s="1"/>
      <c r="Y113" s="1"/>
      <c r="Z113" s="1"/>
    </row>
    <row r="114" customFormat="false" ht="21" hidden="false" customHeight="true" outlineLevel="0" collapsed="false">
      <c r="A114" s="154"/>
      <c r="B114" s="154" t="s">
        <v>1923</v>
      </c>
      <c r="C114" s="154"/>
      <c r="D114" s="154"/>
      <c r="X114" s="1"/>
      <c r="Y114" s="1"/>
      <c r="Z114" s="1"/>
    </row>
    <row r="115" customFormat="false" ht="21" hidden="false" customHeight="true" outlineLevel="0" collapsed="false">
      <c r="A115" s="267"/>
      <c r="B115" s="267" t="s">
        <v>1924</v>
      </c>
      <c r="C115" s="267"/>
      <c r="D115" s="267"/>
      <c r="X115" s="1"/>
      <c r="Y115" s="1"/>
      <c r="Z115" s="1"/>
    </row>
    <row r="116" customFormat="false" ht="21" hidden="false" customHeight="true" outlineLevel="0" collapsed="false">
      <c r="A116" s="267"/>
      <c r="B116" s="267" t="s">
        <v>1925</v>
      </c>
      <c r="C116" s="267"/>
      <c r="D116" s="267"/>
      <c r="X116" s="1"/>
      <c r="Y116" s="1"/>
      <c r="Z116" s="1"/>
    </row>
    <row r="117" customFormat="false" ht="21" hidden="false" customHeight="true" outlineLevel="0" collapsed="false">
      <c r="A117" s="267"/>
      <c r="B117" s="267" t="s">
        <v>1926</v>
      </c>
      <c r="C117" s="267"/>
      <c r="D117" s="267"/>
      <c r="X117" s="1"/>
      <c r="Y117" s="1"/>
      <c r="Z117" s="1"/>
    </row>
    <row r="118" customFormat="false" ht="21" hidden="false" customHeight="true" outlineLevel="0" collapsed="false">
      <c r="A118" s="267"/>
      <c r="B118" s="267" t="s">
        <v>1927</v>
      </c>
      <c r="C118" s="267"/>
      <c r="D118" s="267"/>
      <c r="X118" s="1"/>
      <c r="Y118" s="1"/>
      <c r="Z118" s="1"/>
    </row>
    <row r="119" customFormat="false" ht="15.75" hidden="false" customHeight="true" outlineLevel="0" collapsed="false">
      <c r="A119" s="253"/>
      <c r="B119" s="253"/>
      <c r="C119" s="253"/>
      <c r="D119" s="253"/>
      <c r="X119" s="1"/>
      <c r="Y119" s="1"/>
      <c r="Z119" s="1"/>
    </row>
    <row r="120" customFormat="false" ht="15.75" hidden="false" customHeight="true" outlineLevel="0" collapsed="false">
      <c r="A120" s="253"/>
      <c r="B120" s="253" t="s">
        <v>1928</v>
      </c>
      <c r="C120" s="253"/>
      <c r="D120" s="253"/>
      <c r="X120" s="1"/>
      <c r="Y120" s="1"/>
      <c r="Z120" s="1"/>
    </row>
    <row r="121" customFormat="false" ht="22.5" hidden="false" customHeight="true" outlineLevel="0" collapsed="false">
      <c r="A121" s="284"/>
      <c r="B121" s="284" t="s">
        <v>1929</v>
      </c>
      <c r="C121" s="284"/>
      <c r="D121" s="284"/>
      <c r="X121" s="1"/>
      <c r="Y121" s="1"/>
      <c r="Z121" s="1"/>
    </row>
    <row r="122" customFormat="false" ht="27" hidden="false" customHeight="true" outlineLevel="0" collapsed="false">
      <c r="A122" s="126"/>
      <c r="B122" s="126" t="s">
        <v>1930</v>
      </c>
      <c r="C122" s="126"/>
      <c r="D122" s="126"/>
      <c r="X122" s="1"/>
      <c r="Y122" s="1"/>
      <c r="Z122" s="1"/>
    </row>
    <row r="123" customFormat="false" ht="27" hidden="false" customHeight="true" outlineLevel="0" collapsed="false">
      <c r="A123" s="130"/>
      <c r="B123" s="130" t="s">
        <v>1931</v>
      </c>
      <c r="C123" s="130"/>
      <c r="D123" s="130"/>
      <c r="X123" s="1"/>
      <c r="Y123" s="1"/>
      <c r="Z123" s="1"/>
    </row>
    <row r="124" customFormat="false" ht="27" hidden="false" customHeight="true" outlineLevel="0" collapsed="false">
      <c r="A124" s="126"/>
      <c r="B124" s="126" t="s">
        <v>1932</v>
      </c>
      <c r="C124" s="126"/>
      <c r="D124" s="126"/>
      <c r="X124" s="1"/>
      <c r="Y124" s="1"/>
      <c r="Z124" s="1"/>
    </row>
    <row r="125" customFormat="false" ht="27" hidden="false" customHeight="true" outlineLevel="0" collapsed="false">
      <c r="A125" s="130"/>
      <c r="B125" s="130"/>
      <c r="C125" s="130"/>
      <c r="D125" s="130"/>
      <c r="X125" s="1"/>
      <c r="Y125" s="1"/>
      <c r="Z125" s="1"/>
    </row>
    <row r="126" customFormat="false" ht="27" hidden="false" customHeight="true" outlineLevel="0" collapsed="false">
      <c r="A126" s="126"/>
      <c r="B126" s="126" t="s">
        <v>1933</v>
      </c>
      <c r="C126" s="126"/>
      <c r="D126" s="126"/>
      <c r="X126" s="1"/>
      <c r="Y126" s="1"/>
      <c r="Z126" s="1"/>
    </row>
    <row r="127" customFormat="false" ht="27" hidden="false" customHeight="true" outlineLevel="0" collapsed="false">
      <c r="A127" s="130"/>
      <c r="B127" s="130" t="s">
        <v>1934</v>
      </c>
      <c r="C127" s="130"/>
      <c r="D127" s="130"/>
      <c r="X127" s="1"/>
      <c r="Y127" s="1"/>
      <c r="Z127" s="1"/>
    </row>
    <row r="128" customFormat="false" ht="27" hidden="false" customHeight="true" outlineLevel="0" collapsed="false">
      <c r="A128" s="126"/>
      <c r="B128" s="126" t="s">
        <v>1935</v>
      </c>
      <c r="C128" s="126"/>
      <c r="D128" s="126"/>
      <c r="X128" s="1"/>
      <c r="Y128" s="1"/>
      <c r="Z128" s="1"/>
    </row>
    <row r="129" customFormat="false" ht="27" hidden="false" customHeight="true" outlineLevel="0" collapsed="false">
      <c r="A129" s="130"/>
      <c r="B129" s="130" t="s">
        <v>1936</v>
      </c>
      <c r="C129" s="130"/>
      <c r="D129" s="130"/>
      <c r="X129" s="1"/>
      <c r="Y129" s="1"/>
      <c r="Z129" s="1"/>
    </row>
    <row r="130" customFormat="false" ht="27" hidden="false" customHeight="true" outlineLevel="0" collapsed="false">
      <c r="A130" s="126"/>
      <c r="B130" s="126" t="s">
        <v>1937</v>
      </c>
      <c r="C130" s="126"/>
      <c r="D130" s="126"/>
      <c r="X130" s="1"/>
      <c r="Y130" s="1"/>
      <c r="Z130" s="1"/>
    </row>
    <row r="131" customFormat="false" ht="27" hidden="false" customHeight="true" outlineLevel="0" collapsed="false">
      <c r="A131" s="130"/>
      <c r="B131" s="130"/>
      <c r="C131" s="130"/>
      <c r="D131" s="130"/>
      <c r="X131" s="1"/>
      <c r="Y131" s="1"/>
      <c r="Z131" s="1"/>
    </row>
    <row r="132" customFormat="false" ht="27" hidden="false" customHeight="true" outlineLevel="0" collapsed="false">
      <c r="A132" s="126"/>
      <c r="B132" s="126" t="s">
        <v>1938</v>
      </c>
      <c r="C132" s="126"/>
      <c r="D132" s="126"/>
      <c r="X132" s="1"/>
      <c r="Y132" s="1"/>
      <c r="Z132" s="1"/>
    </row>
    <row r="133" customFormat="false" ht="27" hidden="false" customHeight="true" outlineLevel="0" collapsed="false">
      <c r="A133" s="130"/>
      <c r="B133" s="130" t="s">
        <v>1939</v>
      </c>
      <c r="C133" s="130"/>
      <c r="D133" s="130"/>
      <c r="X133" s="1"/>
      <c r="Y133" s="1"/>
      <c r="Z133" s="1"/>
    </row>
    <row r="134" customFormat="false" ht="27" hidden="false" customHeight="true" outlineLevel="0" collapsed="false">
      <c r="A134" s="126"/>
      <c r="B134" s="126"/>
      <c r="C134" s="126"/>
      <c r="D134" s="126"/>
      <c r="X134" s="1"/>
      <c r="Y134" s="1"/>
      <c r="Z134" s="1"/>
    </row>
    <row r="135" customFormat="false" ht="27" hidden="false" customHeight="true" outlineLevel="0" collapsed="false">
      <c r="A135" s="130"/>
      <c r="B135" s="130" t="s">
        <v>1940</v>
      </c>
      <c r="C135" s="130"/>
      <c r="D135" s="130"/>
      <c r="X135" s="1"/>
      <c r="Y135" s="1"/>
      <c r="Z135" s="1"/>
    </row>
    <row r="136" customFormat="false" ht="27" hidden="false" customHeight="true" outlineLevel="0" collapsed="false">
      <c r="A136" s="126"/>
      <c r="B136" s="126" t="s">
        <v>1941</v>
      </c>
      <c r="C136" s="126"/>
      <c r="D136" s="126"/>
      <c r="X136" s="1"/>
      <c r="Y136" s="1"/>
      <c r="Z136" s="1"/>
    </row>
    <row r="137" customFormat="false" ht="27" hidden="false" customHeight="true" outlineLevel="0" collapsed="false">
      <c r="A137" s="130"/>
      <c r="B137" s="130"/>
      <c r="C137" s="130"/>
      <c r="D137" s="130"/>
      <c r="X137" s="1"/>
      <c r="Y137" s="1"/>
      <c r="Z137" s="1"/>
    </row>
    <row r="138" customFormat="false" ht="27" hidden="false" customHeight="true" outlineLevel="0" collapsed="false">
      <c r="A138" s="126"/>
      <c r="B138" s="126"/>
      <c r="C138" s="126"/>
      <c r="D138" s="126"/>
      <c r="X138" s="1"/>
      <c r="Y138" s="1"/>
      <c r="Z138" s="1"/>
    </row>
    <row r="139" customFormat="false" ht="27" hidden="false" customHeight="true" outlineLevel="0" collapsed="false">
      <c r="A139" s="130"/>
      <c r="B139" s="130"/>
      <c r="C139" s="130"/>
      <c r="D139" s="130"/>
      <c r="X139" s="1"/>
      <c r="Y139" s="1"/>
      <c r="Z139" s="1"/>
    </row>
    <row r="140" customFormat="false" ht="15.75" hidden="false" customHeight="true" outlineLevel="0" collapsed="false">
      <c r="X140" s="1"/>
      <c r="Y140" s="1"/>
      <c r="Z140" s="1"/>
    </row>
    <row r="141" customFormat="false" ht="15.75" hidden="false" customHeight="true" outlineLevel="0" collapsed="false">
      <c r="B141" s="1" t="s">
        <v>1942</v>
      </c>
      <c r="X141" s="1"/>
      <c r="Y141" s="1"/>
      <c r="Z141" s="1"/>
    </row>
    <row r="142" customFormat="false" ht="15.75" hidden="false" customHeight="true" outlineLevel="0" collapsed="false">
      <c r="B142" s="1" t="s">
        <v>1943</v>
      </c>
      <c r="X142" s="1"/>
      <c r="Y142" s="1"/>
      <c r="Z142" s="1"/>
    </row>
    <row r="143" customFormat="false" ht="27" hidden="false" customHeight="true" outlineLevel="0" collapsed="false">
      <c r="A143" s="260"/>
      <c r="B143" s="254"/>
      <c r="C143" s="254"/>
      <c r="D143" s="254"/>
      <c r="E143" s="254"/>
      <c r="F143" s="254"/>
      <c r="X143" s="1"/>
      <c r="Y143" s="1"/>
      <c r="Z143" s="1"/>
    </row>
    <row r="144" customFormat="false" ht="21" hidden="false" customHeight="true" outlineLevel="0" collapsed="false">
      <c r="A144" s="285"/>
      <c r="B144" s="285" t="s">
        <v>1944</v>
      </c>
      <c r="C144" s="285"/>
      <c r="D144" s="285"/>
      <c r="E144" s="285"/>
      <c r="F144" s="285"/>
      <c r="X144" s="1"/>
      <c r="Y144" s="1"/>
      <c r="Z144" s="1"/>
    </row>
    <row r="145" customFormat="false" ht="17.25" hidden="false" customHeight="true" outlineLevel="0" collapsed="false">
      <c r="B145" s="1" t="s">
        <v>1945</v>
      </c>
      <c r="C145" s="1" t="s">
        <v>1946</v>
      </c>
      <c r="X145" s="1"/>
      <c r="Y145" s="1"/>
      <c r="Z145" s="1"/>
    </row>
    <row r="146" customFormat="false" ht="22.5" hidden="false" customHeight="true" outlineLevel="0" collapsed="false">
      <c r="A146" s="286"/>
      <c r="B146" s="287" t="s">
        <v>1947</v>
      </c>
      <c r="C146" s="287"/>
      <c r="D146" s="287"/>
      <c r="E146" s="287"/>
      <c r="F146" s="287"/>
      <c r="X146" s="1"/>
      <c r="Y146" s="1"/>
      <c r="Z146" s="1"/>
    </row>
    <row r="147" customFormat="false" ht="21" hidden="false" customHeight="true" outlineLevel="0" collapsed="false">
      <c r="B147" s="288" t="s">
        <v>1948</v>
      </c>
      <c r="C147" s="288" t="s">
        <v>1949</v>
      </c>
      <c r="D147" s="289"/>
      <c r="E147" s="289"/>
      <c r="F147" s="289"/>
      <c r="X147" s="1"/>
      <c r="Y147" s="1"/>
      <c r="Z147" s="1"/>
    </row>
    <row r="148" customFormat="false" ht="21" hidden="false" customHeight="true" outlineLevel="0" collapsed="false">
      <c r="B148" s="290"/>
      <c r="C148" s="290" t="s">
        <v>1950</v>
      </c>
      <c r="D148" s="130"/>
      <c r="E148" s="130"/>
      <c r="F148" s="130"/>
      <c r="X148" s="1"/>
      <c r="Y148" s="1"/>
      <c r="Z148" s="1"/>
    </row>
    <row r="149" customFormat="false" ht="21" hidden="false" customHeight="true" outlineLevel="0" collapsed="false">
      <c r="B149" s="288"/>
      <c r="C149" s="288" t="s">
        <v>1951</v>
      </c>
      <c r="D149" s="289"/>
      <c r="E149" s="289"/>
      <c r="F149" s="289"/>
      <c r="X149" s="1"/>
      <c r="Y149" s="1"/>
      <c r="Z149" s="1"/>
    </row>
    <row r="150" customFormat="false" ht="16.5" hidden="false" customHeight="true" outlineLevel="0" collapsed="false">
      <c r="B150" s="291"/>
      <c r="C150" s="291" t="s">
        <v>1952</v>
      </c>
      <c r="D150" s="291"/>
      <c r="E150" s="291"/>
      <c r="F150" s="291"/>
      <c r="X150" s="1"/>
      <c r="Y150" s="1"/>
      <c r="Z150" s="1"/>
    </row>
    <row r="151" customFormat="false" ht="16.5" hidden="false" customHeight="true" outlineLevel="0" collapsed="false">
      <c r="B151" s="291"/>
      <c r="C151" s="291" t="s">
        <v>1953</v>
      </c>
      <c r="D151" s="291"/>
      <c r="E151" s="291"/>
      <c r="F151" s="291"/>
      <c r="X151" s="1"/>
      <c r="Y151" s="1"/>
      <c r="Z151" s="1"/>
    </row>
    <row r="152" customFormat="false" ht="16.5" hidden="false" customHeight="true" outlineLevel="0" collapsed="false">
      <c r="B152" s="291"/>
      <c r="C152" s="291" t="s">
        <v>1954</v>
      </c>
      <c r="D152" s="291"/>
      <c r="E152" s="291"/>
      <c r="F152" s="291"/>
      <c r="X152" s="1"/>
      <c r="Y152" s="1"/>
      <c r="Z152" s="1"/>
    </row>
    <row r="153" customFormat="false" ht="16.5" hidden="false" customHeight="true" outlineLevel="0" collapsed="false">
      <c r="B153" s="291"/>
      <c r="C153" s="291" t="s">
        <v>1955</v>
      </c>
      <c r="D153" s="291"/>
      <c r="E153" s="291"/>
      <c r="F153" s="291"/>
      <c r="X153" s="1"/>
      <c r="Y153" s="1"/>
      <c r="Z153" s="1"/>
    </row>
    <row r="154" customFormat="false" ht="16.5" hidden="false" customHeight="true" outlineLevel="0" collapsed="false">
      <c r="B154" s="291" t="s">
        <v>1956</v>
      </c>
      <c r="C154" s="291" t="s">
        <v>1957</v>
      </c>
      <c r="D154" s="291"/>
      <c r="E154" s="291"/>
      <c r="F154" s="291"/>
      <c r="X154" s="1"/>
      <c r="Y154" s="1"/>
      <c r="Z154" s="1"/>
    </row>
    <row r="155" customFormat="false" ht="21" hidden="false" customHeight="true" outlineLevel="0" collapsed="false">
      <c r="B155" s="288" t="s">
        <v>1958</v>
      </c>
      <c r="C155" s="288" t="s">
        <v>1959</v>
      </c>
      <c r="D155" s="289"/>
      <c r="E155" s="289"/>
      <c r="F155" s="289"/>
      <c r="X155" s="1"/>
      <c r="Y155" s="1"/>
      <c r="Z155" s="1"/>
    </row>
    <row r="156" customFormat="false" ht="21" hidden="false" customHeight="true" outlineLevel="0" collapsed="false">
      <c r="B156" s="290" t="s">
        <v>1960</v>
      </c>
      <c r="C156" s="290" t="s">
        <v>1961</v>
      </c>
      <c r="D156" s="130"/>
      <c r="E156" s="130"/>
      <c r="F156" s="130"/>
      <c r="X156" s="1"/>
      <c r="Y156" s="1"/>
      <c r="Z156" s="1"/>
    </row>
    <row r="157" customFormat="false" ht="7.5" hidden="false" customHeight="true" outlineLevel="0" collapsed="false">
      <c r="X157" s="1"/>
      <c r="Y157" s="1"/>
      <c r="Z157" s="1"/>
    </row>
    <row r="158" customFormat="false" ht="22.5" hidden="false" customHeight="true" outlineLevel="0" collapsed="false">
      <c r="A158" s="286"/>
      <c r="B158" s="287" t="s">
        <v>1962</v>
      </c>
      <c r="C158" s="287"/>
      <c r="D158" s="287"/>
      <c r="E158" s="287"/>
      <c r="F158" s="287"/>
      <c r="X158" s="1"/>
      <c r="Y158" s="1"/>
      <c r="Z158" s="1"/>
    </row>
    <row r="159" customFormat="false" ht="19.5" hidden="false" customHeight="true" outlineLevel="0" collapsed="false">
      <c r="B159" s="288" t="s">
        <v>1963</v>
      </c>
      <c r="C159" s="292"/>
      <c r="D159" s="289"/>
      <c r="E159" s="289"/>
      <c r="F159" s="289"/>
      <c r="X159" s="1"/>
      <c r="Y159" s="1"/>
      <c r="Z159" s="1"/>
    </row>
    <row r="160" customFormat="false" ht="19.5" hidden="false" customHeight="true" outlineLevel="0" collapsed="false">
      <c r="B160" s="290" t="s">
        <v>1725</v>
      </c>
      <c r="C160" s="293" t="s">
        <v>1964</v>
      </c>
      <c r="D160" s="130"/>
      <c r="E160" s="130"/>
      <c r="F160" s="130"/>
      <c r="X160" s="1"/>
      <c r="Y160" s="1"/>
      <c r="Z160" s="1"/>
    </row>
    <row r="161" customFormat="false" ht="19.5" hidden="false" customHeight="true" outlineLevel="0" collapsed="false">
      <c r="B161" s="288" t="s">
        <v>1965</v>
      </c>
      <c r="C161" s="292" t="s">
        <v>1966</v>
      </c>
      <c r="D161" s="289"/>
      <c r="E161" s="289"/>
      <c r="F161" s="289"/>
      <c r="X161" s="1"/>
      <c r="Y161" s="1"/>
      <c r="Z161" s="1"/>
    </row>
    <row r="162" customFormat="false" ht="19.5" hidden="false" customHeight="true" outlineLevel="0" collapsed="false">
      <c r="B162" s="290" t="s">
        <v>1967</v>
      </c>
      <c r="C162" s="293" t="s">
        <v>1968</v>
      </c>
      <c r="D162" s="130"/>
      <c r="E162" s="130"/>
      <c r="F162" s="130"/>
      <c r="X162" s="1"/>
      <c r="Y162" s="1"/>
      <c r="Z162" s="1"/>
    </row>
    <row r="163" customFormat="false" ht="19.5" hidden="false" customHeight="true" outlineLevel="0" collapsed="false">
      <c r="B163" s="288" t="s">
        <v>1969</v>
      </c>
      <c r="C163" s="292" t="s">
        <v>1970</v>
      </c>
      <c r="D163" s="289"/>
      <c r="E163" s="289"/>
      <c r="F163" s="289"/>
      <c r="X163" s="1"/>
      <c r="Y163" s="1"/>
      <c r="Z163" s="1"/>
    </row>
    <row r="164" customFormat="false" ht="19.5" hidden="false" customHeight="true" outlineLevel="0" collapsed="false">
      <c r="B164" s="290" t="s">
        <v>1971</v>
      </c>
      <c r="C164" s="293" t="s">
        <v>1972</v>
      </c>
      <c r="D164" s="130"/>
      <c r="E164" s="130"/>
      <c r="F164" s="130"/>
      <c r="X164" s="1"/>
      <c r="Y164" s="1"/>
      <c r="Z164" s="1"/>
    </row>
    <row r="165" customFormat="false" ht="19.5" hidden="false" customHeight="true" outlineLevel="0" collapsed="false">
      <c r="B165" s="288" t="s">
        <v>1973</v>
      </c>
      <c r="C165" s="292" t="s">
        <v>1974</v>
      </c>
      <c r="D165" s="289"/>
      <c r="E165" s="289"/>
      <c r="F165" s="289"/>
      <c r="X165" s="1"/>
      <c r="Y165" s="1"/>
      <c r="Z165" s="1"/>
    </row>
    <row r="166" customFormat="false" ht="19.5" hidden="false" customHeight="true" outlineLevel="0" collapsed="false">
      <c r="B166" s="290" t="s">
        <v>1975</v>
      </c>
      <c r="C166" s="293"/>
      <c r="D166" s="130"/>
      <c r="E166" s="130"/>
      <c r="F166" s="130"/>
      <c r="X166" s="1"/>
      <c r="Y166" s="1"/>
      <c r="Z166" s="1"/>
    </row>
    <row r="167" customFormat="false" ht="7.5" hidden="false" customHeight="true" outlineLevel="0" collapsed="false">
      <c r="X167" s="1"/>
      <c r="Y167" s="1"/>
      <c r="Z167" s="1"/>
    </row>
    <row r="168" customFormat="false" ht="22.5" hidden="false" customHeight="true" outlineLevel="0" collapsed="false">
      <c r="A168" s="294"/>
      <c r="B168" s="295" t="s">
        <v>1976</v>
      </c>
      <c r="C168" s="295"/>
      <c r="D168" s="295"/>
      <c r="E168" s="295"/>
      <c r="F168" s="295"/>
      <c r="X168" s="1"/>
      <c r="Y168" s="1"/>
      <c r="Z168" s="1"/>
    </row>
    <row r="169" customFormat="false" ht="19.5" hidden="false" customHeight="true" outlineLevel="0" collapsed="false">
      <c r="B169" s="296" t="s">
        <v>1977</v>
      </c>
      <c r="C169" s="126" t="s">
        <v>1978</v>
      </c>
      <c r="D169" s="126"/>
      <c r="E169" s="126"/>
      <c r="F169" s="126"/>
      <c r="X169" s="1"/>
      <c r="Y169" s="1"/>
      <c r="Z169" s="1"/>
    </row>
    <row r="170" customFormat="false" ht="19.5" hidden="false" customHeight="true" outlineLevel="0" collapsed="false">
      <c r="B170" s="297" t="s">
        <v>1979</v>
      </c>
      <c r="C170" s="130" t="s">
        <v>1980</v>
      </c>
      <c r="D170" s="130"/>
      <c r="E170" s="130"/>
      <c r="F170" s="130"/>
      <c r="X170" s="1"/>
      <c r="Y170" s="1"/>
      <c r="Z170" s="1"/>
    </row>
    <row r="171" customFormat="false" ht="19.5" hidden="false" customHeight="true" outlineLevel="0" collapsed="false">
      <c r="B171" s="296" t="s">
        <v>1981</v>
      </c>
      <c r="C171" s="126" t="s">
        <v>1982</v>
      </c>
      <c r="D171" s="126"/>
      <c r="E171" s="126"/>
      <c r="F171" s="126"/>
      <c r="X171" s="1"/>
      <c r="Y171" s="1"/>
      <c r="Z171" s="1"/>
    </row>
    <row r="172" customFormat="false" ht="19.5" hidden="false" customHeight="true" outlineLevel="0" collapsed="false">
      <c r="B172" s="297" t="s">
        <v>1983</v>
      </c>
      <c r="C172" s="130" t="s">
        <v>1984</v>
      </c>
      <c r="D172" s="130"/>
      <c r="E172" s="130"/>
      <c r="F172" s="130"/>
      <c r="X172" s="1"/>
      <c r="Y172" s="1"/>
      <c r="Z172" s="1"/>
    </row>
    <row r="173" customFormat="false" ht="19.5" hidden="false" customHeight="true" outlineLevel="0" collapsed="false">
      <c r="B173" s="296" t="s">
        <v>1985</v>
      </c>
      <c r="C173" s="126" t="s">
        <v>1986</v>
      </c>
      <c r="D173" s="126"/>
      <c r="E173" s="126"/>
      <c r="F173" s="126"/>
      <c r="X173" s="1"/>
      <c r="Y173" s="1"/>
      <c r="Z173" s="1"/>
    </row>
    <row r="174" customFormat="false" ht="19.5" hidden="false" customHeight="true" outlineLevel="0" collapsed="false">
      <c r="B174" s="297" t="s">
        <v>1987</v>
      </c>
      <c r="C174" s="130" t="s">
        <v>1988</v>
      </c>
      <c r="D174" s="130"/>
      <c r="E174" s="130"/>
      <c r="F174" s="130"/>
      <c r="X174" s="1"/>
      <c r="Y174" s="1"/>
      <c r="Z174" s="1"/>
    </row>
    <row r="175" customFormat="false" ht="7.5" hidden="false" customHeight="true" outlineLevel="0" collapsed="false">
      <c r="X175" s="1"/>
      <c r="Y175" s="1"/>
      <c r="Z175" s="1"/>
    </row>
    <row r="176" customFormat="false" ht="22.5" hidden="false" customHeight="true" outlineLevel="0" collapsed="false">
      <c r="A176" s="106"/>
      <c r="B176" s="107" t="s">
        <v>1989</v>
      </c>
      <c r="C176" s="107"/>
      <c r="D176" s="107"/>
      <c r="E176" s="107"/>
      <c r="F176" s="107"/>
      <c r="X176" s="1"/>
      <c r="Y176" s="1"/>
      <c r="Z176" s="1"/>
    </row>
    <row r="177" customFormat="false" ht="19.5" hidden="false" customHeight="true" outlineLevel="0" collapsed="false">
      <c r="B177" s="298" t="s">
        <v>1990</v>
      </c>
      <c r="C177" s="178" t="s">
        <v>1991</v>
      </c>
      <c r="D177" s="178"/>
      <c r="E177" s="178"/>
      <c r="F177" s="178"/>
      <c r="X177" s="1"/>
      <c r="Y177" s="1"/>
      <c r="Z177" s="1"/>
    </row>
    <row r="178" customFormat="false" ht="19.5" hidden="false" customHeight="true" outlineLevel="0" collapsed="false">
      <c r="B178" s="290" t="s">
        <v>1270</v>
      </c>
      <c r="C178" s="130" t="s">
        <v>1992</v>
      </c>
      <c r="D178" s="130"/>
      <c r="E178" s="130"/>
      <c r="F178" s="130"/>
      <c r="X178" s="1"/>
      <c r="Y178" s="1"/>
      <c r="Z178" s="1"/>
    </row>
    <row r="179" customFormat="false" ht="19.5" hidden="false" customHeight="true" outlineLevel="0" collapsed="false">
      <c r="B179" s="298" t="s">
        <v>1280</v>
      </c>
      <c r="C179" s="178" t="s">
        <v>1993</v>
      </c>
      <c r="D179" s="178"/>
      <c r="E179" s="178"/>
      <c r="F179" s="178"/>
      <c r="X179" s="1"/>
      <c r="Y179" s="1"/>
      <c r="Z179" s="1"/>
    </row>
    <row r="180" customFormat="false" ht="19.5" hidden="false" customHeight="true" outlineLevel="0" collapsed="false">
      <c r="B180" s="290" t="s">
        <v>1286</v>
      </c>
      <c r="C180" s="130" t="s">
        <v>1994</v>
      </c>
      <c r="D180" s="130"/>
      <c r="E180" s="130"/>
      <c r="F180" s="130"/>
      <c r="X180" s="1"/>
      <c r="Y180" s="1"/>
      <c r="Z180" s="1"/>
    </row>
    <row r="181" customFormat="false" ht="19.5" hidden="false" customHeight="true" outlineLevel="0" collapsed="false">
      <c r="B181" s="298" t="s">
        <v>1995</v>
      </c>
      <c r="C181" s="178" t="s">
        <v>1996</v>
      </c>
      <c r="D181" s="178"/>
      <c r="E181" s="178"/>
      <c r="F181" s="178"/>
      <c r="X181" s="1"/>
      <c r="Y181" s="1"/>
      <c r="Z181" s="1"/>
    </row>
    <row r="182" customFormat="false" ht="19.5" hidden="false" customHeight="true" outlineLevel="0" collapsed="false">
      <c r="B182" s="290" t="s">
        <v>1997</v>
      </c>
      <c r="C182" s="130" t="s">
        <v>1998</v>
      </c>
      <c r="D182" s="130"/>
      <c r="E182" s="130"/>
      <c r="F182" s="130"/>
      <c r="X182" s="1"/>
      <c r="Y182" s="1"/>
      <c r="Z182" s="1"/>
    </row>
    <row r="183" customFormat="false" ht="19.5" hidden="false" customHeight="true" outlineLevel="0" collapsed="false">
      <c r="B183" s="298" t="s">
        <v>1294</v>
      </c>
      <c r="C183" s="178" t="s">
        <v>1999</v>
      </c>
      <c r="D183" s="178"/>
      <c r="E183" s="178"/>
      <c r="F183" s="178"/>
      <c r="X183" s="1"/>
      <c r="Y183" s="1"/>
      <c r="Z183" s="1"/>
    </row>
    <row r="184" customFormat="false" ht="19.5" hidden="false" customHeight="true" outlineLevel="0" collapsed="false">
      <c r="B184" s="290" t="s">
        <v>2000</v>
      </c>
      <c r="C184" s="130" t="s">
        <v>2001</v>
      </c>
      <c r="D184" s="130"/>
      <c r="E184" s="130"/>
      <c r="F184" s="130"/>
      <c r="X184" s="1"/>
      <c r="Y184" s="1"/>
      <c r="Z184" s="1"/>
    </row>
    <row r="185" customFormat="false" ht="7.5" hidden="false" customHeight="true" outlineLevel="0" collapsed="false">
      <c r="X185" s="1"/>
      <c r="Y185" s="1"/>
      <c r="Z185" s="1"/>
    </row>
    <row r="186" customFormat="false" ht="22.5" hidden="false" customHeight="true" outlineLevel="0" collapsed="false">
      <c r="A186" s="106"/>
      <c r="B186" s="107" t="s">
        <v>2002</v>
      </c>
      <c r="C186" s="107"/>
      <c r="D186" s="107"/>
      <c r="E186" s="107"/>
      <c r="F186" s="107"/>
      <c r="X186" s="1"/>
      <c r="Y186" s="1"/>
      <c r="Z186" s="1"/>
    </row>
    <row r="187" customFormat="false" ht="19.5" hidden="false" customHeight="true" outlineLevel="0" collapsed="false">
      <c r="B187" s="298" t="s">
        <v>1241</v>
      </c>
      <c r="C187" s="178" t="s">
        <v>1242</v>
      </c>
      <c r="D187" s="178"/>
      <c r="E187" s="178"/>
      <c r="F187" s="178"/>
      <c r="X187" s="1"/>
      <c r="Y187" s="1"/>
      <c r="Z187" s="1"/>
    </row>
    <row r="188" customFormat="false" ht="19.5" hidden="false" customHeight="true" outlineLevel="0" collapsed="false">
      <c r="B188" s="290" t="s">
        <v>1246</v>
      </c>
      <c r="C188" s="130" t="s">
        <v>1217</v>
      </c>
      <c r="D188" s="130"/>
      <c r="E188" s="130"/>
      <c r="F188" s="130"/>
      <c r="X188" s="1"/>
      <c r="Y188" s="1"/>
      <c r="Z188" s="1"/>
    </row>
    <row r="189" customFormat="false" ht="19.5" hidden="false" customHeight="true" outlineLevel="0" collapsed="false">
      <c r="B189" s="298" t="s">
        <v>1248</v>
      </c>
      <c r="C189" s="178" t="s">
        <v>1222</v>
      </c>
      <c r="D189" s="178"/>
      <c r="E189" s="178"/>
      <c r="F189" s="178"/>
      <c r="X189" s="1"/>
      <c r="Y189" s="1"/>
      <c r="Z189" s="1"/>
    </row>
    <row r="190" customFormat="false" ht="19.5" hidden="false" customHeight="true" outlineLevel="0" collapsed="false">
      <c r="B190" s="290" t="s">
        <v>1256</v>
      </c>
      <c r="C190" s="130" t="s">
        <v>1257</v>
      </c>
      <c r="D190" s="130"/>
      <c r="E190" s="130"/>
      <c r="F190" s="130"/>
      <c r="X190" s="1"/>
      <c r="Y190" s="1"/>
      <c r="Z190" s="1"/>
    </row>
    <row r="191" customFormat="false" ht="19.5" hidden="false" customHeight="true" outlineLevel="0" collapsed="false">
      <c r="B191" s="298" t="s">
        <v>1252</v>
      </c>
      <c r="C191" s="178" t="s">
        <v>1225</v>
      </c>
      <c r="D191" s="178"/>
      <c r="E191" s="178"/>
      <c r="F191" s="178"/>
      <c r="X191" s="1"/>
      <c r="Y191" s="1"/>
      <c r="Z191" s="1"/>
    </row>
    <row r="192" customFormat="false" ht="15.75" hidden="false" customHeight="true" outlineLevel="0" collapsed="false">
      <c r="X192" s="1"/>
      <c r="Y192" s="1"/>
      <c r="Z192" s="1"/>
    </row>
    <row r="193" customFormat="false" ht="15.75" hidden="false" customHeight="true" outlineLevel="0" collapsed="false">
      <c r="X193" s="1"/>
      <c r="Y193" s="1"/>
      <c r="Z193" s="1"/>
    </row>
    <row r="194" customFormat="false" ht="15.75" hidden="false" customHeight="true" outlineLevel="0" collapsed="false">
      <c r="X194" s="1"/>
      <c r="Y194" s="1"/>
      <c r="Z194" s="1"/>
    </row>
    <row r="195" customFormat="false" ht="15.75" hidden="false" customHeight="true" outlineLevel="0" collapsed="false">
      <c r="X195" s="1"/>
      <c r="Y195" s="1"/>
      <c r="Z195" s="1"/>
    </row>
    <row r="196" customFormat="false" ht="15.75" hidden="false" customHeight="true" outlineLevel="0" collapsed="false">
      <c r="X196" s="1"/>
      <c r="Y196" s="1"/>
      <c r="Z196" s="1"/>
    </row>
    <row r="197" customFormat="false" ht="15.75" hidden="false" customHeight="true" outlineLevel="0" collapsed="false">
      <c r="X197" s="1"/>
      <c r="Y197" s="1"/>
      <c r="Z197" s="1"/>
    </row>
    <row r="198" customFormat="false" ht="15.75" hidden="false" customHeight="true" outlineLevel="0" collapsed="false">
      <c r="X198" s="1"/>
      <c r="Y198" s="1"/>
      <c r="Z198" s="1"/>
    </row>
    <row r="199" customFormat="false" ht="15.75" hidden="false" customHeight="true" outlineLevel="0" collapsed="false">
      <c r="X199" s="1"/>
      <c r="Y199" s="1"/>
      <c r="Z199" s="1"/>
    </row>
    <row r="200" customFormat="false" ht="15.75" hidden="false" customHeight="true" outlineLevel="0" collapsed="false">
      <c r="X200" s="1"/>
      <c r="Y200" s="1"/>
      <c r="Z200" s="1"/>
    </row>
    <row r="201" customFormat="false" ht="15.75" hidden="false" customHeight="true" outlineLevel="0" collapsed="false">
      <c r="X201" s="1"/>
      <c r="Y201" s="1"/>
      <c r="Z201" s="1"/>
    </row>
    <row r="202" customFormat="false" ht="15.75" hidden="false" customHeight="true" outlineLevel="0" collapsed="false">
      <c r="X202" s="1"/>
      <c r="Y202" s="1"/>
      <c r="Z202" s="1"/>
    </row>
    <row r="203" customFormat="false" ht="15.75" hidden="false" customHeight="true" outlineLevel="0" collapsed="false">
      <c r="X203" s="1"/>
      <c r="Y203" s="1"/>
      <c r="Z203" s="1"/>
    </row>
    <row r="204" customFormat="false" ht="15.75" hidden="false" customHeight="true" outlineLevel="0" collapsed="false">
      <c r="X204" s="1"/>
      <c r="Y204" s="1"/>
      <c r="Z204" s="1"/>
    </row>
    <row r="205" customFormat="false" ht="15.75" hidden="false" customHeight="true" outlineLevel="0" collapsed="false">
      <c r="X205" s="1"/>
      <c r="Y205" s="1"/>
      <c r="Z205" s="1"/>
    </row>
    <row r="206" customFormat="false" ht="15.75" hidden="false" customHeight="true" outlineLevel="0" collapsed="false">
      <c r="X206" s="1"/>
      <c r="Y206" s="1"/>
      <c r="Z206" s="1"/>
    </row>
    <row r="207" customFormat="false" ht="15.75" hidden="false" customHeight="true" outlineLevel="0" collapsed="false">
      <c r="X207" s="1"/>
      <c r="Y207" s="1"/>
      <c r="Z207" s="1"/>
    </row>
    <row r="208" customFormat="false" ht="15.75" hidden="false" customHeight="true" outlineLevel="0" collapsed="false">
      <c r="X208" s="1"/>
      <c r="Y208" s="1"/>
      <c r="Z208" s="1"/>
    </row>
    <row r="209" customFormat="false" ht="15.75" hidden="false" customHeight="true" outlineLevel="0" collapsed="false">
      <c r="X209" s="1"/>
      <c r="Y209" s="1"/>
      <c r="Z209" s="1"/>
    </row>
    <row r="210" customFormat="false" ht="15.75" hidden="false" customHeight="true" outlineLevel="0" collapsed="false">
      <c r="X210" s="1"/>
      <c r="Y210" s="1"/>
      <c r="Z210" s="1"/>
    </row>
    <row r="211" customFormat="false" ht="15.75" hidden="false" customHeight="true" outlineLevel="0" collapsed="false">
      <c r="X211" s="1"/>
      <c r="Y211" s="1"/>
      <c r="Z211" s="1"/>
    </row>
    <row r="212" customFormat="false" ht="15.75" hidden="false" customHeight="true" outlineLevel="0" collapsed="false">
      <c r="X212" s="1"/>
      <c r="Y212" s="1"/>
      <c r="Z212" s="1"/>
    </row>
    <row r="213" customFormat="false" ht="15.75" hidden="false" customHeight="true" outlineLevel="0" collapsed="false">
      <c r="X213" s="1"/>
      <c r="Y213" s="1"/>
      <c r="Z213" s="1"/>
    </row>
    <row r="214" customFormat="false" ht="15.75" hidden="false" customHeight="true" outlineLevel="0" collapsed="false">
      <c r="X214" s="1"/>
      <c r="Y214" s="1"/>
      <c r="Z214" s="1"/>
    </row>
    <row r="215" customFormat="false" ht="15.75" hidden="false" customHeight="true" outlineLevel="0" collapsed="false">
      <c r="X215" s="1"/>
      <c r="Y215" s="1"/>
      <c r="Z215" s="1"/>
    </row>
    <row r="216" customFormat="false" ht="15.75" hidden="false" customHeight="true" outlineLevel="0" collapsed="false">
      <c r="X216" s="1"/>
      <c r="Y216" s="1"/>
      <c r="Z216" s="1"/>
    </row>
    <row r="217" customFormat="false" ht="15.75" hidden="false" customHeight="true" outlineLevel="0" collapsed="false">
      <c r="X217" s="1"/>
      <c r="Y217" s="1"/>
      <c r="Z217" s="1"/>
    </row>
    <row r="218" customFormat="false" ht="15.75" hidden="false" customHeight="true" outlineLevel="0" collapsed="false">
      <c r="X218" s="1"/>
      <c r="Y218" s="1"/>
      <c r="Z218" s="1"/>
    </row>
    <row r="219" customFormat="false" ht="15.75" hidden="false" customHeight="true" outlineLevel="0" collapsed="false">
      <c r="X219" s="1"/>
      <c r="Y219" s="1"/>
      <c r="Z219" s="1"/>
    </row>
    <row r="220" customFormat="false" ht="15.75" hidden="false" customHeight="true" outlineLevel="0" collapsed="false">
      <c r="X220" s="1"/>
      <c r="Y220" s="1"/>
      <c r="Z220" s="1"/>
    </row>
    <row r="221" customFormat="false" ht="15.75" hidden="false" customHeight="true" outlineLevel="0" collapsed="false">
      <c r="X221" s="1"/>
      <c r="Y221" s="1"/>
      <c r="Z221" s="1"/>
    </row>
    <row r="222" customFormat="false" ht="15.75" hidden="false" customHeight="true" outlineLevel="0" collapsed="false">
      <c r="X222" s="1"/>
      <c r="Y222" s="1"/>
      <c r="Z222" s="1"/>
    </row>
    <row r="223" customFormat="false" ht="15.75" hidden="false" customHeight="true" outlineLevel="0" collapsed="false">
      <c r="X223" s="1"/>
      <c r="Y223" s="1"/>
      <c r="Z223" s="1"/>
    </row>
    <row r="224" customFormat="false" ht="15.75" hidden="false" customHeight="true" outlineLevel="0" collapsed="false">
      <c r="X224" s="1"/>
      <c r="Y224" s="1"/>
      <c r="Z224" s="1"/>
    </row>
    <row r="225" customFormat="false" ht="15.75" hidden="false" customHeight="true" outlineLevel="0" collapsed="false">
      <c r="X225" s="1"/>
      <c r="Y225" s="1"/>
      <c r="Z225" s="1"/>
    </row>
    <row r="226" customFormat="false" ht="15.75" hidden="false" customHeight="true" outlineLevel="0" collapsed="false">
      <c r="X226" s="1"/>
      <c r="Y226" s="1"/>
      <c r="Z226" s="1"/>
    </row>
    <row r="227" customFormat="false" ht="15.75" hidden="false" customHeight="true" outlineLevel="0" collapsed="false">
      <c r="X227" s="1"/>
      <c r="Y227" s="1"/>
      <c r="Z227" s="1"/>
    </row>
    <row r="228" customFormat="false" ht="15.75" hidden="false" customHeight="true" outlineLevel="0" collapsed="false">
      <c r="X228" s="1"/>
      <c r="Y228" s="1"/>
      <c r="Z228" s="1"/>
    </row>
    <row r="229" customFormat="false" ht="15.75" hidden="false" customHeight="true" outlineLevel="0" collapsed="false">
      <c r="X229" s="1"/>
      <c r="Y229" s="1"/>
      <c r="Z229" s="1"/>
    </row>
    <row r="230" customFormat="false" ht="15.75" hidden="false" customHeight="true" outlineLevel="0" collapsed="false">
      <c r="X230" s="1"/>
      <c r="Y230" s="1"/>
      <c r="Z230" s="1"/>
    </row>
    <row r="231" customFormat="false" ht="15.75" hidden="false" customHeight="true" outlineLevel="0" collapsed="false">
      <c r="X231" s="1"/>
      <c r="Y231" s="1"/>
      <c r="Z231" s="1"/>
    </row>
    <row r="232" customFormat="false" ht="15.75" hidden="false" customHeight="true" outlineLevel="0" collapsed="false">
      <c r="X232" s="1"/>
      <c r="Y232" s="1"/>
      <c r="Z232" s="1"/>
    </row>
    <row r="233" customFormat="false" ht="15.75" hidden="false" customHeight="true" outlineLevel="0" collapsed="false">
      <c r="X233" s="1"/>
      <c r="Y233" s="1"/>
      <c r="Z233" s="1"/>
    </row>
    <row r="234" customFormat="false" ht="15.75" hidden="false" customHeight="true" outlineLevel="0" collapsed="false">
      <c r="X234" s="1"/>
      <c r="Y234" s="1"/>
      <c r="Z234" s="1"/>
    </row>
    <row r="235" customFormat="false" ht="15.75" hidden="false" customHeight="true" outlineLevel="0" collapsed="false">
      <c r="X235" s="1"/>
      <c r="Y235" s="1"/>
      <c r="Z235" s="1"/>
    </row>
    <row r="236" customFormat="false" ht="15.75" hidden="false" customHeight="true" outlineLevel="0" collapsed="false">
      <c r="X236" s="1"/>
      <c r="Y236" s="1"/>
      <c r="Z236" s="1"/>
    </row>
    <row r="237" customFormat="false" ht="15.75" hidden="false" customHeight="true" outlineLevel="0" collapsed="false">
      <c r="X237" s="1"/>
      <c r="Y237" s="1"/>
      <c r="Z237" s="1"/>
    </row>
    <row r="238" customFormat="false" ht="15.75" hidden="false" customHeight="true" outlineLevel="0" collapsed="false">
      <c r="X238" s="1"/>
      <c r="Y238" s="1"/>
      <c r="Z238" s="1"/>
    </row>
    <row r="239" customFormat="false" ht="15.75" hidden="false" customHeight="true" outlineLevel="0" collapsed="false">
      <c r="X239" s="1"/>
      <c r="Y239" s="1"/>
      <c r="Z239" s="1"/>
    </row>
    <row r="240" customFormat="false" ht="15.75" hidden="false" customHeight="true" outlineLevel="0" collapsed="false">
      <c r="X240" s="1"/>
      <c r="Y240" s="1"/>
      <c r="Z240" s="1"/>
    </row>
    <row r="241" customFormat="false" ht="15.75" hidden="false" customHeight="true" outlineLevel="0" collapsed="false">
      <c r="X241" s="1"/>
      <c r="Y241" s="1"/>
      <c r="Z241" s="1"/>
    </row>
    <row r="242" customFormat="false" ht="15.75" hidden="false" customHeight="true" outlineLevel="0" collapsed="false">
      <c r="X242" s="1"/>
      <c r="Y242" s="1"/>
      <c r="Z242" s="1"/>
    </row>
    <row r="243" customFormat="false" ht="15.75" hidden="false" customHeight="true" outlineLevel="0" collapsed="false">
      <c r="X243" s="1"/>
      <c r="Y243" s="1"/>
      <c r="Z243" s="1"/>
    </row>
    <row r="244" customFormat="false" ht="15.75" hidden="false" customHeight="true" outlineLevel="0" collapsed="false">
      <c r="X244" s="1"/>
      <c r="Y244" s="1"/>
      <c r="Z244" s="1"/>
    </row>
    <row r="245" customFormat="false" ht="15.75" hidden="false" customHeight="true" outlineLevel="0" collapsed="false">
      <c r="X245" s="1"/>
      <c r="Y245" s="1"/>
      <c r="Z245" s="1"/>
    </row>
    <row r="246" customFormat="false" ht="15.75" hidden="false" customHeight="true" outlineLevel="0" collapsed="false">
      <c r="X246" s="1"/>
      <c r="Y246" s="1"/>
      <c r="Z246" s="1"/>
    </row>
    <row r="247" customFormat="false" ht="15.75" hidden="false" customHeight="true" outlineLevel="0" collapsed="false">
      <c r="X247" s="1"/>
      <c r="Y247" s="1"/>
      <c r="Z247" s="1"/>
    </row>
    <row r="248" customFormat="false" ht="15.75" hidden="false" customHeight="true" outlineLevel="0" collapsed="false">
      <c r="X248" s="1"/>
      <c r="Y248" s="1"/>
      <c r="Z248" s="1"/>
    </row>
    <row r="249" customFormat="false" ht="15.75" hidden="false" customHeight="true" outlineLevel="0" collapsed="false">
      <c r="X249" s="1"/>
      <c r="Y249" s="1"/>
      <c r="Z249" s="1"/>
    </row>
    <row r="250" customFormat="false" ht="15.75" hidden="false" customHeight="true" outlineLevel="0" collapsed="false">
      <c r="X250" s="1"/>
      <c r="Y250" s="1"/>
      <c r="Z250" s="1"/>
    </row>
    <row r="251" customFormat="false" ht="15.75" hidden="false" customHeight="true" outlineLevel="0" collapsed="false">
      <c r="X251" s="1"/>
      <c r="Y251" s="1"/>
      <c r="Z251" s="1"/>
    </row>
    <row r="252" customFormat="false" ht="15.75" hidden="false" customHeight="true" outlineLevel="0" collapsed="false">
      <c r="X252" s="1"/>
      <c r="Y252" s="1"/>
      <c r="Z252" s="1"/>
    </row>
    <row r="253" customFormat="false" ht="15.75" hidden="false" customHeight="true" outlineLevel="0" collapsed="false">
      <c r="X253" s="1"/>
      <c r="Y253" s="1"/>
      <c r="Z253" s="1"/>
    </row>
    <row r="254" customFormat="false" ht="15.75" hidden="false" customHeight="true" outlineLevel="0" collapsed="false">
      <c r="X254" s="1"/>
      <c r="Y254" s="1"/>
      <c r="Z254" s="1"/>
    </row>
    <row r="255" customFormat="false" ht="15.75" hidden="false" customHeight="true" outlineLevel="0" collapsed="false">
      <c r="X255" s="1"/>
      <c r="Y255" s="1"/>
      <c r="Z255" s="1"/>
    </row>
    <row r="256" customFormat="false" ht="15.75" hidden="false" customHeight="true" outlineLevel="0" collapsed="false">
      <c r="X256" s="1"/>
      <c r="Y256" s="1"/>
      <c r="Z256" s="1"/>
    </row>
    <row r="257" customFormat="false" ht="15.75" hidden="false" customHeight="true" outlineLevel="0" collapsed="false">
      <c r="X257" s="1"/>
      <c r="Y257" s="1"/>
      <c r="Z257" s="1"/>
    </row>
    <row r="258" customFormat="false" ht="15.75" hidden="false" customHeight="true" outlineLevel="0" collapsed="false">
      <c r="X258" s="1"/>
      <c r="Y258" s="1"/>
      <c r="Z258" s="1"/>
    </row>
    <row r="259" customFormat="false" ht="15.75" hidden="false" customHeight="true" outlineLevel="0" collapsed="false">
      <c r="X259" s="1"/>
      <c r="Y259" s="1"/>
      <c r="Z259" s="1"/>
    </row>
    <row r="260" customFormat="false" ht="15.75" hidden="false" customHeight="true" outlineLevel="0" collapsed="false">
      <c r="X260" s="1"/>
      <c r="Y260" s="1"/>
      <c r="Z260" s="1"/>
    </row>
    <row r="261" customFormat="false" ht="15.75" hidden="false" customHeight="true" outlineLevel="0" collapsed="false">
      <c r="X261" s="1"/>
      <c r="Y261" s="1"/>
      <c r="Z261" s="1"/>
    </row>
    <row r="262" customFormat="false" ht="15.75" hidden="false" customHeight="true" outlineLevel="0" collapsed="false">
      <c r="X262" s="1"/>
      <c r="Y262" s="1"/>
      <c r="Z262" s="1"/>
    </row>
    <row r="263" customFormat="false" ht="15.75" hidden="false" customHeight="true" outlineLevel="0" collapsed="false">
      <c r="X263" s="1"/>
      <c r="Y263" s="1"/>
      <c r="Z263" s="1"/>
    </row>
    <row r="264" customFormat="false" ht="15.75" hidden="false" customHeight="true" outlineLevel="0" collapsed="false">
      <c r="X264" s="1"/>
      <c r="Y264" s="1"/>
      <c r="Z264" s="1"/>
    </row>
    <row r="265" customFormat="false" ht="15.75" hidden="false" customHeight="true" outlineLevel="0" collapsed="false">
      <c r="X265" s="1"/>
      <c r="Y265" s="1"/>
      <c r="Z265" s="1"/>
    </row>
    <row r="266" customFormat="false" ht="15.75" hidden="false" customHeight="true" outlineLevel="0" collapsed="false">
      <c r="X266" s="1"/>
      <c r="Y266" s="1"/>
      <c r="Z266" s="1"/>
    </row>
    <row r="267" customFormat="false" ht="15.75" hidden="false" customHeight="true" outlineLevel="0" collapsed="false">
      <c r="X267" s="1"/>
      <c r="Y267" s="1"/>
      <c r="Z267" s="1"/>
    </row>
    <row r="268" customFormat="false" ht="15.75" hidden="false" customHeight="true" outlineLevel="0" collapsed="false">
      <c r="X268" s="1"/>
      <c r="Y268" s="1"/>
      <c r="Z268" s="1"/>
    </row>
    <row r="269" customFormat="false" ht="15.75" hidden="false" customHeight="true" outlineLevel="0" collapsed="false">
      <c r="X269" s="1"/>
      <c r="Y269" s="1"/>
      <c r="Z269" s="1"/>
    </row>
    <row r="270" customFormat="false" ht="15.75" hidden="false" customHeight="true" outlineLevel="0" collapsed="false">
      <c r="X270" s="1"/>
      <c r="Y270" s="1"/>
      <c r="Z270" s="1"/>
    </row>
    <row r="271" customFormat="false" ht="15.75" hidden="false" customHeight="true" outlineLevel="0" collapsed="false">
      <c r="X271" s="1"/>
      <c r="Y271" s="1"/>
      <c r="Z271" s="1"/>
    </row>
    <row r="272" customFormat="false" ht="15.75" hidden="false" customHeight="true" outlineLevel="0" collapsed="false">
      <c r="X272" s="1"/>
      <c r="Y272" s="1"/>
      <c r="Z272" s="1"/>
    </row>
    <row r="273" customFormat="false" ht="15.75" hidden="false" customHeight="true" outlineLevel="0" collapsed="false">
      <c r="X273" s="1"/>
      <c r="Y273" s="1"/>
      <c r="Z273" s="1"/>
    </row>
    <row r="274" customFormat="false" ht="15.75" hidden="false" customHeight="true" outlineLevel="0" collapsed="false">
      <c r="X274" s="1"/>
      <c r="Y274" s="1"/>
      <c r="Z274" s="1"/>
    </row>
    <row r="275" customFormat="false" ht="15.75" hidden="false" customHeight="true" outlineLevel="0" collapsed="false">
      <c r="X275" s="1"/>
      <c r="Y275" s="1"/>
      <c r="Z275" s="1"/>
    </row>
    <row r="276" customFormat="false" ht="15.75" hidden="false" customHeight="true" outlineLevel="0" collapsed="false">
      <c r="X276" s="1"/>
      <c r="Y276" s="1"/>
      <c r="Z276" s="1"/>
    </row>
    <row r="277" customFormat="false" ht="15.75" hidden="false" customHeight="true" outlineLevel="0" collapsed="false">
      <c r="X277" s="1"/>
      <c r="Y277" s="1"/>
      <c r="Z277" s="1"/>
    </row>
    <row r="278" customFormat="false" ht="15.75" hidden="false" customHeight="true" outlineLevel="0" collapsed="false">
      <c r="X278" s="1"/>
      <c r="Y278" s="1"/>
      <c r="Z278" s="1"/>
    </row>
    <row r="279" customFormat="false" ht="15.75" hidden="false" customHeight="true" outlineLevel="0" collapsed="false">
      <c r="X279" s="1"/>
      <c r="Y279" s="1"/>
      <c r="Z279" s="1"/>
    </row>
    <row r="280" customFormat="false" ht="15.75" hidden="false" customHeight="true" outlineLevel="0" collapsed="false">
      <c r="X280" s="1"/>
      <c r="Y280" s="1"/>
      <c r="Z280" s="1"/>
    </row>
    <row r="281" customFormat="false" ht="15.75" hidden="false" customHeight="true" outlineLevel="0" collapsed="false">
      <c r="X281" s="1"/>
      <c r="Y281" s="1"/>
      <c r="Z281" s="1"/>
    </row>
    <row r="282" customFormat="false" ht="15.75" hidden="false" customHeight="true" outlineLevel="0" collapsed="false">
      <c r="X282" s="1"/>
      <c r="Y282" s="1"/>
      <c r="Z282" s="1"/>
    </row>
    <row r="283" customFormat="false" ht="15.75" hidden="false" customHeight="true" outlineLevel="0" collapsed="false">
      <c r="X283" s="1"/>
      <c r="Y283" s="1"/>
      <c r="Z283" s="1"/>
    </row>
    <row r="284" customFormat="false" ht="15.75" hidden="false" customHeight="true" outlineLevel="0" collapsed="false">
      <c r="X284" s="1"/>
      <c r="Y284" s="1"/>
      <c r="Z284" s="1"/>
    </row>
    <row r="285" customFormat="false" ht="15.75" hidden="false" customHeight="true" outlineLevel="0" collapsed="false">
      <c r="X285" s="1"/>
      <c r="Y285" s="1"/>
      <c r="Z285" s="1"/>
    </row>
    <row r="286" customFormat="false" ht="15.75" hidden="false" customHeight="true" outlineLevel="0" collapsed="false">
      <c r="X286" s="1"/>
      <c r="Y286" s="1"/>
      <c r="Z286" s="1"/>
    </row>
    <row r="287" customFormat="false" ht="15.75" hidden="false" customHeight="true" outlineLevel="0" collapsed="false">
      <c r="X287" s="1"/>
      <c r="Y287" s="1"/>
      <c r="Z287" s="1"/>
    </row>
    <row r="288" customFormat="false" ht="15.75" hidden="false" customHeight="true" outlineLevel="0" collapsed="false">
      <c r="X288" s="1"/>
      <c r="Y288" s="1"/>
      <c r="Z288" s="1"/>
    </row>
    <row r="289" customFormat="false" ht="15.75" hidden="false" customHeight="true" outlineLevel="0" collapsed="false">
      <c r="X289" s="1"/>
      <c r="Y289" s="1"/>
      <c r="Z289" s="1"/>
    </row>
    <row r="290" customFormat="false" ht="15.75" hidden="false" customHeight="true" outlineLevel="0" collapsed="false">
      <c r="X290" s="1"/>
      <c r="Y290" s="1"/>
      <c r="Z290" s="1"/>
    </row>
    <row r="291" customFormat="false" ht="15.75" hidden="false" customHeight="true" outlineLevel="0" collapsed="false">
      <c r="X291" s="1"/>
      <c r="Y291" s="1"/>
      <c r="Z291" s="1"/>
    </row>
    <row r="292" customFormat="false" ht="15.75" hidden="false" customHeight="true" outlineLevel="0" collapsed="false">
      <c r="X292" s="1"/>
      <c r="Y292" s="1"/>
      <c r="Z292" s="1"/>
    </row>
    <row r="293" customFormat="false" ht="15.75" hidden="false" customHeight="true" outlineLevel="0" collapsed="false">
      <c r="X293" s="1"/>
      <c r="Y293" s="1"/>
      <c r="Z293" s="1"/>
    </row>
    <row r="294" customFormat="false" ht="15.75" hidden="false" customHeight="true" outlineLevel="0" collapsed="false">
      <c r="X294" s="1"/>
      <c r="Y294" s="1"/>
      <c r="Z294" s="1"/>
    </row>
    <row r="295" customFormat="false" ht="15.75" hidden="false" customHeight="true" outlineLevel="0" collapsed="false">
      <c r="X295" s="1"/>
      <c r="Y295" s="1"/>
      <c r="Z295" s="1"/>
    </row>
    <row r="296" customFormat="false" ht="15.75" hidden="false" customHeight="true" outlineLevel="0" collapsed="false">
      <c r="X296" s="1"/>
      <c r="Y296" s="1"/>
      <c r="Z296" s="1"/>
    </row>
    <row r="297" customFormat="false" ht="15.75" hidden="false" customHeight="true" outlineLevel="0" collapsed="false">
      <c r="X297" s="1"/>
      <c r="Y297" s="1"/>
      <c r="Z297" s="1"/>
    </row>
    <row r="298" customFormat="false" ht="15.75" hidden="false" customHeight="true" outlineLevel="0" collapsed="false">
      <c r="X298" s="1"/>
      <c r="Y298" s="1"/>
      <c r="Z298" s="1"/>
    </row>
    <row r="299" customFormat="false" ht="15.75" hidden="false" customHeight="true" outlineLevel="0" collapsed="false">
      <c r="X299" s="1"/>
      <c r="Y299" s="1"/>
      <c r="Z299" s="1"/>
    </row>
    <row r="300" customFormat="false" ht="15.75" hidden="false" customHeight="true" outlineLevel="0" collapsed="false">
      <c r="X300" s="1"/>
      <c r="Y300" s="1"/>
      <c r="Z300" s="1"/>
    </row>
    <row r="301" customFormat="false" ht="15.75" hidden="false" customHeight="true" outlineLevel="0" collapsed="false">
      <c r="X301" s="1"/>
      <c r="Y301" s="1"/>
      <c r="Z301" s="1"/>
    </row>
    <row r="302" customFormat="false" ht="15.75" hidden="false" customHeight="true" outlineLevel="0" collapsed="false">
      <c r="X302" s="1"/>
      <c r="Y302" s="1"/>
      <c r="Z302" s="1"/>
    </row>
    <row r="303" customFormat="false" ht="15.75" hidden="false" customHeight="true" outlineLevel="0" collapsed="false">
      <c r="X303" s="1"/>
      <c r="Y303" s="1"/>
      <c r="Z303" s="1"/>
    </row>
    <row r="304" customFormat="false" ht="15.75" hidden="false" customHeight="true" outlineLevel="0" collapsed="false">
      <c r="X304" s="1"/>
      <c r="Y304" s="1"/>
      <c r="Z304" s="1"/>
    </row>
    <row r="305" customFormat="false" ht="15.75" hidden="false" customHeight="true" outlineLevel="0" collapsed="false">
      <c r="X305" s="1"/>
      <c r="Y305" s="1"/>
      <c r="Z305" s="1"/>
    </row>
    <row r="306" customFormat="false" ht="15.75" hidden="false" customHeight="true" outlineLevel="0" collapsed="false">
      <c r="X306" s="1"/>
      <c r="Y306" s="1"/>
      <c r="Z306" s="1"/>
    </row>
    <row r="307" customFormat="false" ht="15.75" hidden="false" customHeight="true" outlineLevel="0" collapsed="false">
      <c r="X307" s="1"/>
      <c r="Y307" s="1"/>
      <c r="Z307" s="1"/>
    </row>
    <row r="308" customFormat="false" ht="15.75" hidden="false" customHeight="true" outlineLevel="0" collapsed="false">
      <c r="X308" s="1"/>
      <c r="Y308" s="1"/>
      <c r="Z308" s="1"/>
    </row>
    <row r="309" customFormat="false" ht="15.75" hidden="false" customHeight="true" outlineLevel="0" collapsed="false">
      <c r="X309" s="1"/>
      <c r="Y309" s="1"/>
      <c r="Z309" s="1"/>
    </row>
    <row r="310" customFormat="false" ht="15.75" hidden="false" customHeight="true" outlineLevel="0" collapsed="false">
      <c r="X310" s="1"/>
      <c r="Y310" s="1"/>
      <c r="Z310" s="1"/>
    </row>
    <row r="311" customFormat="false" ht="15.75" hidden="false" customHeight="true" outlineLevel="0" collapsed="false">
      <c r="X311" s="1"/>
      <c r="Y311" s="1"/>
      <c r="Z311" s="1"/>
    </row>
    <row r="312" customFormat="false" ht="15.75" hidden="false" customHeight="true" outlineLevel="0" collapsed="false">
      <c r="X312" s="1"/>
      <c r="Y312" s="1"/>
      <c r="Z312" s="1"/>
    </row>
    <row r="313" customFormat="false" ht="15.75" hidden="false" customHeight="true" outlineLevel="0" collapsed="false">
      <c r="X313" s="1"/>
      <c r="Y313" s="1"/>
      <c r="Z313" s="1"/>
    </row>
    <row r="314" customFormat="false" ht="15.75" hidden="false" customHeight="true" outlineLevel="0" collapsed="false">
      <c r="X314" s="1"/>
      <c r="Y314" s="1"/>
      <c r="Z314" s="1"/>
    </row>
    <row r="315" customFormat="false" ht="15.75" hidden="false" customHeight="true" outlineLevel="0" collapsed="false">
      <c r="X315" s="1"/>
      <c r="Y315" s="1"/>
      <c r="Z315" s="1"/>
    </row>
    <row r="316" customFormat="false" ht="15.75" hidden="false" customHeight="true" outlineLevel="0" collapsed="false">
      <c r="X316" s="1"/>
      <c r="Y316" s="1"/>
      <c r="Z316" s="1"/>
    </row>
    <row r="317" customFormat="false" ht="15.75" hidden="false" customHeight="true" outlineLevel="0" collapsed="false">
      <c r="X317" s="1"/>
      <c r="Y317" s="1"/>
      <c r="Z317" s="1"/>
    </row>
    <row r="318" customFormat="false" ht="15.75" hidden="false" customHeight="true" outlineLevel="0" collapsed="false">
      <c r="X318" s="1"/>
      <c r="Y318" s="1"/>
      <c r="Z318" s="1"/>
    </row>
    <row r="319" customFormat="false" ht="15.75" hidden="false" customHeight="true" outlineLevel="0" collapsed="false">
      <c r="X319" s="1"/>
      <c r="Y319" s="1"/>
      <c r="Z319" s="1"/>
    </row>
    <row r="320" customFormat="false" ht="15.75" hidden="false" customHeight="true" outlineLevel="0" collapsed="false">
      <c r="X320" s="1"/>
      <c r="Y320" s="1"/>
      <c r="Z320" s="1"/>
    </row>
    <row r="321" customFormat="false" ht="15.75" hidden="false" customHeight="true" outlineLevel="0" collapsed="false">
      <c r="X321" s="1"/>
      <c r="Y321" s="1"/>
      <c r="Z321" s="1"/>
    </row>
    <row r="322" customFormat="false" ht="15.75" hidden="false" customHeight="true" outlineLevel="0" collapsed="false">
      <c r="X322" s="1"/>
      <c r="Y322" s="1"/>
      <c r="Z322" s="1"/>
    </row>
    <row r="323" customFormat="false" ht="15.75" hidden="false" customHeight="true" outlineLevel="0" collapsed="false">
      <c r="X323" s="1"/>
      <c r="Y323" s="1"/>
      <c r="Z323" s="1"/>
    </row>
    <row r="324" customFormat="false" ht="15.75" hidden="false" customHeight="true" outlineLevel="0" collapsed="false">
      <c r="X324" s="1"/>
      <c r="Y324" s="1"/>
      <c r="Z324" s="1"/>
    </row>
    <row r="325" customFormat="false" ht="15.75" hidden="false" customHeight="true" outlineLevel="0" collapsed="false">
      <c r="X325" s="1"/>
      <c r="Y325" s="1"/>
      <c r="Z325" s="1"/>
    </row>
    <row r="326" customFormat="false" ht="15.75" hidden="false" customHeight="true" outlineLevel="0" collapsed="false">
      <c r="X326" s="1"/>
      <c r="Y326" s="1"/>
      <c r="Z326" s="1"/>
    </row>
    <row r="327" customFormat="false" ht="15.75" hidden="false" customHeight="true" outlineLevel="0" collapsed="false">
      <c r="X327" s="1"/>
      <c r="Y327" s="1"/>
      <c r="Z327" s="1"/>
    </row>
    <row r="328" customFormat="false" ht="15.75" hidden="false" customHeight="true" outlineLevel="0" collapsed="false">
      <c r="X328" s="1"/>
      <c r="Y328" s="1"/>
      <c r="Z328" s="1"/>
    </row>
    <row r="329" customFormat="false" ht="15.75" hidden="false" customHeight="true" outlineLevel="0" collapsed="false">
      <c r="X329" s="1"/>
      <c r="Y329" s="1"/>
      <c r="Z329" s="1"/>
    </row>
    <row r="330" customFormat="false" ht="15.75" hidden="false" customHeight="true" outlineLevel="0" collapsed="false">
      <c r="X330" s="1"/>
      <c r="Y330" s="1"/>
      <c r="Z330" s="1"/>
    </row>
    <row r="331" customFormat="false" ht="15.75" hidden="false" customHeight="true" outlineLevel="0" collapsed="false">
      <c r="X331" s="1"/>
      <c r="Y331" s="1"/>
      <c r="Z331" s="1"/>
    </row>
    <row r="332" customFormat="false" ht="15.75" hidden="false" customHeight="true" outlineLevel="0" collapsed="false">
      <c r="X332" s="1"/>
      <c r="Y332" s="1"/>
      <c r="Z332" s="1"/>
    </row>
    <row r="333" customFormat="false" ht="15.75" hidden="false" customHeight="true" outlineLevel="0" collapsed="false">
      <c r="X333" s="1"/>
      <c r="Y333" s="1"/>
      <c r="Z333" s="1"/>
    </row>
    <row r="334" customFormat="false" ht="15.75" hidden="false" customHeight="true" outlineLevel="0" collapsed="false">
      <c r="X334" s="1"/>
      <c r="Y334" s="1"/>
      <c r="Z334" s="1"/>
    </row>
    <row r="335" customFormat="false" ht="15.75" hidden="false" customHeight="true" outlineLevel="0" collapsed="false">
      <c r="X335" s="1"/>
      <c r="Y335" s="1"/>
      <c r="Z335" s="1"/>
    </row>
    <row r="336" customFormat="false" ht="15.75" hidden="false" customHeight="true" outlineLevel="0" collapsed="false">
      <c r="X336" s="1"/>
      <c r="Y336" s="1"/>
      <c r="Z336" s="1"/>
    </row>
    <row r="337" customFormat="false" ht="15.75" hidden="false" customHeight="true" outlineLevel="0" collapsed="false">
      <c r="X337" s="1"/>
      <c r="Y337" s="1"/>
      <c r="Z337" s="1"/>
    </row>
    <row r="338" customFormat="false" ht="15.75" hidden="false" customHeight="true" outlineLevel="0" collapsed="false">
      <c r="X338" s="1"/>
      <c r="Y338" s="1"/>
      <c r="Z338" s="1"/>
    </row>
    <row r="339" customFormat="false" ht="15.75" hidden="false" customHeight="true" outlineLevel="0" collapsed="false">
      <c r="X339" s="1"/>
      <c r="Y339" s="1"/>
      <c r="Z339" s="1"/>
    </row>
    <row r="340" customFormat="false" ht="15.75" hidden="false" customHeight="true" outlineLevel="0" collapsed="false">
      <c r="X340" s="1"/>
      <c r="Y340" s="1"/>
      <c r="Z340" s="1"/>
    </row>
    <row r="341" customFormat="false" ht="15.75" hidden="false" customHeight="true" outlineLevel="0" collapsed="false">
      <c r="X341" s="1"/>
      <c r="Y341" s="1"/>
      <c r="Z341" s="1"/>
    </row>
    <row r="342" customFormat="false" ht="15.75" hidden="false" customHeight="true" outlineLevel="0" collapsed="false">
      <c r="X342" s="1"/>
      <c r="Y342" s="1"/>
      <c r="Z342" s="1"/>
    </row>
    <row r="343" customFormat="false" ht="15.75" hidden="false" customHeight="true" outlineLevel="0" collapsed="false">
      <c r="X343" s="1"/>
      <c r="Y343" s="1"/>
      <c r="Z343" s="1"/>
    </row>
    <row r="344" customFormat="false" ht="15.75" hidden="false" customHeight="true" outlineLevel="0" collapsed="false">
      <c r="X344" s="1"/>
      <c r="Y344" s="1"/>
      <c r="Z344" s="1"/>
    </row>
    <row r="345" customFormat="false" ht="15.75" hidden="false" customHeight="true" outlineLevel="0" collapsed="false">
      <c r="X345" s="1"/>
      <c r="Y345" s="1"/>
      <c r="Z345" s="1"/>
    </row>
    <row r="346" customFormat="false" ht="15.75" hidden="false" customHeight="true" outlineLevel="0" collapsed="false">
      <c r="X346" s="1"/>
      <c r="Y346" s="1"/>
      <c r="Z346" s="1"/>
    </row>
    <row r="347" customFormat="false" ht="15.75" hidden="false" customHeight="true" outlineLevel="0" collapsed="false">
      <c r="X347" s="1"/>
      <c r="Y347" s="1"/>
      <c r="Z347" s="1"/>
    </row>
    <row r="348" customFormat="false" ht="15.75" hidden="false" customHeight="true" outlineLevel="0" collapsed="false">
      <c r="X348" s="1"/>
      <c r="Y348" s="1"/>
      <c r="Z348" s="1"/>
    </row>
    <row r="349" customFormat="false" ht="15.75" hidden="false" customHeight="true" outlineLevel="0" collapsed="false">
      <c r="X349" s="1"/>
      <c r="Y349" s="1"/>
      <c r="Z349" s="1"/>
    </row>
    <row r="350" customFormat="false" ht="15.75" hidden="false" customHeight="true" outlineLevel="0" collapsed="false">
      <c r="X350" s="1"/>
      <c r="Y350" s="1"/>
      <c r="Z350" s="1"/>
    </row>
    <row r="351" customFormat="false" ht="15.75" hidden="false" customHeight="true" outlineLevel="0" collapsed="false">
      <c r="X351" s="1"/>
      <c r="Y351" s="1"/>
      <c r="Z351" s="1"/>
    </row>
    <row r="352" customFormat="false" ht="15.75" hidden="false" customHeight="true" outlineLevel="0" collapsed="false">
      <c r="X352" s="1"/>
      <c r="Y352" s="1"/>
      <c r="Z352" s="1"/>
    </row>
    <row r="353" customFormat="false" ht="15.75" hidden="false" customHeight="true" outlineLevel="0" collapsed="false">
      <c r="X353" s="1"/>
      <c r="Y353" s="1"/>
      <c r="Z353" s="1"/>
    </row>
    <row r="354" customFormat="false" ht="15.75" hidden="false" customHeight="true" outlineLevel="0" collapsed="false">
      <c r="X354" s="1"/>
      <c r="Y354" s="1"/>
      <c r="Z354" s="1"/>
    </row>
    <row r="355" customFormat="false" ht="15.75" hidden="false" customHeight="true" outlineLevel="0" collapsed="false">
      <c r="X355" s="1"/>
      <c r="Y355" s="1"/>
      <c r="Z355" s="1"/>
    </row>
    <row r="356" customFormat="false" ht="15.75" hidden="false" customHeight="true" outlineLevel="0" collapsed="false">
      <c r="X356" s="1"/>
      <c r="Y356" s="1"/>
      <c r="Z356" s="1"/>
    </row>
    <row r="357" customFormat="false" ht="15.75" hidden="false" customHeight="true" outlineLevel="0" collapsed="false">
      <c r="X357" s="1"/>
      <c r="Y357" s="1"/>
      <c r="Z357" s="1"/>
    </row>
    <row r="358" customFormat="false" ht="15.75" hidden="false" customHeight="true" outlineLevel="0" collapsed="false">
      <c r="X358" s="1"/>
      <c r="Y358" s="1"/>
      <c r="Z358" s="1"/>
    </row>
    <row r="359" customFormat="false" ht="15.75" hidden="false" customHeight="true" outlineLevel="0" collapsed="false">
      <c r="X359" s="1"/>
      <c r="Y359" s="1"/>
      <c r="Z359" s="1"/>
    </row>
    <row r="360" customFormat="false" ht="15.75" hidden="false" customHeight="true" outlineLevel="0" collapsed="false">
      <c r="X360" s="1"/>
      <c r="Y360" s="1"/>
      <c r="Z360" s="1"/>
    </row>
    <row r="361" customFormat="false" ht="15.75" hidden="false" customHeight="true" outlineLevel="0" collapsed="false">
      <c r="X361" s="1"/>
      <c r="Y361" s="1"/>
      <c r="Z361" s="1"/>
    </row>
    <row r="362" customFormat="false" ht="15.75" hidden="false" customHeight="true" outlineLevel="0" collapsed="false">
      <c r="X362" s="1"/>
      <c r="Y362" s="1"/>
      <c r="Z362" s="1"/>
    </row>
    <row r="363" customFormat="false" ht="15.75" hidden="false" customHeight="true" outlineLevel="0" collapsed="false">
      <c r="X363" s="1"/>
      <c r="Y363" s="1"/>
      <c r="Z363" s="1"/>
    </row>
    <row r="364" customFormat="false" ht="15.75" hidden="false" customHeight="true" outlineLevel="0" collapsed="false">
      <c r="X364" s="1"/>
      <c r="Y364" s="1"/>
      <c r="Z364" s="1"/>
    </row>
    <row r="365" customFormat="false" ht="15.75" hidden="false" customHeight="true" outlineLevel="0" collapsed="false">
      <c r="X365" s="1"/>
      <c r="Y365" s="1"/>
      <c r="Z365" s="1"/>
    </row>
    <row r="366" customFormat="false" ht="15.75" hidden="false" customHeight="true" outlineLevel="0" collapsed="false">
      <c r="X366" s="1"/>
      <c r="Y366" s="1"/>
      <c r="Z366" s="1"/>
    </row>
    <row r="367" customFormat="false" ht="15.75" hidden="false" customHeight="true" outlineLevel="0" collapsed="false">
      <c r="X367" s="1"/>
      <c r="Y367" s="1"/>
      <c r="Z367" s="1"/>
    </row>
    <row r="368" customFormat="false" ht="15.75" hidden="false" customHeight="true" outlineLevel="0" collapsed="false">
      <c r="X368" s="1"/>
      <c r="Y368" s="1"/>
      <c r="Z368" s="1"/>
    </row>
    <row r="369" customFormat="false" ht="15.75" hidden="false" customHeight="true" outlineLevel="0" collapsed="false">
      <c r="X369" s="1"/>
      <c r="Y369" s="1"/>
      <c r="Z369" s="1"/>
    </row>
    <row r="370" customFormat="false" ht="15.75" hidden="false" customHeight="true" outlineLevel="0" collapsed="false">
      <c r="X370" s="1"/>
      <c r="Y370" s="1"/>
      <c r="Z370" s="1"/>
    </row>
    <row r="371" customFormat="false" ht="15.75" hidden="false" customHeight="true" outlineLevel="0" collapsed="false">
      <c r="X371" s="1"/>
      <c r="Y371" s="1"/>
      <c r="Z371" s="1"/>
    </row>
    <row r="372" customFormat="false" ht="15.75" hidden="false" customHeight="true" outlineLevel="0" collapsed="false">
      <c r="X372" s="1"/>
      <c r="Y372" s="1"/>
      <c r="Z372" s="1"/>
    </row>
    <row r="373" customFormat="false" ht="15.75" hidden="false" customHeight="true" outlineLevel="0" collapsed="false">
      <c r="X373" s="1"/>
      <c r="Y373" s="1"/>
      <c r="Z373" s="1"/>
    </row>
    <row r="374" customFormat="false" ht="15.75" hidden="false" customHeight="true" outlineLevel="0" collapsed="false">
      <c r="X374" s="1"/>
      <c r="Y374" s="1"/>
      <c r="Z374" s="1"/>
    </row>
    <row r="375" customFormat="false" ht="15.75" hidden="false" customHeight="true" outlineLevel="0" collapsed="false">
      <c r="X375" s="1"/>
      <c r="Y375" s="1"/>
      <c r="Z375" s="1"/>
    </row>
    <row r="376" customFormat="false" ht="15.75" hidden="false" customHeight="true" outlineLevel="0" collapsed="false">
      <c r="X376" s="1"/>
      <c r="Y376" s="1"/>
      <c r="Z376" s="1"/>
    </row>
    <row r="377" customFormat="false" ht="15.75" hidden="false" customHeight="true" outlineLevel="0" collapsed="false">
      <c r="X377" s="1"/>
      <c r="Y377" s="1"/>
      <c r="Z377" s="1"/>
    </row>
    <row r="378" customFormat="false" ht="15.75" hidden="false" customHeight="true" outlineLevel="0" collapsed="false">
      <c r="X378" s="1"/>
      <c r="Y378" s="1"/>
      <c r="Z378" s="1"/>
    </row>
    <row r="379" customFormat="false" ht="15.75" hidden="false" customHeight="true" outlineLevel="0" collapsed="false">
      <c r="X379" s="1"/>
      <c r="Y379" s="1"/>
      <c r="Z379" s="1"/>
    </row>
    <row r="380" customFormat="false" ht="15.75" hidden="false" customHeight="true" outlineLevel="0" collapsed="false">
      <c r="X380" s="1"/>
      <c r="Y380" s="1"/>
      <c r="Z380" s="1"/>
    </row>
    <row r="381" customFormat="false" ht="15.75" hidden="false" customHeight="true" outlineLevel="0" collapsed="false">
      <c r="X381" s="1"/>
      <c r="Y381" s="1"/>
      <c r="Z381" s="1"/>
    </row>
    <row r="382" customFormat="false" ht="15.75" hidden="false" customHeight="true" outlineLevel="0" collapsed="false">
      <c r="X382" s="1"/>
      <c r="Y382" s="1"/>
      <c r="Z382" s="1"/>
    </row>
    <row r="383" customFormat="false" ht="15.75" hidden="false" customHeight="true" outlineLevel="0" collapsed="false">
      <c r="X383" s="1"/>
      <c r="Y383" s="1"/>
      <c r="Z383" s="1"/>
    </row>
    <row r="384" customFormat="false" ht="15.75" hidden="false" customHeight="true" outlineLevel="0" collapsed="false">
      <c r="X384" s="1"/>
      <c r="Y384" s="1"/>
      <c r="Z384" s="1"/>
    </row>
    <row r="385" customFormat="false" ht="15.75" hidden="false" customHeight="true" outlineLevel="0" collapsed="false">
      <c r="X385" s="1"/>
      <c r="Y385" s="1"/>
      <c r="Z385" s="1"/>
    </row>
    <row r="386" customFormat="false" ht="15.75" hidden="false" customHeight="true" outlineLevel="0" collapsed="false">
      <c r="X386" s="1"/>
      <c r="Y386" s="1"/>
      <c r="Z386" s="1"/>
    </row>
    <row r="387" customFormat="false" ht="15.75" hidden="false" customHeight="true" outlineLevel="0" collapsed="false">
      <c r="X387" s="1"/>
      <c r="Y387" s="1"/>
      <c r="Z387" s="1"/>
    </row>
    <row r="388" customFormat="false" ht="15.75" hidden="false" customHeight="true" outlineLevel="0" collapsed="false">
      <c r="X388" s="1"/>
      <c r="Y388" s="1"/>
      <c r="Z388" s="1"/>
    </row>
    <row r="389" customFormat="false" ht="15.75" hidden="false" customHeight="true" outlineLevel="0" collapsed="false">
      <c r="X389" s="1"/>
      <c r="Y389" s="1"/>
      <c r="Z389" s="1"/>
    </row>
    <row r="390" customFormat="false" ht="15.75" hidden="false" customHeight="true" outlineLevel="0" collapsed="false">
      <c r="X390" s="1"/>
      <c r="Y390" s="1"/>
      <c r="Z390" s="1"/>
    </row>
    <row r="391" customFormat="false" ht="15.75" hidden="false" customHeight="true" outlineLevel="0" collapsed="false">
      <c r="X391" s="1"/>
      <c r="Y391" s="1"/>
      <c r="Z391" s="1"/>
    </row>
    <row r="392" customFormat="false" ht="15.75" hidden="false" customHeight="true" outlineLevel="0" collapsed="false">
      <c r="X392" s="1"/>
      <c r="Y392" s="1"/>
      <c r="Z392" s="1"/>
    </row>
    <row r="393" customFormat="false" ht="15.75" hidden="false" customHeight="true" outlineLevel="0" collapsed="false">
      <c r="X393" s="1"/>
      <c r="Y393" s="1"/>
      <c r="Z393" s="1"/>
    </row>
    <row r="394" customFormat="false" ht="15.75" hidden="false" customHeight="true" outlineLevel="0" collapsed="false">
      <c r="X394" s="1"/>
      <c r="Y394" s="1"/>
      <c r="Z394" s="1"/>
    </row>
    <row r="395" customFormat="false" ht="15.75" hidden="false" customHeight="true" outlineLevel="0" collapsed="false">
      <c r="X395" s="1"/>
      <c r="Y395" s="1"/>
      <c r="Z395" s="1"/>
    </row>
    <row r="396" customFormat="false" ht="15.75" hidden="false" customHeight="true" outlineLevel="0" collapsed="false">
      <c r="X396" s="1"/>
      <c r="Y396" s="1"/>
      <c r="Z396" s="1"/>
    </row>
    <row r="397" customFormat="false" ht="15.75" hidden="false" customHeight="true" outlineLevel="0" collapsed="false">
      <c r="X397" s="1"/>
      <c r="Y397" s="1"/>
      <c r="Z397" s="1"/>
    </row>
    <row r="398" customFormat="false" ht="15.75" hidden="false" customHeight="true" outlineLevel="0" collapsed="false">
      <c r="X398" s="1"/>
      <c r="Y398" s="1"/>
      <c r="Z398" s="1"/>
    </row>
    <row r="399" customFormat="false" ht="15.75" hidden="false" customHeight="true" outlineLevel="0" collapsed="false">
      <c r="X399" s="1"/>
      <c r="Y399" s="1"/>
      <c r="Z399" s="1"/>
    </row>
    <row r="400" customFormat="false" ht="15.75" hidden="false" customHeight="true" outlineLevel="0" collapsed="false">
      <c r="X400" s="1"/>
      <c r="Y400" s="1"/>
      <c r="Z400" s="1"/>
    </row>
    <row r="401" customFormat="false" ht="15.75" hidden="false" customHeight="true" outlineLevel="0" collapsed="false">
      <c r="X401" s="1"/>
      <c r="Y401" s="1"/>
      <c r="Z401" s="1"/>
    </row>
    <row r="402" customFormat="false" ht="15.75" hidden="false" customHeight="true" outlineLevel="0" collapsed="false">
      <c r="X402" s="1"/>
      <c r="Y402" s="1"/>
      <c r="Z402" s="1"/>
    </row>
    <row r="403" customFormat="false" ht="15.75" hidden="false" customHeight="true" outlineLevel="0" collapsed="false">
      <c r="X403" s="1"/>
      <c r="Y403" s="1"/>
      <c r="Z403" s="1"/>
    </row>
    <row r="404" customFormat="false" ht="15.75" hidden="false" customHeight="true" outlineLevel="0" collapsed="false">
      <c r="X404" s="1"/>
      <c r="Y404" s="1"/>
      <c r="Z404" s="1"/>
    </row>
    <row r="405" customFormat="false" ht="15.75" hidden="false" customHeight="true" outlineLevel="0" collapsed="false">
      <c r="X405" s="1"/>
      <c r="Y405" s="1"/>
      <c r="Z405" s="1"/>
    </row>
    <row r="406" customFormat="false" ht="15.75" hidden="false" customHeight="true" outlineLevel="0" collapsed="false">
      <c r="X406" s="1"/>
      <c r="Y406" s="1"/>
      <c r="Z406" s="1"/>
    </row>
    <row r="407" customFormat="false" ht="15.75" hidden="false" customHeight="true" outlineLevel="0" collapsed="false">
      <c r="X407" s="1"/>
      <c r="Y407" s="1"/>
      <c r="Z407" s="1"/>
    </row>
    <row r="408" customFormat="false" ht="15.75" hidden="false" customHeight="true" outlineLevel="0" collapsed="false">
      <c r="X408" s="1"/>
      <c r="Y408" s="1"/>
      <c r="Z408" s="1"/>
    </row>
    <row r="409" customFormat="false" ht="15.75" hidden="false" customHeight="true" outlineLevel="0" collapsed="false">
      <c r="X409" s="1"/>
      <c r="Y409" s="1"/>
      <c r="Z409" s="1"/>
    </row>
    <row r="410" customFormat="false" ht="15.75" hidden="false" customHeight="true" outlineLevel="0" collapsed="false">
      <c r="X410" s="1"/>
      <c r="Y410" s="1"/>
      <c r="Z410" s="1"/>
    </row>
    <row r="411" customFormat="false" ht="15.75" hidden="false" customHeight="true" outlineLevel="0" collapsed="false">
      <c r="X411" s="1"/>
      <c r="Y411" s="1"/>
      <c r="Z411" s="1"/>
    </row>
    <row r="412" customFormat="false" ht="15.75" hidden="false" customHeight="true" outlineLevel="0" collapsed="false">
      <c r="X412" s="1"/>
      <c r="Y412" s="1"/>
      <c r="Z412" s="1"/>
    </row>
    <row r="413" customFormat="false" ht="15.75" hidden="false" customHeight="true" outlineLevel="0" collapsed="false">
      <c r="X413" s="1"/>
      <c r="Y413" s="1"/>
      <c r="Z413" s="1"/>
    </row>
    <row r="414" customFormat="false" ht="15.75" hidden="false" customHeight="true" outlineLevel="0" collapsed="false">
      <c r="X414" s="1"/>
      <c r="Y414" s="1"/>
      <c r="Z414" s="1"/>
    </row>
    <row r="415" customFormat="false" ht="15.75" hidden="false" customHeight="true" outlineLevel="0" collapsed="false">
      <c r="X415" s="1"/>
      <c r="Y415" s="1"/>
      <c r="Z415" s="1"/>
    </row>
    <row r="416" customFormat="false" ht="15.75" hidden="false" customHeight="true" outlineLevel="0" collapsed="false">
      <c r="X416" s="1"/>
      <c r="Y416" s="1"/>
      <c r="Z416" s="1"/>
    </row>
    <row r="417" customFormat="false" ht="15.75" hidden="false" customHeight="true" outlineLevel="0" collapsed="false">
      <c r="X417" s="1"/>
      <c r="Y417" s="1"/>
      <c r="Z417" s="1"/>
    </row>
    <row r="418" customFormat="false" ht="15.75" hidden="false" customHeight="true" outlineLevel="0" collapsed="false">
      <c r="X418" s="1"/>
      <c r="Y418" s="1"/>
      <c r="Z418" s="1"/>
    </row>
    <row r="419" customFormat="false" ht="15.75" hidden="false" customHeight="true" outlineLevel="0" collapsed="false">
      <c r="X419" s="1"/>
      <c r="Y419" s="1"/>
      <c r="Z419" s="1"/>
    </row>
    <row r="420" customFormat="false" ht="15.75" hidden="false" customHeight="true" outlineLevel="0" collapsed="false">
      <c r="X420" s="1"/>
      <c r="Y420" s="1"/>
      <c r="Z420" s="1"/>
    </row>
    <row r="421" customFormat="false" ht="15.75" hidden="false" customHeight="true" outlineLevel="0" collapsed="false">
      <c r="X421" s="1"/>
      <c r="Y421" s="1"/>
      <c r="Z421" s="1"/>
    </row>
    <row r="422" customFormat="false" ht="15.75" hidden="false" customHeight="true" outlineLevel="0" collapsed="false">
      <c r="X422" s="1"/>
      <c r="Y422" s="1"/>
      <c r="Z422" s="1"/>
    </row>
    <row r="423" customFormat="false" ht="15.75" hidden="false" customHeight="true" outlineLevel="0" collapsed="false">
      <c r="X423" s="1"/>
      <c r="Y423" s="1"/>
      <c r="Z423" s="1"/>
    </row>
    <row r="424" customFormat="false" ht="15.75" hidden="false" customHeight="true" outlineLevel="0" collapsed="false">
      <c r="X424" s="1"/>
      <c r="Y424" s="1"/>
      <c r="Z424" s="1"/>
    </row>
    <row r="425" customFormat="false" ht="15.75" hidden="false" customHeight="true" outlineLevel="0" collapsed="false">
      <c r="X425" s="1"/>
      <c r="Y425" s="1"/>
      <c r="Z425" s="1"/>
    </row>
    <row r="426" customFormat="false" ht="15.75" hidden="false" customHeight="true" outlineLevel="0" collapsed="false">
      <c r="X426" s="1"/>
      <c r="Y426" s="1"/>
      <c r="Z426" s="1"/>
    </row>
    <row r="427" customFormat="false" ht="15.75" hidden="false" customHeight="true" outlineLevel="0" collapsed="false">
      <c r="X427" s="1"/>
      <c r="Y427" s="1"/>
      <c r="Z427" s="1"/>
    </row>
    <row r="428" customFormat="false" ht="15.75" hidden="false" customHeight="true" outlineLevel="0" collapsed="false">
      <c r="X428" s="1"/>
      <c r="Y428" s="1"/>
      <c r="Z428" s="1"/>
    </row>
    <row r="429" customFormat="false" ht="15.75" hidden="false" customHeight="true" outlineLevel="0" collapsed="false">
      <c r="X429" s="1"/>
      <c r="Y429" s="1"/>
      <c r="Z429" s="1"/>
    </row>
    <row r="430" customFormat="false" ht="15.75" hidden="false" customHeight="true" outlineLevel="0" collapsed="false">
      <c r="X430" s="1"/>
      <c r="Y430" s="1"/>
      <c r="Z430" s="1"/>
    </row>
    <row r="431" customFormat="false" ht="15.75" hidden="false" customHeight="true" outlineLevel="0" collapsed="false">
      <c r="X431" s="1"/>
      <c r="Y431" s="1"/>
      <c r="Z431" s="1"/>
    </row>
    <row r="432" customFormat="false" ht="15.75" hidden="false" customHeight="true" outlineLevel="0" collapsed="false">
      <c r="X432" s="1"/>
      <c r="Y432" s="1"/>
      <c r="Z432" s="1"/>
    </row>
    <row r="433" customFormat="false" ht="15.75" hidden="false" customHeight="true" outlineLevel="0" collapsed="false">
      <c r="X433" s="1"/>
      <c r="Y433" s="1"/>
      <c r="Z433" s="1"/>
    </row>
    <row r="434" customFormat="false" ht="15.75" hidden="false" customHeight="true" outlineLevel="0" collapsed="false">
      <c r="X434" s="1"/>
      <c r="Y434" s="1"/>
      <c r="Z434" s="1"/>
    </row>
    <row r="435" customFormat="false" ht="15.75" hidden="false" customHeight="true" outlineLevel="0" collapsed="false">
      <c r="X435" s="1"/>
      <c r="Y435" s="1"/>
      <c r="Z435" s="1"/>
    </row>
    <row r="436" customFormat="false" ht="15.75" hidden="false" customHeight="true" outlineLevel="0" collapsed="false">
      <c r="X436" s="1"/>
      <c r="Y436" s="1"/>
      <c r="Z436" s="1"/>
    </row>
    <row r="437" customFormat="false" ht="15.75" hidden="false" customHeight="true" outlineLevel="0" collapsed="false">
      <c r="X437" s="1"/>
      <c r="Y437" s="1"/>
      <c r="Z437" s="1"/>
    </row>
    <row r="438" customFormat="false" ht="15.75" hidden="false" customHeight="true" outlineLevel="0" collapsed="false">
      <c r="X438" s="1"/>
      <c r="Y438" s="1"/>
      <c r="Z438" s="1"/>
    </row>
    <row r="439" customFormat="false" ht="15.75" hidden="false" customHeight="true" outlineLevel="0" collapsed="false">
      <c r="X439" s="1"/>
      <c r="Y439" s="1"/>
      <c r="Z439" s="1"/>
    </row>
    <row r="440" customFormat="false" ht="15.75" hidden="false" customHeight="true" outlineLevel="0" collapsed="false">
      <c r="X440" s="1"/>
      <c r="Y440" s="1"/>
      <c r="Z440" s="1"/>
    </row>
    <row r="441" customFormat="false" ht="15.75" hidden="false" customHeight="true" outlineLevel="0" collapsed="false">
      <c r="X441" s="1"/>
      <c r="Y441" s="1"/>
      <c r="Z441" s="1"/>
    </row>
    <row r="442" customFormat="false" ht="15.75" hidden="false" customHeight="true" outlineLevel="0" collapsed="false">
      <c r="X442" s="1"/>
      <c r="Y442" s="1"/>
      <c r="Z442" s="1"/>
    </row>
    <row r="443" customFormat="false" ht="15.75" hidden="false" customHeight="true" outlineLevel="0" collapsed="false">
      <c r="X443" s="1"/>
      <c r="Y443" s="1"/>
      <c r="Z443" s="1"/>
    </row>
    <row r="444" customFormat="false" ht="15.75" hidden="false" customHeight="true" outlineLevel="0" collapsed="false">
      <c r="X444" s="1"/>
      <c r="Y444" s="1"/>
      <c r="Z444" s="1"/>
    </row>
    <row r="445" customFormat="false" ht="15.75" hidden="false" customHeight="true" outlineLevel="0" collapsed="false">
      <c r="X445" s="1"/>
      <c r="Y445" s="1"/>
      <c r="Z445" s="1"/>
    </row>
    <row r="446" customFormat="false" ht="15.75" hidden="false" customHeight="true" outlineLevel="0" collapsed="false">
      <c r="X446" s="1"/>
      <c r="Y446" s="1"/>
      <c r="Z446" s="1"/>
    </row>
    <row r="447" customFormat="false" ht="15.75" hidden="false" customHeight="true" outlineLevel="0" collapsed="false">
      <c r="X447" s="1"/>
      <c r="Y447" s="1"/>
      <c r="Z447" s="1"/>
    </row>
    <row r="448" customFormat="false" ht="15.75" hidden="false" customHeight="true" outlineLevel="0" collapsed="false">
      <c r="X448" s="1"/>
      <c r="Y448" s="1"/>
      <c r="Z448" s="1"/>
    </row>
    <row r="449" customFormat="false" ht="15.75" hidden="false" customHeight="true" outlineLevel="0" collapsed="false">
      <c r="X449" s="1"/>
      <c r="Y449" s="1"/>
      <c r="Z449" s="1"/>
    </row>
    <row r="450" customFormat="false" ht="15.75" hidden="false" customHeight="true" outlineLevel="0" collapsed="false">
      <c r="X450" s="1"/>
      <c r="Y450" s="1"/>
      <c r="Z450" s="1"/>
    </row>
    <row r="451" customFormat="false" ht="15.75" hidden="false" customHeight="true" outlineLevel="0" collapsed="false">
      <c r="X451" s="1"/>
      <c r="Y451" s="1"/>
      <c r="Z451" s="1"/>
    </row>
    <row r="452" customFormat="false" ht="15.75" hidden="false" customHeight="true" outlineLevel="0" collapsed="false">
      <c r="X452" s="1"/>
      <c r="Y452" s="1"/>
      <c r="Z452" s="1"/>
    </row>
    <row r="453" customFormat="false" ht="15.75" hidden="false" customHeight="true" outlineLevel="0" collapsed="false">
      <c r="X453" s="1"/>
      <c r="Y453" s="1"/>
      <c r="Z453" s="1"/>
    </row>
    <row r="454" customFormat="false" ht="15.75" hidden="false" customHeight="true" outlineLevel="0" collapsed="false">
      <c r="X454" s="1"/>
      <c r="Y454" s="1"/>
      <c r="Z454" s="1"/>
    </row>
    <row r="455" customFormat="false" ht="15.75" hidden="false" customHeight="true" outlineLevel="0" collapsed="false">
      <c r="X455" s="1"/>
      <c r="Y455" s="1"/>
      <c r="Z455" s="1"/>
    </row>
    <row r="456" customFormat="false" ht="15.75" hidden="false" customHeight="true" outlineLevel="0" collapsed="false">
      <c r="X456" s="1"/>
      <c r="Y456" s="1"/>
      <c r="Z456" s="1"/>
    </row>
    <row r="457" customFormat="false" ht="15.75" hidden="false" customHeight="true" outlineLevel="0" collapsed="false">
      <c r="X457" s="1"/>
      <c r="Y457" s="1"/>
      <c r="Z457" s="1"/>
    </row>
    <row r="458" customFormat="false" ht="15.75" hidden="false" customHeight="true" outlineLevel="0" collapsed="false">
      <c r="X458" s="1"/>
      <c r="Y458" s="1"/>
      <c r="Z458" s="1"/>
    </row>
    <row r="459" customFormat="false" ht="15.75" hidden="false" customHeight="true" outlineLevel="0" collapsed="false">
      <c r="X459" s="1"/>
      <c r="Y459" s="1"/>
      <c r="Z459" s="1"/>
    </row>
    <row r="460" customFormat="false" ht="15.75" hidden="false" customHeight="true" outlineLevel="0" collapsed="false">
      <c r="X460" s="1"/>
      <c r="Y460" s="1"/>
      <c r="Z460" s="1"/>
    </row>
    <row r="461" customFormat="false" ht="15.75" hidden="false" customHeight="true" outlineLevel="0" collapsed="false">
      <c r="X461" s="1"/>
      <c r="Y461" s="1"/>
      <c r="Z461" s="1"/>
    </row>
    <row r="462" customFormat="false" ht="15.75" hidden="false" customHeight="true" outlineLevel="0" collapsed="false">
      <c r="X462" s="1"/>
      <c r="Y462" s="1"/>
      <c r="Z462" s="1"/>
    </row>
    <row r="463" customFormat="false" ht="15.75" hidden="false" customHeight="true" outlineLevel="0" collapsed="false">
      <c r="X463" s="1"/>
      <c r="Y463" s="1"/>
      <c r="Z463" s="1"/>
    </row>
    <row r="464" customFormat="false" ht="15.75" hidden="false" customHeight="true" outlineLevel="0" collapsed="false">
      <c r="X464" s="1"/>
      <c r="Y464" s="1"/>
      <c r="Z464" s="1"/>
    </row>
    <row r="465" customFormat="false" ht="15.75" hidden="false" customHeight="true" outlineLevel="0" collapsed="false">
      <c r="X465" s="1"/>
      <c r="Y465" s="1"/>
      <c r="Z465" s="1"/>
    </row>
    <row r="466" customFormat="false" ht="15.75" hidden="false" customHeight="true" outlineLevel="0" collapsed="false">
      <c r="X466" s="1"/>
      <c r="Y466" s="1"/>
      <c r="Z466" s="1"/>
    </row>
    <row r="467" customFormat="false" ht="15.75" hidden="false" customHeight="true" outlineLevel="0" collapsed="false">
      <c r="X467" s="1"/>
      <c r="Y467" s="1"/>
      <c r="Z467" s="1"/>
    </row>
    <row r="468" customFormat="false" ht="15.75" hidden="false" customHeight="true" outlineLevel="0" collapsed="false">
      <c r="X468" s="1"/>
      <c r="Y468" s="1"/>
      <c r="Z468" s="1"/>
    </row>
    <row r="469" customFormat="false" ht="15.75" hidden="false" customHeight="true" outlineLevel="0" collapsed="false">
      <c r="X469" s="1"/>
      <c r="Y469" s="1"/>
      <c r="Z469" s="1"/>
    </row>
    <row r="470" customFormat="false" ht="15.75" hidden="false" customHeight="true" outlineLevel="0" collapsed="false">
      <c r="X470" s="1"/>
      <c r="Y470" s="1"/>
      <c r="Z470" s="1"/>
    </row>
    <row r="471" customFormat="false" ht="15.75" hidden="false" customHeight="true" outlineLevel="0" collapsed="false">
      <c r="X471" s="1"/>
      <c r="Y471" s="1"/>
      <c r="Z471" s="1"/>
    </row>
    <row r="472" customFormat="false" ht="15.75" hidden="false" customHeight="true" outlineLevel="0" collapsed="false">
      <c r="X472" s="1"/>
      <c r="Y472" s="1"/>
      <c r="Z472" s="1"/>
    </row>
    <row r="473" customFormat="false" ht="15.75" hidden="false" customHeight="true" outlineLevel="0" collapsed="false">
      <c r="X473" s="1"/>
      <c r="Y473" s="1"/>
      <c r="Z473" s="1"/>
    </row>
    <row r="474" customFormat="false" ht="15.75" hidden="false" customHeight="true" outlineLevel="0" collapsed="false">
      <c r="X474" s="1"/>
      <c r="Y474" s="1"/>
      <c r="Z474" s="1"/>
    </row>
    <row r="475" customFormat="false" ht="15.75" hidden="false" customHeight="true" outlineLevel="0" collapsed="false">
      <c r="X475" s="1"/>
      <c r="Y475" s="1"/>
      <c r="Z475" s="1"/>
    </row>
    <row r="476" customFormat="false" ht="15.75" hidden="false" customHeight="true" outlineLevel="0" collapsed="false">
      <c r="X476" s="1"/>
      <c r="Y476" s="1"/>
      <c r="Z476" s="1"/>
    </row>
    <row r="477" customFormat="false" ht="15.75" hidden="false" customHeight="true" outlineLevel="0" collapsed="false">
      <c r="X477" s="1"/>
      <c r="Y477" s="1"/>
      <c r="Z477" s="1"/>
    </row>
    <row r="478" customFormat="false" ht="15.75" hidden="false" customHeight="true" outlineLevel="0" collapsed="false">
      <c r="X478" s="1"/>
      <c r="Y478" s="1"/>
      <c r="Z478" s="1"/>
    </row>
    <row r="479" customFormat="false" ht="15.75" hidden="false" customHeight="true" outlineLevel="0" collapsed="false">
      <c r="X479" s="1"/>
      <c r="Y479" s="1"/>
      <c r="Z479" s="1"/>
    </row>
    <row r="480" customFormat="false" ht="15.75" hidden="false" customHeight="true" outlineLevel="0" collapsed="false">
      <c r="X480" s="1"/>
      <c r="Y480" s="1"/>
      <c r="Z480" s="1"/>
    </row>
    <row r="481" customFormat="false" ht="15.75" hidden="false" customHeight="true" outlineLevel="0" collapsed="false">
      <c r="X481" s="1"/>
      <c r="Y481" s="1"/>
      <c r="Z481" s="1"/>
    </row>
    <row r="482" customFormat="false" ht="15.75" hidden="false" customHeight="true" outlineLevel="0" collapsed="false">
      <c r="X482" s="1"/>
      <c r="Y482" s="1"/>
      <c r="Z482" s="1"/>
    </row>
    <row r="483" customFormat="false" ht="15.75" hidden="false" customHeight="true" outlineLevel="0" collapsed="false">
      <c r="X483" s="1"/>
      <c r="Y483" s="1"/>
      <c r="Z483" s="1"/>
    </row>
    <row r="484" customFormat="false" ht="15.75" hidden="false" customHeight="true" outlineLevel="0" collapsed="false">
      <c r="X484" s="1"/>
      <c r="Y484" s="1"/>
      <c r="Z484" s="1"/>
    </row>
    <row r="485" customFormat="false" ht="15.75" hidden="false" customHeight="true" outlineLevel="0" collapsed="false">
      <c r="X485" s="1"/>
      <c r="Y485" s="1"/>
      <c r="Z485" s="1"/>
    </row>
    <row r="486" customFormat="false" ht="15.75" hidden="false" customHeight="true" outlineLevel="0" collapsed="false">
      <c r="X486" s="1"/>
      <c r="Y486" s="1"/>
      <c r="Z486" s="1"/>
    </row>
    <row r="487" customFormat="false" ht="15.75" hidden="false" customHeight="true" outlineLevel="0" collapsed="false">
      <c r="X487" s="1"/>
      <c r="Y487" s="1"/>
      <c r="Z487" s="1"/>
    </row>
    <row r="488" customFormat="false" ht="15.75" hidden="false" customHeight="true" outlineLevel="0" collapsed="false">
      <c r="X488" s="1"/>
      <c r="Y488" s="1"/>
      <c r="Z488" s="1"/>
    </row>
    <row r="489" customFormat="false" ht="15.75" hidden="false" customHeight="true" outlineLevel="0" collapsed="false">
      <c r="X489" s="1"/>
      <c r="Y489" s="1"/>
      <c r="Z489" s="1"/>
    </row>
    <row r="490" customFormat="false" ht="15.75" hidden="false" customHeight="true" outlineLevel="0" collapsed="false">
      <c r="X490" s="1"/>
      <c r="Y490" s="1"/>
      <c r="Z490" s="1"/>
    </row>
    <row r="491" customFormat="false" ht="15.75" hidden="false" customHeight="true" outlineLevel="0" collapsed="false">
      <c r="X491" s="1"/>
      <c r="Y491" s="1"/>
      <c r="Z491" s="1"/>
    </row>
    <row r="492" customFormat="false" ht="15.75" hidden="false" customHeight="true" outlineLevel="0" collapsed="false">
      <c r="X492" s="1"/>
      <c r="Y492" s="1"/>
      <c r="Z492" s="1"/>
    </row>
    <row r="493" customFormat="false" ht="15.75" hidden="false" customHeight="true" outlineLevel="0" collapsed="false">
      <c r="X493" s="1"/>
      <c r="Y493" s="1"/>
      <c r="Z493" s="1"/>
    </row>
    <row r="494" customFormat="false" ht="15.75" hidden="false" customHeight="true" outlineLevel="0" collapsed="false">
      <c r="X494" s="1"/>
      <c r="Y494" s="1"/>
      <c r="Z494" s="1"/>
    </row>
    <row r="495" customFormat="false" ht="15.75" hidden="false" customHeight="true" outlineLevel="0" collapsed="false">
      <c r="X495" s="1"/>
      <c r="Y495" s="1"/>
      <c r="Z495" s="1"/>
    </row>
    <row r="496" customFormat="false" ht="15.75" hidden="false" customHeight="true" outlineLevel="0" collapsed="false">
      <c r="X496" s="1"/>
      <c r="Y496" s="1"/>
      <c r="Z496" s="1"/>
    </row>
    <row r="497" customFormat="false" ht="15.75" hidden="false" customHeight="true" outlineLevel="0" collapsed="false">
      <c r="X497" s="1"/>
      <c r="Y497" s="1"/>
      <c r="Z497" s="1"/>
    </row>
    <row r="498" customFormat="false" ht="15.75" hidden="false" customHeight="true" outlineLevel="0" collapsed="false">
      <c r="X498" s="1"/>
      <c r="Y498" s="1"/>
      <c r="Z498" s="1"/>
    </row>
    <row r="499" customFormat="false" ht="15.75" hidden="false" customHeight="true" outlineLevel="0" collapsed="false">
      <c r="X499" s="1"/>
      <c r="Y499" s="1"/>
      <c r="Z499" s="1"/>
    </row>
    <row r="500" customFormat="false" ht="15.75" hidden="false" customHeight="true" outlineLevel="0" collapsed="false">
      <c r="X500" s="1"/>
      <c r="Y500" s="1"/>
      <c r="Z500" s="1"/>
    </row>
    <row r="501" customFormat="false" ht="15.75" hidden="false" customHeight="true" outlineLevel="0" collapsed="false">
      <c r="X501" s="1"/>
      <c r="Y501" s="1"/>
      <c r="Z501" s="1"/>
    </row>
    <row r="502" customFormat="false" ht="15.75" hidden="false" customHeight="true" outlineLevel="0" collapsed="false">
      <c r="X502" s="1"/>
      <c r="Y502" s="1"/>
      <c r="Z502" s="1"/>
    </row>
    <row r="503" customFormat="false" ht="15.75" hidden="false" customHeight="true" outlineLevel="0" collapsed="false">
      <c r="X503" s="1"/>
      <c r="Y503" s="1"/>
      <c r="Z503" s="1"/>
    </row>
    <row r="504" customFormat="false" ht="15.75" hidden="false" customHeight="true" outlineLevel="0" collapsed="false">
      <c r="X504" s="1"/>
      <c r="Y504" s="1"/>
      <c r="Z504" s="1"/>
    </row>
    <row r="505" customFormat="false" ht="15.75" hidden="false" customHeight="true" outlineLevel="0" collapsed="false">
      <c r="X505" s="1"/>
      <c r="Y505" s="1"/>
      <c r="Z505" s="1"/>
    </row>
    <row r="506" customFormat="false" ht="15.75" hidden="false" customHeight="true" outlineLevel="0" collapsed="false">
      <c r="X506" s="1"/>
      <c r="Y506" s="1"/>
      <c r="Z506" s="1"/>
    </row>
    <row r="507" customFormat="false" ht="15.75" hidden="false" customHeight="true" outlineLevel="0" collapsed="false">
      <c r="X507" s="1"/>
      <c r="Y507" s="1"/>
      <c r="Z507" s="1"/>
    </row>
    <row r="508" customFormat="false" ht="15.75" hidden="false" customHeight="true" outlineLevel="0" collapsed="false">
      <c r="X508" s="1"/>
      <c r="Y508" s="1"/>
      <c r="Z508" s="1"/>
    </row>
    <row r="509" customFormat="false" ht="15.75" hidden="false" customHeight="true" outlineLevel="0" collapsed="false">
      <c r="X509" s="1"/>
      <c r="Y509" s="1"/>
      <c r="Z509" s="1"/>
    </row>
    <row r="510" customFormat="false" ht="15.75" hidden="false" customHeight="true" outlineLevel="0" collapsed="false">
      <c r="X510" s="1"/>
      <c r="Y510" s="1"/>
      <c r="Z510" s="1"/>
    </row>
    <row r="511" customFormat="false" ht="15.75" hidden="false" customHeight="true" outlineLevel="0" collapsed="false">
      <c r="X511" s="1"/>
      <c r="Y511" s="1"/>
      <c r="Z511" s="1"/>
    </row>
    <row r="512" customFormat="false" ht="15.75" hidden="false" customHeight="true" outlineLevel="0" collapsed="false">
      <c r="X512" s="1"/>
      <c r="Y512" s="1"/>
      <c r="Z512" s="1"/>
    </row>
    <row r="513" customFormat="false" ht="15.75" hidden="false" customHeight="true" outlineLevel="0" collapsed="false">
      <c r="X513" s="1"/>
      <c r="Y513" s="1"/>
      <c r="Z513" s="1"/>
    </row>
    <row r="514" customFormat="false" ht="15.75" hidden="false" customHeight="true" outlineLevel="0" collapsed="false">
      <c r="X514" s="1"/>
      <c r="Y514" s="1"/>
      <c r="Z514" s="1"/>
    </row>
    <row r="515" customFormat="false" ht="15.75" hidden="false" customHeight="true" outlineLevel="0" collapsed="false">
      <c r="X515" s="1"/>
      <c r="Y515" s="1"/>
      <c r="Z515" s="1"/>
    </row>
    <row r="516" customFormat="false" ht="15.75" hidden="false" customHeight="true" outlineLevel="0" collapsed="false">
      <c r="X516" s="1"/>
      <c r="Y516" s="1"/>
      <c r="Z516" s="1"/>
    </row>
    <row r="517" customFormat="false" ht="15.75" hidden="false" customHeight="true" outlineLevel="0" collapsed="false">
      <c r="X517" s="1"/>
      <c r="Y517" s="1"/>
      <c r="Z517" s="1"/>
    </row>
    <row r="518" customFormat="false" ht="15.75" hidden="false" customHeight="true" outlineLevel="0" collapsed="false">
      <c r="X518" s="1"/>
      <c r="Y518" s="1"/>
      <c r="Z518" s="1"/>
    </row>
    <row r="519" customFormat="false" ht="15.75" hidden="false" customHeight="true" outlineLevel="0" collapsed="false">
      <c r="X519" s="1"/>
      <c r="Y519" s="1"/>
      <c r="Z519" s="1"/>
    </row>
    <row r="520" customFormat="false" ht="15.75" hidden="false" customHeight="true" outlineLevel="0" collapsed="false">
      <c r="X520" s="1"/>
      <c r="Y520" s="1"/>
      <c r="Z520" s="1"/>
    </row>
    <row r="521" customFormat="false" ht="15.75" hidden="false" customHeight="true" outlineLevel="0" collapsed="false">
      <c r="X521" s="1"/>
      <c r="Y521" s="1"/>
      <c r="Z521" s="1"/>
    </row>
    <row r="522" customFormat="false" ht="15.75" hidden="false" customHeight="true" outlineLevel="0" collapsed="false">
      <c r="X522" s="1"/>
      <c r="Y522" s="1"/>
      <c r="Z522" s="1"/>
    </row>
    <row r="523" customFormat="false" ht="15.75" hidden="false" customHeight="true" outlineLevel="0" collapsed="false">
      <c r="X523" s="1"/>
      <c r="Y523" s="1"/>
      <c r="Z523" s="1"/>
    </row>
    <row r="524" customFormat="false" ht="15.75" hidden="false" customHeight="true" outlineLevel="0" collapsed="false">
      <c r="X524" s="1"/>
      <c r="Y524" s="1"/>
      <c r="Z524" s="1"/>
    </row>
    <row r="525" customFormat="false" ht="15.75" hidden="false" customHeight="true" outlineLevel="0" collapsed="false">
      <c r="X525" s="1"/>
      <c r="Y525" s="1"/>
      <c r="Z525" s="1"/>
    </row>
    <row r="526" customFormat="false" ht="15.75" hidden="false" customHeight="true" outlineLevel="0" collapsed="false">
      <c r="X526" s="1"/>
      <c r="Y526" s="1"/>
      <c r="Z526" s="1"/>
    </row>
    <row r="527" customFormat="false" ht="15.75" hidden="false" customHeight="true" outlineLevel="0" collapsed="false">
      <c r="X527" s="1"/>
      <c r="Y527" s="1"/>
      <c r="Z527" s="1"/>
    </row>
    <row r="528" customFormat="false" ht="15.75" hidden="false" customHeight="true" outlineLevel="0" collapsed="false">
      <c r="X528" s="1"/>
      <c r="Y528" s="1"/>
      <c r="Z528" s="1"/>
    </row>
    <row r="529" customFormat="false" ht="15.75" hidden="false" customHeight="true" outlineLevel="0" collapsed="false">
      <c r="X529" s="1"/>
      <c r="Y529" s="1"/>
      <c r="Z529" s="1"/>
    </row>
    <row r="530" customFormat="false" ht="15.75" hidden="false" customHeight="true" outlineLevel="0" collapsed="false">
      <c r="X530" s="1"/>
      <c r="Y530" s="1"/>
      <c r="Z530" s="1"/>
    </row>
    <row r="531" customFormat="false" ht="15.75" hidden="false" customHeight="true" outlineLevel="0" collapsed="false">
      <c r="X531" s="1"/>
      <c r="Y531" s="1"/>
      <c r="Z531" s="1"/>
    </row>
    <row r="532" customFormat="false" ht="15.75" hidden="false" customHeight="true" outlineLevel="0" collapsed="false">
      <c r="X532" s="1"/>
      <c r="Y532" s="1"/>
      <c r="Z532" s="1"/>
    </row>
    <row r="533" customFormat="false" ht="15.75" hidden="false" customHeight="true" outlineLevel="0" collapsed="false">
      <c r="X533" s="1"/>
      <c r="Y533" s="1"/>
      <c r="Z533" s="1"/>
    </row>
    <row r="534" customFormat="false" ht="15.75" hidden="false" customHeight="true" outlineLevel="0" collapsed="false">
      <c r="X534" s="1"/>
      <c r="Y534" s="1"/>
      <c r="Z534" s="1"/>
    </row>
    <row r="535" customFormat="false" ht="15.75" hidden="false" customHeight="true" outlineLevel="0" collapsed="false">
      <c r="X535" s="1"/>
      <c r="Y535" s="1"/>
      <c r="Z535" s="1"/>
    </row>
    <row r="536" customFormat="false" ht="15.75" hidden="false" customHeight="true" outlineLevel="0" collapsed="false">
      <c r="X536" s="1"/>
      <c r="Y536" s="1"/>
      <c r="Z536" s="1"/>
    </row>
    <row r="537" customFormat="false" ht="15.75" hidden="false" customHeight="true" outlineLevel="0" collapsed="false">
      <c r="X537" s="1"/>
      <c r="Y537" s="1"/>
      <c r="Z537" s="1"/>
    </row>
    <row r="538" customFormat="false" ht="15.75" hidden="false" customHeight="true" outlineLevel="0" collapsed="false">
      <c r="X538" s="1"/>
      <c r="Y538" s="1"/>
      <c r="Z538" s="1"/>
    </row>
    <row r="539" customFormat="false" ht="15.75" hidden="false" customHeight="true" outlineLevel="0" collapsed="false">
      <c r="X539" s="1"/>
      <c r="Y539" s="1"/>
      <c r="Z539" s="1"/>
    </row>
    <row r="540" customFormat="false" ht="15.75" hidden="false" customHeight="true" outlineLevel="0" collapsed="false">
      <c r="X540" s="1"/>
      <c r="Y540" s="1"/>
      <c r="Z540" s="1"/>
    </row>
    <row r="541" customFormat="false" ht="15.75" hidden="false" customHeight="true" outlineLevel="0" collapsed="false">
      <c r="X541" s="1"/>
      <c r="Y541" s="1"/>
      <c r="Z541" s="1"/>
    </row>
    <row r="542" customFormat="false" ht="15.75" hidden="false" customHeight="true" outlineLevel="0" collapsed="false">
      <c r="X542" s="1"/>
      <c r="Y542" s="1"/>
      <c r="Z542" s="1"/>
    </row>
    <row r="543" customFormat="false" ht="15.75" hidden="false" customHeight="true" outlineLevel="0" collapsed="false">
      <c r="X543" s="1"/>
      <c r="Y543" s="1"/>
      <c r="Z543" s="1"/>
    </row>
    <row r="544" customFormat="false" ht="15.75" hidden="false" customHeight="true" outlineLevel="0" collapsed="false">
      <c r="X544" s="1"/>
      <c r="Y544" s="1"/>
      <c r="Z544" s="1"/>
    </row>
    <row r="545" customFormat="false" ht="15.75" hidden="false" customHeight="true" outlineLevel="0" collapsed="false">
      <c r="X545" s="1"/>
      <c r="Y545" s="1"/>
      <c r="Z545" s="1"/>
    </row>
    <row r="546" customFormat="false" ht="15.75" hidden="false" customHeight="true" outlineLevel="0" collapsed="false">
      <c r="X546" s="1"/>
      <c r="Y546" s="1"/>
      <c r="Z546" s="1"/>
    </row>
    <row r="547" customFormat="false" ht="15.75" hidden="false" customHeight="true" outlineLevel="0" collapsed="false">
      <c r="X547" s="1"/>
      <c r="Y547" s="1"/>
      <c r="Z547" s="1"/>
    </row>
    <row r="548" customFormat="false" ht="15.75" hidden="false" customHeight="true" outlineLevel="0" collapsed="false">
      <c r="X548" s="1"/>
      <c r="Y548" s="1"/>
      <c r="Z548" s="1"/>
    </row>
    <row r="549" customFormat="false" ht="15.75" hidden="false" customHeight="true" outlineLevel="0" collapsed="false">
      <c r="X549" s="1"/>
      <c r="Y549" s="1"/>
      <c r="Z549" s="1"/>
    </row>
    <row r="550" customFormat="false" ht="15.75" hidden="false" customHeight="true" outlineLevel="0" collapsed="false">
      <c r="X550" s="1"/>
      <c r="Y550" s="1"/>
      <c r="Z550" s="1"/>
    </row>
    <row r="551" customFormat="false" ht="15.75" hidden="false" customHeight="true" outlineLevel="0" collapsed="false">
      <c r="X551" s="1"/>
      <c r="Y551" s="1"/>
      <c r="Z551" s="1"/>
    </row>
    <row r="552" customFormat="false" ht="15.75" hidden="false" customHeight="true" outlineLevel="0" collapsed="false">
      <c r="X552" s="1"/>
      <c r="Y552" s="1"/>
      <c r="Z552" s="1"/>
    </row>
    <row r="553" customFormat="false" ht="15.75" hidden="false" customHeight="true" outlineLevel="0" collapsed="false">
      <c r="X553" s="1"/>
      <c r="Y553" s="1"/>
      <c r="Z553" s="1"/>
    </row>
    <row r="554" customFormat="false" ht="15.75" hidden="false" customHeight="true" outlineLevel="0" collapsed="false">
      <c r="X554" s="1"/>
      <c r="Y554" s="1"/>
      <c r="Z554" s="1"/>
    </row>
    <row r="555" customFormat="false" ht="15.75" hidden="false" customHeight="true" outlineLevel="0" collapsed="false">
      <c r="X555" s="1"/>
      <c r="Y555" s="1"/>
      <c r="Z555" s="1"/>
    </row>
    <row r="556" customFormat="false" ht="15.75" hidden="false" customHeight="true" outlineLevel="0" collapsed="false">
      <c r="X556" s="1"/>
      <c r="Y556" s="1"/>
      <c r="Z556" s="1"/>
    </row>
    <row r="557" customFormat="false" ht="15.75" hidden="false" customHeight="true" outlineLevel="0" collapsed="false">
      <c r="X557" s="1"/>
      <c r="Y557" s="1"/>
      <c r="Z557" s="1"/>
    </row>
    <row r="558" customFormat="false" ht="15.75" hidden="false" customHeight="true" outlineLevel="0" collapsed="false">
      <c r="X558" s="1"/>
      <c r="Y558" s="1"/>
      <c r="Z558" s="1"/>
    </row>
    <row r="559" customFormat="false" ht="15.75" hidden="false" customHeight="true" outlineLevel="0" collapsed="false">
      <c r="X559" s="1"/>
      <c r="Y559" s="1"/>
      <c r="Z559" s="1"/>
    </row>
    <row r="560" customFormat="false" ht="15.75" hidden="false" customHeight="true" outlineLevel="0" collapsed="false">
      <c r="X560" s="1"/>
      <c r="Y560" s="1"/>
      <c r="Z560" s="1"/>
    </row>
    <row r="561" customFormat="false" ht="15.75" hidden="false" customHeight="true" outlineLevel="0" collapsed="false">
      <c r="X561" s="1"/>
      <c r="Y561" s="1"/>
      <c r="Z561" s="1"/>
    </row>
    <row r="562" customFormat="false" ht="15.75" hidden="false" customHeight="true" outlineLevel="0" collapsed="false">
      <c r="X562" s="1"/>
      <c r="Y562" s="1"/>
      <c r="Z562" s="1"/>
    </row>
    <row r="563" customFormat="false" ht="15.75" hidden="false" customHeight="true" outlineLevel="0" collapsed="false">
      <c r="X563" s="1"/>
      <c r="Y563" s="1"/>
      <c r="Z563" s="1"/>
    </row>
    <row r="564" customFormat="false" ht="15.75" hidden="false" customHeight="true" outlineLevel="0" collapsed="false">
      <c r="X564" s="1"/>
      <c r="Y564" s="1"/>
      <c r="Z564" s="1"/>
    </row>
    <row r="565" customFormat="false" ht="15.75" hidden="false" customHeight="true" outlineLevel="0" collapsed="false">
      <c r="X565" s="1"/>
      <c r="Y565" s="1"/>
      <c r="Z565" s="1"/>
    </row>
    <row r="566" customFormat="false" ht="15.75" hidden="false" customHeight="true" outlineLevel="0" collapsed="false">
      <c r="X566" s="1"/>
      <c r="Y566" s="1"/>
      <c r="Z566" s="1"/>
    </row>
    <row r="567" customFormat="false" ht="15.75" hidden="false" customHeight="true" outlineLevel="0" collapsed="false">
      <c r="X567" s="1"/>
      <c r="Y567" s="1"/>
      <c r="Z567" s="1"/>
    </row>
    <row r="568" customFormat="false" ht="15.75" hidden="false" customHeight="true" outlineLevel="0" collapsed="false">
      <c r="X568" s="1"/>
      <c r="Y568" s="1"/>
      <c r="Z568" s="1"/>
    </row>
    <row r="569" customFormat="false" ht="15.75" hidden="false" customHeight="true" outlineLevel="0" collapsed="false">
      <c r="X569" s="1"/>
      <c r="Y569" s="1"/>
      <c r="Z569" s="1"/>
    </row>
    <row r="570" customFormat="false" ht="15.75" hidden="false" customHeight="true" outlineLevel="0" collapsed="false">
      <c r="X570" s="1"/>
      <c r="Y570" s="1"/>
      <c r="Z570" s="1"/>
    </row>
    <row r="571" customFormat="false" ht="15.75" hidden="false" customHeight="true" outlineLevel="0" collapsed="false">
      <c r="X571" s="1"/>
      <c r="Y571" s="1"/>
      <c r="Z571" s="1"/>
    </row>
    <row r="572" customFormat="false" ht="15.75" hidden="false" customHeight="true" outlineLevel="0" collapsed="false">
      <c r="X572" s="1"/>
      <c r="Y572" s="1"/>
      <c r="Z572" s="1"/>
    </row>
    <row r="573" customFormat="false" ht="15.75" hidden="false" customHeight="true" outlineLevel="0" collapsed="false">
      <c r="X573" s="1"/>
      <c r="Y573" s="1"/>
      <c r="Z573" s="1"/>
    </row>
    <row r="574" customFormat="false" ht="15.75" hidden="false" customHeight="true" outlineLevel="0" collapsed="false">
      <c r="X574" s="1"/>
      <c r="Y574" s="1"/>
      <c r="Z574" s="1"/>
    </row>
    <row r="575" customFormat="false" ht="15.75" hidden="false" customHeight="true" outlineLevel="0" collapsed="false">
      <c r="X575" s="1"/>
      <c r="Y575" s="1"/>
      <c r="Z575" s="1"/>
    </row>
    <row r="576" customFormat="false" ht="15.75" hidden="false" customHeight="true" outlineLevel="0" collapsed="false">
      <c r="X576" s="1"/>
      <c r="Y576" s="1"/>
      <c r="Z576" s="1"/>
    </row>
    <row r="577" customFormat="false" ht="15.75" hidden="false" customHeight="true" outlineLevel="0" collapsed="false">
      <c r="X577" s="1"/>
      <c r="Y577" s="1"/>
      <c r="Z577" s="1"/>
    </row>
    <row r="578" customFormat="false" ht="15.75" hidden="false" customHeight="true" outlineLevel="0" collapsed="false">
      <c r="X578" s="1"/>
      <c r="Y578" s="1"/>
      <c r="Z578" s="1"/>
    </row>
    <row r="579" customFormat="false" ht="15.75" hidden="false" customHeight="true" outlineLevel="0" collapsed="false">
      <c r="X579" s="1"/>
      <c r="Y579" s="1"/>
      <c r="Z579" s="1"/>
    </row>
    <row r="580" customFormat="false" ht="15.75" hidden="false" customHeight="true" outlineLevel="0" collapsed="false">
      <c r="X580" s="1"/>
      <c r="Y580" s="1"/>
      <c r="Z580" s="1"/>
    </row>
    <row r="581" customFormat="false" ht="15.75" hidden="false" customHeight="true" outlineLevel="0" collapsed="false">
      <c r="X581" s="1"/>
      <c r="Y581" s="1"/>
      <c r="Z581" s="1"/>
    </row>
    <row r="582" customFormat="false" ht="15.75" hidden="false" customHeight="true" outlineLevel="0" collapsed="false">
      <c r="X582" s="1"/>
      <c r="Y582" s="1"/>
      <c r="Z582" s="1"/>
    </row>
    <row r="583" customFormat="false" ht="15.75" hidden="false" customHeight="true" outlineLevel="0" collapsed="false">
      <c r="X583" s="1"/>
      <c r="Y583" s="1"/>
      <c r="Z583" s="1"/>
    </row>
    <row r="584" customFormat="false" ht="15.75" hidden="false" customHeight="true" outlineLevel="0" collapsed="false">
      <c r="X584" s="1"/>
      <c r="Y584" s="1"/>
      <c r="Z584" s="1"/>
    </row>
    <row r="585" customFormat="false" ht="15.75" hidden="false" customHeight="true" outlineLevel="0" collapsed="false">
      <c r="X585" s="1"/>
      <c r="Y585" s="1"/>
      <c r="Z585" s="1"/>
    </row>
    <row r="586" customFormat="false" ht="15.75" hidden="false" customHeight="true" outlineLevel="0" collapsed="false">
      <c r="X586" s="1"/>
      <c r="Y586" s="1"/>
      <c r="Z586" s="1"/>
    </row>
    <row r="587" customFormat="false" ht="15.75" hidden="false" customHeight="true" outlineLevel="0" collapsed="false">
      <c r="X587" s="1"/>
      <c r="Y587" s="1"/>
      <c r="Z587" s="1"/>
    </row>
    <row r="588" customFormat="false" ht="15.75" hidden="false" customHeight="true" outlineLevel="0" collapsed="false">
      <c r="X588" s="1"/>
      <c r="Y588" s="1"/>
      <c r="Z588" s="1"/>
    </row>
    <row r="589" customFormat="false" ht="15.75" hidden="false" customHeight="true" outlineLevel="0" collapsed="false">
      <c r="X589" s="1"/>
      <c r="Y589" s="1"/>
      <c r="Z589" s="1"/>
    </row>
    <row r="590" customFormat="false" ht="15.75" hidden="false" customHeight="true" outlineLevel="0" collapsed="false">
      <c r="X590" s="1"/>
      <c r="Y590" s="1"/>
      <c r="Z590" s="1"/>
    </row>
    <row r="591" customFormat="false" ht="15.75" hidden="false" customHeight="true" outlineLevel="0" collapsed="false">
      <c r="X591" s="1"/>
      <c r="Y591" s="1"/>
      <c r="Z591" s="1"/>
    </row>
    <row r="592" customFormat="false" ht="15.75" hidden="false" customHeight="true" outlineLevel="0" collapsed="false">
      <c r="X592" s="1"/>
      <c r="Y592" s="1"/>
      <c r="Z592" s="1"/>
    </row>
    <row r="593" customFormat="false" ht="15.75" hidden="false" customHeight="true" outlineLevel="0" collapsed="false">
      <c r="X593" s="1"/>
      <c r="Y593" s="1"/>
      <c r="Z593" s="1"/>
    </row>
    <row r="594" customFormat="false" ht="15.75" hidden="false" customHeight="true" outlineLevel="0" collapsed="false">
      <c r="X594" s="1"/>
      <c r="Y594" s="1"/>
      <c r="Z594" s="1"/>
    </row>
    <row r="595" customFormat="false" ht="15.75" hidden="false" customHeight="true" outlineLevel="0" collapsed="false">
      <c r="X595" s="1"/>
      <c r="Y595" s="1"/>
      <c r="Z595" s="1"/>
    </row>
    <row r="596" customFormat="false" ht="15.75" hidden="false" customHeight="true" outlineLevel="0" collapsed="false">
      <c r="X596" s="1"/>
      <c r="Y596" s="1"/>
      <c r="Z596" s="1"/>
    </row>
    <row r="597" customFormat="false" ht="15.75" hidden="false" customHeight="true" outlineLevel="0" collapsed="false">
      <c r="X597" s="1"/>
      <c r="Y597" s="1"/>
      <c r="Z597" s="1"/>
    </row>
    <row r="598" customFormat="false" ht="15.75" hidden="false" customHeight="true" outlineLevel="0" collapsed="false">
      <c r="X598" s="1"/>
      <c r="Y598" s="1"/>
      <c r="Z598" s="1"/>
    </row>
    <row r="599" customFormat="false" ht="15.75" hidden="false" customHeight="true" outlineLevel="0" collapsed="false">
      <c r="X599" s="1"/>
      <c r="Y599" s="1"/>
      <c r="Z599" s="1"/>
    </row>
    <row r="600" customFormat="false" ht="15.75" hidden="false" customHeight="true" outlineLevel="0" collapsed="false">
      <c r="X600" s="1"/>
      <c r="Y600" s="1"/>
      <c r="Z600" s="1"/>
    </row>
    <row r="601" customFormat="false" ht="15.75" hidden="false" customHeight="true" outlineLevel="0" collapsed="false">
      <c r="X601" s="1"/>
      <c r="Y601" s="1"/>
      <c r="Z601" s="1"/>
    </row>
    <row r="602" customFormat="false" ht="15.75" hidden="false" customHeight="true" outlineLevel="0" collapsed="false">
      <c r="X602" s="1"/>
      <c r="Y602" s="1"/>
      <c r="Z602" s="1"/>
    </row>
    <row r="603" customFormat="false" ht="15.75" hidden="false" customHeight="true" outlineLevel="0" collapsed="false">
      <c r="X603" s="1"/>
      <c r="Y603" s="1"/>
      <c r="Z603" s="1"/>
    </row>
    <row r="604" customFormat="false" ht="15.75" hidden="false" customHeight="true" outlineLevel="0" collapsed="false">
      <c r="X604" s="1"/>
      <c r="Y604" s="1"/>
      <c r="Z604" s="1"/>
    </row>
    <row r="605" customFormat="false" ht="15.75" hidden="false" customHeight="true" outlineLevel="0" collapsed="false">
      <c r="X605" s="1"/>
      <c r="Y605" s="1"/>
      <c r="Z605" s="1"/>
    </row>
    <row r="606" customFormat="false" ht="15.75" hidden="false" customHeight="true" outlineLevel="0" collapsed="false">
      <c r="X606" s="1"/>
      <c r="Y606" s="1"/>
      <c r="Z606" s="1"/>
    </row>
    <row r="607" customFormat="false" ht="15.75" hidden="false" customHeight="true" outlineLevel="0" collapsed="false">
      <c r="X607" s="1"/>
      <c r="Y607" s="1"/>
      <c r="Z607" s="1"/>
    </row>
    <row r="608" customFormat="false" ht="15.75" hidden="false" customHeight="true" outlineLevel="0" collapsed="false">
      <c r="X608" s="1"/>
      <c r="Y608" s="1"/>
      <c r="Z608" s="1"/>
    </row>
    <row r="609" customFormat="false" ht="15.75" hidden="false" customHeight="true" outlineLevel="0" collapsed="false">
      <c r="X609" s="1"/>
      <c r="Y609" s="1"/>
      <c r="Z609" s="1"/>
    </row>
    <row r="610" customFormat="false" ht="15.75" hidden="false" customHeight="true" outlineLevel="0" collapsed="false">
      <c r="X610" s="1"/>
      <c r="Y610" s="1"/>
      <c r="Z610" s="1"/>
    </row>
    <row r="611" customFormat="false" ht="15.75" hidden="false" customHeight="true" outlineLevel="0" collapsed="false">
      <c r="X611" s="1"/>
      <c r="Y611" s="1"/>
      <c r="Z611" s="1"/>
    </row>
    <row r="612" customFormat="false" ht="15.75" hidden="false" customHeight="true" outlineLevel="0" collapsed="false">
      <c r="X612" s="1"/>
      <c r="Y612" s="1"/>
      <c r="Z612" s="1"/>
    </row>
    <row r="613" customFormat="false" ht="15.75" hidden="false" customHeight="true" outlineLevel="0" collapsed="false">
      <c r="X613" s="1"/>
      <c r="Y613" s="1"/>
      <c r="Z613" s="1"/>
    </row>
    <row r="614" customFormat="false" ht="15.75" hidden="false" customHeight="true" outlineLevel="0" collapsed="false">
      <c r="X614" s="1"/>
      <c r="Y614" s="1"/>
      <c r="Z614" s="1"/>
    </row>
    <row r="615" customFormat="false" ht="15.75" hidden="false" customHeight="true" outlineLevel="0" collapsed="false">
      <c r="X615" s="1"/>
      <c r="Y615" s="1"/>
      <c r="Z615" s="1"/>
    </row>
    <row r="616" customFormat="false" ht="15.75" hidden="false" customHeight="true" outlineLevel="0" collapsed="false">
      <c r="X616" s="1"/>
      <c r="Y616" s="1"/>
      <c r="Z616" s="1"/>
    </row>
    <row r="617" customFormat="false" ht="15.75" hidden="false" customHeight="true" outlineLevel="0" collapsed="false">
      <c r="X617" s="1"/>
      <c r="Y617" s="1"/>
      <c r="Z617" s="1"/>
    </row>
    <row r="618" customFormat="false" ht="15.75" hidden="false" customHeight="true" outlineLevel="0" collapsed="false">
      <c r="X618" s="1"/>
      <c r="Y618" s="1"/>
      <c r="Z618" s="1"/>
    </row>
    <row r="619" customFormat="false" ht="15.75" hidden="false" customHeight="true" outlineLevel="0" collapsed="false">
      <c r="X619" s="1"/>
      <c r="Y619" s="1"/>
      <c r="Z619" s="1"/>
    </row>
    <row r="620" customFormat="false" ht="15.75" hidden="false" customHeight="true" outlineLevel="0" collapsed="false">
      <c r="X620" s="1"/>
      <c r="Y620" s="1"/>
      <c r="Z620" s="1"/>
    </row>
    <row r="621" customFormat="false" ht="15.75" hidden="false" customHeight="true" outlineLevel="0" collapsed="false">
      <c r="X621" s="1"/>
      <c r="Y621" s="1"/>
      <c r="Z621" s="1"/>
    </row>
    <row r="622" customFormat="false" ht="15.75" hidden="false" customHeight="true" outlineLevel="0" collapsed="false">
      <c r="X622" s="1"/>
      <c r="Y622" s="1"/>
      <c r="Z622" s="1"/>
    </row>
    <row r="623" customFormat="false" ht="15.75" hidden="false" customHeight="true" outlineLevel="0" collapsed="false">
      <c r="X623" s="1"/>
      <c r="Y623" s="1"/>
      <c r="Z623" s="1"/>
    </row>
    <row r="624" customFormat="false" ht="15.75" hidden="false" customHeight="true" outlineLevel="0" collapsed="false">
      <c r="X624" s="1"/>
      <c r="Y624" s="1"/>
      <c r="Z624" s="1"/>
    </row>
    <row r="625" customFormat="false" ht="15.75" hidden="false" customHeight="true" outlineLevel="0" collapsed="false">
      <c r="X625" s="1"/>
      <c r="Y625" s="1"/>
      <c r="Z625" s="1"/>
    </row>
    <row r="626" customFormat="false" ht="15.75" hidden="false" customHeight="true" outlineLevel="0" collapsed="false">
      <c r="X626" s="1"/>
      <c r="Y626" s="1"/>
      <c r="Z626" s="1"/>
    </row>
    <row r="627" customFormat="false" ht="15.75" hidden="false" customHeight="true" outlineLevel="0" collapsed="false">
      <c r="X627" s="1"/>
      <c r="Y627" s="1"/>
      <c r="Z627" s="1"/>
    </row>
    <row r="628" customFormat="false" ht="15.75" hidden="false" customHeight="true" outlineLevel="0" collapsed="false">
      <c r="X628" s="1"/>
      <c r="Y628" s="1"/>
      <c r="Z628" s="1"/>
    </row>
    <row r="629" customFormat="false" ht="15.75" hidden="false" customHeight="true" outlineLevel="0" collapsed="false">
      <c r="X629" s="1"/>
      <c r="Y629" s="1"/>
      <c r="Z629" s="1"/>
    </row>
    <row r="630" customFormat="false" ht="15.75" hidden="false" customHeight="true" outlineLevel="0" collapsed="false">
      <c r="X630" s="1"/>
      <c r="Y630" s="1"/>
      <c r="Z630" s="1"/>
    </row>
    <row r="631" customFormat="false" ht="15.75" hidden="false" customHeight="true" outlineLevel="0" collapsed="false">
      <c r="X631" s="1"/>
      <c r="Y631" s="1"/>
      <c r="Z631" s="1"/>
    </row>
    <row r="632" customFormat="false" ht="15.75" hidden="false" customHeight="true" outlineLevel="0" collapsed="false">
      <c r="X632" s="1"/>
      <c r="Y632" s="1"/>
      <c r="Z632" s="1"/>
    </row>
    <row r="633" customFormat="false" ht="15.75" hidden="false" customHeight="true" outlineLevel="0" collapsed="false">
      <c r="X633" s="1"/>
      <c r="Y633" s="1"/>
      <c r="Z633" s="1"/>
    </row>
    <row r="634" customFormat="false" ht="15.75" hidden="false" customHeight="true" outlineLevel="0" collapsed="false">
      <c r="X634" s="1"/>
      <c r="Y634" s="1"/>
      <c r="Z634" s="1"/>
    </row>
    <row r="635" customFormat="false" ht="15.75" hidden="false" customHeight="true" outlineLevel="0" collapsed="false">
      <c r="X635" s="1"/>
      <c r="Y635" s="1"/>
      <c r="Z635" s="1"/>
    </row>
    <row r="636" customFormat="false" ht="15.75" hidden="false" customHeight="true" outlineLevel="0" collapsed="false">
      <c r="X636" s="1"/>
      <c r="Y636" s="1"/>
      <c r="Z636" s="1"/>
    </row>
    <row r="637" customFormat="false" ht="15.75" hidden="false" customHeight="true" outlineLevel="0" collapsed="false">
      <c r="X637" s="1"/>
      <c r="Y637" s="1"/>
      <c r="Z637" s="1"/>
    </row>
    <row r="638" customFormat="false" ht="15.75" hidden="false" customHeight="true" outlineLevel="0" collapsed="false">
      <c r="X638" s="1"/>
      <c r="Y638" s="1"/>
      <c r="Z638" s="1"/>
    </row>
    <row r="639" customFormat="false" ht="15.75" hidden="false" customHeight="true" outlineLevel="0" collapsed="false">
      <c r="X639" s="1"/>
      <c r="Y639" s="1"/>
      <c r="Z639" s="1"/>
    </row>
    <row r="640" customFormat="false" ht="15.75" hidden="false" customHeight="true" outlineLevel="0" collapsed="false">
      <c r="X640" s="1"/>
      <c r="Y640" s="1"/>
      <c r="Z640" s="1"/>
    </row>
    <row r="641" customFormat="false" ht="15.75" hidden="false" customHeight="true" outlineLevel="0" collapsed="false">
      <c r="X641" s="1"/>
      <c r="Y641" s="1"/>
      <c r="Z641" s="1"/>
    </row>
    <row r="642" customFormat="false" ht="15.75" hidden="false" customHeight="true" outlineLevel="0" collapsed="false">
      <c r="X642" s="1"/>
      <c r="Y642" s="1"/>
      <c r="Z642" s="1"/>
    </row>
    <row r="643" customFormat="false" ht="15.75" hidden="false" customHeight="true" outlineLevel="0" collapsed="false">
      <c r="X643" s="1"/>
      <c r="Y643" s="1"/>
      <c r="Z643" s="1"/>
    </row>
    <row r="644" customFormat="false" ht="15.75" hidden="false" customHeight="true" outlineLevel="0" collapsed="false">
      <c r="X644" s="1"/>
      <c r="Y644" s="1"/>
      <c r="Z644" s="1"/>
    </row>
    <row r="645" customFormat="false" ht="15.75" hidden="false" customHeight="true" outlineLevel="0" collapsed="false">
      <c r="X645" s="1"/>
      <c r="Y645" s="1"/>
      <c r="Z645" s="1"/>
    </row>
    <row r="646" customFormat="false" ht="15.75" hidden="false" customHeight="true" outlineLevel="0" collapsed="false">
      <c r="X646" s="1"/>
      <c r="Y646" s="1"/>
      <c r="Z646" s="1"/>
    </row>
    <row r="647" customFormat="false" ht="15.75" hidden="false" customHeight="true" outlineLevel="0" collapsed="false">
      <c r="X647" s="1"/>
      <c r="Y647" s="1"/>
      <c r="Z647" s="1"/>
    </row>
    <row r="648" customFormat="false" ht="15.75" hidden="false" customHeight="true" outlineLevel="0" collapsed="false">
      <c r="X648" s="1"/>
      <c r="Y648" s="1"/>
      <c r="Z648" s="1"/>
    </row>
    <row r="649" customFormat="false" ht="15.75" hidden="false" customHeight="true" outlineLevel="0" collapsed="false">
      <c r="X649" s="1"/>
      <c r="Y649" s="1"/>
      <c r="Z649" s="1"/>
    </row>
    <row r="650" customFormat="false" ht="15.75" hidden="false" customHeight="true" outlineLevel="0" collapsed="false">
      <c r="X650" s="1"/>
      <c r="Y650" s="1"/>
      <c r="Z650" s="1"/>
    </row>
    <row r="651" customFormat="false" ht="15.75" hidden="false" customHeight="true" outlineLevel="0" collapsed="false">
      <c r="X651" s="1"/>
      <c r="Y651" s="1"/>
      <c r="Z651" s="1"/>
    </row>
    <row r="652" customFormat="false" ht="15.75" hidden="false" customHeight="true" outlineLevel="0" collapsed="false">
      <c r="X652" s="1"/>
      <c r="Y652" s="1"/>
      <c r="Z652" s="1"/>
    </row>
    <row r="653" customFormat="false" ht="15.75" hidden="false" customHeight="true" outlineLevel="0" collapsed="false">
      <c r="X653" s="1"/>
      <c r="Y653" s="1"/>
      <c r="Z653" s="1"/>
    </row>
    <row r="654" customFormat="false" ht="15.75" hidden="false" customHeight="true" outlineLevel="0" collapsed="false">
      <c r="X654" s="1"/>
      <c r="Y654" s="1"/>
      <c r="Z654" s="1"/>
    </row>
    <row r="655" customFormat="false" ht="15.75" hidden="false" customHeight="true" outlineLevel="0" collapsed="false">
      <c r="X655" s="1"/>
      <c r="Y655" s="1"/>
      <c r="Z655" s="1"/>
    </row>
    <row r="656" customFormat="false" ht="15.75" hidden="false" customHeight="true" outlineLevel="0" collapsed="false">
      <c r="X656" s="1"/>
      <c r="Y656" s="1"/>
      <c r="Z656" s="1"/>
    </row>
    <row r="657" customFormat="false" ht="15.75" hidden="false" customHeight="true" outlineLevel="0" collapsed="false">
      <c r="X657" s="1"/>
      <c r="Y657" s="1"/>
      <c r="Z657" s="1"/>
    </row>
    <row r="658" customFormat="false" ht="15.75" hidden="false" customHeight="true" outlineLevel="0" collapsed="false">
      <c r="X658" s="1"/>
      <c r="Y658" s="1"/>
      <c r="Z658" s="1"/>
    </row>
    <row r="659" customFormat="false" ht="15.75" hidden="false" customHeight="true" outlineLevel="0" collapsed="false">
      <c r="X659" s="1"/>
      <c r="Y659" s="1"/>
      <c r="Z659" s="1"/>
    </row>
    <row r="660" customFormat="false" ht="15.75" hidden="false" customHeight="true" outlineLevel="0" collapsed="false">
      <c r="X660" s="1"/>
      <c r="Y660" s="1"/>
      <c r="Z660" s="1"/>
    </row>
    <row r="661" customFormat="false" ht="15.75" hidden="false" customHeight="true" outlineLevel="0" collapsed="false">
      <c r="X661" s="1"/>
      <c r="Y661" s="1"/>
      <c r="Z661" s="1"/>
    </row>
    <row r="662" customFormat="false" ht="15.75" hidden="false" customHeight="true" outlineLevel="0" collapsed="false">
      <c r="X662" s="1"/>
      <c r="Y662" s="1"/>
      <c r="Z662" s="1"/>
    </row>
    <row r="663" customFormat="false" ht="15.75" hidden="false" customHeight="true" outlineLevel="0" collapsed="false">
      <c r="X663" s="1"/>
      <c r="Y663" s="1"/>
      <c r="Z663" s="1"/>
    </row>
    <row r="664" customFormat="false" ht="15.75" hidden="false" customHeight="true" outlineLevel="0" collapsed="false">
      <c r="X664" s="1"/>
      <c r="Y664" s="1"/>
      <c r="Z664" s="1"/>
    </row>
    <row r="665" customFormat="false" ht="15.75" hidden="false" customHeight="true" outlineLevel="0" collapsed="false">
      <c r="X665" s="1"/>
      <c r="Y665" s="1"/>
      <c r="Z665" s="1"/>
    </row>
    <row r="666" customFormat="false" ht="15.75" hidden="false" customHeight="true" outlineLevel="0" collapsed="false">
      <c r="X666" s="1"/>
      <c r="Y666" s="1"/>
      <c r="Z666" s="1"/>
    </row>
    <row r="667" customFormat="false" ht="15.75" hidden="false" customHeight="true" outlineLevel="0" collapsed="false">
      <c r="X667" s="1"/>
      <c r="Y667" s="1"/>
      <c r="Z667" s="1"/>
    </row>
    <row r="668" customFormat="false" ht="15.75" hidden="false" customHeight="true" outlineLevel="0" collapsed="false">
      <c r="X668" s="1"/>
      <c r="Y668" s="1"/>
      <c r="Z668" s="1"/>
    </row>
    <row r="669" customFormat="false" ht="15.75" hidden="false" customHeight="true" outlineLevel="0" collapsed="false">
      <c r="X669" s="1"/>
      <c r="Y669" s="1"/>
      <c r="Z669" s="1"/>
    </row>
    <row r="670" customFormat="false" ht="15.75" hidden="false" customHeight="true" outlineLevel="0" collapsed="false">
      <c r="X670" s="1"/>
      <c r="Y670" s="1"/>
      <c r="Z670" s="1"/>
    </row>
    <row r="671" customFormat="false" ht="15.75" hidden="false" customHeight="true" outlineLevel="0" collapsed="false">
      <c r="X671" s="1"/>
      <c r="Y671" s="1"/>
      <c r="Z671" s="1"/>
    </row>
    <row r="672" customFormat="false" ht="15.75" hidden="false" customHeight="true" outlineLevel="0" collapsed="false">
      <c r="X672" s="1"/>
      <c r="Y672" s="1"/>
      <c r="Z672" s="1"/>
    </row>
    <row r="673" customFormat="false" ht="15.75" hidden="false" customHeight="true" outlineLevel="0" collapsed="false">
      <c r="X673" s="1"/>
      <c r="Y673" s="1"/>
      <c r="Z673" s="1"/>
    </row>
    <row r="674" customFormat="false" ht="15.75" hidden="false" customHeight="true" outlineLevel="0" collapsed="false">
      <c r="X674" s="1"/>
      <c r="Y674" s="1"/>
      <c r="Z674" s="1"/>
    </row>
    <row r="675" customFormat="false" ht="15.75" hidden="false" customHeight="true" outlineLevel="0" collapsed="false">
      <c r="X675" s="1"/>
      <c r="Y675" s="1"/>
      <c r="Z675" s="1"/>
    </row>
    <row r="676" customFormat="false" ht="15.75" hidden="false" customHeight="true" outlineLevel="0" collapsed="false">
      <c r="X676" s="1"/>
      <c r="Y676" s="1"/>
      <c r="Z676" s="1"/>
    </row>
    <row r="677" customFormat="false" ht="15.75" hidden="false" customHeight="true" outlineLevel="0" collapsed="false">
      <c r="X677" s="1"/>
      <c r="Y677" s="1"/>
      <c r="Z677" s="1"/>
    </row>
    <row r="678" customFormat="false" ht="15.75" hidden="false" customHeight="true" outlineLevel="0" collapsed="false">
      <c r="X678" s="1"/>
      <c r="Y678" s="1"/>
      <c r="Z678" s="1"/>
    </row>
    <row r="679" customFormat="false" ht="15.75" hidden="false" customHeight="true" outlineLevel="0" collapsed="false">
      <c r="X679" s="1"/>
      <c r="Y679" s="1"/>
      <c r="Z679" s="1"/>
    </row>
    <row r="680" customFormat="false" ht="15.75" hidden="false" customHeight="true" outlineLevel="0" collapsed="false">
      <c r="X680" s="1"/>
      <c r="Y680" s="1"/>
      <c r="Z680" s="1"/>
    </row>
    <row r="681" customFormat="false" ht="15.75" hidden="false" customHeight="true" outlineLevel="0" collapsed="false">
      <c r="X681" s="1"/>
      <c r="Y681" s="1"/>
      <c r="Z681" s="1"/>
    </row>
    <row r="682" customFormat="false" ht="15.75" hidden="false" customHeight="true" outlineLevel="0" collapsed="false">
      <c r="X682" s="1"/>
      <c r="Y682" s="1"/>
      <c r="Z682" s="1"/>
    </row>
    <row r="683" customFormat="false" ht="15.75" hidden="false" customHeight="true" outlineLevel="0" collapsed="false">
      <c r="X683" s="1"/>
      <c r="Y683" s="1"/>
      <c r="Z683" s="1"/>
    </row>
    <row r="684" customFormat="false" ht="15.75" hidden="false" customHeight="true" outlineLevel="0" collapsed="false">
      <c r="X684" s="1"/>
      <c r="Y684" s="1"/>
      <c r="Z684" s="1"/>
    </row>
    <row r="685" customFormat="false" ht="15.75" hidden="false" customHeight="true" outlineLevel="0" collapsed="false">
      <c r="X685" s="1"/>
      <c r="Y685" s="1"/>
      <c r="Z685" s="1"/>
    </row>
    <row r="686" customFormat="false" ht="15.75" hidden="false" customHeight="true" outlineLevel="0" collapsed="false">
      <c r="X686" s="1"/>
      <c r="Y686" s="1"/>
      <c r="Z686" s="1"/>
    </row>
    <row r="687" customFormat="false" ht="15.75" hidden="false" customHeight="true" outlineLevel="0" collapsed="false">
      <c r="X687" s="1"/>
      <c r="Y687" s="1"/>
      <c r="Z687" s="1"/>
    </row>
    <row r="688" customFormat="false" ht="15.75" hidden="false" customHeight="true" outlineLevel="0" collapsed="false">
      <c r="X688" s="1"/>
      <c r="Y688" s="1"/>
      <c r="Z688" s="1"/>
    </row>
    <row r="689" customFormat="false" ht="15.75" hidden="false" customHeight="true" outlineLevel="0" collapsed="false">
      <c r="X689" s="1"/>
      <c r="Y689" s="1"/>
      <c r="Z689" s="1"/>
    </row>
    <row r="690" customFormat="false" ht="15.75" hidden="false" customHeight="true" outlineLevel="0" collapsed="false">
      <c r="X690" s="1"/>
      <c r="Y690" s="1"/>
      <c r="Z690" s="1"/>
    </row>
    <row r="691" customFormat="false" ht="15.75" hidden="false" customHeight="true" outlineLevel="0" collapsed="false">
      <c r="X691" s="1"/>
      <c r="Y691" s="1"/>
      <c r="Z691" s="1"/>
    </row>
    <row r="692" customFormat="false" ht="15.75" hidden="false" customHeight="true" outlineLevel="0" collapsed="false">
      <c r="X692" s="1"/>
      <c r="Y692" s="1"/>
      <c r="Z692" s="1"/>
    </row>
    <row r="693" customFormat="false" ht="15.75" hidden="false" customHeight="true" outlineLevel="0" collapsed="false">
      <c r="X693" s="1"/>
      <c r="Y693" s="1"/>
      <c r="Z693" s="1"/>
    </row>
    <row r="694" customFormat="false" ht="15.75" hidden="false" customHeight="true" outlineLevel="0" collapsed="false">
      <c r="X694" s="1"/>
      <c r="Y694" s="1"/>
      <c r="Z694" s="1"/>
    </row>
    <row r="695" customFormat="false" ht="15.75" hidden="false" customHeight="true" outlineLevel="0" collapsed="false">
      <c r="X695" s="1"/>
      <c r="Y695" s="1"/>
      <c r="Z695" s="1"/>
    </row>
    <row r="696" customFormat="false" ht="15.75" hidden="false" customHeight="true" outlineLevel="0" collapsed="false">
      <c r="X696" s="1"/>
      <c r="Y696" s="1"/>
      <c r="Z696" s="1"/>
    </row>
    <row r="697" customFormat="false" ht="15.75" hidden="false" customHeight="true" outlineLevel="0" collapsed="false">
      <c r="X697" s="1"/>
      <c r="Y697" s="1"/>
      <c r="Z697" s="1"/>
    </row>
    <row r="698" customFormat="false" ht="15.75" hidden="false" customHeight="true" outlineLevel="0" collapsed="false">
      <c r="X698" s="1"/>
      <c r="Y698" s="1"/>
      <c r="Z698" s="1"/>
    </row>
    <row r="699" customFormat="false" ht="15.75" hidden="false" customHeight="true" outlineLevel="0" collapsed="false">
      <c r="X699" s="1"/>
      <c r="Y699" s="1"/>
      <c r="Z699" s="1"/>
    </row>
    <row r="700" customFormat="false" ht="15.75" hidden="false" customHeight="true" outlineLevel="0" collapsed="false">
      <c r="X700" s="1"/>
      <c r="Y700" s="1"/>
      <c r="Z700" s="1"/>
    </row>
    <row r="701" customFormat="false" ht="15.75" hidden="false" customHeight="true" outlineLevel="0" collapsed="false">
      <c r="X701" s="1"/>
      <c r="Y701" s="1"/>
      <c r="Z701" s="1"/>
    </row>
    <row r="702" customFormat="false" ht="15.75" hidden="false" customHeight="true" outlineLevel="0" collapsed="false">
      <c r="X702" s="1"/>
      <c r="Y702" s="1"/>
      <c r="Z702" s="1"/>
    </row>
    <row r="703" customFormat="false" ht="15.75" hidden="false" customHeight="true" outlineLevel="0" collapsed="false">
      <c r="X703" s="1"/>
      <c r="Y703" s="1"/>
      <c r="Z703" s="1"/>
    </row>
    <row r="704" customFormat="false" ht="15.75" hidden="false" customHeight="true" outlineLevel="0" collapsed="false">
      <c r="X704" s="1"/>
      <c r="Y704" s="1"/>
      <c r="Z704" s="1"/>
    </row>
    <row r="705" customFormat="false" ht="15.75" hidden="false" customHeight="true" outlineLevel="0" collapsed="false">
      <c r="X705" s="1"/>
      <c r="Y705" s="1"/>
      <c r="Z705" s="1"/>
    </row>
    <row r="706" customFormat="false" ht="15.75" hidden="false" customHeight="true" outlineLevel="0" collapsed="false">
      <c r="X706" s="1"/>
      <c r="Y706" s="1"/>
      <c r="Z706" s="1"/>
    </row>
    <row r="707" customFormat="false" ht="15.75" hidden="false" customHeight="true" outlineLevel="0" collapsed="false">
      <c r="X707" s="1"/>
      <c r="Y707" s="1"/>
      <c r="Z707" s="1"/>
    </row>
    <row r="708" customFormat="false" ht="15.75" hidden="false" customHeight="true" outlineLevel="0" collapsed="false">
      <c r="X708" s="1"/>
      <c r="Y708" s="1"/>
      <c r="Z708" s="1"/>
    </row>
    <row r="709" customFormat="false" ht="15.75" hidden="false" customHeight="true" outlineLevel="0" collapsed="false">
      <c r="X709" s="1"/>
      <c r="Y709" s="1"/>
      <c r="Z709" s="1"/>
    </row>
    <row r="710" customFormat="false" ht="15.75" hidden="false" customHeight="true" outlineLevel="0" collapsed="false">
      <c r="X710" s="1"/>
      <c r="Y710" s="1"/>
      <c r="Z710" s="1"/>
    </row>
    <row r="711" customFormat="false" ht="15.75" hidden="false" customHeight="true" outlineLevel="0" collapsed="false">
      <c r="X711" s="1"/>
      <c r="Y711" s="1"/>
      <c r="Z711" s="1"/>
    </row>
    <row r="712" customFormat="false" ht="15.75" hidden="false" customHeight="true" outlineLevel="0" collapsed="false">
      <c r="X712" s="1"/>
      <c r="Y712" s="1"/>
      <c r="Z712" s="1"/>
    </row>
    <row r="713" customFormat="false" ht="15.75" hidden="false" customHeight="true" outlineLevel="0" collapsed="false">
      <c r="X713" s="1"/>
      <c r="Y713" s="1"/>
      <c r="Z713" s="1"/>
    </row>
    <row r="714" customFormat="false" ht="15.75" hidden="false" customHeight="true" outlineLevel="0" collapsed="false">
      <c r="X714" s="1"/>
      <c r="Y714" s="1"/>
      <c r="Z714" s="1"/>
    </row>
    <row r="715" customFormat="false" ht="15.75" hidden="false" customHeight="true" outlineLevel="0" collapsed="false">
      <c r="X715" s="1"/>
      <c r="Y715" s="1"/>
      <c r="Z715" s="1"/>
    </row>
    <row r="716" customFormat="false" ht="15.75" hidden="false" customHeight="true" outlineLevel="0" collapsed="false">
      <c r="X716" s="1"/>
      <c r="Y716" s="1"/>
      <c r="Z716" s="1"/>
    </row>
    <row r="717" customFormat="false" ht="15.75" hidden="false" customHeight="true" outlineLevel="0" collapsed="false">
      <c r="X717" s="1"/>
      <c r="Y717" s="1"/>
      <c r="Z717" s="1"/>
    </row>
    <row r="718" customFormat="false" ht="15.75" hidden="false" customHeight="true" outlineLevel="0" collapsed="false">
      <c r="X718" s="1"/>
      <c r="Y718" s="1"/>
      <c r="Z718" s="1"/>
    </row>
    <row r="719" customFormat="false" ht="15.75" hidden="false" customHeight="true" outlineLevel="0" collapsed="false">
      <c r="X719" s="1"/>
      <c r="Y719" s="1"/>
      <c r="Z719" s="1"/>
    </row>
    <row r="720" customFormat="false" ht="15.75" hidden="false" customHeight="true" outlineLevel="0" collapsed="false">
      <c r="X720" s="1"/>
      <c r="Y720" s="1"/>
      <c r="Z720" s="1"/>
    </row>
    <row r="721" customFormat="false" ht="15.75" hidden="false" customHeight="true" outlineLevel="0" collapsed="false">
      <c r="X721" s="1"/>
      <c r="Y721" s="1"/>
      <c r="Z721" s="1"/>
    </row>
    <row r="722" customFormat="false" ht="15.75" hidden="false" customHeight="true" outlineLevel="0" collapsed="false">
      <c r="X722" s="1"/>
      <c r="Y722" s="1"/>
      <c r="Z722" s="1"/>
    </row>
    <row r="723" customFormat="false" ht="15.75" hidden="false" customHeight="true" outlineLevel="0" collapsed="false">
      <c r="X723" s="1"/>
      <c r="Y723" s="1"/>
      <c r="Z723" s="1"/>
    </row>
    <row r="724" customFormat="false" ht="15.75" hidden="false" customHeight="true" outlineLevel="0" collapsed="false">
      <c r="X724" s="1"/>
      <c r="Y724" s="1"/>
      <c r="Z724" s="1"/>
    </row>
    <row r="725" customFormat="false" ht="15.75" hidden="false" customHeight="true" outlineLevel="0" collapsed="false">
      <c r="X725" s="1"/>
      <c r="Y725" s="1"/>
      <c r="Z725" s="1"/>
    </row>
    <row r="726" customFormat="false" ht="15.75" hidden="false" customHeight="true" outlineLevel="0" collapsed="false">
      <c r="X726" s="1"/>
      <c r="Y726" s="1"/>
      <c r="Z726" s="1"/>
    </row>
    <row r="727" customFormat="false" ht="15.75" hidden="false" customHeight="true" outlineLevel="0" collapsed="false">
      <c r="X727" s="1"/>
      <c r="Y727" s="1"/>
      <c r="Z727" s="1"/>
    </row>
    <row r="728" customFormat="false" ht="15.75" hidden="false" customHeight="true" outlineLevel="0" collapsed="false">
      <c r="X728" s="1"/>
      <c r="Y728" s="1"/>
      <c r="Z728" s="1"/>
    </row>
    <row r="729" customFormat="false" ht="15.75" hidden="false" customHeight="true" outlineLevel="0" collapsed="false">
      <c r="X729" s="1"/>
      <c r="Y729" s="1"/>
      <c r="Z729" s="1"/>
    </row>
    <row r="730" customFormat="false" ht="15.75" hidden="false" customHeight="true" outlineLevel="0" collapsed="false">
      <c r="X730" s="1"/>
      <c r="Y730" s="1"/>
      <c r="Z730" s="1"/>
    </row>
    <row r="731" customFormat="false" ht="15.75" hidden="false" customHeight="true" outlineLevel="0" collapsed="false">
      <c r="X731" s="1"/>
      <c r="Y731" s="1"/>
      <c r="Z731" s="1"/>
    </row>
    <row r="732" customFormat="false" ht="15.75" hidden="false" customHeight="true" outlineLevel="0" collapsed="false">
      <c r="X732" s="1"/>
      <c r="Y732" s="1"/>
      <c r="Z732" s="1"/>
    </row>
    <row r="733" customFormat="false" ht="15.75" hidden="false" customHeight="true" outlineLevel="0" collapsed="false">
      <c r="X733" s="1"/>
      <c r="Y733" s="1"/>
      <c r="Z733" s="1"/>
    </row>
    <row r="734" customFormat="false" ht="15.75" hidden="false" customHeight="true" outlineLevel="0" collapsed="false">
      <c r="X734" s="1"/>
      <c r="Y734" s="1"/>
      <c r="Z734" s="1"/>
    </row>
    <row r="735" customFormat="false" ht="15.75" hidden="false" customHeight="true" outlineLevel="0" collapsed="false">
      <c r="X735" s="1"/>
      <c r="Y735" s="1"/>
      <c r="Z735" s="1"/>
    </row>
    <row r="736" customFormat="false" ht="15.75" hidden="false" customHeight="true" outlineLevel="0" collapsed="false">
      <c r="X736" s="1"/>
      <c r="Y736" s="1"/>
      <c r="Z736" s="1"/>
    </row>
    <row r="737" customFormat="false" ht="15.75" hidden="false" customHeight="true" outlineLevel="0" collapsed="false">
      <c r="X737" s="1"/>
      <c r="Y737" s="1"/>
      <c r="Z737" s="1"/>
    </row>
    <row r="738" customFormat="false" ht="15.75" hidden="false" customHeight="true" outlineLevel="0" collapsed="false">
      <c r="X738" s="1"/>
      <c r="Y738" s="1"/>
      <c r="Z738" s="1"/>
    </row>
    <row r="739" customFormat="false" ht="15.75" hidden="false" customHeight="true" outlineLevel="0" collapsed="false">
      <c r="X739" s="1"/>
      <c r="Y739" s="1"/>
      <c r="Z739" s="1"/>
    </row>
    <row r="740" customFormat="false" ht="15.75" hidden="false" customHeight="true" outlineLevel="0" collapsed="false">
      <c r="X740" s="1"/>
      <c r="Y740" s="1"/>
      <c r="Z740" s="1"/>
    </row>
    <row r="741" customFormat="false" ht="15.75" hidden="false" customHeight="true" outlineLevel="0" collapsed="false">
      <c r="X741" s="1"/>
      <c r="Y741" s="1"/>
      <c r="Z741" s="1"/>
    </row>
    <row r="742" customFormat="false" ht="15.75" hidden="false" customHeight="true" outlineLevel="0" collapsed="false">
      <c r="X742" s="1"/>
      <c r="Y742" s="1"/>
      <c r="Z742" s="1"/>
    </row>
    <row r="743" customFormat="false" ht="15.75" hidden="false" customHeight="true" outlineLevel="0" collapsed="false">
      <c r="X743" s="1"/>
      <c r="Y743" s="1"/>
      <c r="Z743" s="1"/>
    </row>
    <row r="744" customFormat="false" ht="15.75" hidden="false" customHeight="true" outlineLevel="0" collapsed="false">
      <c r="X744" s="1"/>
      <c r="Y744" s="1"/>
      <c r="Z744" s="1"/>
    </row>
    <row r="745" customFormat="false" ht="15.75" hidden="false" customHeight="true" outlineLevel="0" collapsed="false">
      <c r="X745" s="1"/>
      <c r="Y745" s="1"/>
      <c r="Z745" s="1"/>
    </row>
    <row r="746" customFormat="false" ht="15.75" hidden="false" customHeight="true" outlineLevel="0" collapsed="false">
      <c r="X746" s="1"/>
      <c r="Y746" s="1"/>
      <c r="Z746" s="1"/>
    </row>
    <row r="747" customFormat="false" ht="15.75" hidden="false" customHeight="true" outlineLevel="0" collapsed="false">
      <c r="X747" s="1"/>
      <c r="Y747" s="1"/>
      <c r="Z747" s="1"/>
    </row>
    <row r="748" customFormat="false" ht="15.75" hidden="false" customHeight="true" outlineLevel="0" collapsed="false">
      <c r="X748" s="1"/>
      <c r="Y748" s="1"/>
      <c r="Z748" s="1"/>
    </row>
    <row r="749" customFormat="false" ht="15.75" hidden="false" customHeight="true" outlineLevel="0" collapsed="false">
      <c r="X749" s="1"/>
      <c r="Y749" s="1"/>
      <c r="Z749" s="1"/>
    </row>
    <row r="750" customFormat="false" ht="15.75" hidden="false" customHeight="true" outlineLevel="0" collapsed="false">
      <c r="X750" s="1"/>
      <c r="Y750" s="1"/>
      <c r="Z750" s="1"/>
    </row>
    <row r="751" customFormat="false" ht="15.75" hidden="false" customHeight="true" outlineLevel="0" collapsed="false">
      <c r="X751" s="1"/>
      <c r="Y751" s="1"/>
      <c r="Z751" s="1"/>
    </row>
    <row r="752" customFormat="false" ht="15.75" hidden="false" customHeight="true" outlineLevel="0" collapsed="false">
      <c r="X752" s="1"/>
      <c r="Y752" s="1"/>
      <c r="Z752" s="1"/>
    </row>
    <row r="753" customFormat="false" ht="15.75" hidden="false" customHeight="true" outlineLevel="0" collapsed="false">
      <c r="X753" s="1"/>
      <c r="Y753" s="1"/>
      <c r="Z753" s="1"/>
    </row>
    <row r="754" customFormat="false" ht="15.75" hidden="false" customHeight="true" outlineLevel="0" collapsed="false">
      <c r="X754" s="1"/>
      <c r="Y754" s="1"/>
      <c r="Z754" s="1"/>
    </row>
    <row r="755" customFormat="false" ht="15.75" hidden="false" customHeight="true" outlineLevel="0" collapsed="false">
      <c r="X755" s="1"/>
      <c r="Y755" s="1"/>
      <c r="Z755" s="1"/>
    </row>
    <row r="756" customFormat="false" ht="15.75" hidden="false" customHeight="true" outlineLevel="0" collapsed="false">
      <c r="X756" s="1"/>
      <c r="Y756" s="1"/>
      <c r="Z756" s="1"/>
    </row>
    <row r="757" customFormat="false" ht="15.75" hidden="false" customHeight="true" outlineLevel="0" collapsed="false">
      <c r="X757" s="1"/>
      <c r="Y757" s="1"/>
      <c r="Z757" s="1"/>
    </row>
    <row r="758" customFormat="false" ht="15.75" hidden="false" customHeight="true" outlineLevel="0" collapsed="false">
      <c r="X758" s="1"/>
      <c r="Y758" s="1"/>
      <c r="Z758" s="1"/>
    </row>
    <row r="759" customFormat="false" ht="15.75" hidden="false" customHeight="true" outlineLevel="0" collapsed="false">
      <c r="X759" s="1"/>
      <c r="Y759" s="1"/>
      <c r="Z759" s="1"/>
    </row>
    <row r="760" customFormat="false" ht="15.75" hidden="false" customHeight="true" outlineLevel="0" collapsed="false">
      <c r="X760" s="1"/>
      <c r="Y760" s="1"/>
      <c r="Z760" s="1"/>
    </row>
    <row r="761" customFormat="false" ht="15.75" hidden="false" customHeight="true" outlineLevel="0" collapsed="false">
      <c r="X761" s="1"/>
      <c r="Y761" s="1"/>
      <c r="Z761" s="1"/>
    </row>
    <row r="762" customFormat="false" ht="15.75" hidden="false" customHeight="true" outlineLevel="0" collapsed="false">
      <c r="X762" s="1"/>
      <c r="Y762" s="1"/>
      <c r="Z762" s="1"/>
    </row>
    <row r="763" customFormat="false" ht="15.75" hidden="false" customHeight="true" outlineLevel="0" collapsed="false">
      <c r="X763" s="1"/>
      <c r="Y763" s="1"/>
      <c r="Z763" s="1"/>
    </row>
    <row r="764" customFormat="false" ht="15.75" hidden="false" customHeight="true" outlineLevel="0" collapsed="false">
      <c r="X764" s="1"/>
      <c r="Y764" s="1"/>
      <c r="Z764" s="1"/>
    </row>
    <row r="765" customFormat="false" ht="15.75" hidden="false" customHeight="true" outlineLevel="0" collapsed="false">
      <c r="X765" s="1"/>
      <c r="Y765" s="1"/>
      <c r="Z765" s="1"/>
    </row>
    <row r="766" customFormat="false" ht="15.75" hidden="false" customHeight="true" outlineLevel="0" collapsed="false">
      <c r="X766" s="1"/>
      <c r="Y766" s="1"/>
      <c r="Z766" s="1"/>
    </row>
    <row r="767" customFormat="false" ht="15.75" hidden="false" customHeight="true" outlineLevel="0" collapsed="false">
      <c r="X767" s="1"/>
      <c r="Y767" s="1"/>
      <c r="Z767" s="1"/>
    </row>
    <row r="768" customFormat="false" ht="15.75" hidden="false" customHeight="true" outlineLevel="0" collapsed="false">
      <c r="X768" s="1"/>
      <c r="Y768" s="1"/>
      <c r="Z768" s="1"/>
    </row>
    <row r="769" customFormat="false" ht="15.75" hidden="false" customHeight="true" outlineLevel="0" collapsed="false">
      <c r="X769" s="1"/>
      <c r="Y769" s="1"/>
      <c r="Z769" s="1"/>
    </row>
    <row r="770" customFormat="false" ht="15.75" hidden="false" customHeight="true" outlineLevel="0" collapsed="false">
      <c r="X770" s="1"/>
      <c r="Y770" s="1"/>
      <c r="Z770" s="1"/>
    </row>
    <row r="771" customFormat="false" ht="15.75" hidden="false" customHeight="true" outlineLevel="0" collapsed="false">
      <c r="X771" s="1"/>
      <c r="Y771" s="1"/>
      <c r="Z771" s="1"/>
    </row>
    <row r="772" customFormat="false" ht="15.75" hidden="false" customHeight="true" outlineLevel="0" collapsed="false">
      <c r="X772" s="1"/>
      <c r="Y772" s="1"/>
      <c r="Z772" s="1"/>
    </row>
    <row r="773" customFormat="false" ht="15.75" hidden="false" customHeight="true" outlineLevel="0" collapsed="false">
      <c r="X773" s="1"/>
      <c r="Y773" s="1"/>
      <c r="Z773" s="1"/>
    </row>
    <row r="774" customFormat="false" ht="15.75" hidden="false" customHeight="true" outlineLevel="0" collapsed="false">
      <c r="X774" s="1"/>
      <c r="Y774" s="1"/>
      <c r="Z774" s="1"/>
    </row>
    <row r="775" customFormat="false" ht="15.75" hidden="false" customHeight="true" outlineLevel="0" collapsed="false">
      <c r="X775" s="1"/>
      <c r="Y775" s="1"/>
      <c r="Z775" s="1"/>
    </row>
    <row r="776" customFormat="false" ht="15.75" hidden="false" customHeight="true" outlineLevel="0" collapsed="false">
      <c r="X776" s="1"/>
      <c r="Y776" s="1"/>
      <c r="Z776" s="1"/>
    </row>
    <row r="777" customFormat="false" ht="15.75" hidden="false" customHeight="true" outlineLevel="0" collapsed="false">
      <c r="X777" s="1"/>
      <c r="Y777" s="1"/>
      <c r="Z777" s="1"/>
    </row>
    <row r="778" customFormat="false" ht="15.75" hidden="false" customHeight="true" outlineLevel="0" collapsed="false">
      <c r="X778" s="1"/>
      <c r="Y778" s="1"/>
      <c r="Z778" s="1"/>
    </row>
    <row r="779" customFormat="false" ht="15.75" hidden="false" customHeight="true" outlineLevel="0" collapsed="false">
      <c r="X779" s="1"/>
      <c r="Y779" s="1"/>
      <c r="Z779" s="1"/>
    </row>
    <row r="780" customFormat="false" ht="15.75" hidden="false" customHeight="true" outlineLevel="0" collapsed="false">
      <c r="X780" s="1"/>
      <c r="Y780" s="1"/>
      <c r="Z780" s="1"/>
    </row>
    <row r="781" customFormat="false" ht="15.75" hidden="false" customHeight="true" outlineLevel="0" collapsed="false">
      <c r="X781" s="1"/>
      <c r="Y781" s="1"/>
      <c r="Z781" s="1"/>
    </row>
    <row r="782" customFormat="false" ht="15.75" hidden="false" customHeight="true" outlineLevel="0" collapsed="false">
      <c r="X782" s="1"/>
      <c r="Y782" s="1"/>
      <c r="Z782" s="1"/>
    </row>
    <row r="783" customFormat="false" ht="15.75" hidden="false" customHeight="true" outlineLevel="0" collapsed="false">
      <c r="X783" s="1"/>
      <c r="Y783" s="1"/>
      <c r="Z783" s="1"/>
    </row>
    <row r="784" customFormat="false" ht="15.75" hidden="false" customHeight="true" outlineLevel="0" collapsed="false">
      <c r="X784" s="1"/>
      <c r="Y784" s="1"/>
      <c r="Z784" s="1"/>
    </row>
    <row r="785" customFormat="false" ht="15.75" hidden="false" customHeight="true" outlineLevel="0" collapsed="false">
      <c r="X785" s="1"/>
      <c r="Y785" s="1"/>
      <c r="Z785" s="1"/>
    </row>
    <row r="786" customFormat="false" ht="15.75" hidden="false" customHeight="true" outlineLevel="0" collapsed="false">
      <c r="X786" s="1"/>
      <c r="Y786" s="1"/>
      <c r="Z786" s="1"/>
    </row>
    <row r="787" customFormat="false" ht="15.75" hidden="false" customHeight="true" outlineLevel="0" collapsed="false">
      <c r="X787" s="1"/>
      <c r="Y787" s="1"/>
      <c r="Z787" s="1"/>
    </row>
    <row r="788" customFormat="false" ht="15.75" hidden="false" customHeight="true" outlineLevel="0" collapsed="false">
      <c r="X788" s="1"/>
      <c r="Y788" s="1"/>
      <c r="Z788" s="1"/>
    </row>
    <row r="789" customFormat="false" ht="15.75" hidden="false" customHeight="true" outlineLevel="0" collapsed="false">
      <c r="X789" s="1"/>
      <c r="Y789" s="1"/>
      <c r="Z789" s="1"/>
    </row>
    <row r="790" customFormat="false" ht="15.75" hidden="false" customHeight="true" outlineLevel="0" collapsed="false">
      <c r="X790" s="1"/>
      <c r="Y790" s="1"/>
      <c r="Z790" s="1"/>
    </row>
    <row r="791" customFormat="false" ht="15.75" hidden="false" customHeight="true" outlineLevel="0" collapsed="false">
      <c r="X791" s="1"/>
      <c r="Y791" s="1"/>
      <c r="Z791" s="1"/>
    </row>
    <row r="792" customFormat="false" ht="15.75" hidden="false" customHeight="true" outlineLevel="0" collapsed="false">
      <c r="X792" s="1"/>
      <c r="Y792" s="1"/>
      <c r="Z792" s="1"/>
    </row>
    <row r="793" customFormat="false" ht="15.75" hidden="false" customHeight="true" outlineLevel="0" collapsed="false">
      <c r="X793" s="1"/>
      <c r="Y793" s="1"/>
      <c r="Z793" s="1"/>
    </row>
    <row r="794" customFormat="false" ht="15.75" hidden="false" customHeight="true" outlineLevel="0" collapsed="false">
      <c r="X794" s="1"/>
      <c r="Y794" s="1"/>
      <c r="Z794" s="1"/>
    </row>
    <row r="795" customFormat="false" ht="15.75" hidden="false" customHeight="true" outlineLevel="0" collapsed="false">
      <c r="X795" s="1"/>
      <c r="Y795" s="1"/>
      <c r="Z795" s="1"/>
    </row>
    <row r="796" customFormat="false" ht="15.75" hidden="false" customHeight="true" outlineLevel="0" collapsed="false">
      <c r="X796" s="1"/>
      <c r="Y796" s="1"/>
      <c r="Z796" s="1"/>
    </row>
    <row r="797" customFormat="false" ht="15.75" hidden="false" customHeight="true" outlineLevel="0" collapsed="false">
      <c r="X797" s="1"/>
      <c r="Y797" s="1"/>
      <c r="Z797" s="1"/>
    </row>
    <row r="798" customFormat="false" ht="15.75" hidden="false" customHeight="true" outlineLevel="0" collapsed="false">
      <c r="X798" s="1"/>
      <c r="Y798" s="1"/>
      <c r="Z798" s="1"/>
    </row>
    <row r="799" customFormat="false" ht="15.75" hidden="false" customHeight="true" outlineLevel="0" collapsed="false">
      <c r="X799" s="1"/>
      <c r="Y799" s="1"/>
      <c r="Z799" s="1"/>
    </row>
    <row r="800" customFormat="false" ht="15.75" hidden="false" customHeight="true" outlineLevel="0" collapsed="false">
      <c r="X800" s="1"/>
      <c r="Y800" s="1"/>
      <c r="Z800" s="1"/>
    </row>
    <row r="801" customFormat="false" ht="15.75" hidden="false" customHeight="true" outlineLevel="0" collapsed="false">
      <c r="X801" s="1"/>
      <c r="Y801" s="1"/>
      <c r="Z801" s="1"/>
    </row>
    <row r="802" customFormat="false" ht="15.75" hidden="false" customHeight="true" outlineLevel="0" collapsed="false">
      <c r="X802" s="1"/>
      <c r="Y802" s="1"/>
      <c r="Z802" s="1"/>
    </row>
    <row r="803" customFormat="false" ht="15.75" hidden="false" customHeight="true" outlineLevel="0" collapsed="false">
      <c r="X803" s="1"/>
      <c r="Y803" s="1"/>
      <c r="Z803" s="1"/>
    </row>
    <row r="804" customFormat="false" ht="15.75" hidden="false" customHeight="true" outlineLevel="0" collapsed="false">
      <c r="X804" s="1"/>
      <c r="Y804" s="1"/>
      <c r="Z804" s="1"/>
    </row>
    <row r="805" customFormat="false" ht="15.75" hidden="false" customHeight="true" outlineLevel="0" collapsed="false">
      <c r="X805" s="1"/>
      <c r="Y805" s="1"/>
      <c r="Z805" s="1"/>
    </row>
    <row r="806" customFormat="false" ht="15.75" hidden="false" customHeight="true" outlineLevel="0" collapsed="false">
      <c r="X806" s="1"/>
      <c r="Y806" s="1"/>
      <c r="Z806" s="1"/>
    </row>
    <row r="807" customFormat="false" ht="15.75" hidden="false" customHeight="true" outlineLevel="0" collapsed="false">
      <c r="X807" s="1"/>
      <c r="Y807" s="1"/>
      <c r="Z807" s="1"/>
    </row>
    <row r="808" customFormat="false" ht="15.75" hidden="false" customHeight="true" outlineLevel="0" collapsed="false">
      <c r="X808" s="1"/>
      <c r="Y808" s="1"/>
      <c r="Z808" s="1"/>
    </row>
    <row r="809" customFormat="false" ht="15.75" hidden="false" customHeight="true" outlineLevel="0" collapsed="false">
      <c r="X809" s="1"/>
      <c r="Y809" s="1"/>
      <c r="Z809" s="1"/>
    </row>
    <row r="810" customFormat="false" ht="15.75" hidden="false" customHeight="true" outlineLevel="0" collapsed="false">
      <c r="X810" s="1"/>
      <c r="Y810" s="1"/>
      <c r="Z810" s="1"/>
    </row>
    <row r="811" customFormat="false" ht="15.75" hidden="false" customHeight="true" outlineLevel="0" collapsed="false">
      <c r="X811" s="1"/>
      <c r="Y811" s="1"/>
      <c r="Z811" s="1"/>
    </row>
    <row r="812" customFormat="false" ht="15.75" hidden="false" customHeight="true" outlineLevel="0" collapsed="false">
      <c r="X812" s="1"/>
      <c r="Y812" s="1"/>
      <c r="Z812" s="1"/>
    </row>
    <row r="813" customFormat="false" ht="15.75" hidden="false" customHeight="true" outlineLevel="0" collapsed="false">
      <c r="X813" s="1"/>
      <c r="Y813" s="1"/>
      <c r="Z813" s="1"/>
    </row>
    <row r="814" customFormat="false" ht="15.75" hidden="false" customHeight="true" outlineLevel="0" collapsed="false">
      <c r="X814" s="1"/>
      <c r="Y814" s="1"/>
      <c r="Z814" s="1"/>
    </row>
    <row r="815" customFormat="false" ht="15.75" hidden="false" customHeight="true" outlineLevel="0" collapsed="false">
      <c r="X815" s="1"/>
      <c r="Y815" s="1"/>
      <c r="Z815" s="1"/>
    </row>
    <row r="816" customFormat="false" ht="15.75" hidden="false" customHeight="true" outlineLevel="0" collapsed="false">
      <c r="X816" s="1"/>
      <c r="Y816" s="1"/>
      <c r="Z816" s="1"/>
    </row>
    <row r="817" customFormat="false" ht="15.75" hidden="false" customHeight="true" outlineLevel="0" collapsed="false">
      <c r="X817" s="1"/>
      <c r="Y817" s="1"/>
      <c r="Z817" s="1"/>
    </row>
    <row r="818" customFormat="false" ht="15.75" hidden="false" customHeight="true" outlineLevel="0" collapsed="false">
      <c r="X818" s="1"/>
      <c r="Y818" s="1"/>
      <c r="Z818" s="1"/>
    </row>
    <row r="819" customFormat="false" ht="15.75" hidden="false" customHeight="true" outlineLevel="0" collapsed="false">
      <c r="X819" s="1"/>
      <c r="Y819" s="1"/>
      <c r="Z819" s="1"/>
    </row>
    <row r="820" customFormat="false" ht="15.75" hidden="false" customHeight="true" outlineLevel="0" collapsed="false">
      <c r="X820" s="1"/>
      <c r="Y820" s="1"/>
      <c r="Z820" s="1"/>
    </row>
    <row r="821" customFormat="false" ht="15.75" hidden="false" customHeight="true" outlineLevel="0" collapsed="false">
      <c r="X821" s="1"/>
      <c r="Y821" s="1"/>
      <c r="Z821" s="1"/>
    </row>
    <row r="822" customFormat="false" ht="15.75" hidden="false" customHeight="true" outlineLevel="0" collapsed="false">
      <c r="X822" s="1"/>
      <c r="Y822" s="1"/>
      <c r="Z822" s="1"/>
    </row>
    <row r="823" customFormat="false" ht="15.75" hidden="false" customHeight="true" outlineLevel="0" collapsed="false">
      <c r="X823" s="1"/>
      <c r="Y823" s="1"/>
      <c r="Z823" s="1"/>
    </row>
    <row r="824" customFormat="false" ht="15.75" hidden="false" customHeight="true" outlineLevel="0" collapsed="false">
      <c r="X824" s="1"/>
      <c r="Y824" s="1"/>
      <c r="Z824" s="1"/>
    </row>
    <row r="825" customFormat="false" ht="15.75" hidden="false" customHeight="true" outlineLevel="0" collapsed="false">
      <c r="X825" s="1"/>
      <c r="Y825" s="1"/>
      <c r="Z825" s="1"/>
    </row>
    <row r="826" customFormat="false" ht="15.75" hidden="false" customHeight="true" outlineLevel="0" collapsed="false">
      <c r="X826" s="1"/>
      <c r="Y826" s="1"/>
      <c r="Z826" s="1"/>
    </row>
    <row r="827" customFormat="false" ht="15.75" hidden="false" customHeight="true" outlineLevel="0" collapsed="false">
      <c r="X827" s="1"/>
      <c r="Y827" s="1"/>
      <c r="Z827" s="1"/>
    </row>
    <row r="828" customFormat="false" ht="15.75" hidden="false" customHeight="true" outlineLevel="0" collapsed="false">
      <c r="X828" s="1"/>
      <c r="Y828" s="1"/>
      <c r="Z828" s="1"/>
    </row>
    <row r="829" customFormat="false" ht="15.75" hidden="false" customHeight="true" outlineLevel="0" collapsed="false">
      <c r="X829" s="1"/>
      <c r="Y829" s="1"/>
      <c r="Z829" s="1"/>
    </row>
    <row r="830" customFormat="false" ht="15.75" hidden="false" customHeight="true" outlineLevel="0" collapsed="false">
      <c r="X830" s="1"/>
      <c r="Y830" s="1"/>
      <c r="Z830" s="1"/>
    </row>
    <row r="831" customFormat="false" ht="15.75" hidden="false" customHeight="true" outlineLevel="0" collapsed="false">
      <c r="X831" s="1"/>
      <c r="Y831" s="1"/>
      <c r="Z831" s="1"/>
    </row>
    <row r="832" customFormat="false" ht="15.75" hidden="false" customHeight="true" outlineLevel="0" collapsed="false">
      <c r="X832" s="1"/>
      <c r="Y832" s="1"/>
      <c r="Z832" s="1"/>
    </row>
    <row r="833" customFormat="false" ht="15.75" hidden="false" customHeight="true" outlineLevel="0" collapsed="false">
      <c r="X833" s="1"/>
      <c r="Y833" s="1"/>
      <c r="Z833" s="1"/>
    </row>
    <row r="834" customFormat="false" ht="15.75" hidden="false" customHeight="true" outlineLevel="0" collapsed="false">
      <c r="X834" s="1"/>
      <c r="Y834" s="1"/>
      <c r="Z834" s="1"/>
    </row>
    <row r="835" customFormat="false" ht="15.75" hidden="false" customHeight="true" outlineLevel="0" collapsed="false">
      <c r="X835" s="1"/>
      <c r="Y835" s="1"/>
      <c r="Z835" s="1"/>
    </row>
    <row r="836" customFormat="false" ht="15.75" hidden="false" customHeight="true" outlineLevel="0" collapsed="false">
      <c r="X836" s="1"/>
      <c r="Y836" s="1"/>
      <c r="Z836" s="1"/>
    </row>
    <row r="837" customFormat="false" ht="15.75" hidden="false" customHeight="true" outlineLevel="0" collapsed="false">
      <c r="X837" s="1"/>
      <c r="Y837" s="1"/>
      <c r="Z837" s="1"/>
    </row>
    <row r="838" customFormat="false" ht="15.75" hidden="false" customHeight="true" outlineLevel="0" collapsed="false">
      <c r="X838" s="1"/>
      <c r="Y838" s="1"/>
      <c r="Z838" s="1"/>
    </row>
    <row r="839" customFormat="false" ht="15.75" hidden="false" customHeight="true" outlineLevel="0" collapsed="false">
      <c r="X839" s="1"/>
      <c r="Y839" s="1"/>
      <c r="Z839" s="1"/>
    </row>
    <row r="840" customFormat="false" ht="15.75" hidden="false" customHeight="true" outlineLevel="0" collapsed="false">
      <c r="X840" s="1"/>
      <c r="Y840" s="1"/>
      <c r="Z840" s="1"/>
    </row>
    <row r="841" customFormat="false" ht="15.75" hidden="false" customHeight="true" outlineLevel="0" collapsed="false">
      <c r="X841" s="1"/>
      <c r="Y841" s="1"/>
      <c r="Z841" s="1"/>
    </row>
    <row r="842" customFormat="false" ht="15.75" hidden="false" customHeight="true" outlineLevel="0" collapsed="false">
      <c r="X842" s="1"/>
      <c r="Y842" s="1"/>
      <c r="Z842" s="1"/>
    </row>
    <row r="843" customFormat="false" ht="15.75" hidden="false" customHeight="true" outlineLevel="0" collapsed="false">
      <c r="X843" s="1"/>
      <c r="Y843" s="1"/>
      <c r="Z843" s="1"/>
    </row>
    <row r="844" customFormat="false" ht="15.75" hidden="false" customHeight="true" outlineLevel="0" collapsed="false">
      <c r="X844" s="1"/>
      <c r="Y844" s="1"/>
      <c r="Z844" s="1"/>
    </row>
    <row r="845" customFormat="false" ht="15.75" hidden="false" customHeight="true" outlineLevel="0" collapsed="false">
      <c r="X845" s="1"/>
      <c r="Y845" s="1"/>
      <c r="Z845" s="1"/>
    </row>
    <row r="846" customFormat="false" ht="15.75" hidden="false" customHeight="true" outlineLevel="0" collapsed="false">
      <c r="X846" s="1"/>
      <c r="Y846" s="1"/>
      <c r="Z846" s="1"/>
    </row>
    <row r="847" customFormat="false" ht="15.75" hidden="false" customHeight="true" outlineLevel="0" collapsed="false">
      <c r="X847" s="1"/>
      <c r="Y847" s="1"/>
      <c r="Z847" s="1"/>
    </row>
    <row r="848" customFormat="false" ht="15.75" hidden="false" customHeight="true" outlineLevel="0" collapsed="false">
      <c r="X848" s="1"/>
      <c r="Y848" s="1"/>
      <c r="Z848" s="1"/>
    </row>
    <row r="849" customFormat="false" ht="15.75" hidden="false" customHeight="true" outlineLevel="0" collapsed="false">
      <c r="X849" s="1"/>
      <c r="Y849" s="1"/>
      <c r="Z849" s="1"/>
    </row>
    <row r="850" customFormat="false" ht="15.75" hidden="false" customHeight="true" outlineLevel="0" collapsed="false">
      <c r="X850" s="1"/>
      <c r="Y850" s="1"/>
      <c r="Z850" s="1"/>
    </row>
    <row r="851" customFormat="false" ht="15.75" hidden="false" customHeight="true" outlineLevel="0" collapsed="false">
      <c r="X851" s="1"/>
      <c r="Y851" s="1"/>
      <c r="Z851" s="1"/>
    </row>
    <row r="852" customFormat="false" ht="15.75" hidden="false" customHeight="true" outlineLevel="0" collapsed="false">
      <c r="X852" s="1"/>
      <c r="Y852" s="1"/>
      <c r="Z852" s="1"/>
    </row>
    <row r="853" customFormat="false" ht="15.75" hidden="false" customHeight="true" outlineLevel="0" collapsed="false">
      <c r="X853" s="1"/>
      <c r="Y853" s="1"/>
      <c r="Z853" s="1"/>
    </row>
    <row r="854" customFormat="false" ht="15.75" hidden="false" customHeight="true" outlineLevel="0" collapsed="false">
      <c r="X854" s="1"/>
      <c r="Y854" s="1"/>
      <c r="Z854" s="1"/>
    </row>
    <row r="855" customFormat="false" ht="15.75" hidden="false" customHeight="true" outlineLevel="0" collapsed="false">
      <c r="X855" s="1"/>
      <c r="Y855" s="1"/>
      <c r="Z855" s="1"/>
    </row>
    <row r="856" customFormat="false" ht="15.75" hidden="false" customHeight="true" outlineLevel="0" collapsed="false">
      <c r="X856" s="1"/>
      <c r="Y856" s="1"/>
      <c r="Z856" s="1"/>
    </row>
    <row r="857" customFormat="false" ht="15.75" hidden="false" customHeight="true" outlineLevel="0" collapsed="false">
      <c r="X857" s="1"/>
      <c r="Y857" s="1"/>
      <c r="Z857" s="1"/>
    </row>
    <row r="858" customFormat="false" ht="15.75" hidden="false" customHeight="true" outlineLevel="0" collapsed="false">
      <c r="X858" s="1"/>
      <c r="Y858" s="1"/>
      <c r="Z858" s="1"/>
    </row>
    <row r="859" customFormat="false" ht="15.75" hidden="false" customHeight="true" outlineLevel="0" collapsed="false">
      <c r="X859" s="1"/>
      <c r="Y859" s="1"/>
      <c r="Z859" s="1"/>
    </row>
    <row r="860" customFormat="false" ht="15.75" hidden="false" customHeight="true" outlineLevel="0" collapsed="false">
      <c r="X860" s="1"/>
      <c r="Y860" s="1"/>
      <c r="Z860" s="1"/>
    </row>
    <row r="861" customFormat="false" ht="15.75" hidden="false" customHeight="true" outlineLevel="0" collapsed="false">
      <c r="X861" s="1"/>
      <c r="Y861" s="1"/>
      <c r="Z861" s="1"/>
    </row>
    <row r="862" customFormat="false" ht="15.75" hidden="false" customHeight="true" outlineLevel="0" collapsed="false">
      <c r="X862" s="1"/>
      <c r="Y862" s="1"/>
      <c r="Z862" s="1"/>
    </row>
    <row r="863" customFormat="false" ht="15.75" hidden="false" customHeight="true" outlineLevel="0" collapsed="false">
      <c r="X863" s="1"/>
      <c r="Y863" s="1"/>
      <c r="Z863" s="1"/>
    </row>
    <row r="864" customFormat="false" ht="15.75" hidden="false" customHeight="true" outlineLevel="0" collapsed="false">
      <c r="X864" s="1"/>
      <c r="Y864" s="1"/>
      <c r="Z864" s="1"/>
    </row>
    <row r="865" customFormat="false" ht="15.75" hidden="false" customHeight="true" outlineLevel="0" collapsed="false">
      <c r="X865" s="1"/>
      <c r="Y865" s="1"/>
      <c r="Z865" s="1"/>
    </row>
    <row r="866" customFormat="false" ht="15.75" hidden="false" customHeight="true" outlineLevel="0" collapsed="false">
      <c r="X866" s="1"/>
      <c r="Y866" s="1"/>
      <c r="Z866" s="1"/>
    </row>
    <row r="867" customFormat="false" ht="15.75" hidden="false" customHeight="true" outlineLevel="0" collapsed="false">
      <c r="X867" s="1"/>
      <c r="Y867" s="1"/>
      <c r="Z867" s="1"/>
    </row>
    <row r="868" customFormat="false" ht="15.75" hidden="false" customHeight="true" outlineLevel="0" collapsed="false">
      <c r="X868" s="1"/>
      <c r="Y868" s="1"/>
      <c r="Z868" s="1"/>
    </row>
    <row r="869" customFormat="false" ht="15.75" hidden="false" customHeight="true" outlineLevel="0" collapsed="false">
      <c r="X869" s="1"/>
      <c r="Y869" s="1"/>
      <c r="Z869" s="1"/>
    </row>
    <row r="870" customFormat="false" ht="15.75" hidden="false" customHeight="true" outlineLevel="0" collapsed="false">
      <c r="X870" s="1"/>
      <c r="Y870" s="1"/>
      <c r="Z870" s="1"/>
    </row>
    <row r="871" customFormat="false" ht="15.75" hidden="false" customHeight="true" outlineLevel="0" collapsed="false">
      <c r="X871" s="1"/>
      <c r="Y871" s="1"/>
      <c r="Z871" s="1"/>
    </row>
    <row r="872" customFormat="false" ht="15.75" hidden="false" customHeight="true" outlineLevel="0" collapsed="false">
      <c r="X872" s="1"/>
      <c r="Y872" s="1"/>
      <c r="Z872" s="1"/>
    </row>
    <row r="873" customFormat="false" ht="15.75" hidden="false" customHeight="true" outlineLevel="0" collapsed="false">
      <c r="X873" s="1"/>
      <c r="Y873" s="1"/>
      <c r="Z873" s="1"/>
    </row>
    <row r="874" customFormat="false" ht="15.75" hidden="false" customHeight="true" outlineLevel="0" collapsed="false">
      <c r="X874" s="1"/>
      <c r="Y874" s="1"/>
      <c r="Z874" s="1"/>
    </row>
    <row r="875" customFormat="false" ht="15.75" hidden="false" customHeight="true" outlineLevel="0" collapsed="false">
      <c r="X875" s="1"/>
      <c r="Y875" s="1"/>
      <c r="Z875" s="1"/>
    </row>
    <row r="876" customFormat="false" ht="15.75" hidden="false" customHeight="true" outlineLevel="0" collapsed="false">
      <c r="X876" s="1"/>
      <c r="Y876" s="1"/>
      <c r="Z876" s="1"/>
    </row>
    <row r="877" customFormat="false" ht="15.75" hidden="false" customHeight="true" outlineLevel="0" collapsed="false">
      <c r="X877" s="1"/>
      <c r="Y877" s="1"/>
      <c r="Z877" s="1"/>
    </row>
    <row r="878" customFormat="false" ht="15.75" hidden="false" customHeight="true" outlineLevel="0" collapsed="false">
      <c r="X878" s="1"/>
      <c r="Y878" s="1"/>
      <c r="Z878" s="1"/>
    </row>
    <row r="879" customFormat="false" ht="15.75" hidden="false" customHeight="true" outlineLevel="0" collapsed="false">
      <c r="X879" s="1"/>
      <c r="Y879" s="1"/>
      <c r="Z879" s="1"/>
    </row>
    <row r="880" customFormat="false" ht="15.75" hidden="false" customHeight="true" outlineLevel="0" collapsed="false">
      <c r="X880" s="1"/>
      <c r="Y880" s="1"/>
      <c r="Z880" s="1"/>
    </row>
    <row r="881" customFormat="false" ht="15.75" hidden="false" customHeight="true" outlineLevel="0" collapsed="false">
      <c r="X881" s="1"/>
      <c r="Y881" s="1"/>
      <c r="Z881" s="1"/>
    </row>
    <row r="882" customFormat="false" ht="15.75" hidden="false" customHeight="true" outlineLevel="0" collapsed="false">
      <c r="X882" s="1"/>
      <c r="Y882" s="1"/>
      <c r="Z882" s="1"/>
    </row>
    <row r="883" customFormat="false" ht="15.75" hidden="false" customHeight="true" outlineLevel="0" collapsed="false">
      <c r="X883" s="1"/>
      <c r="Y883" s="1"/>
      <c r="Z883" s="1"/>
    </row>
    <row r="884" customFormat="false" ht="15.75" hidden="false" customHeight="true" outlineLevel="0" collapsed="false">
      <c r="X884" s="1"/>
      <c r="Y884" s="1"/>
      <c r="Z884" s="1"/>
    </row>
    <row r="885" customFormat="false" ht="15.75" hidden="false" customHeight="true" outlineLevel="0" collapsed="false">
      <c r="X885" s="1"/>
      <c r="Y885" s="1"/>
      <c r="Z885" s="1"/>
    </row>
    <row r="886" customFormat="false" ht="15.75" hidden="false" customHeight="true" outlineLevel="0" collapsed="false">
      <c r="X886" s="1"/>
      <c r="Y886" s="1"/>
      <c r="Z886" s="1"/>
    </row>
    <row r="887" customFormat="false" ht="15.75" hidden="false" customHeight="true" outlineLevel="0" collapsed="false">
      <c r="X887" s="1"/>
      <c r="Y887" s="1"/>
      <c r="Z887" s="1"/>
    </row>
    <row r="888" customFormat="false" ht="15.75" hidden="false" customHeight="true" outlineLevel="0" collapsed="false">
      <c r="X888" s="1"/>
      <c r="Y888" s="1"/>
      <c r="Z888" s="1"/>
    </row>
    <row r="889" customFormat="false" ht="15.75" hidden="false" customHeight="true" outlineLevel="0" collapsed="false">
      <c r="X889" s="1"/>
      <c r="Y889" s="1"/>
      <c r="Z889" s="1"/>
    </row>
    <row r="890" customFormat="false" ht="15.75" hidden="false" customHeight="true" outlineLevel="0" collapsed="false">
      <c r="X890" s="1"/>
      <c r="Y890" s="1"/>
      <c r="Z890" s="1"/>
    </row>
    <row r="891" customFormat="false" ht="15.75" hidden="false" customHeight="true" outlineLevel="0" collapsed="false">
      <c r="X891" s="1"/>
      <c r="Y891" s="1"/>
      <c r="Z891" s="1"/>
    </row>
    <row r="892" customFormat="false" ht="15.75" hidden="false" customHeight="true" outlineLevel="0" collapsed="false">
      <c r="X892" s="1"/>
      <c r="Y892" s="1"/>
      <c r="Z892" s="1"/>
    </row>
    <row r="893" customFormat="false" ht="15.75" hidden="false" customHeight="true" outlineLevel="0" collapsed="false">
      <c r="X893" s="1"/>
      <c r="Y893" s="1"/>
      <c r="Z893" s="1"/>
    </row>
    <row r="894" customFormat="false" ht="15.75" hidden="false" customHeight="true" outlineLevel="0" collapsed="false">
      <c r="X894" s="1"/>
      <c r="Y894" s="1"/>
      <c r="Z894" s="1"/>
    </row>
    <row r="895" customFormat="false" ht="15.75" hidden="false" customHeight="true" outlineLevel="0" collapsed="false">
      <c r="X895" s="1"/>
      <c r="Y895" s="1"/>
      <c r="Z895" s="1"/>
    </row>
    <row r="896" customFormat="false" ht="15.75" hidden="false" customHeight="true" outlineLevel="0" collapsed="false">
      <c r="X896" s="1"/>
      <c r="Y896" s="1"/>
      <c r="Z896" s="1"/>
    </row>
    <row r="897" customFormat="false" ht="15.75" hidden="false" customHeight="true" outlineLevel="0" collapsed="false">
      <c r="X897" s="1"/>
      <c r="Y897" s="1"/>
      <c r="Z897" s="1"/>
    </row>
    <row r="898" customFormat="false" ht="15.75" hidden="false" customHeight="true" outlineLevel="0" collapsed="false">
      <c r="X898" s="1"/>
      <c r="Y898" s="1"/>
      <c r="Z898" s="1"/>
    </row>
    <row r="899" customFormat="false" ht="15.75" hidden="false" customHeight="true" outlineLevel="0" collapsed="false">
      <c r="X899" s="1"/>
      <c r="Y899" s="1"/>
      <c r="Z899" s="1"/>
    </row>
    <row r="900" customFormat="false" ht="15.75" hidden="false" customHeight="true" outlineLevel="0" collapsed="false">
      <c r="X900" s="1"/>
      <c r="Y900" s="1"/>
      <c r="Z900" s="1"/>
    </row>
    <row r="901" customFormat="false" ht="15.75" hidden="false" customHeight="true" outlineLevel="0" collapsed="false">
      <c r="X901" s="1"/>
      <c r="Y901" s="1"/>
      <c r="Z901" s="1"/>
    </row>
    <row r="902" customFormat="false" ht="15.75" hidden="false" customHeight="true" outlineLevel="0" collapsed="false">
      <c r="X902" s="1"/>
      <c r="Y902" s="1"/>
      <c r="Z902" s="1"/>
    </row>
    <row r="903" customFormat="false" ht="15.75" hidden="false" customHeight="true" outlineLevel="0" collapsed="false">
      <c r="X903" s="1"/>
      <c r="Y903" s="1"/>
      <c r="Z903" s="1"/>
    </row>
    <row r="904" customFormat="false" ht="15.75" hidden="false" customHeight="true" outlineLevel="0" collapsed="false">
      <c r="X904" s="1"/>
      <c r="Y904" s="1"/>
      <c r="Z904" s="1"/>
    </row>
    <row r="905" customFormat="false" ht="15.75" hidden="false" customHeight="true" outlineLevel="0" collapsed="false">
      <c r="X905" s="1"/>
      <c r="Y905" s="1"/>
      <c r="Z905" s="1"/>
    </row>
    <row r="906" customFormat="false" ht="15.75" hidden="false" customHeight="true" outlineLevel="0" collapsed="false">
      <c r="X906" s="1"/>
      <c r="Y906" s="1"/>
      <c r="Z906" s="1"/>
    </row>
    <row r="907" customFormat="false" ht="15.75" hidden="false" customHeight="true" outlineLevel="0" collapsed="false">
      <c r="X907" s="1"/>
      <c r="Y907" s="1"/>
      <c r="Z907" s="1"/>
    </row>
    <row r="908" customFormat="false" ht="15.75" hidden="false" customHeight="true" outlineLevel="0" collapsed="false">
      <c r="X908" s="1"/>
      <c r="Y908" s="1"/>
      <c r="Z908" s="1"/>
    </row>
    <row r="909" customFormat="false" ht="15.75" hidden="false" customHeight="true" outlineLevel="0" collapsed="false">
      <c r="X909" s="1"/>
      <c r="Y909" s="1"/>
      <c r="Z909" s="1"/>
    </row>
    <row r="910" customFormat="false" ht="15.75" hidden="false" customHeight="true" outlineLevel="0" collapsed="false">
      <c r="X910" s="1"/>
      <c r="Y910" s="1"/>
      <c r="Z910" s="1"/>
    </row>
    <row r="911" customFormat="false" ht="15.75" hidden="false" customHeight="true" outlineLevel="0" collapsed="false">
      <c r="X911" s="1"/>
      <c r="Y911" s="1"/>
      <c r="Z911" s="1"/>
    </row>
    <row r="912" customFormat="false" ht="15.75" hidden="false" customHeight="true" outlineLevel="0" collapsed="false">
      <c r="X912" s="1"/>
      <c r="Y912" s="1"/>
      <c r="Z912" s="1"/>
    </row>
    <row r="913" customFormat="false" ht="15.75" hidden="false" customHeight="true" outlineLevel="0" collapsed="false">
      <c r="X913" s="1"/>
      <c r="Y913" s="1"/>
      <c r="Z913" s="1"/>
    </row>
    <row r="914" customFormat="false" ht="15.75" hidden="false" customHeight="true" outlineLevel="0" collapsed="false">
      <c r="X914" s="1"/>
      <c r="Y914" s="1"/>
      <c r="Z914" s="1"/>
    </row>
    <row r="915" customFormat="false" ht="15.75" hidden="false" customHeight="true" outlineLevel="0" collapsed="false">
      <c r="X915" s="1"/>
      <c r="Y915" s="1"/>
      <c r="Z915" s="1"/>
    </row>
    <row r="916" customFormat="false" ht="15.75" hidden="false" customHeight="true" outlineLevel="0" collapsed="false">
      <c r="X916" s="1"/>
      <c r="Y916" s="1"/>
      <c r="Z916" s="1"/>
    </row>
    <row r="917" customFormat="false" ht="15.75" hidden="false" customHeight="true" outlineLevel="0" collapsed="false">
      <c r="X917" s="1"/>
      <c r="Y917" s="1"/>
      <c r="Z917" s="1"/>
    </row>
    <row r="918" customFormat="false" ht="15.75" hidden="false" customHeight="true" outlineLevel="0" collapsed="false">
      <c r="X918" s="1"/>
      <c r="Y918" s="1"/>
      <c r="Z918" s="1"/>
    </row>
    <row r="919" customFormat="false" ht="15.75" hidden="false" customHeight="true" outlineLevel="0" collapsed="false">
      <c r="X919" s="1"/>
      <c r="Y919" s="1"/>
      <c r="Z919" s="1"/>
    </row>
    <row r="920" customFormat="false" ht="15.75" hidden="false" customHeight="true" outlineLevel="0" collapsed="false">
      <c r="X920" s="1"/>
      <c r="Y920" s="1"/>
      <c r="Z920" s="1"/>
    </row>
    <row r="921" customFormat="false" ht="15.75" hidden="false" customHeight="true" outlineLevel="0" collapsed="false">
      <c r="X921" s="1"/>
      <c r="Y921" s="1"/>
      <c r="Z921" s="1"/>
    </row>
    <row r="922" customFormat="false" ht="15.75" hidden="false" customHeight="true" outlineLevel="0" collapsed="false">
      <c r="X922" s="1"/>
      <c r="Y922" s="1"/>
      <c r="Z922" s="1"/>
    </row>
    <row r="923" customFormat="false" ht="15.75" hidden="false" customHeight="true" outlineLevel="0" collapsed="false">
      <c r="X923" s="1"/>
      <c r="Y923" s="1"/>
      <c r="Z923" s="1"/>
    </row>
    <row r="924" customFormat="false" ht="15.75" hidden="false" customHeight="true" outlineLevel="0" collapsed="false">
      <c r="X924" s="1"/>
      <c r="Y924" s="1"/>
      <c r="Z924" s="1"/>
    </row>
    <row r="925" customFormat="false" ht="15.75" hidden="false" customHeight="true" outlineLevel="0" collapsed="false">
      <c r="X925" s="1"/>
      <c r="Y925" s="1"/>
      <c r="Z925" s="1"/>
    </row>
    <row r="926" customFormat="false" ht="15.75" hidden="false" customHeight="true" outlineLevel="0" collapsed="false">
      <c r="X926" s="1"/>
      <c r="Y926" s="1"/>
      <c r="Z926" s="1"/>
    </row>
    <row r="927" customFormat="false" ht="15.75" hidden="false" customHeight="true" outlineLevel="0" collapsed="false">
      <c r="X927" s="1"/>
      <c r="Y927" s="1"/>
      <c r="Z927" s="1"/>
    </row>
    <row r="928" customFormat="false" ht="15.75" hidden="false" customHeight="true" outlineLevel="0" collapsed="false">
      <c r="X928" s="1"/>
      <c r="Y928" s="1"/>
      <c r="Z928" s="1"/>
    </row>
    <row r="929" customFormat="false" ht="15.75" hidden="false" customHeight="true" outlineLevel="0" collapsed="false">
      <c r="X929" s="1"/>
      <c r="Y929" s="1"/>
      <c r="Z929" s="1"/>
    </row>
    <row r="930" customFormat="false" ht="15.75" hidden="false" customHeight="true" outlineLevel="0" collapsed="false">
      <c r="X930" s="1"/>
      <c r="Y930" s="1"/>
      <c r="Z930" s="1"/>
    </row>
    <row r="931" customFormat="false" ht="15.75" hidden="false" customHeight="true" outlineLevel="0" collapsed="false">
      <c r="X931" s="1"/>
      <c r="Y931" s="1"/>
      <c r="Z931" s="1"/>
    </row>
    <row r="932" customFormat="false" ht="15.75" hidden="false" customHeight="true" outlineLevel="0" collapsed="false">
      <c r="X932" s="1"/>
      <c r="Y932" s="1"/>
      <c r="Z932" s="1"/>
    </row>
    <row r="933" customFormat="false" ht="15.75" hidden="false" customHeight="true" outlineLevel="0" collapsed="false">
      <c r="X933" s="1"/>
      <c r="Y933" s="1"/>
      <c r="Z933" s="1"/>
    </row>
    <row r="934" customFormat="false" ht="15.75" hidden="false" customHeight="true" outlineLevel="0" collapsed="false">
      <c r="X934" s="1"/>
      <c r="Y934" s="1"/>
      <c r="Z934" s="1"/>
    </row>
    <row r="935" customFormat="false" ht="15.75" hidden="false" customHeight="true" outlineLevel="0" collapsed="false">
      <c r="X935" s="1"/>
      <c r="Y935" s="1"/>
      <c r="Z935" s="1"/>
    </row>
    <row r="936" customFormat="false" ht="15.75" hidden="false" customHeight="true" outlineLevel="0" collapsed="false">
      <c r="X936" s="1"/>
      <c r="Y936" s="1"/>
      <c r="Z936" s="1"/>
    </row>
    <row r="937" customFormat="false" ht="15.75" hidden="false" customHeight="true" outlineLevel="0" collapsed="false">
      <c r="X937" s="1"/>
      <c r="Y937" s="1"/>
      <c r="Z937" s="1"/>
    </row>
    <row r="938" customFormat="false" ht="15.75" hidden="false" customHeight="true" outlineLevel="0" collapsed="false">
      <c r="X938" s="1"/>
      <c r="Y938" s="1"/>
      <c r="Z938" s="1"/>
    </row>
    <row r="939" customFormat="false" ht="15.75" hidden="false" customHeight="true" outlineLevel="0" collapsed="false">
      <c r="X939" s="1"/>
      <c r="Y939" s="1"/>
      <c r="Z939" s="1"/>
    </row>
    <row r="940" customFormat="false" ht="15.75" hidden="false" customHeight="true" outlineLevel="0" collapsed="false">
      <c r="X940" s="1"/>
      <c r="Y940" s="1"/>
      <c r="Z940" s="1"/>
    </row>
    <row r="941" customFormat="false" ht="15.75" hidden="false" customHeight="true" outlineLevel="0" collapsed="false">
      <c r="X941" s="1"/>
      <c r="Y941" s="1"/>
      <c r="Z941" s="1"/>
    </row>
    <row r="942" customFormat="false" ht="15.75" hidden="false" customHeight="true" outlineLevel="0" collapsed="false">
      <c r="X942" s="1"/>
      <c r="Y942" s="1"/>
      <c r="Z942" s="1"/>
    </row>
    <row r="943" customFormat="false" ht="15.75" hidden="false" customHeight="true" outlineLevel="0" collapsed="false">
      <c r="X943" s="1"/>
      <c r="Y943" s="1"/>
      <c r="Z943" s="1"/>
    </row>
    <row r="944" customFormat="false" ht="15.75" hidden="false" customHeight="true" outlineLevel="0" collapsed="false">
      <c r="X944" s="1"/>
      <c r="Y944" s="1"/>
      <c r="Z944" s="1"/>
    </row>
    <row r="945" customFormat="false" ht="15.75" hidden="false" customHeight="true" outlineLevel="0" collapsed="false">
      <c r="X945" s="1"/>
      <c r="Y945" s="1"/>
      <c r="Z945" s="1"/>
    </row>
    <row r="946" customFormat="false" ht="15.75" hidden="false" customHeight="true" outlineLevel="0" collapsed="false">
      <c r="X946" s="1"/>
      <c r="Y946" s="1"/>
      <c r="Z946" s="1"/>
    </row>
    <row r="947" customFormat="false" ht="15.75" hidden="false" customHeight="true" outlineLevel="0" collapsed="false">
      <c r="X947" s="1"/>
      <c r="Y947" s="1"/>
      <c r="Z947" s="1"/>
    </row>
    <row r="948" customFormat="false" ht="15.75" hidden="false" customHeight="true" outlineLevel="0" collapsed="false">
      <c r="X948" s="1"/>
      <c r="Y948" s="1"/>
      <c r="Z948" s="1"/>
    </row>
    <row r="949" customFormat="false" ht="15.75" hidden="false" customHeight="true" outlineLevel="0" collapsed="false">
      <c r="X949" s="1"/>
      <c r="Y949" s="1"/>
      <c r="Z949" s="1"/>
    </row>
    <row r="950" customFormat="false" ht="15.75" hidden="false" customHeight="true" outlineLevel="0" collapsed="false">
      <c r="X950" s="1"/>
      <c r="Y950" s="1"/>
      <c r="Z950" s="1"/>
    </row>
    <row r="951" customFormat="false" ht="15.75" hidden="false" customHeight="true" outlineLevel="0" collapsed="false">
      <c r="X951" s="1"/>
      <c r="Y951" s="1"/>
      <c r="Z951" s="1"/>
    </row>
    <row r="952" customFormat="false" ht="15.75" hidden="false" customHeight="true" outlineLevel="0" collapsed="false">
      <c r="X952" s="1"/>
      <c r="Y952" s="1"/>
      <c r="Z952" s="1"/>
    </row>
    <row r="953" customFormat="false" ht="15.75" hidden="false" customHeight="true" outlineLevel="0" collapsed="false">
      <c r="X953" s="1"/>
      <c r="Y953" s="1"/>
      <c r="Z953" s="1"/>
    </row>
    <row r="954" customFormat="false" ht="15.75" hidden="false" customHeight="true" outlineLevel="0" collapsed="false">
      <c r="X954" s="1"/>
      <c r="Y954" s="1"/>
      <c r="Z954" s="1"/>
    </row>
    <row r="955" customFormat="false" ht="15.75" hidden="false" customHeight="true" outlineLevel="0" collapsed="false">
      <c r="X955" s="1"/>
      <c r="Y955" s="1"/>
      <c r="Z955" s="1"/>
    </row>
    <row r="956" customFormat="false" ht="15.75" hidden="false" customHeight="true" outlineLevel="0" collapsed="false">
      <c r="X956" s="1"/>
      <c r="Y956" s="1"/>
      <c r="Z956" s="1"/>
    </row>
    <row r="957" customFormat="false" ht="15.75" hidden="false" customHeight="true" outlineLevel="0" collapsed="false">
      <c r="X957" s="1"/>
      <c r="Y957" s="1"/>
      <c r="Z957" s="1"/>
    </row>
    <row r="958" customFormat="false" ht="15.75" hidden="false" customHeight="true" outlineLevel="0" collapsed="false">
      <c r="X958" s="1"/>
      <c r="Y958" s="1"/>
      <c r="Z958" s="1"/>
    </row>
    <row r="959" customFormat="false" ht="15.75" hidden="false" customHeight="true" outlineLevel="0" collapsed="false">
      <c r="X959" s="1"/>
      <c r="Y959" s="1"/>
      <c r="Z959" s="1"/>
    </row>
    <row r="960" customFormat="false" ht="15.75" hidden="false" customHeight="true" outlineLevel="0" collapsed="false">
      <c r="X960" s="1"/>
      <c r="Y960" s="1"/>
      <c r="Z960" s="1"/>
    </row>
    <row r="961" customFormat="false" ht="15.75" hidden="false" customHeight="true" outlineLevel="0" collapsed="false">
      <c r="X961" s="1"/>
      <c r="Y961" s="1"/>
      <c r="Z961" s="1"/>
    </row>
    <row r="962" customFormat="false" ht="15.75" hidden="false" customHeight="true" outlineLevel="0" collapsed="false">
      <c r="X962" s="1"/>
      <c r="Y962" s="1"/>
      <c r="Z962" s="1"/>
    </row>
    <row r="963" customFormat="false" ht="15.75" hidden="false" customHeight="true" outlineLevel="0" collapsed="false">
      <c r="X963" s="1"/>
      <c r="Y963" s="1"/>
      <c r="Z963" s="1"/>
    </row>
    <row r="964" customFormat="false" ht="15.75" hidden="false" customHeight="true" outlineLevel="0" collapsed="false">
      <c r="X964" s="1"/>
      <c r="Y964" s="1"/>
      <c r="Z964" s="1"/>
    </row>
    <row r="965" customFormat="false" ht="15.75" hidden="false" customHeight="true" outlineLevel="0" collapsed="false">
      <c r="X965" s="1"/>
      <c r="Y965" s="1"/>
      <c r="Z965" s="1"/>
    </row>
    <row r="966" customFormat="false" ht="15.75" hidden="false" customHeight="true" outlineLevel="0" collapsed="false">
      <c r="X966" s="1"/>
      <c r="Y966" s="1"/>
      <c r="Z966" s="1"/>
    </row>
    <row r="967" customFormat="false" ht="15.75" hidden="false" customHeight="true" outlineLevel="0" collapsed="false">
      <c r="X967" s="1"/>
      <c r="Y967" s="1"/>
      <c r="Z967" s="1"/>
    </row>
    <row r="968" customFormat="false" ht="15.75" hidden="false" customHeight="true" outlineLevel="0" collapsed="false">
      <c r="X968" s="1"/>
      <c r="Y968" s="1"/>
      <c r="Z968" s="1"/>
    </row>
    <row r="969" customFormat="false" ht="15.75" hidden="false" customHeight="true" outlineLevel="0" collapsed="false">
      <c r="X969" s="1"/>
      <c r="Y969" s="1"/>
      <c r="Z969" s="1"/>
    </row>
    <row r="970" customFormat="false" ht="15.75" hidden="false" customHeight="true" outlineLevel="0" collapsed="false">
      <c r="X970" s="1"/>
      <c r="Y970" s="1"/>
      <c r="Z970" s="1"/>
    </row>
    <row r="971" customFormat="false" ht="15.75" hidden="false" customHeight="true" outlineLevel="0" collapsed="false">
      <c r="X971" s="1"/>
      <c r="Y971" s="1"/>
      <c r="Z971" s="1"/>
    </row>
    <row r="972" customFormat="false" ht="15.75" hidden="false" customHeight="true" outlineLevel="0" collapsed="false">
      <c r="X972" s="1"/>
      <c r="Y972" s="1"/>
      <c r="Z972" s="1"/>
    </row>
    <row r="973" customFormat="false" ht="15.75" hidden="false" customHeight="true" outlineLevel="0" collapsed="false">
      <c r="X973" s="1"/>
      <c r="Y973" s="1"/>
      <c r="Z973" s="1"/>
    </row>
    <row r="974" customFormat="false" ht="15.75" hidden="false" customHeight="true" outlineLevel="0" collapsed="false">
      <c r="X974" s="1"/>
      <c r="Y974" s="1"/>
      <c r="Z974" s="1"/>
    </row>
    <row r="975" customFormat="false" ht="15.75" hidden="false" customHeight="true" outlineLevel="0" collapsed="false">
      <c r="X975" s="1"/>
      <c r="Y975" s="1"/>
      <c r="Z975" s="1"/>
    </row>
    <row r="976" customFormat="false" ht="15.75" hidden="false" customHeight="true" outlineLevel="0" collapsed="false">
      <c r="X976" s="1"/>
      <c r="Y976" s="1"/>
      <c r="Z976" s="1"/>
    </row>
    <row r="977" customFormat="false" ht="15.75" hidden="false" customHeight="true" outlineLevel="0" collapsed="false">
      <c r="X977" s="1"/>
      <c r="Y977" s="1"/>
      <c r="Z977" s="1"/>
    </row>
    <row r="978" customFormat="false" ht="15.75" hidden="false" customHeight="true" outlineLevel="0" collapsed="false">
      <c r="X978" s="1"/>
      <c r="Y978" s="1"/>
      <c r="Z978" s="1"/>
    </row>
    <row r="979" customFormat="false" ht="15.75" hidden="false" customHeight="true" outlineLevel="0" collapsed="false">
      <c r="X979" s="1"/>
      <c r="Y979" s="1"/>
      <c r="Z979" s="1"/>
    </row>
    <row r="980" customFormat="false" ht="15.75" hidden="false" customHeight="true" outlineLevel="0" collapsed="false">
      <c r="X980" s="1"/>
      <c r="Y980" s="1"/>
      <c r="Z980" s="1"/>
    </row>
    <row r="981" customFormat="false" ht="15.75" hidden="false" customHeight="true" outlineLevel="0" collapsed="false">
      <c r="X981" s="1"/>
      <c r="Y981" s="1"/>
      <c r="Z981" s="1"/>
    </row>
    <row r="982" customFormat="false" ht="15.75" hidden="false" customHeight="true" outlineLevel="0" collapsed="false">
      <c r="X982" s="1"/>
      <c r="Y982" s="1"/>
      <c r="Z982" s="1"/>
    </row>
    <row r="983" customFormat="false" ht="15.75" hidden="false" customHeight="true" outlineLevel="0" collapsed="false">
      <c r="X983" s="1"/>
      <c r="Y983" s="1"/>
      <c r="Z983" s="1"/>
    </row>
    <row r="984" customFormat="false" ht="15.75" hidden="false" customHeight="true" outlineLevel="0" collapsed="false">
      <c r="X984" s="1"/>
      <c r="Y984" s="1"/>
      <c r="Z984" s="1"/>
    </row>
    <row r="985" customFormat="false" ht="15.75" hidden="false" customHeight="true" outlineLevel="0" collapsed="false">
      <c r="X985" s="1"/>
      <c r="Y985" s="1"/>
      <c r="Z985" s="1"/>
    </row>
    <row r="986" customFormat="false" ht="15.75" hidden="false" customHeight="true" outlineLevel="0" collapsed="false">
      <c r="X986" s="1"/>
      <c r="Y986" s="1"/>
      <c r="Z986" s="1"/>
    </row>
    <row r="987" customFormat="false" ht="15.75" hidden="false" customHeight="true" outlineLevel="0" collapsed="false">
      <c r="X987" s="1"/>
      <c r="Y987" s="1"/>
      <c r="Z987" s="1"/>
    </row>
    <row r="988" customFormat="false" ht="15.75" hidden="false" customHeight="true" outlineLevel="0" collapsed="false">
      <c r="X988" s="1"/>
      <c r="Y988" s="1"/>
      <c r="Z988" s="1"/>
    </row>
    <row r="989" customFormat="false" ht="15.75" hidden="false" customHeight="true" outlineLevel="0" collapsed="false">
      <c r="X989" s="1"/>
      <c r="Y989" s="1"/>
      <c r="Z989" s="1"/>
    </row>
    <row r="990" customFormat="false" ht="15.75" hidden="false" customHeight="true" outlineLevel="0" collapsed="false">
      <c r="X990" s="1"/>
      <c r="Y990" s="1"/>
      <c r="Z990" s="1"/>
    </row>
    <row r="991" customFormat="false" ht="15.75" hidden="false" customHeight="true" outlineLevel="0" collapsed="false">
      <c r="X991" s="1"/>
      <c r="Y991" s="1"/>
      <c r="Z991" s="1"/>
    </row>
    <row r="992" customFormat="false" ht="15.75" hidden="false" customHeight="true" outlineLevel="0" collapsed="false">
      <c r="X992" s="1"/>
      <c r="Y992" s="1"/>
      <c r="Z992" s="1"/>
    </row>
    <row r="993" customFormat="false" ht="15.75" hidden="false" customHeight="true" outlineLevel="0" collapsed="false">
      <c r="X993" s="1"/>
      <c r="Y993" s="1"/>
      <c r="Z993" s="1"/>
    </row>
    <row r="994" customFormat="false" ht="15.75" hidden="false" customHeight="true" outlineLevel="0" collapsed="false">
      <c r="X994" s="1"/>
      <c r="Y994" s="1"/>
      <c r="Z994" s="1"/>
    </row>
    <row r="995" customFormat="false" ht="15.75" hidden="false" customHeight="true" outlineLevel="0" collapsed="false">
      <c r="X995" s="1"/>
      <c r="Y995" s="1"/>
      <c r="Z995" s="1"/>
    </row>
    <row r="996" customFormat="false" ht="15.75" hidden="false" customHeight="true" outlineLevel="0" collapsed="false">
      <c r="X996" s="1"/>
      <c r="Y996" s="1"/>
      <c r="Z996" s="1"/>
    </row>
    <row r="997" customFormat="false" ht="15.75" hidden="false" customHeight="true" outlineLevel="0" collapsed="false">
      <c r="X997" s="1"/>
      <c r="Y997" s="1"/>
      <c r="Z997" s="1"/>
    </row>
    <row r="998" customFormat="false" ht="15.75" hidden="false" customHeight="true" outlineLevel="0" collapsed="false">
      <c r="X998" s="1"/>
      <c r="Y998" s="1"/>
      <c r="Z998" s="1"/>
    </row>
    <row r="999" customFormat="false" ht="15.75" hidden="false" customHeight="true" outlineLevel="0" collapsed="false">
      <c r="X999" s="1"/>
      <c r="Y999" s="1"/>
      <c r="Z999" s="1"/>
    </row>
    <row r="1000" customFormat="false" ht="15.75" hidden="false" customHeight="true" outlineLevel="0" collapsed="false">
      <c r="X1000" s="1"/>
      <c r="Y1000" s="1"/>
      <c r="Z1000" s="1"/>
    </row>
  </sheetData>
  <mergeCells count="6">
    <mergeCell ref="B143:F143"/>
    <mergeCell ref="B146:F146"/>
    <mergeCell ref="B158:F158"/>
    <mergeCell ref="B168:F168"/>
    <mergeCell ref="B176:F176"/>
    <mergeCell ref="B186:F18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0311F"/>
    <pageSetUpPr fitToPage="false"/>
  </sheetPr>
  <dimension ref="A1:Z1000"/>
  <sheetViews>
    <sheetView showFormulas="false" showGridLines="false" showRowColHeaders="true" showZeros="true" rightToLeft="tru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B4" activeCellId="0" sqref="B4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0.14"/>
    <col collapsed="false" customWidth="true" hidden="false" outlineLevel="0" max="3" min="3" style="1" width="85.86"/>
    <col collapsed="false" customWidth="true" hidden="false" outlineLevel="0" max="4" min="4" style="1" width="65"/>
    <col collapsed="false" customWidth="true" hidden="false" outlineLevel="0" max="23" min="5" style="1" width="8.71"/>
  </cols>
  <sheetData>
    <row r="1" customFormat="false" ht="15" hidden="false" customHeight="true" outlineLevel="0" collapsed="false">
      <c r="A1" s="299"/>
      <c r="B1" s="299"/>
      <c r="C1" s="299"/>
      <c r="D1" s="299"/>
      <c r="E1" s="300"/>
      <c r="F1" s="300"/>
      <c r="G1" s="300"/>
      <c r="H1" s="300"/>
      <c r="I1" s="300"/>
      <c r="J1" s="300"/>
      <c r="K1" s="300"/>
      <c r="L1" s="300"/>
      <c r="M1" s="300"/>
      <c r="N1" s="300"/>
      <c r="O1" s="300"/>
      <c r="P1" s="300"/>
      <c r="Q1" s="300"/>
      <c r="R1" s="300"/>
      <c r="S1" s="300"/>
      <c r="T1" s="300"/>
      <c r="U1" s="300"/>
      <c r="V1" s="300"/>
      <c r="W1" s="300"/>
      <c r="X1" s="300"/>
      <c r="Y1" s="300"/>
      <c r="Z1" s="300"/>
    </row>
    <row r="2" customFormat="false" ht="19.5" hidden="false" customHeight="true" outlineLevel="0" collapsed="false">
      <c r="A2" s="301"/>
      <c r="B2" s="302" t="s">
        <v>2003</v>
      </c>
      <c r="C2" s="301"/>
      <c r="D2" s="301"/>
      <c r="E2" s="300"/>
      <c r="F2" s="300"/>
      <c r="G2" s="300"/>
      <c r="H2" s="300"/>
      <c r="I2" s="300"/>
      <c r="J2" s="300"/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0"/>
      <c r="Z2" s="300"/>
    </row>
    <row r="3" customFormat="false" ht="15" hidden="false" customHeight="true" outlineLevel="0" collapsed="false">
      <c r="A3" s="303"/>
      <c r="B3" s="304" t="s">
        <v>2004</v>
      </c>
      <c r="C3" s="303"/>
      <c r="D3" s="303"/>
      <c r="E3" s="300"/>
      <c r="F3" s="300"/>
      <c r="G3" s="300"/>
      <c r="H3" s="300"/>
      <c r="I3" s="300"/>
      <c r="J3" s="300"/>
      <c r="K3" s="300"/>
      <c r="L3" s="300"/>
      <c r="M3" s="300"/>
      <c r="N3" s="300"/>
      <c r="O3" s="300"/>
      <c r="P3" s="300"/>
      <c r="Q3" s="300"/>
      <c r="R3" s="300"/>
      <c r="S3" s="300"/>
      <c r="T3" s="300"/>
      <c r="U3" s="300"/>
      <c r="V3" s="300"/>
      <c r="W3" s="300"/>
      <c r="X3" s="300"/>
      <c r="Y3" s="300"/>
      <c r="Z3" s="300"/>
    </row>
    <row r="4" customFormat="false" ht="15" hidden="false" customHeight="true" outlineLevel="0" collapsed="false">
      <c r="A4" s="299"/>
      <c r="B4" s="299"/>
      <c r="C4" s="299"/>
      <c r="D4" s="299"/>
      <c r="E4" s="300"/>
      <c r="F4" s="300"/>
      <c r="G4" s="300"/>
      <c r="H4" s="300"/>
      <c r="I4" s="300"/>
      <c r="J4" s="300"/>
      <c r="K4" s="300"/>
      <c r="L4" s="300"/>
      <c r="M4" s="300"/>
      <c r="N4" s="300"/>
      <c r="O4" s="300"/>
      <c r="P4" s="300"/>
      <c r="Q4" s="300"/>
      <c r="R4" s="300"/>
      <c r="S4" s="300"/>
      <c r="T4" s="300"/>
      <c r="U4" s="300"/>
      <c r="V4" s="300"/>
      <c r="W4" s="300"/>
      <c r="X4" s="300"/>
      <c r="Y4" s="300"/>
      <c r="Z4" s="300"/>
    </row>
    <row r="5" customFormat="false" ht="15" hidden="false" customHeight="true" outlineLevel="0" collapsed="false">
      <c r="A5" s="305"/>
      <c r="B5" s="306" t="s">
        <v>2005</v>
      </c>
      <c r="C5" s="305"/>
      <c r="D5" s="305"/>
      <c r="E5" s="300"/>
      <c r="F5" s="300"/>
      <c r="G5" s="300"/>
      <c r="H5" s="300"/>
      <c r="I5" s="300"/>
      <c r="J5" s="300"/>
      <c r="K5" s="300"/>
      <c r="L5" s="300"/>
      <c r="M5" s="300"/>
      <c r="N5" s="300"/>
      <c r="O5" s="300"/>
      <c r="P5" s="300"/>
      <c r="Q5" s="300"/>
      <c r="R5" s="300"/>
      <c r="S5" s="300"/>
      <c r="T5" s="300"/>
      <c r="U5" s="300"/>
      <c r="V5" s="300"/>
      <c r="W5" s="300"/>
      <c r="X5" s="300"/>
      <c r="Y5" s="300"/>
      <c r="Z5" s="300"/>
    </row>
    <row r="6" customFormat="false" ht="15" hidden="false" customHeight="true" outlineLevel="0" collapsed="false">
      <c r="A6" s="307"/>
      <c r="B6" s="308" t="s">
        <v>2006</v>
      </c>
      <c r="C6" s="307"/>
      <c r="D6" s="307"/>
      <c r="E6" s="300"/>
      <c r="F6" s="300"/>
      <c r="G6" s="300"/>
      <c r="H6" s="300"/>
      <c r="I6" s="300"/>
      <c r="J6" s="300"/>
      <c r="K6" s="300"/>
      <c r="L6" s="300"/>
      <c r="M6" s="300"/>
      <c r="N6" s="300"/>
      <c r="O6" s="300"/>
      <c r="P6" s="300"/>
      <c r="Q6" s="300"/>
      <c r="R6" s="300"/>
      <c r="S6" s="300"/>
      <c r="T6" s="300"/>
      <c r="U6" s="300"/>
      <c r="V6" s="300"/>
      <c r="W6" s="300"/>
      <c r="X6" s="300"/>
      <c r="Y6" s="300"/>
      <c r="Z6" s="300"/>
    </row>
    <row r="7" customFormat="false" ht="15" hidden="false" customHeight="true" outlineLevel="0" collapsed="false">
      <c r="A7" s="309"/>
      <c r="B7" s="310" t="s">
        <v>2007</v>
      </c>
      <c r="C7" s="309"/>
      <c r="D7" s="309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300"/>
      <c r="P7" s="300"/>
      <c r="Q7" s="300"/>
      <c r="R7" s="300"/>
      <c r="S7" s="300"/>
      <c r="T7" s="300"/>
      <c r="U7" s="300"/>
      <c r="V7" s="300"/>
      <c r="W7" s="300"/>
      <c r="X7" s="300"/>
      <c r="Y7" s="300"/>
      <c r="Z7" s="300"/>
    </row>
    <row r="8" customFormat="false" ht="15" hidden="false" customHeight="true" outlineLevel="0" collapsed="false">
      <c r="A8" s="299"/>
      <c r="B8" s="299"/>
      <c r="C8" s="299"/>
      <c r="D8" s="299"/>
      <c r="E8" s="300"/>
      <c r="F8" s="300"/>
      <c r="G8" s="300"/>
      <c r="H8" s="300"/>
      <c r="I8" s="300"/>
      <c r="J8" s="300"/>
      <c r="K8" s="300"/>
      <c r="L8" s="300"/>
      <c r="M8" s="300"/>
      <c r="N8" s="300"/>
      <c r="O8" s="300"/>
      <c r="P8" s="300"/>
      <c r="Q8" s="300"/>
      <c r="R8" s="300"/>
      <c r="S8" s="300"/>
      <c r="T8" s="300"/>
      <c r="U8" s="300"/>
      <c r="V8" s="300"/>
      <c r="W8" s="300"/>
      <c r="X8" s="300"/>
      <c r="Y8" s="300"/>
      <c r="Z8" s="300"/>
    </row>
    <row r="9" customFormat="false" ht="15" hidden="false" customHeight="true" outlineLevel="0" collapsed="false">
      <c r="A9" s="307"/>
      <c r="B9" s="308" t="s">
        <v>2008</v>
      </c>
      <c r="C9" s="307"/>
      <c r="D9" s="307"/>
      <c r="E9" s="300"/>
      <c r="F9" s="300"/>
      <c r="G9" s="300"/>
      <c r="H9" s="300"/>
      <c r="I9" s="300"/>
      <c r="J9" s="300"/>
      <c r="K9" s="300"/>
      <c r="L9" s="300"/>
      <c r="M9" s="300"/>
      <c r="N9" s="300"/>
      <c r="O9" s="300"/>
      <c r="P9" s="300"/>
      <c r="Q9" s="300"/>
      <c r="R9" s="300"/>
      <c r="S9" s="300"/>
      <c r="T9" s="300"/>
      <c r="U9" s="300"/>
      <c r="V9" s="300"/>
      <c r="W9" s="300"/>
      <c r="X9" s="300"/>
      <c r="Y9" s="300"/>
      <c r="Z9" s="300"/>
    </row>
    <row r="10" customFormat="false" ht="15" hidden="false" customHeight="true" outlineLevel="0" collapsed="false">
      <c r="A10" s="309"/>
      <c r="B10" s="310" t="s">
        <v>2009</v>
      </c>
      <c r="C10" s="309"/>
      <c r="D10" s="309"/>
      <c r="E10" s="300"/>
      <c r="F10" s="300"/>
      <c r="G10" s="300"/>
      <c r="H10" s="300"/>
      <c r="I10" s="300"/>
      <c r="J10" s="300"/>
      <c r="K10" s="300"/>
      <c r="L10" s="300"/>
      <c r="M10" s="300"/>
      <c r="N10" s="300"/>
      <c r="O10" s="300"/>
      <c r="P10" s="300"/>
      <c r="Q10" s="300"/>
      <c r="R10" s="300"/>
      <c r="S10" s="300"/>
      <c r="T10" s="300"/>
      <c r="U10" s="300"/>
      <c r="V10" s="300"/>
      <c r="W10" s="300"/>
      <c r="X10" s="300"/>
      <c r="Y10" s="300"/>
      <c r="Z10" s="300"/>
    </row>
    <row r="11" customFormat="false" ht="15" hidden="false" customHeight="true" outlineLevel="0" collapsed="false">
      <c r="A11" s="299"/>
      <c r="B11" s="299"/>
      <c r="C11" s="299"/>
      <c r="D11" s="299"/>
      <c r="E11" s="300"/>
      <c r="F11" s="300"/>
      <c r="G11" s="300"/>
      <c r="H11" s="300"/>
      <c r="I11" s="300"/>
      <c r="J11" s="300"/>
      <c r="K11" s="300"/>
      <c r="L11" s="300"/>
      <c r="M11" s="300"/>
      <c r="N11" s="300"/>
      <c r="O11" s="300"/>
      <c r="P11" s="300"/>
      <c r="Q11" s="300"/>
      <c r="R11" s="300"/>
      <c r="S11" s="300"/>
      <c r="T11" s="300"/>
      <c r="U11" s="300"/>
      <c r="V11" s="300"/>
      <c r="W11" s="300"/>
      <c r="X11" s="300"/>
      <c r="Y11" s="300"/>
      <c r="Z11" s="300"/>
    </row>
    <row r="12" customFormat="false" ht="15" hidden="false" customHeight="true" outlineLevel="0" collapsed="false">
      <c r="A12" s="307"/>
      <c r="B12" s="308" t="s">
        <v>2010</v>
      </c>
      <c r="C12" s="307"/>
      <c r="D12" s="307"/>
      <c r="E12" s="300"/>
      <c r="F12" s="300"/>
      <c r="G12" s="300"/>
      <c r="H12" s="300"/>
      <c r="I12" s="300"/>
      <c r="J12" s="300"/>
      <c r="K12" s="300"/>
      <c r="L12" s="300"/>
      <c r="M12" s="300"/>
      <c r="N12" s="300"/>
      <c r="O12" s="300"/>
      <c r="P12" s="300"/>
      <c r="Q12" s="300"/>
      <c r="R12" s="300"/>
      <c r="S12" s="300"/>
      <c r="T12" s="300"/>
      <c r="U12" s="300"/>
      <c r="V12" s="300"/>
      <c r="W12" s="300"/>
      <c r="X12" s="300"/>
      <c r="Y12" s="300"/>
      <c r="Z12" s="300"/>
    </row>
    <row r="13" customFormat="false" ht="15" hidden="false" customHeight="true" outlineLevel="0" collapsed="false">
      <c r="A13" s="309"/>
      <c r="B13" s="310" t="s">
        <v>2011</v>
      </c>
      <c r="C13" s="309"/>
      <c r="D13" s="309"/>
      <c r="E13" s="300"/>
      <c r="F13" s="300"/>
      <c r="G13" s="300"/>
      <c r="H13" s="300"/>
      <c r="I13" s="300"/>
      <c r="J13" s="300"/>
      <c r="K13" s="300"/>
      <c r="L13" s="300"/>
      <c r="M13" s="300"/>
      <c r="N13" s="300"/>
      <c r="O13" s="300"/>
      <c r="P13" s="300"/>
      <c r="Q13" s="300"/>
      <c r="R13" s="300"/>
      <c r="S13" s="300"/>
      <c r="T13" s="300"/>
      <c r="U13" s="300"/>
      <c r="V13" s="300"/>
      <c r="W13" s="300"/>
      <c r="X13" s="300"/>
      <c r="Y13" s="300"/>
      <c r="Z13" s="300"/>
    </row>
    <row r="14" customFormat="false" ht="15" hidden="false" customHeight="true" outlineLevel="0" collapsed="false">
      <c r="A14" s="299"/>
      <c r="B14" s="299"/>
      <c r="C14" s="299"/>
      <c r="D14" s="299"/>
      <c r="E14" s="300"/>
      <c r="F14" s="300"/>
      <c r="G14" s="300"/>
      <c r="H14" s="300"/>
      <c r="I14" s="300"/>
      <c r="J14" s="300"/>
      <c r="K14" s="300"/>
      <c r="L14" s="300"/>
      <c r="M14" s="300"/>
      <c r="N14" s="300"/>
      <c r="O14" s="300"/>
      <c r="P14" s="300"/>
      <c r="Q14" s="300"/>
      <c r="R14" s="300"/>
      <c r="S14" s="300"/>
      <c r="T14" s="300"/>
      <c r="U14" s="300"/>
      <c r="V14" s="300"/>
      <c r="W14" s="300"/>
      <c r="X14" s="300"/>
      <c r="Y14" s="300"/>
      <c r="Z14" s="300"/>
    </row>
    <row r="15" customFormat="false" ht="15" hidden="false" customHeight="true" outlineLevel="0" collapsed="false">
      <c r="A15" s="307"/>
      <c r="B15" s="308" t="s">
        <v>2012</v>
      </c>
      <c r="C15" s="307"/>
      <c r="D15" s="307"/>
      <c r="E15" s="300"/>
      <c r="F15" s="300"/>
      <c r="G15" s="300"/>
      <c r="H15" s="300"/>
      <c r="I15" s="300"/>
      <c r="J15" s="300"/>
      <c r="K15" s="300"/>
      <c r="L15" s="300"/>
      <c r="M15" s="300"/>
      <c r="N15" s="300"/>
      <c r="O15" s="300"/>
      <c r="P15" s="300"/>
      <c r="Q15" s="300"/>
      <c r="R15" s="300"/>
      <c r="S15" s="300"/>
      <c r="T15" s="300"/>
      <c r="U15" s="300"/>
      <c r="V15" s="300"/>
      <c r="W15" s="300"/>
      <c r="X15" s="300"/>
      <c r="Y15" s="300"/>
      <c r="Z15" s="300"/>
    </row>
    <row r="16" customFormat="false" ht="15" hidden="false" customHeight="true" outlineLevel="0" collapsed="false">
      <c r="A16" s="309"/>
      <c r="B16" s="310" t="s">
        <v>2013</v>
      </c>
      <c r="C16" s="309"/>
      <c r="D16" s="309"/>
      <c r="E16" s="300"/>
      <c r="F16" s="300"/>
      <c r="G16" s="300"/>
      <c r="H16" s="300"/>
      <c r="I16" s="300"/>
      <c r="J16" s="300"/>
      <c r="K16" s="300"/>
      <c r="L16" s="300"/>
      <c r="M16" s="300"/>
      <c r="N16" s="300"/>
      <c r="O16" s="300"/>
      <c r="P16" s="300"/>
      <c r="Q16" s="300"/>
      <c r="R16" s="300"/>
      <c r="S16" s="300"/>
      <c r="T16" s="300"/>
      <c r="U16" s="300"/>
      <c r="V16" s="300"/>
      <c r="W16" s="300"/>
      <c r="X16" s="300"/>
      <c r="Y16" s="300"/>
      <c r="Z16" s="300"/>
    </row>
    <row r="17" customFormat="false" ht="15" hidden="false" customHeight="true" outlineLevel="0" collapsed="false">
      <c r="A17" s="299"/>
      <c r="B17" s="299"/>
      <c r="C17" s="299"/>
      <c r="D17" s="299"/>
      <c r="E17" s="300"/>
      <c r="F17" s="300"/>
      <c r="G17" s="300"/>
      <c r="H17" s="300"/>
      <c r="I17" s="300"/>
      <c r="J17" s="300"/>
      <c r="K17" s="300"/>
      <c r="L17" s="300"/>
      <c r="M17" s="300"/>
      <c r="N17" s="300"/>
      <c r="O17" s="300"/>
      <c r="P17" s="300"/>
      <c r="Q17" s="300"/>
      <c r="R17" s="300"/>
      <c r="S17" s="300"/>
      <c r="T17" s="300"/>
      <c r="U17" s="300"/>
      <c r="V17" s="300"/>
      <c r="W17" s="300"/>
      <c r="X17" s="300"/>
      <c r="Y17" s="300"/>
      <c r="Z17" s="300"/>
    </row>
    <row r="18" customFormat="false" ht="15" hidden="false" customHeight="true" outlineLevel="0" collapsed="false">
      <c r="A18" s="307"/>
      <c r="B18" s="308" t="s">
        <v>2014</v>
      </c>
      <c r="C18" s="307"/>
      <c r="D18" s="307"/>
      <c r="E18" s="300"/>
      <c r="F18" s="300"/>
      <c r="G18" s="300"/>
      <c r="H18" s="300"/>
      <c r="I18" s="300"/>
      <c r="J18" s="300"/>
      <c r="K18" s="300"/>
      <c r="L18" s="300"/>
      <c r="M18" s="300"/>
      <c r="N18" s="300"/>
      <c r="O18" s="300"/>
      <c r="P18" s="300"/>
      <c r="Q18" s="300"/>
      <c r="R18" s="300"/>
      <c r="S18" s="300"/>
      <c r="T18" s="300"/>
      <c r="U18" s="300"/>
      <c r="V18" s="300"/>
      <c r="W18" s="300"/>
      <c r="X18" s="300"/>
      <c r="Y18" s="300"/>
      <c r="Z18" s="300"/>
    </row>
    <row r="19" customFormat="false" ht="15" hidden="false" customHeight="true" outlineLevel="0" collapsed="false">
      <c r="A19" s="309"/>
      <c r="B19" s="310" t="s">
        <v>2015</v>
      </c>
      <c r="C19" s="309"/>
      <c r="D19" s="309"/>
      <c r="E19" s="300"/>
      <c r="F19" s="300"/>
      <c r="G19" s="300"/>
      <c r="H19" s="300"/>
      <c r="I19" s="300"/>
      <c r="J19" s="300"/>
      <c r="K19" s="300"/>
      <c r="L19" s="300"/>
      <c r="M19" s="300"/>
      <c r="N19" s="300"/>
      <c r="O19" s="300"/>
      <c r="P19" s="300"/>
      <c r="Q19" s="300"/>
      <c r="R19" s="300"/>
      <c r="S19" s="300"/>
      <c r="T19" s="300"/>
      <c r="U19" s="300"/>
      <c r="V19" s="300"/>
      <c r="W19" s="300"/>
      <c r="X19" s="300"/>
      <c r="Y19" s="300"/>
      <c r="Z19" s="300"/>
    </row>
    <row r="20" customFormat="false" ht="15" hidden="false" customHeight="true" outlineLevel="0" collapsed="false">
      <c r="A20" s="305"/>
      <c r="B20" s="305"/>
      <c r="C20" s="305"/>
      <c r="D20" s="305"/>
      <c r="E20" s="300"/>
      <c r="F20" s="300"/>
      <c r="G20" s="300"/>
      <c r="H20" s="300"/>
      <c r="I20" s="300"/>
      <c r="J20" s="300"/>
      <c r="K20" s="300"/>
      <c r="L20" s="300"/>
      <c r="M20" s="300"/>
      <c r="N20" s="300"/>
      <c r="O20" s="300"/>
      <c r="P20" s="300"/>
      <c r="Q20" s="300"/>
      <c r="R20" s="300"/>
      <c r="S20" s="300"/>
      <c r="T20" s="300"/>
      <c r="U20" s="300"/>
      <c r="V20" s="300"/>
      <c r="W20" s="300"/>
      <c r="X20" s="300"/>
      <c r="Y20" s="300"/>
      <c r="Z20" s="300"/>
    </row>
    <row r="21" customFormat="false" ht="15.75" hidden="false" customHeight="true" outlineLevel="0" collapsed="false">
      <c r="A21" s="311"/>
      <c r="B21" s="312" t="s">
        <v>2016</v>
      </c>
      <c r="C21" s="311"/>
      <c r="D21" s="311"/>
      <c r="E21" s="300"/>
      <c r="F21" s="300"/>
      <c r="G21" s="300"/>
      <c r="H21" s="300"/>
      <c r="I21" s="300"/>
      <c r="J21" s="300"/>
      <c r="K21" s="300"/>
      <c r="L21" s="300"/>
      <c r="M21" s="300"/>
      <c r="N21" s="300"/>
      <c r="O21" s="300"/>
      <c r="P21" s="300"/>
      <c r="Q21" s="300"/>
      <c r="R21" s="300"/>
      <c r="S21" s="300"/>
      <c r="T21" s="300"/>
      <c r="U21" s="300"/>
      <c r="V21" s="300"/>
      <c r="W21" s="300"/>
      <c r="X21" s="300"/>
      <c r="Y21" s="300"/>
      <c r="Z21" s="300"/>
    </row>
    <row r="22" customFormat="false" ht="15.75" hidden="false" customHeight="true" outlineLevel="0" collapsed="false">
      <c r="A22" s="313"/>
      <c r="B22" s="314" t="s">
        <v>2017</v>
      </c>
      <c r="C22" s="313"/>
      <c r="D22" s="313"/>
      <c r="E22" s="300"/>
      <c r="F22" s="300"/>
      <c r="G22" s="300"/>
      <c r="H22" s="300"/>
      <c r="I22" s="300"/>
      <c r="J22" s="300"/>
      <c r="K22" s="300"/>
      <c r="L22" s="300"/>
      <c r="M22" s="300"/>
      <c r="N22" s="300"/>
      <c r="O22" s="300"/>
      <c r="P22" s="300"/>
      <c r="Q22" s="300"/>
      <c r="R22" s="300"/>
      <c r="S22" s="300"/>
      <c r="T22" s="300"/>
      <c r="U22" s="300"/>
      <c r="V22" s="300"/>
      <c r="W22" s="300"/>
      <c r="X22" s="300"/>
      <c r="Y22" s="300"/>
      <c r="Z22" s="300"/>
    </row>
    <row r="23" customFormat="false" ht="15.75" hidden="false" customHeight="true" outlineLevel="0" collapsed="false">
      <c r="A23" s="305"/>
      <c r="B23" s="315" t="s">
        <v>2018</v>
      </c>
      <c r="C23" s="305"/>
      <c r="D23" s="305"/>
      <c r="E23" s="300"/>
      <c r="F23" s="300"/>
      <c r="G23" s="300"/>
      <c r="H23" s="300"/>
      <c r="I23" s="300"/>
      <c r="J23" s="300"/>
      <c r="K23" s="300"/>
      <c r="L23" s="300"/>
      <c r="M23" s="300"/>
      <c r="N23" s="300"/>
      <c r="O23" s="300"/>
      <c r="P23" s="300"/>
      <c r="Q23" s="300"/>
      <c r="R23" s="300"/>
      <c r="S23" s="300"/>
      <c r="T23" s="300"/>
      <c r="U23" s="300"/>
      <c r="V23" s="300"/>
      <c r="W23" s="300"/>
      <c r="X23" s="300"/>
      <c r="Y23" s="300"/>
      <c r="Z23" s="300"/>
    </row>
    <row r="24" customFormat="false" ht="15.75" hidden="false" customHeight="true" outlineLevel="0" collapsed="false">
      <c r="A24" s="299"/>
      <c r="B24" s="299"/>
      <c r="C24" s="299"/>
      <c r="D24" s="299"/>
      <c r="E24" s="300"/>
      <c r="F24" s="300"/>
      <c r="G24" s="300"/>
      <c r="H24" s="300"/>
      <c r="I24" s="300"/>
      <c r="J24" s="300"/>
      <c r="K24" s="300"/>
      <c r="L24" s="300"/>
      <c r="M24" s="300"/>
      <c r="N24" s="300"/>
      <c r="O24" s="300"/>
      <c r="P24" s="300"/>
      <c r="Q24" s="300"/>
      <c r="R24" s="300"/>
      <c r="S24" s="300"/>
      <c r="T24" s="300"/>
      <c r="U24" s="300"/>
      <c r="V24" s="300"/>
      <c r="W24" s="300"/>
      <c r="X24" s="300"/>
      <c r="Y24" s="300"/>
      <c r="Z24" s="300"/>
    </row>
    <row r="25" customFormat="false" ht="15.75" hidden="false" customHeight="true" outlineLevel="0" collapsed="false">
      <c r="A25" s="307"/>
      <c r="B25" s="316" t="s">
        <v>2019</v>
      </c>
      <c r="C25" s="307"/>
      <c r="D25" s="307"/>
      <c r="E25" s="300"/>
      <c r="F25" s="300"/>
      <c r="G25" s="300"/>
      <c r="H25" s="300"/>
      <c r="I25" s="300"/>
      <c r="J25" s="300"/>
      <c r="K25" s="300"/>
      <c r="L25" s="300"/>
      <c r="M25" s="300"/>
      <c r="N25" s="300"/>
      <c r="O25" s="300"/>
      <c r="P25" s="300"/>
      <c r="Q25" s="300"/>
      <c r="R25" s="300"/>
      <c r="S25" s="300"/>
      <c r="T25" s="300"/>
      <c r="U25" s="300"/>
      <c r="V25" s="300"/>
      <c r="W25" s="300"/>
      <c r="X25" s="300"/>
      <c r="Y25" s="300"/>
      <c r="Z25" s="300"/>
    </row>
    <row r="26" customFormat="false" ht="15.75" hidden="false" customHeight="true" outlineLevel="0" collapsed="false">
      <c r="A26" s="309"/>
      <c r="B26" s="317" t="s">
        <v>2020</v>
      </c>
      <c r="C26" s="309"/>
      <c r="D26" s="309"/>
      <c r="E26" s="300"/>
      <c r="F26" s="300"/>
      <c r="G26" s="300"/>
      <c r="H26" s="300"/>
      <c r="I26" s="300"/>
      <c r="J26" s="300"/>
      <c r="K26" s="300"/>
      <c r="L26" s="300"/>
      <c r="M26" s="300"/>
      <c r="N26" s="300"/>
      <c r="O26" s="300"/>
      <c r="P26" s="300"/>
      <c r="Q26" s="300"/>
      <c r="R26" s="300"/>
      <c r="S26" s="300"/>
      <c r="T26" s="300"/>
      <c r="U26" s="300"/>
      <c r="V26" s="300"/>
      <c r="W26" s="300"/>
      <c r="X26" s="300"/>
      <c r="Y26" s="300"/>
      <c r="Z26" s="300"/>
    </row>
    <row r="27" customFormat="false" ht="15.75" hidden="false" customHeight="true" outlineLevel="0" collapsed="false">
      <c r="A27" s="299"/>
      <c r="B27" s="299"/>
      <c r="C27" s="299"/>
      <c r="D27" s="299"/>
      <c r="E27" s="300"/>
      <c r="F27" s="300"/>
      <c r="G27" s="300"/>
      <c r="H27" s="300"/>
      <c r="I27" s="300"/>
      <c r="J27" s="300"/>
      <c r="K27" s="300"/>
      <c r="L27" s="300"/>
      <c r="M27" s="300"/>
      <c r="N27" s="300"/>
      <c r="O27" s="300"/>
      <c r="P27" s="300"/>
      <c r="Q27" s="300"/>
      <c r="R27" s="300"/>
      <c r="S27" s="300"/>
      <c r="T27" s="300"/>
      <c r="U27" s="300"/>
      <c r="V27" s="300"/>
      <c r="W27" s="300"/>
      <c r="X27" s="300"/>
      <c r="Y27" s="300"/>
      <c r="Z27" s="300"/>
    </row>
    <row r="28" customFormat="false" ht="15.75" hidden="false" customHeight="true" outlineLevel="0" collapsed="false">
      <c r="A28" s="307"/>
      <c r="B28" s="318" t="s">
        <v>2021</v>
      </c>
      <c r="C28" s="307"/>
      <c r="D28" s="307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300"/>
      <c r="P28" s="300"/>
      <c r="Q28" s="300"/>
      <c r="R28" s="300"/>
      <c r="S28" s="300"/>
      <c r="T28" s="300"/>
      <c r="U28" s="300"/>
      <c r="V28" s="300"/>
      <c r="W28" s="300"/>
      <c r="X28" s="300"/>
      <c r="Y28" s="300"/>
      <c r="Z28" s="300"/>
    </row>
    <row r="29" customFormat="false" ht="15.75" hidden="false" customHeight="true" outlineLevel="0" collapsed="false">
      <c r="A29" s="309"/>
      <c r="B29" s="317" t="s">
        <v>2022</v>
      </c>
      <c r="C29" s="309"/>
      <c r="D29" s="309"/>
      <c r="E29" s="300"/>
      <c r="F29" s="300"/>
      <c r="G29" s="300"/>
      <c r="H29" s="300"/>
      <c r="I29" s="300"/>
      <c r="J29" s="300"/>
      <c r="K29" s="300"/>
      <c r="L29" s="300"/>
      <c r="M29" s="300"/>
      <c r="N29" s="300"/>
      <c r="O29" s="300"/>
      <c r="P29" s="300"/>
      <c r="Q29" s="300"/>
      <c r="R29" s="300"/>
      <c r="S29" s="300"/>
      <c r="T29" s="300"/>
      <c r="U29" s="300"/>
      <c r="V29" s="300"/>
      <c r="W29" s="300"/>
      <c r="X29" s="300"/>
      <c r="Y29" s="300"/>
      <c r="Z29" s="300"/>
    </row>
    <row r="30" customFormat="false" ht="15.75" hidden="false" customHeight="true" outlineLevel="0" collapsed="false">
      <c r="A30" s="299"/>
      <c r="B30" s="299"/>
      <c r="C30" s="299"/>
      <c r="D30" s="299"/>
      <c r="E30" s="300"/>
      <c r="F30" s="300"/>
      <c r="G30" s="300"/>
      <c r="H30" s="300"/>
      <c r="I30" s="300"/>
      <c r="J30" s="300"/>
      <c r="K30" s="300"/>
      <c r="L30" s="300"/>
      <c r="M30" s="300"/>
      <c r="N30" s="300"/>
      <c r="O30" s="300"/>
      <c r="P30" s="300"/>
      <c r="Q30" s="300"/>
      <c r="R30" s="300"/>
      <c r="S30" s="300"/>
      <c r="T30" s="300"/>
      <c r="U30" s="300"/>
      <c r="V30" s="300"/>
      <c r="W30" s="300"/>
      <c r="X30" s="300"/>
      <c r="Y30" s="300"/>
      <c r="Z30" s="300"/>
    </row>
    <row r="31" customFormat="false" ht="15.75" hidden="false" customHeight="true" outlineLevel="0" collapsed="false">
      <c r="A31" s="307"/>
      <c r="B31" s="318" t="s">
        <v>2023</v>
      </c>
      <c r="C31" s="307"/>
      <c r="D31" s="307"/>
      <c r="E31" s="300"/>
      <c r="F31" s="300"/>
      <c r="G31" s="300"/>
      <c r="H31" s="300"/>
      <c r="I31" s="300"/>
      <c r="J31" s="300"/>
      <c r="K31" s="300"/>
      <c r="L31" s="300"/>
      <c r="M31" s="300"/>
      <c r="N31" s="300"/>
      <c r="O31" s="300"/>
      <c r="P31" s="300"/>
      <c r="Q31" s="300"/>
      <c r="R31" s="300"/>
      <c r="S31" s="300"/>
      <c r="T31" s="300"/>
      <c r="U31" s="300"/>
      <c r="V31" s="300"/>
      <c r="W31" s="300"/>
      <c r="X31" s="300"/>
      <c r="Y31" s="300"/>
      <c r="Z31" s="300"/>
    </row>
    <row r="32" customFormat="false" ht="15.75" hidden="false" customHeight="true" outlineLevel="0" collapsed="false">
      <c r="A32" s="309"/>
      <c r="B32" s="317" t="s">
        <v>2024</v>
      </c>
      <c r="C32" s="309"/>
      <c r="D32" s="309"/>
      <c r="E32" s="300"/>
      <c r="F32" s="300"/>
      <c r="G32" s="300"/>
      <c r="H32" s="300"/>
      <c r="I32" s="300"/>
      <c r="J32" s="300"/>
      <c r="K32" s="300"/>
      <c r="L32" s="300"/>
      <c r="M32" s="300"/>
      <c r="N32" s="300"/>
      <c r="O32" s="300"/>
      <c r="P32" s="300"/>
      <c r="Q32" s="300"/>
      <c r="R32" s="300"/>
      <c r="S32" s="300"/>
      <c r="T32" s="300"/>
      <c r="U32" s="300"/>
      <c r="V32" s="300"/>
      <c r="W32" s="300"/>
      <c r="X32" s="300"/>
      <c r="Y32" s="300"/>
      <c r="Z32" s="300"/>
    </row>
    <row r="33" customFormat="false" ht="15.75" hidden="false" customHeight="true" outlineLevel="0" collapsed="false">
      <c r="A33" s="299"/>
      <c r="B33" s="299"/>
      <c r="C33" s="299"/>
      <c r="D33" s="299"/>
      <c r="E33" s="300"/>
      <c r="F33" s="300"/>
      <c r="G33" s="300"/>
      <c r="H33" s="300"/>
      <c r="I33" s="300"/>
      <c r="J33" s="300"/>
      <c r="K33" s="300"/>
      <c r="L33" s="300"/>
      <c r="M33" s="300"/>
      <c r="N33" s="300"/>
      <c r="O33" s="300"/>
      <c r="P33" s="300"/>
      <c r="Q33" s="300"/>
      <c r="R33" s="300"/>
      <c r="S33" s="300"/>
      <c r="T33" s="300"/>
      <c r="U33" s="300"/>
      <c r="V33" s="300"/>
      <c r="W33" s="300"/>
      <c r="X33" s="300"/>
      <c r="Y33" s="300"/>
      <c r="Z33" s="300"/>
    </row>
    <row r="34" customFormat="false" ht="15.75" hidden="false" customHeight="true" outlineLevel="0" collapsed="false">
      <c r="A34" s="307"/>
      <c r="B34" s="318" t="s">
        <v>2025</v>
      </c>
      <c r="C34" s="307"/>
      <c r="D34" s="307"/>
      <c r="E34" s="300"/>
      <c r="F34" s="300"/>
      <c r="G34" s="300"/>
      <c r="H34" s="300"/>
      <c r="I34" s="300"/>
      <c r="J34" s="300"/>
      <c r="K34" s="300"/>
      <c r="L34" s="300"/>
      <c r="M34" s="300"/>
      <c r="N34" s="300"/>
      <c r="O34" s="300"/>
      <c r="P34" s="300"/>
      <c r="Q34" s="300"/>
      <c r="R34" s="300"/>
      <c r="S34" s="300"/>
      <c r="T34" s="300"/>
      <c r="U34" s="300"/>
      <c r="V34" s="300"/>
      <c r="W34" s="300"/>
      <c r="X34" s="300"/>
      <c r="Y34" s="300"/>
      <c r="Z34" s="300"/>
    </row>
    <row r="35" customFormat="false" ht="15.75" hidden="false" customHeight="true" outlineLevel="0" collapsed="false">
      <c r="A35" s="309"/>
      <c r="B35" s="319" t="s">
        <v>2026</v>
      </c>
      <c r="C35" s="309"/>
      <c r="D35" s="309"/>
      <c r="E35" s="300"/>
      <c r="F35" s="300"/>
      <c r="G35" s="300"/>
      <c r="H35" s="300"/>
      <c r="I35" s="300"/>
      <c r="J35" s="300"/>
      <c r="K35" s="300"/>
      <c r="L35" s="300"/>
      <c r="M35" s="300"/>
      <c r="N35" s="300"/>
      <c r="O35" s="300"/>
      <c r="P35" s="300"/>
      <c r="Q35" s="300"/>
      <c r="R35" s="300"/>
      <c r="S35" s="300"/>
      <c r="T35" s="300"/>
      <c r="U35" s="300"/>
      <c r="V35" s="300"/>
      <c r="W35" s="300"/>
      <c r="X35" s="300"/>
      <c r="Y35" s="300"/>
      <c r="Z35" s="300"/>
    </row>
    <row r="36" customFormat="false" ht="15.75" hidden="false" customHeight="true" outlineLevel="0" collapsed="false">
      <c r="A36" s="299"/>
      <c r="B36" s="299"/>
      <c r="C36" s="299"/>
      <c r="D36" s="299"/>
      <c r="E36" s="300"/>
      <c r="F36" s="300"/>
      <c r="G36" s="300"/>
      <c r="H36" s="300"/>
      <c r="I36" s="300"/>
      <c r="J36" s="300"/>
      <c r="K36" s="300"/>
      <c r="L36" s="300"/>
      <c r="M36" s="300"/>
      <c r="N36" s="300"/>
      <c r="O36" s="300"/>
      <c r="P36" s="300"/>
      <c r="Q36" s="300"/>
      <c r="R36" s="300"/>
      <c r="S36" s="300"/>
      <c r="T36" s="300"/>
      <c r="U36" s="300"/>
      <c r="V36" s="300"/>
      <c r="W36" s="300"/>
      <c r="X36" s="300"/>
      <c r="Y36" s="300"/>
      <c r="Z36" s="300"/>
    </row>
    <row r="37" customFormat="false" ht="15.75" hidden="false" customHeight="true" outlineLevel="0" collapsed="false">
      <c r="A37" s="307"/>
      <c r="B37" s="318" t="s">
        <v>2027</v>
      </c>
      <c r="C37" s="307"/>
      <c r="D37" s="307"/>
      <c r="E37" s="300"/>
      <c r="F37" s="300"/>
      <c r="G37" s="300"/>
      <c r="H37" s="300"/>
      <c r="I37" s="300"/>
      <c r="J37" s="300"/>
      <c r="K37" s="300"/>
      <c r="L37" s="300"/>
      <c r="M37" s="300"/>
      <c r="N37" s="300"/>
      <c r="O37" s="300"/>
      <c r="P37" s="300"/>
      <c r="Q37" s="300"/>
      <c r="R37" s="300"/>
      <c r="S37" s="300"/>
      <c r="T37" s="300"/>
      <c r="U37" s="300"/>
      <c r="V37" s="300"/>
      <c r="W37" s="300"/>
      <c r="X37" s="300"/>
      <c r="Y37" s="300"/>
      <c r="Z37" s="300"/>
    </row>
    <row r="38" customFormat="false" ht="15.75" hidden="false" customHeight="true" outlineLevel="0" collapsed="false">
      <c r="A38" s="309"/>
      <c r="B38" s="310" t="s">
        <v>2028</v>
      </c>
      <c r="C38" s="309"/>
      <c r="D38" s="309"/>
      <c r="E38" s="300"/>
      <c r="F38" s="300"/>
      <c r="G38" s="300"/>
      <c r="H38" s="300"/>
      <c r="I38" s="300"/>
      <c r="J38" s="300"/>
      <c r="K38" s="300"/>
      <c r="L38" s="300"/>
      <c r="M38" s="300"/>
      <c r="N38" s="300"/>
      <c r="O38" s="300"/>
      <c r="P38" s="300"/>
      <c r="Q38" s="300"/>
      <c r="R38" s="300"/>
      <c r="S38" s="300"/>
      <c r="T38" s="300"/>
      <c r="U38" s="300"/>
      <c r="V38" s="300"/>
      <c r="W38" s="300"/>
      <c r="X38" s="300"/>
      <c r="Y38" s="300"/>
      <c r="Z38" s="300"/>
    </row>
    <row r="39" customFormat="false" ht="15.75" hidden="false" customHeight="true" outlineLevel="0" collapsed="false">
      <c r="A39" s="299"/>
      <c r="B39" s="299"/>
      <c r="C39" s="299"/>
      <c r="D39" s="299"/>
      <c r="E39" s="300"/>
      <c r="F39" s="300"/>
      <c r="G39" s="300"/>
      <c r="H39" s="300"/>
      <c r="I39" s="300"/>
      <c r="J39" s="300"/>
      <c r="K39" s="300"/>
      <c r="L39" s="300"/>
      <c r="M39" s="300"/>
      <c r="N39" s="300"/>
      <c r="O39" s="300"/>
      <c r="P39" s="300"/>
      <c r="Q39" s="300"/>
      <c r="R39" s="300"/>
      <c r="S39" s="300"/>
      <c r="T39" s="300"/>
      <c r="U39" s="300"/>
      <c r="V39" s="300"/>
      <c r="W39" s="300"/>
      <c r="X39" s="300"/>
      <c r="Y39" s="300"/>
      <c r="Z39" s="300"/>
    </row>
    <row r="40" customFormat="false" ht="15.75" hidden="false" customHeight="true" outlineLevel="0" collapsed="false">
      <c r="A40" s="305"/>
      <c r="B40" s="315" t="s">
        <v>2029</v>
      </c>
      <c r="C40" s="305"/>
      <c r="D40" s="305"/>
      <c r="E40" s="300"/>
      <c r="F40" s="300"/>
      <c r="G40" s="300"/>
      <c r="H40" s="300"/>
      <c r="I40" s="300"/>
      <c r="J40" s="300"/>
      <c r="K40" s="300"/>
      <c r="L40" s="300"/>
      <c r="M40" s="300"/>
      <c r="N40" s="300"/>
      <c r="O40" s="300"/>
      <c r="P40" s="300"/>
      <c r="Q40" s="300"/>
      <c r="R40" s="300"/>
      <c r="S40" s="300"/>
      <c r="T40" s="300"/>
      <c r="U40" s="300"/>
      <c r="V40" s="300"/>
      <c r="W40" s="300"/>
      <c r="X40" s="300"/>
      <c r="Y40" s="300"/>
      <c r="Z40" s="300"/>
    </row>
    <row r="41" customFormat="false" ht="15.75" hidden="false" customHeight="true" outlineLevel="0" collapsed="false">
      <c r="A41" s="307"/>
      <c r="B41" s="318" t="s">
        <v>2030</v>
      </c>
      <c r="C41" s="307"/>
      <c r="D41" s="307"/>
      <c r="E41" s="300"/>
      <c r="F41" s="300"/>
      <c r="G41" s="300"/>
      <c r="H41" s="300"/>
      <c r="I41" s="300"/>
      <c r="J41" s="300"/>
      <c r="K41" s="300"/>
      <c r="L41" s="300"/>
      <c r="M41" s="300"/>
      <c r="N41" s="300"/>
      <c r="O41" s="300"/>
      <c r="P41" s="300"/>
      <c r="Q41" s="300"/>
      <c r="R41" s="300"/>
      <c r="S41" s="300"/>
      <c r="T41" s="300"/>
      <c r="U41" s="300"/>
      <c r="V41" s="300"/>
      <c r="W41" s="300"/>
      <c r="X41" s="300"/>
      <c r="Y41" s="300"/>
      <c r="Z41" s="300"/>
    </row>
    <row r="42" customFormat="false" ht="15.75" hidden="false" customHeight="true" outlineLevel="0" collapsed="false">
      <c r="A42" s="309"/>
      <c r="B42" s="309"/>
      <c r="C42" s="309"/>
      <c r="D42" s="309"/>
      <c r="E42" s="300"/>
      <c r="F42" s="300"/>
      <c r="G42" s="300"/>
      <c r="H42" s="300"/>
      <c r="I42" s="300"/>
      <c r="J42" s="300"/>
      <c r="K42" s="300"/>
      <c r="L42" s="300"/>
      <c r="M42" s="300"/>
      <c r="N42" s="300"/>
      <c r="O42" s="300"/>
      <c r="P42" s="300"/>
      <c r="Q42" s="300"/>
      <c r="R42" s="300"/>
      <c r="S42" s="300"/>
      <c r="T42" s="300"/>
      <c r="U42" s="300"/>
      <c r="V42" s="300"/>
      <c r="W42" s="300"/>
      <c r="X42" s="300"/>
      <c r="Y42" s="300"/>
      <c r="Z42" s="300"/>
    </row>
    <row r="43" customFormat="false" ht="15.75" hidden="false" customHeight="true" outlineLevel="0" collapsed="false">
      <c r="A43" s="299"/>
      <c r="B43" s="320" t="s">
        <v>2031</v>
      </c>
      <c r="C43" s="299"/>
      <c r="D43" s="299"/>
      <c r="E43" s="300"/>
      <c r="F43" s="300"/>
      <c r="G43" s="300"/>
      <c r="H43" s="300"/>
      <c r="I43" s="300"/>
      <c r="J43" s="300"/>
      <c r="K43" s="300"/>
      <c r="L43" s="300"/>
      <c r="M43" s="300"/>
      <c r="N43" s="300"/>
      <c r="O43" s="300"/>
      <c r="P43" s="300"/>
      <c r="Q43" s="300"/>
      <c r="R43" s="300"/>
      <c r="S43" s="300"/>
      <c r="T43" s="300"/>
      <c r="U43" s="300"/>
      <c r="V43" s="300"/>
      <c r="W43" s="300"/>
      <c r="X43" s="300"/>
      <c r="Y43" s="300"/>
      <c r="Z43" s="300"/>
    </row>
    <row r="44" customFormat="false" ht="15.75" hidden="false" customHeight="true" outlineLevel="0" collapsed="false">
      <c r="A44" s="307"/>
      <c r="B44" s="318" t="s">
        <v>2032</v>
      </c>
      <c r="C44" s="307"/>
      <c r="D44" s="307"/>
      <c r="E44" s="300"/>
      <c r="F44" s="300"/>
      <c r="G44" s="300"/>
      <c r="H44" s="300"/>
      <c r="I44" s="300"/>
      <c r="J44" s="300"/>
      <c r="K44" s="300"/>
      <c r="L44" s="300"/>
      <c r="M44" s="300"/>
      <c r="N44" s="300"/>
      <c r="O44" s="300"/>
      <c r="P44" s="300"/>
      <c r="Q44" s="300"/>
      <c r="R44" s="300"/>
      <c r="S44" s="300"/>
      <c r="T44" s="300"/>
      <c r="U44" s="300"/>
      <c r="V44" s="300"/>
      <c r="W44" s="300"/>
      <c r="X44" s="300"/>
      <c r="Y44" s="300"/>
      <c r="Z44" s="300"/>
    </row>
    <row r="45" customFormat="false" ht="15.75" hidden="false" customHeight="true" outlineLevel="0" collapsed="false">
      <c r="A45" s="309"/>
      <c r="B45" s="310" t="s">
        <v>2033</v>
      </c>
      <c r="C45" s="309"/>
      <c r="D45" s="309"/>
      <c r="E45" s="300"/>
      <c r="F45" s="300"/>
      <c r="G45" s="300"/>
      <c r="H45" s="300"/>
      <c r="I45" s="300"/>
      <c r="J45" s="300"/>
      <c r="K45" s="300"/>
      <c r="L45" s="300"/>
      <c r="M45" s="300"/>
      <c r="N45" s="300"/>
      <c r="O45" s="300"/>
      <c r="P45" s="300"/>
      <c r="Q45" s="300"/>
      <c r="R45" s="300"/>
      <c r="S45" s="300"/>
      <c r="T45" s="300"/>
      <c r="U45" s="300"/>
      <c r="V45" s="300"/>
      <c r="W45" s="300"/>
      <c r="X45" s="300"/>
      <c r="Y45" s="300"/>
      <c r="Z45" s="300"/>
    </row>
    <row r="46" customFormat="false" ht="15.75" hidden="false" customHeight="true" outlineLevel="0" collapsed="false">
      <c r="A46" s="299"/>
      <c r="B46" s="299"/>
      <c r="C46" s="299"/>
      <c r="D46" s="299"/>
      <c r="E46" s="300"/>
      <c r="F46" s="300"/>
      <c r="G46" s="300"/>
      <c r="H46" s="300"/>
      <c r="I46" s="300"/>
      <c r="J46" s="300"/>
      <c r="K46" s="300"/>
      <c r="L46" s="300"/>
      <c r="M46" s="300"/>
      <c r="N46" s="300"/>
      <c r="O46" s="300"/>
      <c r="P46" s="300"/>
      <c r="Q46" s="300"/>
      <c r="R46" s="300"/>
      <c r="S46" s="300"/>
      <c r="T46" s="300"/>
      <c r="U46" s="300"/>
      <c r="V46" s="300"/>
      <c r="W46" s="300"/>
      <c r="X46" s="300"/>
      <c r="Y46" s="300"/>
      <c r="Z46" s="300"/>
    </row>
    <row r="47" customFormat="false" ht="15.75" hidden="false" customHeight="true" outlineLevel="0" collapsed="false">
      <c r="A47" s="307"/>
      <c r="B47" s="318" t="s">
        <v>2034</v>
      </c>
      <c r="C47" s="307"/>
      <c r="D47" s="307"/>
      <c r="E47" s="300"/>
      <c r="F47" s="300"/>
      <c r="G47" s="300"/>
      <c r="H47" s="300"/>
      <c r="I47" s="300"/>
      <c r="J47" s="300"/>
      <c r="K47" s="300"/>
      <c r="L47" s="300"/>
      <c r="M47" s="300"/>
      <c r="N47" s="300"/>
      <c r="O47" s="300"/>
      <c r="P47" s="300"/>
      <c r="Q47" s="300"/>
      <c r="R47" s="300"/>
      <c r="S47" s="300"/>
      <c r="T47" s="300"/>
      <c r="U47" s="300"/>
      <c r="V47" s="300"/>
      <c r="W47" s="300"/>
      <c r="X47" s="300"/>
      <c r="Y47" s="300"/>
      <c r="Z47" s="300"/>
    </row>
    <row r="48" customFormat="false" ht="15.75" hidden="false" customHeight="true" outlineLevel="0" collapsed="false">
      <c r="A48" s="309"/>
      <c r="B48" s="309" t="s">
        <v>2035</v>
      </c>
      <c r="C48" s="309"/>
      <c r="D48" s="309"/>
      <c r="E48" s="300"/>
      <c r="F48" s="300"/>
      <c r="G48" s="300"/>
      <c r="H48" s="300"/>
      <c r="I48" s="300"/>
      <c r="J48" s="300"/>
      <c r="K48" s="300"/>
      <c r="L48" s="300"/>
      <c r="M48" s="300"/>
      <c r="N48" s="300"/>
      <c r="O48" s="300"/>
      <c r="P48" s="300"/>
      <c r="Q48" s="300"/>
      <c r="R48" s="300"/>
      <c r="S48" s="300"/>
      <c r="T48" s="300"/>
      <c r="U48" s="300"/>
      <c r="V48" s="300"/>
      <c r="W48" s="300"/>
      <c r="X48" s="300"/>
      <c r="Y48" s="300"/>
      <c r="Z48" s="300"/>
    </row>
    <row r="49" customFormat="false" ht="15.75" hidden="false" customHeight="true" outlineLevel="0" collapsed="false">
      <c r="A49" s="299"/>
      <c r="B49" s="299"/>
      <c r="C49" s="299"/>
      <c r="D49" s="299"/>
      <c r="E49" s="300"/>
      <c r="F49" s="300"/>
      <c r="G49" s="300"/>
      <c r="H49" s="300"/>
      <c r="I49" s="300"/>
      <c r="J49" s="300"/>
      <c r="K49" s="300"/>
      <c r="L49" s="300"/>
      <c r="M49" s="300"/>
      <c r="N49" s="300"/>
      <c r="O49" s="300"/>
      <c r="P49" s="300"/>
      <c r="Q49" s="300"/>
      <c r="R49" s="300"/>
      <c r="S49" s="300"/>
      <c r="T49" s="300"/>
      <c r="U49" s="300"/>
      <c r="V49" s="300"/>
      <c r="W49" s="300"/>
      <c r="X49" s="300"/>
      <c r="Y49" s="300"/>
      <c r="Z49" s="300"/>
    </row>
    <row r="50" customFormat="false" ht="15.75" hidden="false" customHeight="true" outlineLevel="0" collapsed="false">
      <c r="A50" s="299"/>
      <c r="B50" s="320" t="s">
        <v>2036</v>
      </c>
      <c r="C50" s="299"/>
      <c r="D50" s="299"/>
      <c r="E50" s="300"/>
      <c r="F50" s="300"/>
      <c r="G50" s="300"/>
      <c r="H50" s="300"/>
      <c r="I50" s="300"/>
      <c r="J50" s="300"/>
      <c r="K50" s="300"/>
      <c r="L50" s="300"/>
      <c r="M50" s="300"/>
      <c r="N50" s="300"/>
      <c r="O50" s="300"/>
      <c r="P50" s="300"/>
      <c r="Q50" s="300"/>
      <c r="R50" s="300"/>
      <c r="S50" s="300"/>
      <c r="T50" s="300"/>
      <c r="U50" s="300"/>
      <c r="V50" s="300"/>
      <c r="W50" s="300"/>
      <c r="X50" s="300"/>
      <c r="Y50" s="300"/>
      <c r="Z50" s="300"/>
    </row>
    <row r="51" customFormat="false" ht="15.75" hidden="false" customHeight="true" outlineLevel="0" collapsed="false">
      <c r="A51" s="299"/>
      <c r="B51" s="299" t="s">
        <v>2037</v>
      </c>
      <c r="C51" s="299"/>
      <c r="D51" s="299"/>
      <c r="E51" s="300"/>
      <c r="F51" s="300"/>
      <c r="G51" s="300"/>
      <c r="H51" s="300"/>
      <c r="I51" s="300"/>
      <c r="J51" s="300"/>
      <c r="K51" s="300"/>
      <c r="L51" s="300"/>
      <c r="M51" s="300"/>
      <c r="N51" s="300"/>
      <c r="O51" s="300"/>
      <c r="P51" s="300"/>
      <c r="Q51" s="300"/>
      <c r="R51" s="300"/>
      <c r="S51" s="300"/>
      <c r="T51" s="300"/>
      <c r="U51" s="300"/>
      <c r="V51" s="300"/>
      <c r="W51" s="300"/>
      <c r="X51" s="300"/>
      <c r="Y51" s="300"/>
      <c r="Z51" s="300"/>
    </row>
    <row r="52" customFormat="false" ht="15.75" hidden="false" customHeight="true" outlineLevel="0" collapsed="false">
      <c r="A52" s="305"/>
      <c r="B52" s="305"/>
      <c r="C52" s="305"/>
      <c r="D52" s="305"/>
      <c r="E52" s="300"/>
      <c r="F52" s="300"/>
      <c r="G52" s="300"/>
      <c r="H52" s="300"/>
      <c r="I52" s="300"/>
      <c r="J52" s="300"/>
      <c r="K52" s="300"/>
      <c r="L52" s="300"/>
      <c r="M52" s="300"/>
      <c r="N52" s="300"/>
      <c r="O52" s="300"/>
      <c r="P52" s="300"/>
      <c r="Q52" s="300"/>
      <c r="R52" s="300"/>
      <c r="S52" s="300"/>
      <c r="T52" s="300"/>
      <c r="U52" s="300"/>
      <c r="V52" s="300"/>
      <c r="W52" s="300"/>
      <c r="X52" s="300"/>
      <c r="Y52" s="300"/>
      <c r="Z52" s="300"/>
    </row>
    <row r="53" customFormat="false" ht="15.75" hidden="false" customHeight="true" outlineLevel="0" collapsed="false">
      <c r="A53" s="321"/>
      <c r="B53" s="322" t="s">
        <v>2038</v>
      </c>
      <c r="C53" s="321"/>
      <c r="D53" s="321"/>
      <c r="E53" s="300"/>
      <c r="F53" s="300"/>
      <c r="G53" s="300"/>
      <c r="H53" s="300"/>
      <c r="I53" s="300"/>
      <c r="J53" s="300"/>
      <c r="K53" s="300"/>
      <c r="L53" s="300"/>
      <c r="M53" s="300"/>
      <c r="N53" s="300"/>
      <c r="O53" s="300"/>
      <c r="P53" s="300"/>
      <c r="Q53" s="300"/>
      <c r="R53" s="300"/>
      <c r="S53" s="300"/>
      <c r="T53" s="300"/>
      <c r="U53" s="300"/>
      <c r="V53" s="300"/>
      <c r="W53" s="300"/>
      <c r="X53" s="300"/>
      <c r="Y53" s="300"/>
      <c r="Z53" s="300"/>
    </row>
    <row r="54" customFormat="false" ht="15.75" hidden="false" customHeight="true" outlineLevel="0" collapsed="false">
      <c r="A54" s="323"/>
      <c r="B54" s="323" t="s">
        <v>2039</v>
      </c>
      <c r="C54" s="323"/>
      <c r="D54" s="323"/>
      <c r="E54" s="300"/>
      <c r="F54" s="300"/>
      <c r="G54" s="300"/>
      <c r="H54" s="300"/>
      <c r="I54" s="300"/>
      <c r="J54" s="300"/>
      <c r="K54" s="300"/>
      <c r="L54" s="300"/>
      <c r="M54" s="300"/>
      <c r="N54" s="300"/>
      <c r="O54" s="300"/>
      <c r="P54" s="300"/>
      <c r="Q54" s="300"/>
      <c r="R54" s="300"/>
      <c r="S54" s="300"/>
      <c r="T54" s="300"/>
      <c r="U54" s="300"/>
      <c r="V54" s="300"/>
      <c r="W54" s="300"/>
      <c r="X54" s="300"/>
      <c r="Y54" s="300"/>
      <c r="Z54" s="300"/>
    </row>
    <row r="55" customFormat="false" ht="15.75" hidden="false" customHeight="true" outlineLevel="0" collapsed="false">
      <c r="A55" s="321"/>
      <c r="B55" s="321" t="s">
        <v>2040</v>
      </c>
      <c r="C55" s="321"/>
      <c r="D55" s="321"/>
      <c r="E55" s="300"/>
      <c r="F55" s="300"/>
      <c r="G55" s="300"/>
      <c r="H55" s="300"/>
      <c r="I55" s="300"/>
      <c r="J55" s="300"/>
      <c r="K55" s="300"/>
      <c r="L55" s="300"/>
      <c r="M55" s="300"/>
      <c r="N55" s="300"/>
      <c r="O55" s="300"/>
      <c r="P55" s="300"/>
      <c r="Q55" s="300"/>
      <c r="R55" s="300"/>
      <c r="S55" s="300"/>
      <c r="T55" s="300"/>
      <c r="U55" s="300"/>
      <c r="V55" s="300"/>
      <c r="W55" s="300"/>
      <c r="X55" s="300"/>
      <c r="Y55" s="300"/>
      <c r="Z55" s="300"/>
    </row>
    <row r="56" customFormat="false" ht="15.75" hidden="false" customHeight="true" outlineLevel="0" collapsed="false">
      <c r="A56" s="323"/>
      <c r="B56" s="323" t="s">
        <v>2041</v>
      </c>
      <c r="C56" s="323"/>
      <c r="D56" s="323"/>
      <c r="E56" s="300"/>
      <c r="F56" s="300"/>
      <c r="G56" s="300"/>
      <c r="H56" s="300"/>
      <c r="I56" s="300"/>
      <c r="J56" s="300"/>
      <c r="K56" s="300"/>
      <c r="L56" s="300"/>
      <c r="M56" s="300"/>
      <c r="N56" s="300"/>
      <c r="O56" s="300"/>
      <c r="P56" s="300"/>
      <c r="Q56" s="300"/>
      <c r="R56" s="300"/>
      <c r="S56" s="300"/>
      <c r="T56" s="300"/>
      <c r="U56" s="300"/>
      <c r="V56" s="300"/>
      <c r="W56" s="300"/>
      <c r="X56" s="300"/>
      <c r="Y56" s="300"/>
      <c r="Z56" s="300"/>
    </row>
    <row r="57" customFormat="false" ht="15.75" hidden="false" customHeight="true" outlineLevel="0" collapsed="false">
      <c r="A57" s="321"/>
      <c r="B57" s="321" t="s">
        <v>2042</v>
      </c>
      <c r="C57" s="321"/>
      <c r="D57" s="321"/>
      <c r="E57" s="300"/>
      <c r="F57" s="300"/>
      <c r="G57" s="300"/>
      <c r="H57" s="300"/>
      <c r="I57" s="300"/>
      <c r="J57" s="300"/>
      <c r="K57" s="300"/>
      <c r="L57" s="300"/>
      <c r="M57" s="300"/>
      <c r="N57" s="300"/>
      <c r="O57" s="300"/>
      <c r="P57" s="300"/>
      <c r="Q57" s="300"/>
      <c r="R57" s="300"/>
      <c r="S57" s="300"/>
      <c r="T57" s="300"/>
      <c r="U57" s="300"/>
      <c r="V57" s="300"/>
      <c r="W57" s="300"/>
      <c r="X57" s="300"/>
      <c r="Y57" s="300"/>
      <c r="Z57" s="300"/>
    </row>
    <row r="58" customFormat="false" ht="15.75" hidden="false" customHeight="true" outlineLevel="0" collapsed="false">
      <c r="A58" s="323"/>
      <c r="B58" s="323" t="s">
        <v>2043</v>
      </c>
      <c r="C58" s="323"/>
      <c r="D58" s="323"/>
      <c r="E58" s="300"/>
      <c r="F58" s="300"/>
      <c r="G58" s="300"/>
      <c r="H58" s="300"/>
      <c r="I58" s="300"/>
      <c r="J58" s="300"/>
      <c r="K58" s="300"/>
      <c r="L58" s="300"/>
      <c r="M58" s="300"/>
      <c r="N58" s="300"/>
      <c r="O58" s="300"/>
      <c r="P58" s="300"/>
      <c r="Q58" s="300"/>
      <c r="R58" s="300"/>
      <c r="S58" s="300"/>
      <c r="T58" s="300"/>
      <c r="U58" s="300"/>
      <c r="V58" s="300"/>
      <c r="W58" s="300"/>
      <c r="X58" s="300"/>
      <c r="Y58" s="300"/>
      <c r="Z58" s="300"/>
    </row>
    <row r="59" customFormat="false" ht="15.75" hidden="false" customHeight="true" outlineLevel="0" collapsed="false">
      <c r="A59" s="321"/>
      <c r="B59" s="321" t="s">
        <v>2044</v>
      </c>
      <c r="C59" s="321"/>
      <c r="D59" s="321"/>
      <c r="E59" s="300"/>
      <c r="F59" s="300"/>
      <c r="G59" s="300"/>
      <c r="H59" s="300"/>
      <c r="I59" s="300"/>
      <c r="J59" s="300"/>
      <c r="K59" s="300"/>
      <c r="L59" s="300"/>
      <c r="M59" s="300"/>
      <c r="N59" s="300"/>
      <c r="O59" s="300"/>
      <c r="P59" s="300"/>
      <c r="Q59" s="300"/>
      <c r="R59" s="300"/>
      <c r="S59" s="300"/>
      <c r="T59" s="300"/>
      <c r="U59" s="300"/>
      <c r="V59" s="300"/>
      <c r="W59" s="300"/>
      <c r="X59" s="300"/>
      <c r="Y59" s="300"/>
      <c r="Z59" s="300"/>
    </row>
    <row r="60" customFormat="false" ht="15.75" hidden="false" customHeight="true" outlineLevel="0" collapsed="false">
      <c r="A60" s="323"/>
      <c r="B60" s="323" t="s">
        <v>2045</v>
      </c>
      <c r="C60" s="323"/>
      <c r="D60" s="323"/>
      <c r="E60" s="300"/>
      <c r="F60" s="300"/>
      <c r="G60" s="300"/>
      <c r="H60" s="300"/>
      <c r="I60" s="300"/>
      <c r="J60" s="300"/>
      <c r="K60" s="300"/>
      <c r="L60" s="300"/>
      <c r="M60" s="300"/>
      <c r="N60" s="300"/>
      <c r="O60" s="300"/>
      <c r="P60" s="300"/>
      <c r="Q60" s="300"/>
      <c r="R60" s="300"/>
      <c r="S60" s="300"/>
      <c r="T60" s="300"/>
      <c r="U60" s="300"/>
      <c r="V60" s="300"/>
      <c r="W60" s="300"/>
      <c r="X60" s="300"/>
      <c r="Y60" s="300"/>
      <c r="Z60" s="300"/>
    </row>
    <row r="61" customFormat="false" ht="15.75" hidden="false" customHeight="true" outlineLevel="0" collapsed="false">
      <c r="A61" s="321"/>
      <c r="B61" s="321" t="s">
        <v>2046</v>
      </c>
      <c r="C61" s="321"/>
      <c r="D61" s="321"/>
      <c r="E61" s="300"/>
      <c r="F61" s="300"/>
      <c r="G61" s="300"/>
      <c r="H61" s="300"/>
      <c r="I61" s="300"/>
      <c r="J61" s="300"/>
      <c r="K61" s="300"/>
      <c r="L61" s="300"/>
      <c r="M61" s="300"/>
      <c r="N61" s="300"/>
      <c r="O61" s="300"/>
      <c r="P61" s="300"/>
      <c r="Q61" s="300"/>
      <c r="R61" s="300"/>
      <c r="S61" s="300"/>
      <c r="T61" s="300"/>
      <c r="U61" s="300"/>
      <c r="V61" s="300"/>
      <c r="W61" s="300"/>
      <c r="X61" s="300"/>
      <c r="Y61" s="300"/>
      <c r="Z61" s="300"/>
    </row>
    <row r="62" customFormat="false" ht="15.75" hidden="false" customHeight="true" outlineLevel="0" collapsed="false">
      <c r="A62" s="323"/>
      <c r="B62" s="323" t="s">
        <v>2047</v>
      </c>
      <c r="C62" s="323"/>
      <c r="D62" s="323"/>
      <c r="E62" s="300"/>
      <c r="F62" s="300"/>
      <c r="G62" s="300"/>
      <c r="H62" s="300"/>
      <c r="I62" s="300"/>
      <c r="J62" s="300"/>
      <c r="K62" s="300"/>
      <c r="L62" s="300"/>
      <c r="M62" s="300"/>
      <c r="N62" s="300"/>
      <c r="O62" s="300"/>
      <c r="P62" s="300"/>
      <c r="Q62" s="300"/>
      <c r="R62" s="300"/>
      <c r="S62" s="300"/>
      <c r="T62" s="300"/>
      <c r="U62" s="300"/>
      <c r="V62" s="300"/>
      <c r="W62" s="300"/>
      <c r="X62" s="300"/>
      <c r="Y62" s="300"/>
      <c r="Z62" s="300"/>
    </row>
    <row r="63" customFormat="false" ht="15.75" hidden="false" customHeight="true" outlineLevel="0" collapsed="false">
      <c r="A63" s="321"/>
      <c r="B63" s="321" t="s">
        <v>2048</v>
      </c>
      <c r="C63" s="321"/>
      <c r="D63" s="321"/>
      <c r="E63" s="300"/>
      <c r="F63" s="300"/>
      <c r="G63" s="300"/>
      <c r="H63" s="300"/>
      <c r="I63" s="300"/>
      <c r="J63" s="300"/>
      <c r="K63" s="300"/>
      <c r="L63" s="300"/>
      <c r="M63" s="300"/>
      <c r="N63" s="300"/>
      <c r="O63" s="300"/>
      <c r="P63" s="300"/>
      <c r="Q63" s="300"/>
      <c r="R63" s="300"/>
      <c r="S63" s="300"/>
      <c r="T63" s="300"/>
      <c r="U63" s="300"/>
      <c r="V63" s="300"/>
      <c r="W63" s="300"/>
      <c r="X63" s="300"/>
      <c r="Y63" s="300"/>
      <c r="Z63" s="300"/>
    </row>
    <row r="64" customFormat="false" ht="15.75" hidden="false" customHeight="true" outlineLevel="0" collapsed="false">
      <c r="A64" s="323"/>
      <c r="B64" s="323" t="s">
        <v>2049</v>
      </c>
      <c r="C64" s="323"/>
      <c r="D64" s="323"/>
      <c r="E64" s="300"/>
      <c r="F64" s="300"/>
      <c r="G64" s="300"/>
      <c r="H64" s="300"/>
      <c r="I64" s="300"/>
      <c r="J64" s="300"/>
      <c r="K64" s="300"/>
      <c r="L64" s="300"/>
      <c r="M64" s="300"/>
      <c r="N64" s="300"/>
      <c r="O64" s="300"/>
      <c r="P64" s="300"/>
      <c r="Q64" s="300"/>
      <c r="R64" s="300"/>
      <c r="S64" s="300"/>
      <c r="T64" s="300"/>
      <c r="U64" s="300"/>
      <c r="V64" s="300"/>
      <c r="W64" s="300"/>
      <c r="X64" s="300"/>
      <c r="Y64" s="300"/>
      <c r="Z64" s="300"/>
    </row>
    <row r="65" customFormat="false" ht="15.75" hidden="false" customHeight="true" outlineLevel="0" collapsed="false">
      <c r="A65" s="305"/>
      <c r="B65" s="305" t="s">
        <v>2050</v>
      </c>
      <c r="C65" s="305"/>
      <c r="D65" s="305"/>
      <c r="E65" s="300"/>
      <c r="F65" s="300"/>
      <c r="G65" s="300"/>
      <c r="H65" s="300"/>
      <c r="I65" s="300"/>
      <c r="J65" s="300"/>
      <c r="K65" s="300"/>
      <c r="L65" s="300"/>
      <c r="M65" s="300"/>
      <c r="N65" s="300"/>
      <c r="O65" s="300"/>
      <c r="P65" s="300"/>
      <c r="Q65" s="300"/>
      <c r="R65" s="300"/>
      <c r="S65" s="300"/>
      <c r="T65" s="300"/>
      <c r="U65" s="300"/>
      <c r="V65" s="300"/>
      <c r="W65" s="300"/>
      <c r="X65" s="300"/>
      <c r="Y65" s="300"/>
      <c r="Z65" s="300"/>
    </row>
    <row r="66" customFormat="false" ht="15.75" hidden="false" customHeight="true" outlineLevel="0" collapsed="false">
      <c r="A66" s="299"/>
      <c r="B66" s="299"/>
      <c r="C66" s="299"/>
      <c r="D66" s="299"/>
      <c r="E66" s="300"/>
      <c r="F66" s="300"/>
      <c r="G66" s="300"/>
      <c r="H66" s="300"/>
      <c r="I66" s="300"/>
      <c r="J66" s="300"/>
      <c r="K66" s="300"/>
      <c r="L66" s="300"/>
      <c r="M66" s="300"/>
      <c r="N66" s="300"/>
      <c r="O66" s="300"/>
      <c r="P66" s="300"/>
      <c r="Q66" s="300"/>
      <c r="R66" s="300"/>
      <c r="S66" s="300"/>
      <c r="T66" s="300"/>
      <c r="U66" s="300"/>
      <c r="V66" s="300"/>
      <c r="W66" s="300"/>
      <c r="X66" s="300"/>
      <c r="Y66" s="300"/>
      <c r="Z66" s="300"/>
    </row>
    <row r="67" customFormat="false" ht="15.75" hidden="false" customHeight="true" outlineLevel="0" collapsed="false">
      <c r="A67" s="324"/>
      <c r="B67" s="325" t="s">
        <v>2051</v>
      </c>
      <c r="C67" s="324"/>
      <c r="D67" s="324"/>
      <c r="E67" s="300"/>
      <c r="F67" s="300"/>
      <c r="G67" s="300"/>
      <c r="H67" s="300"/>
      <c r="I67" s="300"/>
      <c r="J67" s="300"/>
      <c r="K67" s="300"/>
      <c r="L67" s="300"/>
      <c r="M67" s="300"/>
      <c r="N67" s="300"/>
      <c r="O67" s="300"/>
      <c r="P67" s="300"/>
      <c r="Q67" s="300"/>
      <c r="R67" s="300"/>
      <c r="S67" s="300"/>
      <c r="T67" s="300"/>
      <c r="U67" s="300"/>
      <c r="V67" s="300"/>
      <c r="W67" s="300"/>
      <c r="X67" s="300"/>
      <c r="Y67" s="300"/>
      <c r="Z67" s="300"/>
    </row>
    <row r="68" customFormat="false" ht="15.75" hidden="false" customHeight="true" outlineLevel="0" collapsed="false">
      <c r="A68" s="326"/>
      <c r="B68" s="327" t="s">
        <v>2052</v>
      </c>
      <c r="C68" s="326"/>
      <c r="D68" s="326"/>
      <c r="E68" s="300"/>
      <c r="F68" s="300"/>
      <c r="G68" s="300"/>
      <c r="H68" s="300"/>
      <c r="I68" s="300"/>
      <c r="J68" s="300"/>
      <c r="K68" s="300"/>
      <c r="L68" s="300"/>
      <c r="M68" s="300"/>
      <c r="N68" s="300"/>
      <c r="O68" s="300"/>
      <c r="P68" s="300"/>
      <c r="Q68" s="300"/>
      <c r="R68" s="300"/>
      <c r="S68" s="300"/>
      <c r="T68" s="300"/>
      <c r="U68" s="300"/>
      <c r="V68" s="300"/>
      <c r="W68" s="300"/>
      <c r="X68" s="300"/>
      <c r="Y68" s="300"/>
      <c r="Z68" s="300"/>
    </row>
    <row r="69" customFormat="false" ht="15.75" hidden="false" customHeight="true" outlineLevel="0" collapsed="false">
      <c r="A69" s="299"/>
      <c r="B69" s="299"/>
      <c r="C69" s="299"/>
      <c r="D69" s="299"/>
      <c r="E69" s="300"/>
      <c r="F69" s="300"/>
      <c r="G69" s="300"/>
      <c r="H69" s="300"/>
      <c r="I69" s="300"/>
      <c r="J69" s="300"/>
      <c r="K69" s="300"/>
      <c r="L69" s="300"/>
      <c r="M69" s="300"/>
      <c r="N69" s="300"/>
      <c r="O69" s="300"/>
      <c r="P69" s="300"/>
      <c r="Q69" s="300"/>
      <c r="R69" s="300"/>
      <c r="S69" s="300"/>
      <c r="T69" s="300"/>
      <c r="U69" s="300"/>
      <c r="V69" s="300"/>
      <c r="W69" s="300"/>
      <c r="X69" s="300"/>
      <c r="Y69" s="300"/>
      <c r="Z69" s="300"/>
    </row>
    <row r="70" customFormat="false" ht="15.75" hidden="false" customHeight="true" outlineLevel="0" collapsed="false">
      <c r="A70" s="324"/>
      <c r="B70" s="325" t="s">
        <v>2053</v>
      </c>
      <c r="C70" s="324"/>
      <c r="D70" s="324"/>
      <c r="E70" s="300"/>
      <c r="F70" s="300"/>
      <c r="G70" s="300"/>
      <c r="H70" s="300"/>
      <c r="I70" s="300"/>
      <c r="J70" s="300"/>
      <c r="K70" s="300"/>
      <c r="L70" s="300"/>
      <c r="M70" s="300"/>
      <c r="N70" s="300"/>
      <c r="O70" s="300"/>
      <c r="P70" s="300"/>
      <c r="Q70" s="300"/>
      <c r="R70" s="300"/>
      <c r="S70" s="300"/>
      <c r="T70" s="300"/>
      <c r="U70" s="300"/>
      <c r="V70" s="300"/>
      <c r="W70" s="300"/>
      <c r="X70" s="300"/>
      <c r="Y70" s="300"/>
      <c r="Z70" s="300"/>
    </row>
    <row r="71" customFormat="false" ht="15.75" hidden="false" customHeight="true" outlineLevel="0" collapsed="false">
      <c r="A71" s="326"/>
      <c r="B71" s="327" t="s">
        <v>2054</v>
      </c>
      <c r="C71" s="326"/>
      <c r="D71" s="326"/>
      <c r="E71" s="300"/>
      <c r="F71" s="300"/>
      <c r="G71" s="300"/>
      <c r="H71" s="300"/>
      <c r="I71" s="300"/>
      <c r="J71" s="300"/>
      <c r="K71" s="300"/>
      <c r="L71" s="300"/>
      <c r="M71" s="300"/>
      <c r="N71" s="300"/>
      <c r="O71" s="300"/>
      <c r="P71" s="300"/>
      <c r="Q71" s="300"/>
      <c r="R71" s="300"/>
      <c r="S71" s="300"/>
      <c r="T71" s="300"/>
      <c r="U71" s="300"/>
      <c r="V71" s="300"/>
      <c r="W71" s="300"/>
      <c r="X71" s="300"/>
      <c r="Y71" s="300"/>
      <c r="Z71" s="300"/>
    </row>
    <row r="72" customFormat="false" ht="15.75" hidden="false" customHeight="true" outlineLevel="0" collapsed="false">
      <c r="A72" s="299"/>
      <c r="B72" s="299"/>
      <c r="C72" s="299"/>
      <c r="D72" s="299"/>
      <c r="E72" s="300"/>
      <c r="F72" s="300"/>
      <c r="G72" s="300"/>
      <c r="H72" s="300"/>
      <c r="I72" s="300"/>
      <c r="J72" s="300"/>
      <c r="K72" s="300"/>
      <c r="L72" s="300"/>
      <c r="M72" s="300"/>
      <c r="N72" s="300"/>
      <c r="O72" s="300"/>
      <c r="P72" s="300"/>
      <c r="Q72" s="300"/>
      <c r="R72" s="300"/>
      <c r="S72" s="300"/>
      <c r="T72" s="300"/>
      <c r="U72" s="300"/>
      <c r="V72" s="300"/>
      <c r="W72" s="300"/>
      <c r="X72" s="300"/>
      <c r="Y72" s="300"/>
      <c r="Z72" s="300"/>
    </row>
    <row r="73" customFormat="false" ht="15.75" hidden="false" customHeight="true" outlineLevel="0" collapsed="false">
      <c r="A73" s="324"/>
      <c r="B73" s="325" t="s">
        <v>2055</v>
      </c>
      <c r="C73" s="324"/>
      <c r="D73" s="324"/>
      <c r="E73" s="300"/>
      <c r="F73" s="300"/>
      <c r="G73" s="300"/>
      <c r="H73" s="300"/>
      <c r="I73" s="300"/>
      <c r="J73" s="300"/>
      <c r="K73" s="300"/>
      <c r="L73" s="300"/>
      <c r="M73" s="300"/>
      <c r="N73" s="300"/>
      <c r="O73" s="300"/>
      <c r="P73" s="300"/>
      <c r="Q73" s="300"/>
      <c r="R73" s="300"/>
      <c r="S73" s="300"/>
      <c r="T73" s="300"/>
      <c r="U73" s="300"/>
      <c r="V73" s="300"/>
      <c r="W73" s="300"/>
      <c r="X73" s="300"/>
      <c r="Y73" s="300"/>
      <c r="Z73" s="300"/>
    </row>
    <row r="74" customFormat="false" ht="15.75" hidden="false" customHeight="true" outlineLevel="0" collapsed="false">
      <c r="A74" s="326"/>
      <c r="B74" s="327" t="s">
        <v>2056</v>
      </c>
      <c r="C74" s="326"/>
      <c r="D74" s="326"/>
      <c r="E74" s="300"/>
      <c r="F74" s="300"/>
      <c r="G74" s="300"/>
      <c r="H74" s="300"/>
      <c r="I74" s="300"/>
      <c r="J74" s="300"/>
      <c r="K74" s="300"/>
      <c r="L74" s="300"/>
      <c r="M74" s="300"/>
      <c r="N74" s="300"/>
      <c r="O74" s="300"/>
      <c r="P74" s="300"/>
      <c r="Q74" s="300"/>
      <c r="R74" s="300"/>
      <c r="S74" s="300"/>
      <c r="T74" s="300"/>
      <c r="U74" s="300"/>
      <c r="V74" s="300"/>
      <c r="W74" s="300"/>
      <c r="X74" s="300"/>
      <c r="Y74" s="300"/>
      <c r="Z74" s="300"/>
    </row>
    <row r="75" customFormat="false" ht="15.75" hidden="false" customHeight="true" outlineLevel="0" collapsed="false">
      <c r="A75" s="299"/>
      <c r="B75" s="299"/>
      <c r="C75" s="299"/>
      <c r="D75" s="299"/>
      <c r="E75" s="300"/>
      <c r="F75" s="300"/>
      <c r="G75" s="300"/>
      <c r="H75" s="300"/>
      <c r="I75" s="300"/>
      <c r="J75" s="300"/>
      <c r="K75" s="300"/>
      <c r="L75" s="300"/>
      <c r="M75" s="300"/>
      <c r="N75" s="300"/>
      <c r="O75" s="300"/>
      <c r="P75" s="300"/>
      <c r="Q75" s="300"/>
      <c r="R75" s="300"/>
      <c r="S75" s="300"/>
      <c r="T75" s="300"/>
      <c r="U75" s="300"/>
      <c r="V75" s="300"/>
      <c r="W75" s="300"/>
      <c r="X75" s="300"/>
      <c r="Y75" s="300"/>
      <c r="Z75" s="300"/>
    </row>
    <row r="76" customFormat="false" ht="15.75" hidden="false" customHeight="true" outlineLevel="0" collapsed="false">
      <c r="A76" s="324"/>
      <c r="B76" s="325" t="s">
        <v>2057</v>
      </c>
      <c r="C76" s="324"/>
      <c r="D76" s="324"/>
      <c r="E76" s="300"/>
      <c r="F76" s="300"/>
      <c r="G76" s="300"/>
      <c r="H76" s="300"/>
      <c r="I76" s="300"/>
      <c r="J76" s="300"/>
      <c r="K76" s="300"/>
      <c r="L76" s="300"/>
      <c r="M76" s="300"/>
      <c r="N76" s="300"/>
      <c r="O76" s="300"/>
      <c r="P76" s="300"/>
      <c r="Q76" s="300"/>
      <c r="R76" s="300"/>
      <c r="S76" s="300"/>
      <c r="T76" s="300"/>
      <c r="U76" s="300"/>
      <c r="V76" s="300"/>
      <c r="W76" s="300"/>
      <c r="X76" s="300"/>
      <c r="Y76" s="300"/>
      <c r="Z76" s="300"/>
    </row>
    <row r="77" customFormat="false" ht="15.75" hidden="false" customHeight="true" outlineLevel="0" collapsed="false">
      <c r="A77" s="326"/>
      <c r="B77" s="327" t="s">
        <v>2058</v>
      </c>
      <c r="C77" s="326"/>
      <c r="D77" s="326"/>
      <c r="E77" s="300"/>
      <c r="F77" s="300"/>
      <c r="G77" s="300"/>
      <c r="H77" s="300"/>
      <c r="I77" s="300"/>
      <c r="J77" s="300"/>
      <c r="K77" s="300"/>
      <c r="L77" s="300"/>
      <c r="M77" s="300"/>
      <c r="N77" s="300"/>
      <c r="O77" s="300"/>
      <c r="P77" s="300"/>
      <c r="Q77" s="300"/>
      <c r="R77" s="300"/>
      <c r="S77" s="300"/>
      <c r="T77" s="300"/>
      <c r="U77" s="300"/>
      <c r="V77" s="300"/>
      <c r="W77" s="300"/>
      <c r="X77" s="300"/>
      <c r="Y77" s="300"/>
      <c r="Z77" s="300"/>
    </row>
    <row r="78" customFormat="false" ht="15.75" hidden="false" customHeight="true" outlineLevel="0" collapsed="false">
      <c r="A78" s="299"/>
      <c r="B78" s="299"/>
      <c r="C78" s="299"/>
      <c r="D78" s="299"/>
      <c r="E78" s="300"/>
      <c r="F78" s="300"/>
      <c r="G78" s="300"/>
      <c r="H78" s="300"/>
      <c r="I78" s="300"/>
      <c r="J78" s="300"/>
      <c r="K78" s="300"/>
      <c r="L78" s="300"/>
      <c r="M78" s="300"/>
      <c r="N78" s="300"/>
      <c r="O78" s="300"/>
      <c r="P78" s="300"/>
      <c r="Q78" s="300"/>
      <c r="R78" s="300"/>
      <c r="S78" s="300"/>
      <c r="T78" s="300"/>
      <c r="U78" s="300"/>
      <c r="V78" s="300"/>
      <c r="W78" s="300"/>
      <c r="X78" s="300"/>
      <c r="Y78" s="300"/>
      <c r="Z78" s="300"/>
    </row>
    <row r="79" customFormat="false" ht="15.75" hidden="false" customHeight="true" outlineLevel="0" collapsed="false">
      <c r="A79" s="324"/>
      <c r="B79" s="325" t="s">
        <v>2059</v>
      </c>
      <c r="C79" s="324"/>
      <c r="D79" s="324"/>
      <c r="E79" s="300"/>
      <c r="F79" s="300"/>
      <c r="G79" s="300"/>
      <c r="H79" s="300"/>
      <c r="I79" s="300"/>
      <c r="J79" s="300"/>
      <c r="K79" s="300"/>
      <c r="L79" s="300"/>
      <c r="M79" s="300"/>
      <c r="N79" s="300"/>
      <c r="O79" s="300"/>
      <c r="P79" s="300"/>
      <c r="Q79" s="300"/>
      <c r="R79" s="300"/>
      <c r="S79" s="300"/>
      <c r="T79" s="300"/>
      <c r="U79" s="300"/>
      <c r="V79" s="300"/>
      <c r="W79" s="300"/>
      <c r="X79" s="300"/>
      <c r="Y79" s="300"/>
      <c r="Z79" s="300"/>
    </row>
    <row r="80" customFormat="false" ht="15.75" hidden="false" customHeight="true" outlineLevel="0" collapsed="false">
      <c r="A80" s="326"/>
      <c r="B80" s="327" t="s">
        <v>2060</v>
      </c>
      <c r="C80" s="326"/>
      <c r="D80" s="326"/>
      <c r="E80" s="300"/>
      <c r="F80" s="300"/>
      <c r="G80" s="300"/>
      <c r="H80" s="300"/>
      <c r="I80" s="300"/>
      <c r="J80" s="300"/>
      <c r="K80" s="300"/>
      <c r="L80" s="300"/>
      <c r="M80" s="300"/>
      <c r="N80" s="300"/>
      <c r="O80" s="300"/>
      <c r="P80" s="300"/>
      <c r="Q80" s="300"/>
      <c r="R80" s="300"/>
      <c r="S80" s="300"/>
      <c r="T80" s="300"/>
      <c r="U80" s="300"/>
      <c r="V80" s="300"/>
      <c r="W80" s="300"/>
      <c r="X80" s="300"/>
      <c r="Y80" s="300"/>
      <c r="Z80" s="300"/>
    </row>
    <row r="81" customFormat="false" ht="15.75" hidden="false" customHeight="true" outlineLevel="0" collapsed="false">
      <c r="A81" s="299"/>
      <c r="B81" s="299"/>
      <c r="C81" s="299"/>
      <c r="D81" s="299"/>
      <c r="E81" s="300"/>
      <c r="F81" s="300"/>
      <c r="G81" s="300"/>
      <c r="H81" s="300"/>
      <c r="I81" s="300"/>
      <c r="J81" s="300"/>
      <c r="K81" s="300"/>
      <c r="L81" s="300"/>
      <c r="M81" s="300"/>
      <c r="N81" s="300"/>
      <c r="O81" s="300"/>
      <c r="P81" s="300"/>
      <c r="Q81" s="300"/>
      <c r="R81" s="300"/>
      <c r="S81" s="300"/>
      <c r="T81" s="300"/>
      <c r="U81" s="300"/>
      <c r="V81" s="300"/>
      <c r="W81" s="300"/>
      <c r="X81" s="300"/>
      <c r="Y81" s="300"/>
      <c r="Z81" s="300"/>
    </row>
    <row r="82" customFormat="false" ht="15.75" hidden="false" customHeight="true" outlineLevel="0" collapsed="false">
      <c r="A82" s="324"/>
      <c r="B82" s="325" t="s">
        <v>2061</v>
      </c>
      <c r="C82" s="324"/>
      <c r="D82" s="324"/>
      <c r="E82" s="300"/>
      <c r="F82" s="300"/>
      <c r="G82" s="300"/>
      <c r="H82" s="300"/>
      <c r="I82" s="300"/>
      <c r="J82" s="300"/>
      <c r="K82" s="300"/>
      <c r="L82" s="300"/>
      <c r="M82" s="300"/>
      <c r="N82" s="300"/>
      <c r="O82" s="300"/>
      <c r="P82" s="300"/>
      <c r="Q82" s="300"/>
      <c r="R82" s="300"/>
      <c r="S82" s="300"/>
      <c r="T82" s="300"/>
      <c r="U82" s="300"/>
      <c r="V82" s="300"/>
      <c r="W82" s="300"/>
      <c r="X82" s="300"/>
      <c r="Y82" s="300"/>
      <c r="Z82" s="300"/>
    </row>
    <row r="83" customFormat="false" ht="15.75" hidden="false" customHeight="true" outlineLevel="0" collapsed="false">
      <c r="A83" s="326"/>
      <c r="B83" s="327" t="s">
        <v>2062</v>
      </c>
      <c r="C83" s="326"/>
      <c r="D83" s="326"/>
      <c r="E83" s="300"/>
      <c r="F83" s="300"/>
      <c r="G83" s="300"/>
      <c r="H83" s="300"/>
      <c r="I83" s="300"/>
      <c r="J83" s="300"/>
      <c r="K83" s="300"/>
      <c r="L83" s="300"/>
      <c r="M83" s="300"/>
      <c r="N83" s="300"/>
      <c r="O83" s="300"/>
      <c r="P83" s="300"/>
      <c r="Q83" s="300"/>
      <c r="R83" s="300"/>
      <c r="S83" s="300"/>
      <c r="T83" s="300"/>
      <c r="U83" s="300"/>
      <c r="V83" s="300"/>
      <c r="W83" s="300"/>
      <c r="X83" s="300"/>
      <c r="Y83" s="300"/>
      <c r="Z83" s="300"/>
    </row>
    <row r="84" customFormat="false" ht="15.75" hidden="false" customHeight="true" outlineLevel="0" collapsed="false">
      <c r="A84" s="299"/>
      <c r="B84" s="299"/>
      <c r="C84" s="299"/>
      <c r="D84" s="299"/>
      <c r="E84" s="300"/>
      <c r="F84" s="300"/>
      <c r="G84" s="300"/>
      <c r="H84" s="300"/>
      <c r="I84" s="300"/>
      <c r="J84" s="300"/>
      <c r="K84" s="300"/>
      <c r="L84" s="300"/>
      <c r="M84" s="300"/>
      <c r="N84" s="300"/>
      <c r="O84" s="300"/>
      <c r="P84" s="300"/>
      <c r="Q84" s="300"/>
      <c r="R84" s="300"/>
      <c r="S84" s="300"/>
      <c r="T84" s="300"/>
      <c r="U84" s="300"/>
      <c r="V84" s="300"/>
      <c r="W84" s="300"/>
      <c r="X84" s="300"/>
      <c r="Y84" s="300"/>
      <c r="Z84" s="300"/>
    </row>
    <row r="85" customFormat="false" ht="15.75" hidden="false" customHeight="true" outlineLevel="0" collapsed="false">
      <c r="A85" s="324"/>
      <c r="B85" s="325" t="s">
        <v>2063</v>
      </c>
      <c r="C85" s="324"/>
      <c r="D85" s="324"/>
      <c r="E85" s="300"/>
      <c r="F85" s="300"/>
      <c r="G85" s="300"/>
      <c r="H85" s="300"/>
      <c r="I85" s="300"/>
      <c r="J85" s="300"/>
      <c r="K85" s="300"/>
      <c r="L85" s="300"/>
      <c r="M85" s="300"/>
      <c r="N85" s="300"/>
      <c r="O85" s="300"/>
      <c r="P85" s="300"/>
      <c r="Q85" s="300"/>
      <c r="R85" s="300"/>
      <c r="S85" s="300"/>
      <c r="T85" s="300"/>
      <c r="U85" s="300"/>
      <c r="V85" s="300"/>
      <c r="W85" s="300"/>
      <c r="X85" s="300"/>
      <c r="Y85" s="300"/>
      <c r="Z85" s="300"/>
    </row>
    <row r="86" customFormat="false" ht="15.75" hidden="false" customHeight="true" outlineLevel="0" collapsed="false">
      <c r="A86" s="326"/>
      <c r="B86" s="327" t="s">
        <v>2064</v>
      </c>
      <c r="C86" s="326"/>
      <c r="D86" s="326"/>
      <c r="E86" s="300"/>
      <c r="F86" s="300"/>
      <c r="G86" s="300"/>
      <c r="H86" s="300"/>
      <c r="I86" s="300"/>
      <c r="J86" s="300"/>
      <c r="K86" s="300"/>
      <c r="L86" s="300"/>
      <c r="M86" s="300"/>
      <c r="N86" s="300"/>
      <c r="O86" s="300"/>
      <c r="P86" s="300"/>
      <c r="Q86" s="300"/>
      <c r="R86" s="300"/>
      <c r="S86" s="300"/>
      <c r="T86" s="300"/>
      <c r="U86" s="300"/>
      <c r="V86" s="300"/>
      <c r="W86" s="300"/>
      <c r="X86" s="300"/>
      <c r="Y86" s="300"/>
      <c r="Z86" s="300"/>
    </row>
    <row r="87" customFormat="false" ht="15.75" hidden="false" customHeight="true" outlineLevel="0" collapsed="false">
      <c r="A87" s="299"/>
      <c r="B87" s="299"/>
      <c r="C87" s="299"/>
      <c r="D87" s="299"/>
      <c r="E87" s="300"/>
      <c r="F87" s="300"/>
      <c r="G87" s="300"/>
      <c r="H87" s="300"/>
      <c r="I87" s="300"/>
      <c r="J87" s="300"/>
      <c r="K87" s="300"/>
      <c r="L87" s="300"/>
      <c r="M87" s="300"/>
      <c r="N87" s="300"/>
      <c r="O87" s="300"/>
      <c r="P87" s="300"/>
      <c r="Q87" s="300"/>
      <c r="R87" s="300"/>
      <c r="S87" s="300"/>
      <c r="T87" s="300"/>
      <c r="U87" s="300"/>
      <c r="V87" s="300"/>
      <c r="W87" s="300"/>
      <c r="X87" s="300"/>
      <c r="Y87" s="300"/>
      <c r="Z87" s="300"/>
    </row>
    <row r="88" customFormat="false" ht="15.75" hidden="false" customHeight="true" outlineLevel="0" collapsed="false">
      <c r="A88" s="324"/>
      <c r="B88" s="325" t="s">
        <v>2065</v>
      </c>
      <c r="C88" s="324"/>
      <c r="D88" s="324"/>
      <c r="E88" s="300"/>
      <c r="F88" s="300"/>
      <c r="G88" s="300"/>
      <c r="H88" s="300"/>
      <c r="I88" s="300"/>
      <c r="J88" s="300"/>
      <c r="K88" s="300"/>
      <c r="L88" s="300"/>
      <c r="M88" s="300"/>
      <c r="N88" s="300"/>
      <c r="O88" s="300"/>
      <c r="P88" s="300"/>
      <c r="Q88" s="300"/>
      <c r="R88" s="300"/>
      <c r="S88" s="300"/>
      <c r="T88" s="300"/>
      <c r="U88" s="300"/>
      <c r="V88" s="300"/>
      <c r="W88" s="300"/>
      <c r="X88" s="300"/>
      <c r="Y88" s="300"/>
      <c r="Z88" s="300"/>
    </row>
    <row r="89" customFormat="false" ht="15.75" hidden="false" customHeight="true" outlineLevel="0" collapsed="false">
      <c r="A89" s="326"/>
      <c r="B89" s="327" t="s">
        <v>2066</v>
      </c>
      <c r="C89" s="326"/>
      <c r="D89" s="326"/>
      <c r="E89" s="300"/>
      <c r="F89" s="300"/>
      <c r="G89" s="300"/>
      <c r="H89" s="300"/>
      <c r="I89" s="300"/>
      <c r="J89" s="300"/>
      <c r="K89" s="300"/>
      <c r="L89" s="300"/>
      <c r="M89" s="300"/>
      <c r="N89" s="300"/>
      <c r="O89" s="300"/>
      <c r="P89" s="300"/>
      <c r="Q89" s="300"/>
      <c r="R89" s="300"/>
      <c r="S89" s="300"/>
      <c r="T89" s="300"/>
      <c r="U89" s="300"/>
      <c r="V89" s="300"/>
      <c r="W89" s="300"/>
      <c r="X89" s="300"/>
      <c r="Y89" s="300"/>
      <c r="Z89" s="300"/>
    </row>
    <row r="90" customFormat="false" ht="15.75" hidden="false" customHeight="true" outlineLevel="0" collapsed="false">
      <c r="A90" s="299"/>
      <c r="B90" s="299"/>
      <c r="C90" s="299"/>
      <c r="D90" s="299"/>
      <c r="E90" s="300"/>
      <c r="F90" s="300"/>
      <c r="G90" s="300"/>
      <c r="H90" s="300"/>
      <c r="I90" s="300"/>
      <c r="J90" s="300"/>
      <c r="K90" s="300"/>
      <c r="L90" s="300"/>
      <c r="M90" s="300"/>
      <c r="N90" s="300"/>
      <c r="O90" s="300"/>
      <c r="P90" s="300"/>
      <c r="Q90" s="300"/>
      <c r="R90" s="300"/>
      <c r="S90" s="300"/>
      <c r="T90" s="300"/>
      <c r="U90" s="300"/>
      <c r="V90" s="300"/>
      <c r="W90" s="300"/>
      <c r="X90" s="300"/>
      <c r="Y90" s="300"/>
      <c r="Z90" s="300"/>
    </row>
    <row r="91" customFormat="false" ht="15.75" hidden="false" customHeight="true" outlineLevel="0" collapsed="false">
      <c r="A91" s="324"/>
      <c r="B91" s="325" t="s">
        <v>2067</v>
      </c>
      <c r="C91" s="324"/>
      <c r="D91" s="324"/>
      <c r="E91" s="300"/>
      <c r="F91" s="300"/>
      <c r="G91" s="300"/>
      <c r="H91" s="300"/>
      <c r="I91" s="300"/>
      <c r="J91" s="300"/>
      <c r="K91" s="300"/>
      <c r="L91" s="300"/>
      <c r="M91" s="300"/>
      <c r="N91" s="300"/>
      <c r="O91" s="300"/>
      <c r="P91" s="300"/>
      <c r="Q91" s="300"/>
      <c r="R91" s="300"/>
      <c r="S91" s="300"/>
      <c r="T91" s="300"/>
      <c r="U91" s="300"/>
      <c r="V91" s="300"/>
      <c r="W91" s="300"/>
      <c r="X91" s="300"/>
      <c r="Y91" s="300"/>
      <c r="Z91" s="300"/>
    </row>
    <row r="92" customFormat="false" ht="15.75" hidden="false" customHeight="true" outlineLevel="0" collapsed="false">
      <c r="A92" s="326"/>
      <c r="B92" s="327" t="s">
        <v>2068</v>
      </c>
      <c r="C92" s="326"/>
      <c r="D92" s="326"/>
      <c r="E92" s="300"/>
      <c r="F92" s="300"/>
      <c r="G92" s="300"/>
      <c r="H92" s="300"/>
      <c r="I92" s="300"/>
      <c r="J92" s="300"/>
      <c r="K92" s="300"/>
      <c r="L92" s="300"/>
      <c r="M92" s="300"/>
      <c r="N92" s="300"/>
      <c r="O92" s="300"/>
      <c r="P92" s="300"/>
      <c r="Q92" s="300"/>
      <c r="R92" s="300"/>
      <c r="S92" s="300"/>
      <c r="T92" s="300"/>
      <c r="U92" s="300"/>
      <c r="V92" s="300"/>
      <c r="W92" s="300"/>
      <c r="X92" s="300"/>
      <c r="Y92" s="300"/>
      <c r="Z92" s="300"/>
    </row>
    <row r="93" customFormat="false" ht="15.75" hidden="false" customHeight="true" outlineLevel="0" collapsed="false">
      <c r="A93" s="299"/>
      <c r="B93" s="299"/>
      <c r="C93" s="299"/>
      <c r="D93" s="299"/>
      <c r="E93" s="300"/>
      <c r="F93" s="300"/>
      <c r="G93" s="300"/>
      <c r="H93" s="300"/>
      <c r="I93" s="300"/>
      <c r="J93" s="300"/>
      <c r="K93" s="300"/>
      <c r="L93" s="300"/>
      <c r="M93" s="300"/>
      <c r="N93" s="300"/>
      <c r="O93" s="300"/>
      <c r="P93" s="300"/>
      <c r="Q93" s="300"/>
      <c r="R93" s="300"/>
      <c r="S93" s="300"/>
      <c r="T93" s="300"/>
      <c r="U93" s="300"/>
      <c r="V93" s="300"/>
      <c r="W93" s="300"/>
      <c r="X93" s="300"/>
      <c r="Y93" s="300"/>
      <c r="Z93" s="300"/>
    </row>
    <row r="94" customFormat="false" ht="15.75" hidden="false" customHeight="true" outlineLevel="0" collapsed="false">
      <c r="A94" s="299"/>
      <c r="B94" s="320" t="s">
        <v>2069</v>
      </c>
      <c r="C94" s="299"/>
      <c r="D94" s="299"/>
      <c r="E94" s="300"/>
      <c r="F94" s="300"/>
      <c r="G94" s="300"/>
      <c r="H94" s="300"/>
      <c r="I94" s="300"/>
      <c r="J94" s="300"/>
      <c r="K94" s="300"/>
      <c r="L94" s="300"/>
      <c r="M94" s="300"/>
      <c r="N94" s="300"/>
      <c r="O94" s="300"/>
      <c r="P94" s="300"/>
      <c r="Q94" s="300"/>
      <c r="R94" s="300"/>
      <c r="S94" s="300"/>
      <c r="T94" s="300"/>
      <c r="U94" s="300"/>
      <c r="V94" s="300"/>
      <c r="W94" s="300"/>
      <c r="X94" s="300"/>
      <c r="Y94" s="300"/>
      <c r="Z94" s="300"/>
    </row>
    <row r="95" customFormat="false" ht="15.75" hidden="false" customHeight="true" outlineLevel="0" collapsed="false">
      <c r="A95" s="299"/>
      <c r="B95" s="320" t="s">
        <v>2070</v>
      </c>
      <c r="C95" s="299"/>
      <c r="D95" s="299"/>
      <c r="E95" s="300"/>
      <c r="F95" s="300"/>
      <c r="G95" s="300"/>
      <c r="H95" s="300"/>
      <c r="I95" s="300"/>
      <c r="J95" s="300"/>
      <c r="K95" s="300"/>
      <c r="L95" s="300"/>
      <c r="M95" s="300"/>
      <c r="N95" s="300"/>
      <c r="O95" s="300"/>
      <c r="P95" s="300"/>
      <c r="Q95" s="300"/>
      <c r="R95" s="300"/>
      <c r="S95" s="300"/>
      <c r="T95" s="300"/>
      <c r="U95" s="300"/>
      <c r="V95" s="300"/>
      <c r="W95" s="300"/>
      <c r="X95" s="300"/>
      <c r="Y95" s="300"/>
      <c r="Z95" s="300"/>
    </row>
    <row r="96" customFormat="false" ht="15.75" hidden="false" customHeight="true" outlineLevel="0" collapsed="false">
      <c r="A96" s="305"/>
      <c r="B96" s="305"/>
      <c r="C96" s="305"/>
      <c r="D96" s="305"/>
      <c r="E96" s="300"/>
      <c r="F96" s="300"/>
      <c r="G96" s="300"/>
      <c r="H96" s="300"/>
      <c r="I96" s="300"/>
      <c r="J96" s="300"/>
      <c r="K96" s="300"/>
      <c r="L96" s="300"/>
      <c r="M96" s="300"/>
      <c r="N96" s="300"/>
      <c r="O96" s="300"/>
      <c r="P96" s="300"/>
      <c r="Q96" s="300"/>
      <c r="R96" s="300"/>
      <c r="S96" s="300"/>
      <c r="T96" s="300"/>
      <c r="U96" s="300"/>
      <c r="V96" s="300"/>
      <c r="W96" s="300"/>
      <c r="X96" s="300"/>
      <c r="Y96" s="300"/>
      <c r="Z96" s="300"/>
    </row>
    <row r="97" customFormat="false" ht="15.75" hidden="false" customHeight="true" outlineLevel="0" collapsed="false">
      <c r="A97" s="328"/>
      <c r="B97" s="329" t="s">
        <v>2071</v>
      </c>
      <c r="C97" s="328"/>
      <c r="D97" s="328"/>
      <c r="E97" s="300"/>
      <c r="F97" s="300"/>
      <c r="G97" s="300"/>
      <c r="H97" s="300"/>
      <c r="I97" s="300"/>
      <c r="J97" s="300"/>
      <c r="K97" s="300"/>
      <c r="L97" s="300"/>
      <c r="M97" s="300"/>
      <c r="N97" s="300"/>
      <c r="O97" s="300"/>
      <c r="P97" s="300"/>
      <c r="Q97" s="300"/>
      <c r="R97" s="300"/>
      <c r="S97" s="300"/>
      <c r="T97" s="300"/>
      <c r="U97" s="300"/>
      <c r="V97" s="300"/>
      <c r="W97" s="300"/>
      <c r="X97" s="300"/>
      <c r="Y97" s="300"/>
      <c r="Z97" s="300"/>
    </row>
    <row r="98" customFormat="false" ht="15.75" hidden="false" customHeight="true" outlineLevel="0" collapsed="false">
      <c r="A98" s="328"/>
      <c r="B98" s="328" t="s">
        <v>2072</v>
      </c>
      <c r="C98" s="328"/>
      <c r="D98" s="328"/>
      <c r="E98" s="300"/>
      <c r="F98" s="300"/>
      <c r="G98" s="300"/>
      <c r="H98" s="300"/>
      <c r="I98" s="300"/>
      <c r="J98" s="300"/>
      <c r="K98" s="300"/>
      <c r="L98" s="300"/>
      <c r="M98" s="300"/>
      <c r="N98" s="300"/>
      <c r="O98" s="300"/>
      <c r="P98" s="300"/>
      <c r="Q98" s="300"/>
      <c r="R98" s="300"/>
      <c r="S98" s="300"/>
      <c r="T98" s="300"/>
      <c r="U98" s="300"/>
      <c r="V98" s="300"/>
      <c r="W98" s="300"/>
      <c r="X98" s="300"/>
      <c r="Y98" s="300"/>
      <c r="Z98" s="300"/>
    </row>
    <row r="99" customFormat="false" ht="15.75" hidden="false" customHeight="true" outlineLevel="0" collapsed="false">
      <c r="A99" s="328"/>
      <c r="B99" s="328" t="s">
        <v>2073</v>
      </c>
      <c r="C99" s="328"/>
      <c r="D99" s="328"/>
      <c r="E99" s="300"/>
      <c r="F99" s="300"/>
      <c r="G99" s="300"/>
      <c r="H99" s="300"/>
      <c r="I99" s="300"/>
      <c r="J99" s="300"/>
      <c r="K99" s="300"/>
      <c r="L99" s="300"/>
      <c r="M99" s="300"/>
      <c r="N99" s="300"/>
      <c r="O99" s="300"/>
      <c r="P99" s="300"/>
      <c r="Q99" s="300"/>
      <c r="R99" s="300"/>
      <c r="S99" s="300"/>
      <c r="T99" s="300"/>
      <c r="U99" s="300"/>
      <c r="V99" s="300"/>
      <c r="W99" s="300"/>
      <c r="X99" s="300"/>
      <c r="Y99" s="300"/>
      <c r="Z99" s="300"/>
    </row>
    <row r="100" customFormat="false" ht="15.75" hidden="false" customHeight="true" outlineLevel="0" collapsed="false">
      <c r="A100" s="328"/>
      <c r="B100" s="328" t="s">
        <v>2074</v>
      </c>
      <c r="C100" s="328"/>
      <c r="D100" s="328"/>
      <c r="E100" s="300"/>
      <c r="F100" s="300"/>
      <c r="G100" s="300"/>
      <c r="H100" s="300"/>
      <c r="I100" s="300"/>
      <c r="J100" s="300"/>
      <c r="K100" s="300"/>
      <c r="L100" s="300"/>
      <c r="M100" s="300"/>
      <c r="N100" s="300"/>
      <c r="O100" s="300"/>
      <c r="P100" s="300"/>
      <c r="Q100" s="300"/>
      <c r="R100" s="300"/>
      <c r="S100" s="300"/>
      <c r="T100" s="300"/>
      <c r="U100" s="300"/>
      <c r="V100" s="300"/>
      <c r="W100" s="300"/>
      <c r="X100" s="300"/>
      <c r="Y100" s="300"/>
      <c r="Z100" s="300"/>
    </row>
    <row r="101" customFormat="false" ht="15.75" hidden="false" customHeight="true" outlineLevel="0" collapsed="false">
      <c r="A101" s="328"/>
      <c r="B101" s="328" t="s">
        <v>2075</v>
      </c>
      <c r="C101" s="328"/>
      <c r="D101" s="328"/>
      <c r="E101" s="300"/>
      <c r="F101" s="300"/>
      <c r="G101" s="300"/>
      <c r="H101" s="300"/>
      <c r="I101" s="300"/>
      <c r="J101" s="300"/>
      <c r="K101" s="300"/>
      <c r="L101" s="300"/>
      <c r="M101" s="300"/>
      <c r="N101" s="300"/>
      <c r="O101" s="300"/>
      <c r="P101" s="300"/>
      <c r="Q101" s="300"/>
      <c r="R101" s="300"/>
      <c r="S101" s="300"/>
      <c r="T101" s="300"/>
      <c r="U101" s="300"/>
      <c r="V101" s="300"/>
      <c r="W101" s="300"/>
      <c r="X101" s="300"/>
      <c r="Y101" s="300"/>
      <c r="Z101" s="300"/>
    </row>
    <row r="102" customFormat="false" ht="15.75" hidden="false" customHeight="true" outlineLevel="0" collapsed="false">
      <c r="A102" s="328"/>
      <c r="B102" s="328" t="s">
        <v>2076</v>
      </c>
      <c r="C102" s="328"/>
      <c r="D102" s="328"/>
      <c r="E102" s="300"/>
      <c r="F102" s="300"/>
      <c r="G102" s="300"/>
      <c r="H102" s="300"/>
      <c r="I102" s="300"/>
      <c r="J102" s="300"/>
      <c r="K102" s="300"/>
      <c r="L102" s="300"/>
      <c r="M102" s="300"/>
      <c r="N102" s="300"/>
      <c r="O102" s="300"/>
      <c r="P102" s="300"/>
      <c r="Q102" s="300"/>
      <c r="R102" s="300"/>
      <c r="S102" s="300"/>
      <c r="T102" s="300"/>
      <c r="U102" s="300"/>
      <c r="V102" s="300"/>
      <c r="W102" s="300"/>
      <c r="X102" s="300"/>
      <c r="Y102" s="300"/>
      <c r="Z102" s="300"/>
    </row>
    <row r="103" customFormat="false" ht="15.75" hidden="false" customHeight="true" outlineLevel="0" collapsed="false">
      <c r="A103" s="328"/>
      <c r="B103" s="328" t="s">
        <v>2077</v>
      </c>
      <c r="C103" s="328"/>
      <c r="D103" s="328"/>
      <c r="E103" s="300"/>
      <c r="F103" s="300"/>
      <c r="G103" s="300"/>
      <c r="H103" s="300"/>
      <c r="I103" s="300"/>
      <c r="J103" s="300"/>
      <c r="K103" s="300"/>
      <c r="L103" s="300"/>
      <c r="M103" s="300"/>
      <c r="N103" s="300"/>
      <c r="O103" s="300"/>
      <c r="P103" s="300"/>
      <c r="Q103" s="300"/>
      <c r="R103" s="300"/>
      <c r="S103" s="300"/>
      <c r="T103" s="300"/>
      <c r="U103" s="300"/>
      <c r="V103" s="300"/>
      <c r="W103" s="300"/>
      <c r="X103" s="300"/>
      <c r="Y103" s="300"/>
      <c r="Z103" s="300"/>
    </row>
    <row r="104" customFormat="false" ht="15.75" hidden="false" customHeight="true" outlineLevel="0" collapsed="false">
      <c r="A104" s="328"/>
      <c r="B104" s="328" t="s">
        <v>2078</v>
      </c>
      <c r="C104" s="328"/>
      <c r="D104" s="328"/>
      <c r="E104" s="300"/>
      <c r="F104" s="300"/>
      <c r="G104" s="300"/>
      <c r="H104" s="300"/>
      <c r="I104" s="300"/>
      <c r="J104" s="300"/>
      <c r="K104" s="300"/>
      <c r="L104" s="300"/>
      <c r="M104" s="300"/>
      <c r="N104" s="300"/>
      <c r="O104" s="300"/>
      <c r="P104" s="300"/>
      <c r="Q104" s="300"/>
      <c r="R104" s="300"/>
      <c r="S104" s="300"/>
      <c r="T104" s="300"/>
      <c r="U104" s="300"/>
      <c r="V104" s="300"/>
      <c r="W104" s="300"/>
      <c r="X104" s="300"/>
      <c r="Y104" s="300"/>
      <c r="Z104" s="300"/>
    </row>
    <row r="105" customFormat="false" ht="15.75" hidden="false" customHeight="true" outlineLevel="0" collapsed="false">
      <c r="A105" s="328"/>
      <c r="B105" s="328" t="s">
        <v>2079</v>
      </c>
      <c r="C105" s="328"/>
      <c r="D105" s="328"/>
      <c r="E105" s="300"/>
      <c r="F105" s="300"/>
      <c r="G105" s="300"/>
      <c r="H105" s="300"/>
      <c r="I105" s="300"/>
      <c r="J105" s="300"/>
      <c r="K105" s="300"/>
      <c r="L105" s="300"/>
      <c r="M105" s="300"/>
      <c r="N105" s="300"/>
      <c r="O105" s="300"/>
      <c r="P105" s="300"/>
      <c r="Q105" s="300"/>
      <c r="R105" s="300"/>
      <c r="S105" s="300"/>
      <c r="T105" s="300"/>
      <c r="U105" s="300"/>
      <c r="V105" s="300"/>
      <c r="W105" s="300"/>
      <c r="X105" s="300"/>
      <c r="Y105" s="300"/>
      <c r="Z105" s="300"/>
    </row>
    <row r="106" customFormat="false" ht="15.75" hidden="false" customHeight="true" outlineLevel="0" collapsed="false">
      <c r="A106" s="328"/>
      <c r="B106" s="328" t="s">
        <v>2080</v>
      </c>
      <c r="C106" s="328"/>
      <c r="D106" s="328"/>
      <c r="E106" s="300"/>
      <c r="F106" s="300"/>
      <c r="G106" s="300"/>
      <c r="H106" s="300"/>
      <c r="I106" s="300"/>
      <c r="J106" s="300"/>
      <c r="K106" s="300"/>
      <c r="L106" s="300"/>
      <c r="M106" s="300"/>
      <c r="N106" s="300"/>
      <c r="O106" s="300"/>
      <c r="P106" s="300"/>
      <c r="Q106" s="300"/>
      <c r="R106" s="300"/>
      <c r="S106" s="300"/>
      <c r="T106" s="300"/>
      <c r="U106" s="300"/>
      <c r="V106" s="300"/>
      <c r="W106" s="300"/>
      <c r="X106" s="300"/>
      <c r="Y106" s="300"/>
      <c r="Z106" s="300"/>
    </row>
    <row r="107" customFormat="false" ht="15.75" hidden="false" customHeight="true" outlineLevel="0" collapsed="false">
      <c r="A107" s="328"/>
      <c r="B107" s="328" t="s">
        <v>2081</v>
      </c>
      <c r="C107" s="328"/>
      <c r="D107" s="328"/>
      <c r="E107" s="300"/>
      <c r="F107" s="300"/>
      <c r="G107" s="300"/>
      <c r="H107" s="300"/>
      <c r="I107" s="300"/>
      <c r="J107" s="300"/>
      <c r="K107" s="300"/>
      <c r="L107" s="300"/>
      <c r="M107" s="300"/>
      <c r="N107" s="300"/>
      <c r="O107" s="300"/>
      <c r="P107" s="300"/>
      <c r="Q107" s="300"/>
      <c r="R107" s="300"/>
      <c r="S107" s="300"/>
      <c r="T107" s="300"/>
      <c r="U107" s="300"/>
      <c r="V107" s="300"/>
      <c r="W107" s="300"/>
      <c r="X107" s="300"/>
      <c r="Y107" s="300"/>
      <c r="Z107" s="300"/>
    </row>
    <row r="108" customFormat="false" ht="15.75" hidden="false" customHeight="true" outlineLevel="0" collapsed="false">
      <c r="A108" s="299"/>
      <c r="B108" s="299"/>
      <c r="C108" s="299"/>
      <c r="D108" s="299"/>
      <c r="E108" s="300"/>
      <c r="F108" s="300"/>
      <c r="G108" s="300"/>
      <c r="H108" s="300"/>
      <c r="I108" s="300"/>
      <c r="J108" s="300"/>
      <c r="K108" s="300"/>
      <c r="L108" s="300"/>
      <c r="M108" s="300"/>
      <c r="N108" s="300"/>
      <c r="O108" s="300"/>
      <c r="P108" s="300"/>
      <c r="Q108" s="300"/>
      <c r="R108" s="300"/>
      <c r="S108" s="300"/>
      <c r="T108" s="300"/>
      <c r="U108" s="300"/>
      <c r="V108" s="300"/>
      <c r="W108" s="300"/>
      <c r="X108" s="300"/>
      <c r="Y108" s="300"/>
      <c r="Z108" s="300"/>
    </row>
    <row r="109" customFormat="false" ht="27" hidden="false" customHeight="true" outlineLevel="0" collapsed="false">
      <c r="A109" s="330"/>
      <c r="B109" s="331" t="s">
        <v>2082</v>
      </c>
      <c r="C109" s="330"/>
      <c r="D109" s="330"/>
      <c r="E109" s="300"/>
      <c r="F109" s="300"/>
      <c r="G109" s="300"/>
      <c r="H109" s="300"/>
      <c r="I109" s="300"/>
      <c r="J109" s="300"/>
      <c r="K109" s="300"/>
      <c r="L109" s="300"/>
      <c r="M109" s="300"/>
      <c r="N109" s="300"/>
      <c r="O109" s="300"/>
      <c r="P109" s="300"/>
      <c r="Q109" s="300"/>
      <c r="R109" s="300"/>
      <c r="S109" s="300"/>
      <c r="T109" s="300"/>
      <c r="U109" s="300"/>
      <c r="V109" s="300"/>
      <c r="W109" s="300"/>
      <c r="X109" s="300"/>
      <c r="Y109" s="300"/>
      <c r="Z109" s="300"/>
    </row>
    <row r="110" customFormat="false" ht="22.5" hidden="false" customHeight="true" outlineLevel="0" collapsed="false">
      <c r="A110" s="332"/>
      <c r="B110" s="333" t="s">
        <v>2083</v>
      </c>
      <c r="C110" s="332"/>
      <c r="D110" s="332"/>
      <c r="E110" s="300"/>
      <c r="F110" s="300"/>
      <c r="G110" s="300"/>
      <c r="H110" s="300"/>
      <c r="I110" s="300"/>
      <c r="J110" s="300"/>
      <c r="K110" s="300"/>
      <c r="L110" s="300"/>
      <c r="M110" s="300"/>
      <c r="N110" s="300"/>
      <c r="O110" s="300"/>
      <c r="P110" s="300"/>
      <c r="Q110" s="300"/>
      <c r="R110" s="300"/>
      <c r="S110" s="300"/>
      <c r="T110" s="300"/>
      <c r="U110" s="300"/>
      <c r="V110" s="300"/>
      <c r="W110" s="300"/>
      <c r="X110" s="300"/>
      <c r="Y110" s="300"/>
      <c r="Z110" s="300"/>
    </row>
    <row r="111" customFormat="false" ht="15.75" hidden="false" customHeight="true" outlineLevel="0" collapsed="false">
      <c r="A111" s="299"/>
      <c r="B111" s="320" t="s">
        <v>2084</v>
      </c>
      <c r="C111" s="299"/>
      <c r="D111" s="299"/>
      <c r="E111" s="300"/>
      <c r="F111" s="300"/>
      <c r="G111" s="300"/>
      <c r="H111" s="300"/>
      <c r="I111" s="300"/>
      <c r="J111" s="300"/>
      <c r="K111" s="300"/>
      <c r="L111" s="300"/>
      <c r="M111" s="300"/>
      <c r="N111" s="300"/>
      <c r="O111" s="300"/>
      <c r="P111" s="300"/>
      <c r="Q111" s="300"/>
      <c r="R111" s="300"/>
      <c r="S111" s="300"/>
      <c r="T111" s="300"/>
      <c r="U111" s="300"/>
      <c r="V111" s="300"/>
      <c r="W111" s="300"/>
      <c r="X111" s="300"/>
      <c r="Y111" s="300"/>
      <c r="Z111" s="300"/>
    </row>
    <row r="112" customFormat="false" ht="15.75" hidden="false" customHeight="true" outlineLevel="0" collapsed="false">
      <c r="A112" s="299"/>
      <c r="B112" s="299"/>
      <c r="C112" s="299"/>
      <c r="D112" s="299"/>
      <c r="E112" s="300"/>
      <c r="F112" s="300"/>
      <c r="G112" s="300"/>
      <c r="H112" s="300"/>
      <c r="I112" s="300"/>
      <c r="J112" s="300"/>
      <c r="K112" s="300"/>
      <c r="L112" s="300"/>
      <c r="M112" s="300"/>
      <c r="N112" s="300"/>
      <c r="O112" s="300"/>
      <c r="P112" s="300"/>
      <c r="Q112" s="300"/>
      <c r="R112" s="300"/>
      <c r="S112" s="300"/>
      <c r="T112" s="300"/>
      <c r="U112" s="300"/>
      <c r="V112" s="300"/>
      <c r="W112" s="300"/>
      <c r="X112" s="300"/>
      <c r="Y112" s="300"/>
      <c r="Z112" s="300"/>
    </row>
    <row r="113" customFormat="false" ht="22.5" hidden="false" customHeight="true" outlineLevel="0" collapsed="false">
      <c r="A113" s="332"/>
      <c r="B113" s="333" t="s">
        <v>2085</v>
      </c>
      <c r="C113" s="332"/>
      <c r="D113" s="332"/>
      <c r="E113" s="300"/>
      <c r="F113" s="300"/>
      <c r="G113" s="300"/>
      <c r="H113" s="300"/>
      <c r="I113" s="300"/>
      <c r="J113" s="300"/>
      <c r="K113" s="300"/>
      <c r="L113" s="300"/>
      <c r="M113" s="300"/>
      <c r="N113" s="300"/>
      <c r="O113" s="300"/>
      <c r="P113" s="300"/>
      <c r="Q113" s="300"/>
      <c r="R113" s="300"/>
      <c r="S113" s="300"/>
      <c r="T113" s="300"/>
      <c r="U113" s="300"/>
      <c r="V113" s="300"/>
      <c r="W113" s="300"/>
      <c r="X113" s="300"/>
      <c r="Y113" s="300"/>
      <c r="Z113" s="300"/>
    </row>
    <row r="114" customFormat="false" ht="21" hidden="false" customHeight="true" outlineLevel="0" collapsed="false">
      <c r="A114" s="311"/>
      <c r="B114" s="311" t="s">
        <v>1923</v>
      </c>
      <c r="C114" s="311"/>
      <c r="D114" s="311"/>
      <c r="E114" s="300"/>
      <c r="F114" s="300"/>
      <c r="G114" s="300"/>
      <c r="H114" s="300"/>
      <c r="I114" s="300"/>
      <c r="J114" s="300"/>
      <c r="K114" s="300"/>
      <c r="L114" s="300"/>
      <c r="M114" s="300"/>
      <c r="N114" s="300"/>
      <c r="O114" s="300"/>
      <c r="P114" s="300"/>
      <c r="Q114" s="300"/>
      <c r="R114" s="300"/>
      <c r="S114" s="300"/>
      <c r="T114" s="300"/>
      <c r="U114" s="300"/>
      <c r="V114" s="300"/>
      <c r="W114" s="300"/>
      <c r="X114" s="300"/>
      <c r="Y114" s="300"/>
      <c r="Z114" s="300"/>
    </row>
    <row r="115" customFormat="false" ht="21" hidden="false" customHeight="true" outlineLevel="0" collapsed="false">
      <c r="A115" s="313"/>
      <c r="B115" s="313" t="s">
        <v>2086</v>
      </c>
      <c r="C115" s="313"/>
      <c r="D115" s="313"/>
      <c r="E115" s="300"/>
      <c r="F115" s="300"/>
      <c r="G115" s="300"/>
      <c r="H115" s="300"/>
      <c r="I115" s="300"/>
      <c r="J115" s="300"/>
      <c r="K115" s="300"/>
      <c r="L115" s="300"/>
      <c r="M115" s="300"/>
      <c r="N115" s="300"/>
      <c r="O115" s="300"/>
      <c r="P115" s="300"/>
      <c r="Q115" s="300"/>
      <c r="R115" s="300"/>
      <c r="S115" s="300"/>
      <c r="T115" s="300"/>
      <c r="U115" s="300"/>
      <c r="V115" s="300"/>
      <c r="W115" s="300"/>
      <c r="X115" s="300"/>
      <c r="Y115" s="300"/>
      <c r="Z115" s="300"/>
    </row>
    <row r="116" customFormat="false" ht="21" hidden="false" customHeight="true" outlineLevel="0" collapsed="false">
      <c r="A116" s="313"/>
      <c r="B116" s="313" t="s">
        <v>2087</v>
      </c>
      <c r="C116" s="313"/>
      <c r="D116" s="313"/>
      <c r="E116" s="300"/>
      <c r="F116" s="300"/>
      <c r="G116" s="300"/>
      <c r="H116" s="300"/>
      <c r="I116" s="300"/>
      <c r="J116" s="300"/>
      <c r="K116" s="300"/>
      <c r="L116" s="300"/>
      <c r="M116" s="300"/>
      <c r="N116" s="300"/>
      <c r="O116" s="300"/>
      <c r="P116" s="300"/>
      <c r="Q116" s="300"/>
      <c r="R116" s="300"/>
      <c r="S116" s="300"/>
      <c r="T116" s="300"/>
      <c r="U116" s="300"/>
      <c r="V116" s="300"/>
      <c r="W116" s="300"/>
      <c r="X116" s="300"/>
      <c r="Y116" s="300"/>
      <c r="Z116" s="300"/>
    </row>
    <row r="117" customFormat="false" ht="21" hidden="false" customHeight="true" outlineLevel="0" collapsed="false">
      <c r="A117" s="313"/>
      <c r="B117" s="313" t="s">
        <v>1926</v>
      </c>
      <c r="C117" s="313"/>
      <c r="D117" s="313"/>
      <c r="E117" s="300"/>
      <c r="F117" s="300"/>
      <c r="G117" s="300"/>
      <c r="H117" s="300"/>
      <c r="I117" s="300"/>
      <c r="J117" s="300"/>
      <c r="K117" s="300"/>
      <c r="L117" s="300"/>
      <c r="M117" s="300"/>
      <c r="N117" s="300"/>
      <c r="O117" s="300"/>
      <c r="P117" s="300"/>
      <c r="Q117" s="300"/>
      <c r="R117" s="300"/>
      <c r="S117" s="300"/>
      <c r="T117" s="300"/>
      <c r="U117" s="300"/>
      <c r="V117" s="300"/>
      <c r="W117" s="300"/>
      <c r="X117" s="300"/>
      <c r="Y117" s="300"/>
      <c r="Z117" s="300"/>
    </row>
    <row r="118" customFormat="false" ht="21" hidden="false" customHeight="true" outlineLevel="0" collapsed="false">
      <c r="A118" s="313"/>
      <c r="B118" s="314" t="s">
        <v>2088</v>
      </c>
      <c r="C118" s="313"/>
      <c r="D118" s="313"/>
      <c r="E118" s="300"/>
      <c r="F118" s="300"/>
      <c r="G118" s="300"/>
      <c r="H118" s="300"/>
      <c r="I118" s="300"/>
      <c r="J118" s="300"/>
      <c r="K118" s="300"/>
      <c r="L118" s="300"/>
      <c r="M118" s="300"/>
      <c r="N118" s="300"/>
      <c r="O118" s="300"/>
      <c r="P118" s="300"/>
      <c r="Q118" s="300"/>
      <c r="R118" s="300"/>
      <c r="S118" s="300"/>
      <c r="T118" s="300"/>
      <c r="U118" s="300"/>
      <c r="V118" s="300"/>
      <c r="W118" s="300"/>
      <c r="X118" s="300"/>
      <c r="Y118" s="300"/>
      <c r="Z118" s="300"/>
    </row>
    <row r="119" customFormat="false" ht="15.75" hidden="false" customHeight="true" outlineLevel="0" collapsed="false">
      <c r="A119" s="299"/>
      <c r="B119" s="299"/>
      <c r="C119" s="299"/>
      <c r="D119" s="299"/>
      <c r="E119" s="300"/>
      <c r="F119" s="300"/>
      <c r="G119" s="300"/>
      <c r="H119" s="300"/>
      <c r="I119" s="300"/>
      <c r="J119" s="300"/>
      <c r="K119" s="300"/>
      <c r="L119" s="300"/>
      <c r="M119" s="300"/>
      <c r="N119" s="300"/>
      <c r="O119" s="300"/>
      <c r="P119" s="300"/>
      <c r="Q119" s="300"/>
      <c r="R119" s="300"/>
      <c r="S119" s="300"/>
      <c r="T119" s="300"/>
      <c r="U119" s="300"/>
      <c r="V119" s="300"/>
      <c r="W119" s="300"/>
      <c r="X119" s="300"/>
      <c r="Y119" s="300"/>
      <c r="Z119" s="300"/>
    </row>
    <row r="120" customFormat="false" ht="15.75" hidden="false" customHeight="true" outlineLevel="0" collapsed="false">
      <c r="A120" s="299"/>
      <c r="B120" s="320" t="s">
        <v>2089</v>
      </c>
      <c r="C120" s="299"/>
      <c r="D120" s="299"/>
      <c r="E120" s="300"/>
      <c r="F120" s="300"/>
      <c r="G120" s="300"/>
      <c r="H120" s="300"/>
      <c r="I120" s="300"/>
      <c r="J120" s="300"/>
      <c r="K120" s="300"/>
      <c r="L120" s="300"/>
      <c r="M120" s="300"/>
      <c r="N120" s="300"/>
      <c r="O120" s="300"/>
      <c r="P120" s="300"/>
      <c r="Q120" s="300"/>
      <c r="R120" s="300"/>
      <c r="S120" s="300"/>
      <c r="T120" s="300"/>
      <c r="U120" s="300"/>
      <c r="V120" s="300"/>
      <c r="W120" s="300"/>
      <c r="X120" s="300"/>
      <c r="Y120" s="300"/>
      <c r="Z120" s="300"/>
    </row>
    <row r="121" customFormat="false" ht="22.5" hidden="false" customHeight="true" outlineLevel="0" collapsed="false">
      <c r="A121" s="332"/>
      <c r="B121" s="333" t="s">
        <v>2090</v>
      </c>
      <c r="C121" s="332"/>
      <c r="D121" s="332"/>
      <c r="E121" s="300"/>
      <c r="F121" s="300"/>
      <c r="G121" s="300"/>
      <c r="H121" s="300"/>
      <c r="I121" s="300"/>
      <c r="J121" s="300"/>
      <c r="K121" s="300"/>
      <c r="L121" s="300"/>
      <c r="M121" s="300"/>
      <c r="N121" s="300"/>
      <c r="O121" s="300"/>
      <c r="P121" s="300"/>
      <c r="Q121" s="300"/>
      <c r="R121" s="300"/>
      <c r="S121" s="300"/>
      <c r="T121" s="300"/>
      <c r="U121" s="300"/>
      <c r="V121" s="300"/>
      <c r="W121" s="300"/>
      <c r="X121" s="300"/>
      <c r="Y121" s="300"/>
      <c r="Z121" s="300"/>
    </row>
    <row r="122" customFormat="false" ht="27" hidden="false" customHeight="true" outlineLevel="0" collapsed="false">
      <c r="A122" s="334"/>
      <c r="B122" s="335" t="s">
        <v>2091</v>
      </c>
      <c r="C122" s="334"/>
      <c r="D122" s="334"/>
      <c r="E122" s="300"/>
      <c r="F122" s="300"/>
      <c r="G122" s="300"/>
      <c r="H122" s="300"/>
      <c r="I122" s="300"/>
      <c r="J122" s="300"/>
      <c r="K122" s="300"/>
      <c r="L122" s="300"/>
      <c r="M122" s="300"/>
      <c r="N122" s="300"/>
      <c r="O122" s="300"/>
      <c r="P122" s="300"/>
      <c r="Q122" s="300"/>
      <c r="R122" s="300"/>
      <c r="S122" s="300"/>
      <c r="T122" s="300"/>
      <c r="U122" s="300"/>
      <c r="V122" s="300"/>
      <c r="W122" s="300"/>
      <c r="X122" s="300"/>
      <c r="Y122" s="300"/>
      <c r="Z122" s="300"/>
    </row>
    <row r="123" customFormat="false" ht="27" hidden="false" customHeight="true" outlineLevel="0" collapsed="false">
      <c r="A123" s="323"/>
      <c r="B123" s="336" t="s">
        <v>2092</v>
      </c>
      <c r="C123" s="323"/>
      <c r="D123" s="323"/>
      <c r="E123" s="300"/>
      <c r="F123" s="300"/>
      <c r="G123" s="300"/>
      <c r="H123" s="300"/>
      <c r="I123" s="300"/>
      <c r="J123" s="300"/>
      <c r="K123" s="300"/>
      <c r="L123" s="300"/>
      <c r="M123" s="300"/>
      <c r="N123" s="300"/>
      <c r="O123" s="300"/>
      <c r="P123" s="300"/>
      <c r="Q123" s="300"/>
      <c r="R123" s="300"/>
      <c r="S123" s="300"/>
      <c r="T123" s="300"/>
      <c r="U123" s="300"/>
      <c r="V123" s="300"/>
      <c r="W123" s="300"/>
      <c r="X123" s="300"/>
      <c r="Y123" s="300"/>
      <c r="Z123" s="300"/>
    </row>
    <row r="124" customFormat="false" ht="27" hidden="false" customHeight="true" outlineLevel="0" collapsed="false">
      <c r="A124" s="334"/>
      <c r="B124" s="335" t="s">
        <v>2093</v>
      </c>
      <c r="C124" s="334"/>
      <c r="D124" s="334"/>
      <c r="E124" s="300"/>
      <c r="F124" s="300"/>
      <c r="G124" s="300"/>
      <c r="H124" s="300"/>
      <c r="I124" s="300"/>
      <c r="J124" s="300"/>
      <c r="K124" s="300"/>
      <c r="L124" s="300"/>
      <c r="M124" s="300"/>
      <c r="N124" s="300"/>
      <c r="O124" s="300"/>
      <c r="P124" s="300"/>
      <c r="Q124" s="300"/>
      <c r="R124" s="300"/>
      <c r="S124" s="300"/>
      <c r="T124" s="300"/>
      <c r="U124" s="300"/>
      <c r="V124" s="300"/>
      <c r="W124" s="300"/>
      <c r="X124" s="300"/>
      <c r="Y124" s="300"/>
      <c r="Z124" s="300"/>
    </row>
    <row r="125" customFormat="false" ht="27" hidden="false" customHeight="true" outlineLevel="0" collapsed="false">
      <c r="A125" s="323"/>
      <c r="B125" s="323"/>
      <c r="C125" s="323"/>
      <c r="D125" s="323"/>
      <c r="E125" s="300"/>
      <c r="F125" s="300"/>
      <c r="G125" s="300"/>
      <c r="H125" s="300"/>
      <c r="I125" s="300"/>
      <c r="J125" s="300"/>
      <c r="K125" s="300"/>
      <c r="L125" s="300"/>
      <c r="M125" s="300"/>
      <c r="N125" s="300"/>
      <c r="O125" s="300"/>
      <c r="P125" s="300"/>
      <c r="Q125" s="300"/>
      <c r="R125" s="300"/>
      <c r="S125" s="300"/>
      <c r="T125" s="300"/>
      <c r="U125" s="300"/>
      <c r="V125" s="300"/>
      <c r="W125" s="300"/>
      <c r="X125" s="300"/>
      <c r="Y125" s="300"/>
      <c r="Z125" s="300"/>
    </row>
    <row r="126" customFormat="false" ht="27" hidden="false" customHeight="true" outlineLevel="0" collapsed="false">
      <c r="A126" s="334"/>
      <c r="B126" s="335" t="s">
        <v>2094</v>
      </c>
      <c r="C126" s="334"/>
      <c r="D126" s="334"/>
      <c r="E126" s="300"/>
      <c r="F126" s="300"/>
      <c r="G126" s="300"/>
      <c r="H126" s="300"/>
      <c r="I126" s="300"/>
      <c r="J126" s="300"/>
      <c r="K126" s="300"/>
      <c r="L126" s="300"/>
      <c r="M126" s="300"/>
      <c r="N126" s="300"/>
      <c r="O126" s="300"/>
      <c r="P126" s="300"/>
      <c r="Q126" s="300"/>
      <c r="R126" s="300"/>
      <c r="S126" s="300"/>
      <c r="T126" s="300"/>
      <c r="U126" s="300"/>
      <c r="V126" s="300"/>
      <c r="W126" s="300"/>
      <c r="X126" s="300"/>
      <c r="Y126" s="300"/>
      <c r="Z126" s="300"/>
    </row>
    <row r="127" customFormat="false" ht="27" hidden="false" customHeight="true" outlineLevel="0" collapsed="false">
      <c r="A127" s="323"/>
      <c r="B127" s="323" t="s">
        <v>2095</v>
      </c>
      <c r="C127" s="323"/>
      <c r="D127" s="323"/>
      <c r="E127" s="300"/>
      <c r="F127" s="300"/>
      <c r="G127" s="300"/>
      <c r="H127" s="300"/>
      <c r="I127" s="300"/>
      <c r="J127" s="300"/>
      <c r="K127" s="300"/>
      <c r="L127" s="300"/>
      <c r="M127" s="300"/>
      <c r="N127" s="300"/>
      <c r="O127" s="300"/>
      <c r="P127" s="300"/>
      <c r="Q127" s="300"/>
      <c r="R127" s="300"/>
      <c r="S127" s="300"/>
      <c r="T127" s="300"/>
      <c r="U127" s="300"/>
      <c r="V127" s="300"/>
      <c r="W127" s="300"/>
      <c r="X127" s="300"/>
      <c r="Y127" s="300"/>
      <c r="Z127" s="300"/>
    </row>
    <row r="128" customFormat="false" ht="27" hidden="false" customHeight="true" outlineLevel="0" collapsed="false">
      <c r="A128" s="334"/>
      <c r="B128" s="334" t="s">
        <v>2096</v>
      </c>
      <c r="C128" s="334"/>
      <c r="D128" s="334"/>
      <c r="E128" s="300"/>
      <c r="F128" s="300"/>
      <c r="G128" s="300"/>
      <c r="H128" s="300"/>
      <c r="I128" s="300"/>
      <c r="J128" s="300"/>
      <c r="K128" s="300"/>
      <c r="L128" s="300"/>
      <c r="M128" s="300"/>
      <c r="N128" s="300"/>
      <c r="O128" s="300"/>
      <c r="P128" s="300"/>
      <c r="Q128" s="300"/>
      <c r="R128" s="300"/>
      <c r="S128" s="300"/>
      <c r="T128" s="300"/>
      <c r="U128" s="300"/>
      <c r="V128" s="300"/>
      <c r="W128" s="300"/>
      <c r="X128" s="300"/>
      <c r="Y128" s="300"/>
      <c r="Z128" s="300"/>
    </row>
    <row r="129" customFormat="false" ht="27" hidden="false" customHeight="true" outlineLevel="0" collapsed="false">
      <c r="A129" s="323"/>
      <c r="B129" s="323" t="s">
        <v>2097</v>
      </c>
      <c r="C129" s="323"/>
      <c r="D129" s="323"/>
      <c r="E129" s="300"/>
      <c r="F129" s="300"/>
      <c r="G129" s="300"/>
      <c r="H129" s="300"/>
      <c r="I129" s="300"/>
      <c r="J129" s="300"/>
      <c r="K129" s="300"/>
      <c r="L129" s="300"/>
      <c r="M129" s="300"/>
      <c r="N129" s="300"/>
      <c r="O129" s="300"/>
      <c r="P129" s="300"/>
      <c r="Q129" s="300"/>
      <c r="R129" s="300"/>
      <c r="S129" s="300"/>
      <c r="T129" s="300"/>
      <c r="U129" s="300"/>
      <c r="V129" s="300"/>
      <c r="W129" s="300"/>
      <c r="X129" s="300"/>
      <c r="Y129" s="300"/>
      <c r="Z129" s="300"/>
    </row>
    <row r="130" customFormat="false" ht="27" hidden="false" customHeight="true" outlineLevel="0" collapsed="false">
      <c r="A130" s="334"/>
      <c r="B130" s="334"/>
      <c r="C130" s="334"/>
      <c r="D130" s="334"/>
      <c r="E130" s="300"/>
      <c r="F130" s="300"/>
      <c r="G130" s="300"/>
      <c r="H130" s="300"/>
      <c r="I130" s="300"/>
      <c r="J130" s="300"/>
      <c r="K130" s="300"/>
      <c r="L130" s="300"/>
      <c r="M130" s="300"/>
      <c r="N130" s="300"/>
      <c r="O130" s="300"/>
      <c r="P130" s="300"/>
      <c r="Q130" s="300"/>
      <c r="R130" s="300"/>
      <c r="S130" s="300"/>
      <c r="T130" s="300"/>
      <c r="U130" s="300"/>
      <c r="V130" s="300"/>
      <c r="W130" s="300"/>
      <c r="X130" s="300"/>
      <c r="Y130" s="300"/>
      <c r="Z130" s="300"/>
    </row>
    <row r="131" customFormat="false" ht="27" hidden="false" customHeight="true" outlineLevel="0" collapsed="false">
      <c r="A131" s="323"/>
      <c r="B131" s="336" t="s">
        <v>2098</v>
      </c>
      <c r="C131" s="323"/>
      <c r="D131" s="323"/>
      <c r="E131" s="300"/>
      <c r="F131" s="300"/>
      <c r="G131" s="300"/>
      <c r="H131" s="300"/>
      <c r="I131" s="300"/>
      <c r="J131" s="300"/>
      <c r="K131" s="300"/>
      <c r="L131" s="300"/>
      <c r="M131" s="300"/>
      <c r="N131" s="300"/>
      <c r="O131" s="300"/>
      <c r="P131" s="300"/>
      <c r="Q131" s="300"/>
      <c r="R131" s="300"/>
      <c r="S131" s="300"/>
      <c r="T131" s="300"/>
      <c r="U131" s="300"/>
      <c r="V131" s="300"/>
      <c r="W131" s="300"/>
      <c r="X131" s="300"/>
      <c r="Y131" s="300"/>
      <c r="Z131" s="300"/>
    </row>
    <row r="132" customFormat="false" ht="27" hidden="false" customHeight="true" outlineLevel="0" collapsed="false">
      <c r="A132" s="334"/>
      <c r="B132" s="335" t="s">
        <v>2099</v>
      </c>
      <c r="C132" s="334"/>
      <c r="D132" s="334"/>
      <c r="E132" s="300"/>
      <c r="F132" s="300"/>
      <c r="G132" s="300"/>
      <c r="H132" s="300"/>
      <c r="I132" s="300"/>
      <c r="J132" s="300"/>
      <c r="K132" s="300"/>
      <c r="L132" s="300"/>
      <c r="M132" s="300"/>
      <c r="N132" s="300"/>
      <c r="O132" s="300"/>
      <c r="P132" s="300"/>
      <c r="Q132" s="300"/>
      <c r="R132" s="300"/>
      <c r="S132" s="300"/>
      <c r="T132" s="300"/>
      <c r="U132" s="300"/>
      <c r="V132" s="300"/>
      <c r="W132" s="300"/>
      <c r="X132" s="300"/>
      <c r="Y132" s="300"/>
      <c r="Z132" s="300"/>
    </row>
    <row r="133" customFormat="false" ht="27" hidden="false" customHeight="true" outlineLevel="0" collapsed="false">
      <c r="A133" s="323"/>
      <c r="B133" s="323"/>
      <c r="C133" s="323"/>
      <c r="D133" s="323"/>
      <c r="E133" s="300"/>
      <c r="F133" s="300"/>
      <c r="G133" s="300"/>
      <c r="H133" s="300"/>
      <c r="I133" s="300"/>
      <c r="J133" s="300"/>
      <c r="K133" s="300"/>
      <c r="L133" s="300"/>
      <c r="M133" s="300"/>
      <c r="N133" s="300"/>
      <c r="O133" s="300"/>
      <c r="P133" s="300"/>
      <c r="Q133" s="300"/>
      <c r="R133" s="300"/>
      <c r="S133" s="300"/>
      <c r="T133" s="300"/>
      <c r="U133" s="300"/>
      <c r="V133" s="300"/>
      <c r="W133" s="300"/>
      <c r="X133" s="300"/>
      <c r="Y133" s="300"/>
      <c r="Z133" s="300"/>
    </row>
    <row r="134" customFormat="false" ht="27" hidden="false" customHeight="true" outlineLevel="0" collapsed="false">
      <c r="A134" s="334"/>
      <c r="B134" s="335" t="s">
        <v>2100</v>
      </c>
      <c r="C134" s="334"/>
      <c r="D134" s="334"/>
      <c r="E134" s="300"/>
      <c r="F134" s="300"/>
      <c r="G134" s="300"/>
      <c r="H134" s="300"/>
      <c r="I134" s="300"/>
      <c r="J134" s="300"/>
      <c r="K134" s="300"/>
      <c r="L134" s="300"/>
      <c r="M134" s="300"/>
      <c r="N134" s="300"/>
      <c r="O134" s="300"/>
      <c r="P134" s="300"/>
      <c r="Q134" s="300"/>
      <c r="R134" s="300"/>
      <c r="S134" s="300"/>
      <c r="T134" s="300"/>
      <c r="U134" s="300"/>
      <c r="V134" s="300"/>
      <c r="W134" s="300"/>
      <c r="X134" s="300"/>
      <c r="Y134" s="300"/>
      <c r="Z134" s="300"/>
    </row>
    <row r="135" customFormat="false" ht="27" hidden="false" customHeight="true" outlineLevel="0" collapsed="false">
      <c r="A135" s="323"/>
      <c r="B135" s="336" t="s">
        <v>2101</v>
      </c>
      <c r="C135" s="323"/>
      <c r="D135" s="323"/>
      <c r="E135" s="300"/>
      <c r="F135" s="300"/>
      <c r="G135" s="300"/>
      <c r="H135" s="300"/>
      <c r="I135" s="300"/>
      <c r="J135" s="300"/>
      <c r="K135" s="300"/>
      <c r="L135" s="300"/>
      <c r="M135" s="300"/>
      <c r="N135" s="300"/>
      <c r="O135" s="300"/>
      <c r="P135" s="300"/>
      <c r="Q135" s="300"/>
      <c r="R135" s="300"/>
      <c r="S135" s="300"/>
      <c r="T135" s="300"/>
      <c r="U135" s="300"/>
      <c r="V135" s="300"/>
      <c r="W135" s="300"/>
      <c r="X135" s="300"/>
      <c r="Y135" s="300"/>
      <c r="Z135" s="300"/>
    </row>
    <row r="136" customFormat="false" ht="27" hidden="false" customHeight="true" outlineLevel="0" collapsed="false">
      <c r="A136" s="334"/>
      <c r="B136" s="334"/>
      <c r="C136" s="334"/>
      <c r="D136" s="334"/>
      <c r="E136" s="300"/>
      <c r="F136" s="300"/>
      <c r="G136" s="300"/>
      <c r="H136" s="300"/>
      <c r="I136" s="300"/>
      <c r="J136" s="300"/>
      <c r="K136" s="300"/>
      <c r="L136" s="300"/>
      <c r="M136" s="300"/>
      <c r="N136" s="300"/>
      <c r="O136" s="300"/>
      <c r="P136" s="300"/>
      <c r="Q136" s="300"/>
      <c r="R136" s="300"/>
      <c r="S136" s="300"/>
      <c r="T136" s="300"/>
      <c r="U136" s="300"/>
      <c r="V136" s="300"/>
      <c r="W136" s="300"/>
      <c r="X136" s="300"/>
      <c r="Y136" s="300"/>
      <c r="Z136" s="300"/>
    </row>
    <row r="137" customFormat="false" ht="27" hidden="false" customHeight="true" outlineLevel="0" collapsed="false">
      <c r="A137" s="323"/>
      <c r="B137" s="323"/>
      <c r="C137" s="323"/>
      <c r="D137" s="323"/>
      <c r="E137" s="300"/>
      <c r="F137" s="300"/>
      <c r="G137" s="300"/>
      <c r="H137" s="300"/>
      <c r="I137" s="300"/>
      <c r="J137" s="300"/>
      <c r="K137" s="300"/>
      <c r="L137" s="300"/>
      <c r="M137" s="300"/>
      <c r="N137" s="300"/>
      <c r="O137" s="300"/>
      <c r="P137" s="300"/>
      <c r="Q137" s="300"/>
      <c r="R137" s="300"/>
      <c r="S137" s="300"/>
      <c r="T137" s="300"/>
      <c r="U137" s="300"/>
      <c r="V137" s="300"/>
      <c r="W137" s="300"/>
      <c r="X137" s="300"/>
      <c r="Y137" s="300"/>
      <c r="Z137" s="300"/>
    </row>
    <row r="138" customFormat="false" ht="27" hidden="false" customHeight="true" outlineLevel="0" collapsed="false">
      <c r="A138" s="334"/>
      <c r="B138" s="334"/>
      <c r="C138" s="334"/>
      <c r="D138" s="334"/>
      <c r="E138" s="300"/>
      <c r="F138" s="300"/>
      <c r="G138" s="300"/>
      <c r="H138" s="300"/>
      <c r="I138" s="300"/>
      <c r="J138" s="300"/>
      <c r="K138" s="300"/>
      <c r="L138" s="300"/>
      <c r="M138" s="300"/>
      <c r="N138" s="300"/>
      <c r="O138" s="300"/>
      <c r="P138" s="300"/>
      <c r="Q138" s="300"/>
      <c r="R138" s="300"/>
      <c r="S138" s="300"/>
      <c r="T138" s="300"/>
      <c r="U138" s="300"/>
      <c r="V138" s="300"/>
      <c r="W138" s="300"/>
      <c r="X138" s="300"/>
      <c r="Y138" s="300"/>
      <c r="Z138" s="300"/>
    </row>
    <row r="139" customFormat="false" ht="27" hidden="false" customHeight="true" outlineLevel="0" collapsed="false">
      <c r="A139" s="323"/>
      <c r="B139" s="323"/>
      <c r="C139" s="323"/>
      <c r="D139" s="323"/>
      <c r="E139" s="300"/>
      <c r="F139" s="300"/>
      <c r="G139" s="300"/>
      <c r="H139" s="300"/>
      <c r="I139" s="300"/>
      <c r="J139" s="300"/>
      <c r="K139" s="300"/>
      <c r="L139" s="300"/>
      <c r="M139" s="300"/>
      <c r="N139" s="300"/>
      <c r="O139" s="300"/>
      <c r="P139" s="300"/>
      <c r="Q139" s="300"/>
      <c r="R139" s="300"/>
      <c r="S139" s="300"/>
      <c r="T139" s="300"/>
      <c r="U139" s="300"/>
      <c r="V139" s="300"/>
      <c r="W139" s="300"/>
      <c r="X139" s="300"/>
      <c r="Y139" s="300"/>
      <c r="Z139" s="300"/>
    </row>
    <row r="140" customFormat="false" ht="15.75" hidden="false" customHeight="true" outlineLevel="0" collapsed="false">
      <c r="A140" s="300"/>
      <c r="B140" s="337" t="s">
        <v>2102</v>
      </c>
      <c r="C140" s="300"/>
      <c r="D140" s="300"/>
      <c r="E140" s="300"/>
      <c r="F140" s="300"/>
      <c r="G140" s="300"/>
      <c r="H140" s="300"/>
      <c r="I140" s="300"/>
      <c r="J140" s="300"/>
      <c r="K140" s="300"/>
      <c r="L140" s="300"/>
      <c r="M140" s="300"/>
      <c r="N140" s="300"/>
      <c r="O140" s="300"/>
      <c r="P140" s="300"/>
      <c r="Q140" s="300"/>
      <c r="R140" s="300"/>
      <c r="S140" s="300"/>
      <c r="T140" s="300"/>
      <c r="U140" s="300"/>
      <c r="V140" s="300"/>
      <c r="W140" s="300"/>
      <c r="X140" s="300"/>
      <c r="Y140" s="300"/>
      <c r="Z140" s="300"/>
    </row>
    <row r="141" customFormat="false" ht="15.75" hidden="false" customHeight="true" outlineLevel="0" collapsed="false">
      <c r="A141" s="300"/>
      <c r="B141" s="337" t="s">
        <v>2103</v>
      </c>
      <c r="C141" s="300"/>
      <c r="D141" s="300"/>
      <c r="E141" s="300"/>
      <c r="F141" s="300"/>
      <c r="G141" s="300"/>
      <c r="H141" s="300"/>
      <c r="I141" s="300"/>
      <c r="J141" s="300"/>
      <c r="K141" s="300"/>
      <c r="L141" s="300"/>
      <c r="M141" s="300"/>
      <c r="N141" s="300"/>
      <c r="O141" s="300"/>
      <c r="P141" s="300"/>
      <c r="Q141" s="300"/>
      <c r="R141" s="300"/>
      <c r="S141" s="300"/>
      <c r="T141" s="300"/>
      <c r="U141" s="300"/>
      <c r="V141" s="300"/>
      <c r="W141" s="300"/>
      <c r="X141" s="300"/>
      <c r="Y141" s="300"/>
      <c r="Z141" s="300"/>
    </row>
    <row r="142" customFormat="false" ht="27" hidden="false" customHeight="true" outlineLevel="0" collapsed="false">
      <c r="A142" s="305"/>
      <c r="B142" s="338"/>
      <c r="C142" s="338"/>
      <c r="D142" s="338"/>
      <c r="E142" s="338"/>
      <c r="F142" s="338"/>
      <c r="G142" s="300"/>
      <c r="H142" s="300"/>
      <c r="I142" s="300"/>
      <c r="J142" s="300"/>
      <c r="K142" s="300"/>
      <c r="L142" s="300"/>
      <c r="M142" s="300"/>
      <c r="N142" s="300"/>
      <c r="O142" s="300"/>
      <c r="P142" s="300"/>
      <c r="Q142" s="300"/>
      <c r="R142" s="300"/>
      <c r="S142" s="300"/>
      <c r="T142" s="300"/>
      <c r="U142" s="300"/>
      <c r="V142" s="300"/>
      <c r="W142" s="300"/>
      <c r="X142" s="300"/>
      <c r="Y142" s="300"/>
      <c r="Z142" s="300"/>
    </row>
    <row r="143" customFormat="false" ht="21" hidden="false" customHeight="true" outlineLevel="0" collapsed="false">
      <c r="A143" s="339"/>
      <c r="B143" s="340" t="s">
        <v>2104</v>
      </c>
      <c r="C143" s="339"/>
      <c r="D143" s="339"/>
      <c r="E143" s="339"/>
      <c r="F143" s="339"/>
      <c r="G143" s="300"/>
      <c r="H143" s="300"/>
      <c r="I143" s="300"/>
      <c r="J143" s="300"/>
      <c r="K143" s="300"/>
      <c r="L143" s="300"/>
      <c r="M143" s="300"/>
      <c r="N143" s="300"/>
      <c r="O143" s="300"/>
      <c r="P143" s="300"/>
      <c r="Q143" s="300"/>
      <c r="R143" s="300"/>
      <c r="S143" s="300"/>
      <c r="T143" s="300"/>
      <c r="U143" s="300"/>
      <c r="V143" s="300"/>
      <c r="W143" s="300"/>
      <c r="X143" s="300"/>
      <c r="Y143" s="300"/>
      <c r="Z143" s="300"/>
    </row>
    <row r="144" customFormat="false" ht="15.75" hidden="false" customHeight="true" outlineLevel="0" collapsed="false">
      <c r="A144" s="300"/>
      <c r="B144" s="337" t="s">
        <v>2105</v>
      </c>
      <c r="C144" s="337" t="s">
        <v>2106</v>
      </c>
      <c r="D144" s="300"/>
      <c r="E144" s="300"/>
      <c r="F144" s="300"/>
      <c r="G144" s="300"/>
      <c r="H144" s="300"/>
      <c r="I144" s="300"/>
      <c r="J144" s="300"/>
      <c r="K144" s="300"/>
      <c r="L144" s="300"/>
      <c r="M144" s="300"/>
      <c r="N144" s="300"/>
      <c r="O144" s="300"/>
      <c r="P144" s="300"/>
      <c r="Q144" s="300"/>
      <c r="R144" s="300"/>
      <c r="S144" s="300"/>
      <c r="T144" s="300"/>
      <c r="U144" s="300"/>
      <c r="V144" s="300"/>
      <c r="W144" s="300"/>
      <c r="X144" s="300"/>
      <c r="Y144" s="300"/>
      <c r="Z144" s="300"/>
    </row>
    <row r="145" customFormat="false" ht="22.5" hidden="false" customHeight="true" outlineLevel="0" collapsed="false">
      <c r="A145" s="341"/>
      <c r="B145" s="342" t="s">
        <v>2107</v>
      </c>
      <c r="C145" s="342"/>
      <c r="D145" s="342"/>
      <c r="E145" s="342"/>
      <c r="F145" s="342"/>
      <c r="G145" s="300"/>
      <c r="H145" s="300"/>
      <c r="I145" s="300"/>
      <c r="J145" s="300"/>
      <c r="K145" s="300"/>
      <c r="L145" s="300"/>
      <c r="M145" s="300"/>
      <c r="N145" s="300"/>
      <c r="O145" s="300"/>
      <c r="P145" s="300"/>
      <c r="Q145" s="300"/>
      <c r="R145" s="300"/>
      <c r="S145" s="300"/>
      <c r="T145" s="300"/>
      <c r="U145" s="300"/>
      <c r="V145" s="300"/>
      <c r="W145" s="300"/>
      <c r="X145" s="300"/>
      <c r="Y145" s="300"/>
      <c r="Z145" s="300"/>
    </row>
    <row r="146" customFormat="false" ht="19.5" hidden="false" customHeight="true" outlineLevel="0" collapsed="false">
      <c r="A146" s="300"/>
      <c r="B146" s="343" t="s">
        <v>2108</v>
      </c>
      <c r="C146" s="343" t="s">
        <v>2109</v>
      </c>
      <c r="D146" s="343"/>
      <c r="E146" s="343"/>
      <c r="F146" s="343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00"/>
    </row>
    <row r="147" customFormat="false" ht="19.5" hidden="false" customHeight="true" outlineLevel="0" collapsed="false">
      <c r="A147" s="300"/>
      <c r="B147" s="323"/>
      <c r="C147" s="336" t="s">
        <v>2110</v>
      </c>
      <c r="D147" s="323"/>
      <c r="E147" s="323"/>
      <c r="F147" s="323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00"/>
    </row>
    <row r="148" customFormat="false" ht="19.5" hidden="false" customHeight="true" outlineLevel="0" collapsed="false">
      <c r="A148" s="300"/>
      <c r="B148" s="343"/>
      <c r="C148" s="343" t="s">
        <v>2111</v>
      </c>
      <c r="D148" s="343"/>
      <c r="E148" s="343"/>
      <c r="F148" s="343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00"/>
    </row>
    <row r="149" customFormat="false" ht="19.5" hidden="false" customHeight="true" outlineLevel="0" collapsed="false">
      <c r="A149" s="300"/>
      <c r="B149" s="323"/>
      <c r="C149" s="336" t="s">
        <v>2112</v>
      </c>
      <c r="D149" s="323"/>
      <c r="E149" s="323"/>
      <c r="F149" s="323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00"/>
    </row>
    <row r="150" customFormat="false" ht="19.5" hidden="false" customHeight="true" outlineLevel="0" collapsed="false">
      <c r="A150" s="300"/>
      <c r="B150" s="343"/>
      <c r="C150" s="343" t="s">
        <v>2113</v>
      </c>
      <c r="D150" s="343"/>
      <c r="E150" s="343"/>
      <c r="F150" s="343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00"/>
    </row>
    <row r="151" customFormat="false" ht="19.5" hidden="false" customHeight="true" outlineLevel="0" collapsed="false">
      <c r="A151" s="300"/>
      <c r="B151" s="323"/>
      <c r="C151" s="336" t="s">
        <v>2114</v>
      </c>
      <c r="D151" s="323"/>
      <c r="E151" s="323"/>
      <c r="F151" s="323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00"/>
    </row>
    <row r="152" customFormat="false" ht="19.5" hidden="false" customHeight="true" outlineLevel="0" collapsed="false">
      <c r="A152" s="300"/>
      <c r="B152" s="343"/>
      <c r="C152" s="343" t="s">
        <v>2115</v>
      </c>
      <c r="D152" s="343"/>
      <c r="E152" s="343"/>
      <c r="F152" s="343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00"/>
    </row>
    <row r="153" customFormat="false" ht="19.5" hidden="false" customHeight="true" outlineLevel="0" collapsed="false">
      <c r="A153" s="300"/>
      <c r="B153" s="336" t="s">
        <v>2116</v>
      </c>
      <c r="C153" s="336" t="s">
        <v>2117</v>
      </c>
      <c r="D153" s="323"/>
      <c r="E153" s="323"/>
      <c r="F153" s="323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00"/>
    </row>
    <row r="154" customFormat="false" ht="19.5" hidden="false" customHeight="true" outlineLevel="0" collapsed="false">
      <c r="A154" s="300"/>
      <c r="B154" s="343" t="s">
        <v>2118</v>
      </c>
      <c r="C154" s="343" t="s">
        <v>2119</v>
      </c>
      <c r="D154" s="343"/>
      <c r="E154" s="343"/>
      <c r="F154" s="343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00"/>
    </row>
    <row r="155" customFormat="false" ht="19.5" hidden="false" customHeight="true" outlineLevel="0" collapsed="false">
      <c r="A155" s="300"/>
      <c r="B155" s="336" t="s">
        <v>2120</v>
      </c>
      <c r="C155" s="336" t="s">
        <v>2121</v>
      </c>
      <c r="D155" s="323"/>
      <c r="E155" s="323"/>
      <c r="F155" s="323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00"/>
    </row>
    <row r="156" customFormat="false" ht="7.5" hidden="false" customHeight="true" outlineLevel="0" collapsed="false">
      <c r="A156" s="300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00"/>
    </row>
    <row r="157" customFormat="false" ht="22.5" hidden="false" customHeight="true" outlineLevel="0" collapsed="false">
      <c r="A157" s="341"/>
      <c r="B157" s="342" t="s">
        <v>2122</v>
      </c>
      <c r="C157" s="342"/>
      <c r="D157" s="342"/>
      <c r="E157" s="342"/>
      <c r="F157" s="342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00"/>
    </row>
    <row r="158" customFormat="false" ht="19.5" hidden="false" customHeight="true" outlineLevel="0" collapsed="false">
      <c r="A158" s="300"/>
      <c r="B158" s="343" t="s">
        <v>2123</v>
      </c>
      <c r="C158" s="343"/>
      <c r="D158" s="343"/>
      <c r="E158" s="343"/>
      <c r="F158" s="343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00"/>
    </row>
    <row r="159" customFormat="false" ht="19.5" hidden="false" customHeight="true" outlineLevel="0" collapsed="false">
      <c r="A159" s="300"/>
      <c r="B159" s="336" t="s">
        <v>2124</v>
      </c>
      <c r="C159" s="323" t="s">
        <v>2125</v>
      </c>
      <c r="D159" s="323"/>
      <c r="E159" s="323"/>
      <c r="F159" s="323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00"/>
    </row>
    <row r="160" customFormat="false" ht="19.5" hidden="false" customHeight="true" outlineLevel="0" collapsed="false">
      <c r="A160" s="300"/>
      <c r="B160" s="343" t="s">
        <v>2126</v>
      </c>
      <c r="C160" s="344" t="s">
        <v>2127</v>
      </c>
      <c r="D160" s="344"/>
      <c r="E160" s="344"/>
      <c r="F160" s="344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00"/>
    </row>
    <row r="161" customFormat="false" ht="19.5" hidden="false" customHeight="true" outlineLevel="0" collapsed="false">
      <c r="A161" s="300"/>
      <c r="B161" s="336" t="s">
        <v>2128</v>
      </c>
      <c r="C161" s="323" t="s">
        <v>2129</v>
      </c>
      <c r="D161" s="323"/>
      <c r="E161" s="323"/>
      <c r="F161" s="323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00"/>
    </row>
    <row r="162" customFormat="false" ht="19.5" hidden="false" customHeight="true" outlineLevel="0" collapsed="false">
      <c r="A162" s="300"/>
      <c r="B162" s="343" t="s">
        <v>2130</v>
      </c>
      <c r="C162" s="343" t="s">
        <v>2131</v>
      </c>
      <c r="D162" s="344"/>
      <c r="E162" s="344"/>
      <c r="F162" s="344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00"/>
    </row>
    <row r="163" customFormat="false" ht="19.5" hidden="false" customHeight="true" outlineLevel="0" collapsed="false">
      <c r="A163" s="300"/>
      <c r="B163" s="336" t="s">
        <v>2132</v>
      </c>
      <c r="C163" s="323" t="s">
        <v>2133</v>
      </c>
      <c r="D163" s="323"/>
      <c r="E163" s="323"/>
      <c r="F163" s="323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00"/>
    </row>
    <row r="164" customFormat="false" ht="19.5" hidden="false" customHeight="true" outlineLevel="0" collapsed="false">
      <c r="A164" s="300"/>
      <c r="B164" s="343" t="s">
        <v>2134</v>
      </c>
      <c r="C164" s="344"/>
      <c r="D164" s="344"/>
      <c r="E164" s="344"/>
      <c r="F164" s="344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00"/>
    </row>
    <row r="165" customFormat="false" ht="19.5" hidden="false" customHeight="true" outlineLevel="0" collapsed="false">
      <c r="A165" s="300"/>
      <c r="B165" s="323"/>
      <c r="C165" s="323"/>
      <c r="D165" s="323"/>
      <c r="E165" s="323"/>
      <c r="F165" s="323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00"/>
    </row>
    <row r="166" customFormat="false" ht="21.75" hidden="false" customHeight="true" outlineLevel="0" collapsed="false">
      <c r="A166" s="300"/>
      <c r="B166" s="337" t="s">
        <v>2135</v>
      </c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00"/>
    </row>
    <row r="167" customFormat="false" ht="22.5" hidden="false" customHeight="true" outlineLevel="0" collapsed="false">
      <c r="A167" s="345"/>
      <c r="B167" s="346" t="s">
        <v>2136</v>
      </c>
      <c r="C167" s="346"/>
      <c r="D167" s="346"/>
      <c r="E167" s="346"/>
      <c r="F167" s="346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00"/>
    </row>
    <row r="168" customFormat="false" ht="19.5" hidden="false" customHeight="true" outlineLevel="0" collapsed="false">
      <c r="A168" s="300"/>
      <c r="B168" s="347" t="s">
        <v>2137</v>
      </c>
      <c r="C168" s="347" t="s">
        <v>2138</v>
      </c>
      <c r="D168" s="347"/>
      <c r="E168" s="347"/>
      <c r="F168" s="347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00"/>
    </row>
    <row r="169" customFormat="false" ht="19.5" hidden="false" customHeight="true" outlineLevel="0" collapsed="false">
      <c r="A169" s="300"/>
      <c r="B169" s="348" t="s">
        <v>2139</v>
      </c>
      <c r="C169" s="348" t="s">
        <v>2140</v>
      </c>
      <c r="D169" s="348"/>
      <c r="E169" s="348"/>
      <c r="F169" s="348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00"/>
    </row>
    <row r="170" customFormat="false" ht="19.5" hidden="false" customHeight="true" outlineLevel="0" collapsed="false">
      <c r="A170" s="300"/>
      <c r="B170" s="347" t="s">
        <v>2141</v>
      </c>
      <c r="C170" s="347" t="s">
        <v>2142</v>
      </c>
      <c r="D170" s="347"/>
      <c r="E170" s="347"/>
      <c r="F170" s="347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00"/>
    </row>
    <row r="171" customFormat="false" ht="19.5" hidden="false" customHeight="true" outlineLevel="0" collapsed="false">
      <c r="A171" s="300"/>
      <c r="B171" s="348" t="s">
        <v>2143</v>
      </c>
      <c r="C171" s="348" t="s">
        <v>2144</v>
      </c>
      <c r="D171" s="348"/>
      <c r="E171" s="348"/>
      <c r="F171" s="348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00"/>
    </row>
    <row r="172" customFormat="false" ht="19.5" hidden="false" customHeight="true" outlineLevel="0" collapsed="false">
      <c r="A172" s="300"/>
      <c r="B172" s="347" t="s">
        <v>2145</v>
      </c>
      <c r="C172" s="347" t="s">
        <v>2146</v>
      </c>
      <c r="D172" s="347"/>
      <c r="E172" s="347"/>
      <c r="F172" s="347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00"/>
    </row>
    <row r="173" customFormat="false" ht="19.5" hidden="false" customHeight="true" outlineLevel="0" collapsed="false">
      <c r="A173" s="300"/>
      <c r="B173" s="348"/>
      <c r="C173" s="348"/>
      <c r="D173" s="348"/>
      <c r="E173" s="348"/>
      <c r="F173" s="348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00"/>
    </row>
    <row r="174" customFormat="false" ht="7.5" hidden="false" customHeight="true" outlineLevel="0" collapsed="false">
      <c r="A174" s="300"/>
      <c r="B174" s="337" t="s">
        <v>2147</v>
      </c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00"/>
    </row>
    <row r="175" customFormat="false" ht="22.5" hidden="false" customHeight="true" outlineLevel="0" collapsed="false">
      <c r="A175" s="349"/>
      <c r="B175" s="350" t="s">
        <v>2148</v>
      </c>
      <c r="C175" s="350"/>
      <c r="D175" s="350"/>
      <c r="E175" s="350"/>
      <c r="F175" s="35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00"/>
    </row>
    <row r="176" customFormat="false" ht="19.5" hidden="false" customHeight="true" outlineLevel="0" collapsed="false">
      <c r="A176" s="300"/>
      <c r="B176" s="351" t="s">
        <v>2149</v>
      </c>
      <c r="C176" s="352" t="s">
        <v>2150</v>
      </c>
      <c r="D176" s="352"/>
      <c r="E176" s="352"/>
      <c r="F176" s="352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00"/>
    </row>
    <row r="177" customFormat="false" ht="19.5" hidden="false" customHeight="true" outlineLevel="0" collapsed="false">
      <c r="A177" s="300"/>
      <c r="B177" s="336" t="s">
        <v>2151</v>
      </c>
      <c r="C177" s="323" t="s">
        <v>2152</v>
      </c>
      <c r="D177" s="323"/>
      <c r="E177" s="323"/>
      <c r="F177" s="323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00"/>
    </row>
    <row r="178" customFormat="false" ht="19.5" hidden="false" customHeight="true" outlineLevel="0" collapsed="false">
      <c r="A178" s="300"/>
      <c r="B178" s="351" t="s">
        <v>2153</v>
      </c>
      <c r="C178" s="352" t="s">
        <v>2154</v>
      </c>
      <c r="D178" s="352"/>
      <c r="E178" s="352"/>
      <c r="F178" s="352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00"/>
    </row>
    <row r="179" customFormat="false" ht="19.5" hidden="false" customHeight="true" outlineLevel="0" collapsed="false">
      <c r="A179" s="300"/>
      <c r="B179" s="336" t="s">
        <v>2155</v>
      </c>
      <c r="C179" s="323" t="s">
        <v>2156</v>
      </c>
      <c r="D179" s="323"/>
      <c r="E179" s="323"/>
      <c r="F179" s="323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00"/>
    </row>
    <row r="180" customFormat="false" ht="19.5" hidden="false" customHeight="true" outlineLevel="0" collapsed="false">
      <c r="A180" s="300"/>
      <c r="B180" s="351" t="s">
        <v>2157</v>
      </c>
      <c r="C180" s="352" t="s">
        <v>2158</v>
      </c>
      <c r="D180" s="352"/>
      <c r="E180" s="352"/>
      <c r="F180" s="352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00"/>
    </row>
    <row r="181" customFormat="false" ht="19.5" hidden="false" customHeight="true" outlineLevel="0" collapsed="false">
      <c r="A181" s="300"/>
      <c r="B181" s="336" t="s">
        <v>2159</v>
      </c>
      <c r="C181" s="323" t="s">
        <v>2160</v>
      </c>
      <c r="D181" s="323"/>
      <c r="E181" s="323"/>
      <c r="F181" s="323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00"/>
    </row>
    <row r="182" customFormat="false" ht="19.5" hidden="false" customHeight="true" outlineLevel="0" collapsed="false">
      <c r="A182" s="300"/>
      <c r="B182" s="351" t="s">
        <v>2161</v>
      </c>
      <c r="C182" s="352" t="s">
        <v>2162</v>
      </c>
      <c r="D182" s="352"/>
      <c r="E182" s="352"/>
      <c r="F182" s="352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00"/>
    </row>
    <row r="183" customFormat="false" ht="19.5" hidden="false" customHeight="true" outlineLevel="0" collapsed="false">
      <c r="A183" s="300"/>
      <c r="B183" s="323"/>
      <c r="C183" s="323"/>
      <c r="D183" s="323"/>
      <c r="E183" s="323"/>
      <c r="F183" s="323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00"/>
    </row>
    <row r="184" customFormat="false" ht="7.5" hidden="false" customHeight="true" outlineLevel="0" collapsed="false">
      <c r="A184" s="300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00"/>
    </row>
    <row r="185" customFormat="false" ht="22.5" hidden="false" customHeight="true" outlineLevel="0" collapsed="false">
      <c r="A185" s="349"/>
      <c r="B185" s="350"/>
      <c r="C185" s="350"/>
      <c r="D185" s="350"/>
      <c r="E185" s="350"/>
      <c r="F185" s="35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00"/>
    </row>
    <row r="186" customFormat="false" ht="19.5" hidden="false" customHeight="true" outlineLevel="0" collapsed="false">
      <c r="A186" s="300"/>
      <c r="B186" s="352"/>
      <c r="C186" s="352"/>
      <c r="D186" s="352"/>
      <c r="E186" s="352"/>
      <c r="F186" s="352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00"/>
    </row>
    <row r="187" customFormat="false" ht="19.5" hidden="false" customHeight="true" outlineLevel="0" collapsed="false">
      <c r="A187" s="300"/>
      <c r="B187" s="323"/>
      <c r="C187" s="323"/>
      <c r="D187" s="323"/>
      <c r="E187" s="323"/>
      <c r="F187" s="323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00"/>
    </row>
    <row r="188" customFormat="false" ht="19.5" hidden="false" customHeight="true" outlineLevel="0" collapsed="false">
      <c r="A188" s="300"/>
      <c r="B188" s="352"/>
      <c r="C188" s="352"/>
      <c r="D188" s="352"/>
      <c r="E188" s="352"/>
      <c r="F188" s="352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00"/>
    </row>
    <row r="189" customFormat="false" ht="19.5" hidden="false" customHeight="true" outlineLevel="0" collapsed="false">
      <c r="A189" s="300"/>
      <c r="B189" s="323"/>
      <c r="C189" s="323"/>
      <c r="D189" s="323"/>
      <c r="E189" s="323"/>
      <c r="F189" s="323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00"/>
    </row>
    <row r="190" customFormat="false" ht="19.5" hidden="false" customHeight="true" outlineLevel="0" collapsed="false">
      <c r="A190" s="300"/>
      <c r="B190" s="352"/>
      <c r="C190" s="352"/>
      <c r="D190" s="352"/>
      <c r="E190" s="352"/>
      <c r="F190" s="352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00"/>
    </row>
    <row r="191" customFormat="false" ht="15.75" hidden="false" customHeight="true" outlineLevel="0" collapsed="false">
      <c r="A191" s="300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00"/>
    </row>
    <row r="192" customFormat="false" ht="15.75" hidden="false" customHeight="true" outlineLevel="0" collapsed="false">
      <c r="A192" s="300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00"/>
    </row>
    <row r="193" customFormat="false" ht="15.75" hidden="false" customHeight="true" outlineLevel="0" collapsed="false">
      <c r="A193" s="300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00"/>
    </row>
    <row r="194" customFormat="false" ht="15.75" hidden="false" customHeight="true" outlineLevel="0" collapsed="false">
      <c r="A194" s="300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00"/>
    </row>
    <row r="195" customFormat="false" ht="15.75" hidden="false" customHeight="true" outlineLevel="0" collapsed="false">
      <c r="A195" s="300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00"/>
    </row>
    <row r="196" customFormat="false" ht="15.75" hidden="false" customHeight="true" outlineLevel="0" collapsed="false">
      <c r="A196" s="300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00"/>
    </row>
    <row r="197" customFormat="false" ht="15.75" hidden="false" customHeight="true" outlineLevel="0" collapsed="false">
      <c r="A197" s="300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00"/>
    </row>
    <row r="198" customFormat="false" ht="15.75" hidden="false" customHeight="true" outlineLevel="0" collapsed="false">
      <c r="A198" s="300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00"/>
    </row>
    <row r="199" customFormat="false" ht="15.75" hidden="false" customHeight="true" outlineLevel="0" collapsed="false">
      <c r="A199" s="300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00"/>
    </row>
    <row r="200" customFormat="false" ht="15.75" hidden="false" customHeight="true" outlineLevel="0" collapsed="false">
      <c r="A200" s="300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00"/>
    </row>
    <row r="201" customFormat="false" ht="15.75" hidden="false" customHeight="true" outlineLevel="0" collapsed="false">
      <c r="A201" s="300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00"/>
    </row>
    <row r="202" customFormat="false" ht="15.75" hidden="false" customHeight="true" outlineLevel="0" collapsed="false">
      <c r="A202" s="300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00"/>
    </row>
    <row r="203" customFormat="false" ht="15.75" hidden="false" customHeight="true" outlineLevel="0" collapsed="false">
      <c r="A203" s="300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00"/>
    </row>
    <row r="204" customFormat="false" ht="15.75" hidden="false" customHeight="true" outlineLevel="0" collapsed="false">
      <c r="A204" s="300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00"/>
    </row>
    <row r="205" customFormat="false" ht="15.75" hidden="false" customHeight="true" outlineLevel="0" collapsed="false">
      <c r="A205" s="300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00"/>
    </row>
    <row r="206" customFormat="false" ht="15.75" hidden="false" customHeight="true" outlineLevel="0" collapsed="false">
      <c r="A206" s="300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00"/>
    </row>
    <row r="207" customFormat="false" ht="15.75" hidden="false" customHeight="true" outlineLevel="0" collapsed="false">
      <c r="A207" s="300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00"/>
    </row>
    <row r="208" customFormat="false" ht="15.75" hidden="false" customHeight="true" outlineLevel="0" collapsed="false">
      <c r="A208" s="300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00"/>
    </row>
    <row r="209" customFormat="false" ht="15.75" hidden="false" customHeight="true" outlineLevel="0" collapsed="false">
      <c r="A209" s="300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00"/>
    </row>
    <row r="210" customFormat="false" ht="15.75" hidden="false" customHeight="true" outlineLevel="0" collapsed="false">
      <c r="A210" s="300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00"/>
    </row>
    <row r="211" customFormat="false" ht="15.75" hidden="false" customHeight="true" outlineLevel="0" collapsed="false">
      <c r="A211" s="300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00"/>
    </row>
    <row r="212" customFormat="false" ht="15.75" hidden="false" customHeight="true" outlineLevel="0" collapsed="false">
      <c r="A212" s="300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00"/>
    </row>
    <row r="213" customFormat="false" ht="15.75" hidden="false" customHeight="true" outlineLevel="0" collapsed="false">
      <c r="A213" s="300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00"/>
    </row>
    <row r="214" customFormat="false" ht="15.75" hidden="false" customHeight="true" outlineLevel="0" collapsed="false">
      <c r="A214" s="300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00"/>
    </row>
    <row r="215" customFormat="false" ht="15.75" hidden="false" customHeight="true" outlineLevel="0" collapsed="false">
      <c r="A215" s="300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00"/>
    </row>
    <row r="216" customFormat="false" ht="15.75" hidden="false" customHeight="true" outlineLevel="0" collapsed="false">
      <c r="A216" s="300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00"/>
    </row>
    <row r="217" customFormat="false" ht="15.75" hidden="false" customHeight="true" outlineLevel="0" collapsed="false">
      <c r="A217" s="300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00"/>
    </row>
    <row r="218" customFormat="false" ht="15.75" hidden="false" customHeight="true" outlineLevel="0" collapsed="false">
      <c r="A218" s="300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00"/>
    </row>
    <row r="219" customFormat="false" ht="15.75" hidden="false" customHeight="true" outlineLevel="0" collapsed="false">
      <c r="A219" s="300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00"/>
    </row>
    <row r="220" customFormat="false" ht="15.75" hidden="false" customHeight="true" outlineLevel="0" collapsed="false">
      <c r="A220" s="300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00"/>
    </row>
    <row r="221" customFormat="false" ht="15.75" hidden="false" customHeight="true" outlineLevel="0" collapsed="false">
      <c r="A221" s="300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00"/>
    </row>
    <row r="222" customFormat="false" ht="15.75" hidden="false" customHeight="true" outlineLevel="0" collapsed="false">
      <c r="A222" s="300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00"/>
    </row>
    <row r="223" customFormat="false" ht="15.75" hidden="false" customHeight="true" outlineLevel="0" collapsed="false">
      <c r="A223" s="300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00"/>
    </row>
    <row r="224" customFormat="false" ht="15.75" hidden="false" customHeight="true" outlineLevel="0" collapsed="false">
      <c r="A224" s="300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00"/>
    </row>
    <row r="225" customFormat="false" ht="15.75" hidden="false" customHeight="true" outlineLevel="0" collapsed="false">
      <c r="A225" s="300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00"/>
    </row>
    <row r="226" customFormat="false" ht="15.75" hidden="false" customHeight="true" outlineLevel="0" collapsed="false">
      <c r="A226" s="300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00"/>
    </row>
    <row r="227" customFormat="false" ht="15.75" hidden="false" customHeight="true" outlineLevel="0" collapsed="false">
      <c r="A227" s="300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00"/>
    </row>
    <row r="228" customFormat="false" ht="15.75" hidden="false" customHeight="true" outlineLevel="0" collapsed="false">
      <c r="A228" s="300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00"/>
    </row>
    <row r="229" customFormat="false" ht="15.75" hidden="false" customHeight="true" outlineLevel="0" collapsed="false">
      <c r="A229" s="300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00"/>
    </row>
    <row r="230" customFormat="false" ht="15.75" hidden="false" customHeight="true" outlineLevel="0" collapsed="false">
      <c r="A230" s="300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00"/>
    </row>
    <row r="231" customFormat="false" ht="15.75" hidden="false" customHeight="true" outlineLevel="0" collapsed="false">
      <c r="A231" s="300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00"/>
    </row>
    <row r="232" customFormat="false" ht="15.75" hidden="false" customHeight="true" outlineLevel="0" collapsed="false">
      <c r="A232" s="300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00"/>
    </row>
    <row r="233" customFormat="false" ht="15.75" hidden="false" customHeight="true" outlineLevel="0" collapsed="false">
      <c r="A233" s="300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00"/>
    </row>
    <row r="234" customFormat="false" ht="15.75" hidden="false" customHeight="true" outlineLevel="0" collapsed="false">
      <c r="A234" s="300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00"/>
    </row>
    <row r="235" customFormat="false" ht="15.75" hidden="false" customHeight="true" outlineLevel="0" collapsed="false">
      <c r="A235" s="300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00"/>
    </row>
    <row r="236" customFormat="false" ht="15.75" hidden="false" customHeight="true" outlineLevel="0" collapsed="false">
      <c r="A236" s="300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00"/>
    </row>
    <row r="237" customFormat="false" ht="15.75" hidden="false" customHeight="true" outlineLevel="0" collapsed="false">
      <c r="A237" s="300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00"/>
    </row>
    <row r="238" customFormat="false" ht="15.75" hidden="false" customHeight="true" outlineLevel="0" collapsed="false">
      <c r="A238" s="300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00"/>
    </row>
    <row r="239" customFormat="false" ht="15.75" hidden="false" customHeight="true" outlineLevel="0" collapsed="false">
      <c r="A239" s="300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00"/>
    </row>
    <row r="240" customFormat="false" ht="15.75" hidden="false" customHeight="true" outlineLevel="0" collapsed="false">
      <c r="A240" s="300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00"/>
    </row>
    <row r="241" customFormat="false" ht="15.75" hidden="false" customHeight="true" outlineLevel="0" collapsed="false">
      <c r="A241" s="300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00"/>
    </row>
    <row r="242" customFormat="false" ht="15.75" hidden="false" customHeight="true" outlineLevel="0" collapsed="false">
      <c r="A242" s="300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00"/>
    </row>
    <row r="243" customFormat="false" ht="15.75" hidden="false" customHeight="true" outlineLevel="0" collapsed="false">
      <c r="A243" s="300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00"/>
    </row>
    <row r="244" customFormat="false" ht="15.75" hidden="false" customHeight="true" outlineLevel="0" collapsed="false">
      <c r="A244" s="300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00"/>
    </row>
    <row r="245" customFormat="false" ht="15.75" hidden="false" customHeight="true" outlineLevel="0" collapsed="false">
      <c r="A245" s="300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00"/>
    </row>
    <row r="246" customFormat="false" ht="15.75" hidden="false" customHeight="true" outlineLevel="0" collapsed="false">
      <c r="A246" s="300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00"/>
    </row>
    <row r="247" customFormat="false" ht="15.75" hidden="false" customHeight="true" outlineLevel="0" collapsed="false">
      <c r="A247" s="300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00"/>
    </row>
    <row r="248" customFormat="false" ht="15.75" hidden="false" customHeight="true" outlineLevel="0" collapsed="false">
      <c r="A248" s="300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00"/>
    </row>
    <row r="249" customFormat="false" ht="15.75" hidden="false" customHeight="true" outlineLevel="0" collapsed="false">
      <c r="A249" s="300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00"/>
    </row>
    <row r="250" customFormat="false" ht="15.75" hidden="false" customHeight="true" outlineLevel="0" collapsed="false">
      <c r="A250" s="300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00"/>
    </row>
    <row r="251" customFormat="false" ht="15.75" hidden="false" customHeight="true" outlineLevel="0" collapsed="false">
      <c r="A251" s="300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00"/>
    </row>
    <row r="252" customFormat="false" ht="15.75" hidden="false" customHeight="true" outlineLevel="0" collapsed="false">
      <c r="A252" s="300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00"/>
    </row>
    <row r="253" customFormat="false" ht="15.75" hidden="false" customHeight="true" outlineLevel="0" collapsed="false">
      <c r="A253" s="300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00"/>
    </row>
    <row r="254" customFormat="false" ht="15.75" hidden="false" customHeight="true" outlineLevel="0" collapsed="false">
      <c r="A254" s="300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00"/>
    </row>
    <row r="255" customFormat="false" ht="15.75" hidden="false" customHeight="true" outlineLevel="0" collapsed="false">
      <c r="A255" s="300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00"/>
    </row>
    <row r="256" customFormat="false" ht="15.75" hidden="false" customHeight="true" outlineLevel="0" collapsed="false">
      <c r="A256" s="300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00"/>
    </row>
    <row r="257" customFormat="false" ht="15.75" hidden="false" customHeight="true" outlineLevel="0" collapsed="false">
      <c r="A257" s="300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00"/>
    </row>
    <row r="258" customFormat="false" ht="15.75" hidden="false" customHeight="true" outlineLevel="0" collapsed="false">
      <c r="A258" s="300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00"/>
    </row>
    <row r="259" customFormat="false" ht="15.75" hidden="false" customHeight="true" outlineLevel="0" collapsed="false">
      <c r="A259" s="300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00"/>
    </row>
    <row r="260" customFormat="false" ht="15.75" hidden="false" customHeight="true" outlineLevel="0" collapsed="false">
      <c r="A260" s="300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00"/>
    </row>
    <row r="261" customFormat="false" ht="15.75" hidden="false" customHeight="true" outlineLevel="0" collapsed="false">
      <c r="A261" s="300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00"/>
    </row>
    <row r="262" customFormat="false" ht="15.75" hidden="false" customHeight="true" outlineLevel="0" collapsed="false">
      <c r="A262" s="300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00"/>
    </row>
    <row r="263" customFormat="false" ht="15.75" hidden="false" customHeight="true" outlineLevel="0" collapsed="false">
      <c r="A263" s="300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00"/>
    </row>
    <row r="264" customFormat="false" ht="15.75" hidden="false" customHeight="true" outlineLevel="0" collapsed="false">
      <c r="A264" s="300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00"/>
    </row>
    <row r="265" customFormat="false" ht="15.75" hidden="false" customHeight="true" outlineLevel="0" collapsed="false">
      <c r="A265" s="300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00"/>
    </row>
    <row r="266" customFormat="false" ht="15.75" hidden="false" customHeight="true" outlineLevel="0" collapsed="false">
      <c r="A266" s="300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00"/>
    </row>
    <row r="267" customFormat="false" ht="15.75" hidden="false" customHeight="true" outlineLevel="0" collapsed="false">
      <c r="A267" s="300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00"/>
    </row>
    <row r="268" customFormat="false" ht="15.75" hidden="false" customHeight="true" outlineLevel="0" collapsed="false">
      <c r="A268" s="300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00"/>
    </row>
    <row r="269" customFormat="false" ht="15.75" hidden="false" customHeight="true" outlineLevel="0" collapsed="false">
      <c r="A269" s="300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00"/>
    </row>
    <row r="270" customFormat="false" ht="15.75" hidden="false" customHeight="true" outlineLevel="0" collapsed="false">
      <c r="A270" s="300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00"/>
    </row>
    <row r="271" customFormat="false" ht="15.75" hidden="false" customHeight="true" outlineLevel="0" collapsed="false">
      <c r="A271" s="300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00"/>
    </row>
    <row r="272" customFormat="false" ht="15.75" hidden="false" customHeight="true" outlineLevel="0" collapsed="false">
      <c r="A272" s="300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00"/>
    </row>
    <row r="273" customFormat="false" ht="15.75" hidden="false" customHeight="true" outlineLevel="0" collapsed="false">
      <c r="A273" s="300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00"/>
    </row>
    <row r="274" customFormat="false" ht="15.75" hidden="false" customHeight="true" outlineLevel="0" collapsed="false">
      <c r="A274" s="300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00"/>
    </row>
    <row r="275" customFormat="false" ht="15.75" hidden="false" customHeight="true" outlineLevel="0" collapsed="false">
      <c r="A275" s="300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00"/>
    </row>
    <row r="276" customFormat="false" ht="15.75" hidden="false" customHeight="true" outlineLevel="0" collapsed="false">
      <c r="A276" s="300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00"/>
    </row>
    <row r="277" customFormat="false" ht="15.75" hidden="false" customHeight="true" outlineLevel="0" collapsed="false">
      <c r="A277" s="300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00"/>
    </row>
    <row r="278" customFormat="false" ht="15.75" hidden="false" customHeight="true" outlineLevel="0" collapsed="false">
      <c r="A278" s="300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00"/>
    </row>
    <row r="279" customFormat="false" ht="15.75" hidden="false" customHeight="true" outlineLevel="0" collapsed="false">
      <c r="A279" s="300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00"/>
    </row>
    <row r="280" customFormat="false" ht="15.75" hidden="false" customHeight="true" outlineLevel="0" collapsed="false">
      <c r="A280" s="300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00"/>
    </row>
    <row r="281" customFormat="false" ht="15.75" hidden="false" customHeight="true" outlineLevel="0" collapsed="false">
      <c r="A281" s="300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00"/>
    </row>
    <row r="282" customFormat="false" ht="15.75" hidden="false" customHeight="true" outlineLevel="0" collapsed="false">
      <c r="A282" s="300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00"/>
    </row>
    <row r="283" customFormat="false" ht="15.75" hidden="false" customHeight="true" outlineLevel="0" collapsed="false">
      <c r="A283" s="300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00"/>
    </row>
    <row r="284" customFormat="false" ht="15.75" hidden="false" customHeight="true" outlineLevel="0" collapsed="false">
      <c r="A284" s="300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00"/>
    </row>
    <row r="285" customFormat="false" ht="15.75" hidden="false" customHeight="true" outlineLevel="0" collapsed="false">
      <c r="A285" s="300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00"/>
    </row>
    <row r="286" customFormat="false" ht="15.75" hidden="false" customHeight="true" outlineLevel="0" collapsed="false">
      <c r="A286" s="300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00"/>
    </row>
    <row r="287" customFormat="false" ht="15.75" hidden="false" customHeight="true" outlineLevel="0" collapsed="false">
      <c r="A287" s="300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00"/>
    </row>
    <row r="288" customFormat="false" ht="15.75" hidden="false" customHeight="true" outlineLevel="0" collapsed="false">
      <c r="A288" s="300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00"/>
    </row>
    <row r="289" customFormat="false" ht="15.75" hidden="false" customHeight="true" outlineLevel="0" collapsed="false">
      <c r="A289" s="300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00"/>
    </row>
    <row r="290" customFormat="false" ht="15.75" hidden="false" customHeight="true" outlineLevel="0" collapsed="false">
      <c r="A290" s="300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00"/>
    </row>
    <row r="291" customFormat="false" ht="15.75" hidden="false" customHeight="true" outlineLevel="0" collapsed="false">
      <c r="A291" s="300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00"/>
    </row>
    <row r="292" customFormat="false" ht="15.75" hidden="false" customHeight="true" outlineLevel="0" collapsed="false">
      <c r="A292" s="300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00"/>
    </row>
    <row r="293" customFormat="false" ht="15.75" hidden="false" customHeight="true" outlineLevel="0" collapsed="false">
      <c r="A293" s="300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00"/>
    </row>
    <row r="294" customFormat="false" ht="15.75" hidden="false" customHeight="true" outlineLevel="0" collapsed="false">
      <c r="A294" s="300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00"/>
    </row>
    <row r="295" customFormat="false" ht="15.75" hidden="false" customHeight="true" outlineLevel="0" collapsed="false">
      <c r="A295" s="300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00"/>
    </row>
    <row r="296" customFormat="false" ht="15.75" hidden="false" customHeight="true" outlineLevel="0" collapsed="false">
      <c r="A296" s="300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00"/>
    </row>
    <row r="297" customFormat="false" ht="15.75" hidden="false" customHeight="true" outlineLevel="0" collapsed="false">
      <c r="A297" s="300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00"/>
    </row>
    <row r="298" customFormat="false" ht="15.75" hidden="false" customHeight="true" outlineLevel="0" collapsed="false">
      <c r="A298" s="300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00"/>
    </row>
    <row r="299" customFormat="false" ht="15.75" hidden="false" customHeight="true" outlineLevel="0" collapsed="false">
      <c r="A299" s="300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00"/>
    </row>
    <row r="300" customFormat="false" ht="15.75" hidden="false" customHeight="true" outlineLevel="0" collapsed="false">
      <c r="A300" s="300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00"/>
    </row>
    <row r="301" customFormat="false" ht="15.75" hidden="false" customHeight="true" outlineLevel="0" collapsed="false">
      <c r="A301" s="300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00"/>
    </row>
    <row r="302" customFormat="false" ht="15.75" hidden="false" customHeight="true" outlineLevel="0" collapsed="false">
      <c r="A302" s="300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00"/>
    </row>
    <row r="303" customFormat="false" ht="15.75" hidden="false" customHeight="true" outlineLevel="0" collapsed="false">
      <c r="A303" s="300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00"/>
    </row>
    <row r="304" customFormat="false" ht="15.75" hidden="false" customHeight="true" outlineLevel="0" collapsed="false">
      <c r="A304" s="300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00"/>
    </row>
    <row r="305" customFormat="false" ht="15.75" hidden="false" customHeight="true" outlineLevel="0" collapsed="false">
      <c r="A305" s="300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00"/>
    </row>
    <row r="306" customFormat="false" ht="15.75" hidden="false" customHeight="true" outlineLevel="0" collapsed="false">
      <c r="A306" s="300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00"/>
    </row>
    <row r="307" customFormat="false" ht="15.75" hidden="false" customHeight="true" outlineLevel="0" collapsed="false">
      <c r="A307" s="300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00"/>
    </row>
    <row r="308" customFormat="false" ht="15.75" hidden="false" customHeight="true" outlineLevel="0" collapsed="false">
      <c r="A308" s="300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00"/>
    </row>
    <row r="309" customFormat="false" ht="15.75" hidden="false" customHeight="true" outlineLevel="0" collapsed="false">
      <c r="A309" s="300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00"/>
    </row>
    <row r="310" customFormat="false" ht="15.75" hidden="false" customHeight="true" outlineLevel="0" collapsed="false">
      <c r="A310" s="300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00"/>
    </row>
    <row r="311" customFormat="false" ht="15.75" hidden="false" customHeight="true" outlineLevel="0" collapsed="false">
      <c r="A311" s="300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00"/>
    </row>
    <row r="312" customFormat="false" ht="15.75" hidden="false" customHeight="true" outlineLevel="0" collapsed="false">
      <c r="A312" s="300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00"/>
    </row>
    <row r="313" customFormat="false" ht="15.75" hidden="false" customHeight="true" outlineLevel="0" collapsed="false">
      <c r="A313" s="300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00"/>
    </row>
    <row r="314" customFormat="false" ht="15.75" hidden="false" customHeight="true" outlineLevel="0" collapsed="false">
      <c r="A314" s="300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00"/>
    </row>
    <row r="315" customFormat="false" ht="15.75" hidden="false" customHeight="true" outlineLevel="0" collapsed="false">
      <c r="A315" s="300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00"/>
    </row>
    <row r="316" customFormat="false" ht="15.75" hidden="false" customHeight="true" outlineLevel="0" collapsed="false">
      <c r="A316" s="300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00"/>
    </row>
    <row r="317" customFormat="false" ht="15.75" hidden="false" customHeight="true" outlineLevel="0" collapsed="false">
      <c r="A317" s="300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00"/>
    </row>
    <row r="318" customFormat="false" ht="15.75" hidden="false" customHeight="true" outlineLevel="0" collapsed="false">
      <c r="A318" s="300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00"/>
    </row>
    <row r="319" customFormat="false" ht="15.75" hidden="false" customHeight="true" outlineLevel="0" collapsed="false">
      <c r="A319" s="300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00"/>
    </row>
    <row r="320" customFormat="false" ht="15.75" hidden="false" customHeight="true" outlineLevel="0" collapsed="false">
      <c r="A320" s="300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00"/>
    </row>
    <row r="321" customFormat="false" ht="15.75" hidden="false" customHeight="true" outlineLevel="0" collapsed="false">
      <c r="A321" s="300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00"/>
    </row>
    <row r="322" customFormat="false" ht="15.75" hidden="false" customHeight="true" outlineLevel="0" collapsed="false">
      <c r="A322" s="300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00"/>
    </row>
    <row r="323" customFormat="false" ht="15.75" hidden="false" customHeight="true" outlineLevel="0" collapsed="false">
      <c r="A323" s="300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00"/>
    </row>
    <row r="324" customFormat="false" ht="15.75" hidden="false" customHeight="true" outlineLevel="0" collapsed="false">
      <c r="A324" s="300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00"/>
    </row>
    <row r="325" customFormat="false" ht="15.75" hidden="false" customHeight="true" outlineLevel="0" collapsed="false">
      <c r="A325" s="300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00"/>
    </row>
    <row r="326" customFormat="false" ht="15.75" hidden="false" customHeight="true" outlineLevel="0" collapsed="false">
      <c r="A326" s="300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00"/>
    </row>
    <row r="327" customFormat="false" ht="15.75" hidden="false" customHeight="true" outlineLevel="0" collapsed="false">
      <c r="A327" s="300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00"/>
    </row>
    <row r="328" customFormat="false" ht="15.75" hidden="false" customHeight="true" outlineLevel="0" collapsed="false">
      <c r="A328" s="300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00"/>
    </row>
    <row r="329" customFormat="false" ht="15.75" hidden="false" customHeight="true" outlineLevel="0" collapsed="false">
      <c r="A329" s="300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00"/>
    </row>
    <row r="330" customFormat="false" ht="15.75" hidden="false" customHeight="true" outlineLevel="0" collapsed="false">
      <c r="A330" s="300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00"/>
    </row>
    <row r="331" customFormat="false" ht="15.75" hidden="false" customHeight="true" outlineLevel="0" collapsed="false">
      <c r="A331" s="300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00"/>
    </row>
    <row r="332" customFormat="false" ht="15.75" hidden="false" customHeight="true" outlineLevel="0" collapsed="false">
      <c r="A332" s="300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00"/>
    </row>
    <row r="333" customFormat="false" ht="15.75" hidden="false" customHeight="true" outlineLevel="0" collapsed="false">
      <c r="A333" s="300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00"/>
    </row>
    <row r="334" customFormat="false" ht="15.75" hidden="false" customHeight="true" outlineLevel="0" collapsed="false">
      <c r="A334" s="300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00"/>
    </row>
    <row r="335" customFormat="false" ht="15.75" hidden="false" customHeight="true" outlineLevel="0" collapsed="false">
      <c r="A335" s="300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00"/>
    </row>
    <row r="336" customFormat="false" ht="15.75" hidden="false" customHeight="true" outlineLevel="0" collapsed="false">
      <c r="A336" s="300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00"/>
    </row>
    <row r="337" customFormat="false" ht="15.75" hidden="false" customHeight="true" outlineLevel="0" collapsed="false">
      <c r="A337" s="300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00"/>
    </row>
    <row r="338" customFormat="false" ht="15.75" hidden="false" customHeight="true" outlineLevel="0" collapsed="false">
      <c r="A338" s="300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00"/>
    </row>
    <row r="339" customFormat="false" ht="15.75" hidden="false" customHeight="true" outlineLevel="0" collapsed="false">
      <c r="A339" s="300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00"/>
    </row>
    <row r="340" customFormat="false" ht="15.75" hidden="false" customHeight="true" outlineLevel="0" collapsed="false">
      <c r="A340" s="300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00"/>
    </row>
    <row r="341" customFormat="false" ht="15.75" hidden="false" customHeight="true" outlineLevel="0" collapsed="false">
      <c r="A341" s="300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00"/>
    </row>
    <row r="342" customFormat="false" ht="15.75" hidden="false" customHeight="true" outlineLevel="0" collapsed="false">
      <c r="A342" s="300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00"/>
    </row>
    <row r="343" customFormat="false" ht="15.75" hidden="false" customHeight="true" outlineLevel="0" collapsed="false">
      <c r="A343" s="300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00"/>
    </row>
    <row r="344" customFormat="false" ht="15.75" hidden="false" customHeight="true" outlineLevel="0" collapsed="false">
      <c r="A344" s="300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00"/>
    </row>
    <row r="345" customFormat="false" ht="15.75" hidden="false" customHeight="true" outlineLevel="0" collapsed="false">
      <c r="A345" s="300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00"/>
    </row>
    <row r="346" customFormat="false" ht="15.75" hidden="false" customHeight="true" outlineLevel="0" collapsed="false">
      <c r="A346" s="300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00"/>
    </row>
    <row r="347" customFormat="false" ht="15.75" hidden="false" customHeight="true" outlineLevel="0" collapsed="false">
      <c r="A347" s="300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00"/>
    </row>
    <row r="348" customFormat="false" ht="15.75" hidden="false" customHeight="true" outlineLevel="0" collapsed="false">
      <c r="A348" s="300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00"/>
    </row>
    <row r="349" customFormat="false" ht="15.75" hidden="false" customHeight="true" outlineLevel="0" collapsed="false">
      <c r="A349" s="300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00"/>
    </row>
    <row r="350" customFormat="false" ht="15.75" hidden="false" customHeight="true" outlineLevel="0" collapsed="false">
      <c r="A350" s="300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00"/>
    </row>
    <row r="351" customFormat="false" ht="15.75" hidden="false" customHeight="true" outlineLevel="0" collapsed="false">
      <c r="A351" s="300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00"/>
    </row>
    <row r="352" customFormat="false" ht="15.75" hidden="false" customHeight="true" outlineLevel="0" collapsed="false">
      <c r="A352" s="300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00"/>
    </row>
    <row r="353" customFormat="false" ht="15.75" hidden="false" customHeight="true" outlineLevel="0" collapsed="false">
      <c r="A353" s="300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00"/>
    </row>
    <row r="354" customFormat="false" ht="15.75" hidden="false" customHeight="true" outlineLevel="0" collapsed="false">
      <c r="A354" s="300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00"/>
    </row>
    <row r="355" customFormat="false" ht="15.75" hidden="false" customHeight="true" outlineLevel="0" collapsed="false">
      <c r="A355" s="300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00"/>
    </row>
    <row r="356" customFormat="false" ht="15.75" hidden="false" customHeight="true" outlineLevel="0" collapsed="false">
      <c r="A356" s="300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00"/>
    </row>
    <row r="357" customFormat="false" ht="15.75" hidden="false" customHeight="true" outlineLevel="0" collapsed="false">
      <c r="A357" s="300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00"/>
    </row>
    <row r="358" customFormat="false" ht="15.75" hidden="false" customHeight="true" outlineLevel="0" collapsed="false">
      <c r="A358" s="300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00"/>
    </row>
    <row r="359" customFormat="false" ht="15.75" hidden="false" customHeight="true" outlineLevel="0" collapsed="false">
      <c r="A359" s="300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00"/>
    </row>
    <row r="360" customFormat="false" ht="15.75" hidden="false" customHeight="true" outlineLevel="0" collapsed="false">
      <c r="A360" s="300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00"/>
    </row>
    <row r="361" customFormat="false" ht="15.75" hidden="false" customHeight="true" outlineLevel="0" collapsed="false">
      <c r="A361" s="300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00"/>
    </row>
    <row r="362" customFormat="false" ht="15.75" hidden="false" customHeight="true" outlineLevel="0" collapsed="false">
      <c r="A362" s="300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00"/>
    </row>
    <row r="363" customFormat="false" ht="15.75" hidden="false" customHeight="true" outlineLevel="0" collapsed="false">
      <c r="A363" s="300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00"/>
    </row>
    <row r="364" customFormat="false" ht="15.75" hidden="false" customHeight="true" outlineLevel="0" collapsed="false">
      <c r="A364" s="300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00"/>
    </row>
    <row r="365" customFormat="false" ht="15.75" hidden="false" customHeight="true" outlineLevel="0" collapsed="false">
      <c r="A365" s="300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00"/>
    </row>
    <row r="366" customFormat="false" ht="15.75" hidden="false" customHeight="true" outlineLevel="0" collapsed="false">
      <c r="A366" s="300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00"/>
    </row>
    <row r="367" customFormat="false" ht="15.75" hidden="false" customHeight="true" outlineLevel="0" collapsed="false">
      <c r="A367" s="300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00"/>
    </row>
    <row r="368" customFormat="false" ht="15.75" hidden="false" customHeight="true" outlineLevel="0" collapsed="false">
      <c r="A368" s="300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00"/>
    </row>
    <row r="369" customFormat="false" ht="15.75" hidden="false" customHeight="true" outlineLevel="0" collapsed="false">
      <c r="A369" s="300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00"/>
    </row>
    <row r="370" customFormat="false" ht="15.75" hidden="false" customHeight="true" outlineLevel="0" collapsed="false">
      <c r="A370" s="300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00"/>
    </row>
    <row r="371" customFormat="false" ht="15.75" hidden="false" customHeight="true" outlineLevel="0" collapsed="false">
      <c r="A371" s="300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00"/>
    </row>
    <row r="372" customFormat="false" ht="15.75" hidden="false" customHeight="true" outlineLevel="0" collapsed="false">
      <c r="A372" s="300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00"/>
    </row>
    <row r="373" customFormat="false" ht="15.75" hidden="false" customHeight="true" outlineLevel="0" collapsed="false">
      <c r="A373" s="300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00"/>
    </row>
    <row r="374" customFormat="false" ht="15.75" hidden="false" customHeight="true" outlineLevel="0" collapsed="false">
      <c r="A374" s="300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00"/>
    </row>
    <row r="375" customFormat="false" ht="15.75" hidden="false" customHeight="true" outlineLevel="0" collapsed="false">
      <c r="A375" s="300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00"/>
    </row>
    <row r="376" customFormat="false" ht="15.75" hidden="false" customHeight="true" outlineLevel="0" collapsed="false">
      <c r="A376" s="300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00"/>
    </row>
    <row r="377" customFormat="false" ht="15.75" hidden="false" customHeight="true" outlineLevel="0" collapsed="false">
      <c r="A377" s="300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00"/>
    </row>
    <row r="378" customFormat="false" ht="15.75" hidden="false" customHeight="true" outlineLevel="0" collapsed="false">
      <c r="A378" s="300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00"/>
    </row>
    <row r="379" customFormat="false" ht="15.75" hidden="false" customHeight="true" outlineLevel="0" collapsed="false">
      <c r="A379" s="300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00"/>
    </row>
    <row r="380" customFormat="false" ht="15.75" hidden="false" customHeight="true" outlineLevel="0" collapsed="false">
      <c r="A380" s="300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00"/>
    </row>
    <row r="381" customFormat="false" ht="15.75" hidden="false" customHeight="true" outlineLevel="0" collapsed="false">
      <c r="A381" s="300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00"/>
    </row>
    <row r="382" customFormat="false" ht="15.75" hidden="false" customHeight="true" outlineLevel="0" collapsed="false">
      <c r="A382" s="300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00"/>
    </row>
    <row r="383" customFormat="false" ht="15.75" hidden="false" customHeight="true" outlineLevel="0" collapsed="false">
      <c r="X383" s="1"/>
      <c r="Y383" s="1"/>
      <c r="Z383" s="1"/>
    </row>
    <row r="384" customFormat="false" ht="15.75" hidden="false" customHeight="true" outlineLevel="0" collapsed="false">
      <c r="X384" s="1"/>
      <c r="Y384" s="1"/>
      <c r="Z384" s="1"/>
    </row>
    <row r="385" customFormat="false" ht="15.75" hidden="false" customHeight="true" outlineLevel="0" collapsed="false">
      <c r="X385" s="1"/>
      <c r="Y385" s="1"/>
      <c r="Z385" s="1"/>
    </row>
    <row r="386" customFormat="false" ht="15.75" hidden="false" customHeight="true" outlineLevel="0" collapsed="false">
      <c r="X386" s="1"/>
      <c r="Y386" s="1"/>
      <c r="Z386" s="1"/>
    </row>
    <row r="387" customFormat="false" ht="15.75" hidden="false" customHeight="true" outlineLevel="0" collapsed="false">
      <c r="X387" s="1"/>
      <c r="Y387" s="1"/>
      <c r="Z387" s="1"/>
    </row>
    <row r="388" customFormat="false" ht="15.75" hidden="false" customHeight="true" outlineLevel="0" collapsed="false">
      <c r="X388" s="1"/>
      <c r="Y388" s="1"/>
      <c r="Z388" s="1"/>
    </row>
    <row r="389" customFormat="false" ht="15.75" hidden="false" customHeight="true" outlineLevel="0" collapsed="false">
      <c r="X389" s="1"/>
      <c r="Y389" s="1"/>
      <c r="Z389" s="1"/>
    </row>
    <row r="390" customFormat="false" ht="15.75" hidden="false" customHeight="true" outlineLevel="0" collapsed="false">
      <c r="X390" s="1"/>
      <c r="Y390" s="1"/>
      <c r="Z390" s="1"/>
    </row>
    <row r="391" customFormat="false" ht="15.75" hidden="false" customHeight="true" outlineLevel="0" collapsed="false">
      <c r="X391" s="1"/>
      <c r="Y391" s="1"/>
      <c r="Z391" s="1"/>
    </row>
    <row r="392" customFormat="false" ht="15.75" hidden="false" customHeight="true" outlineLevel="0" collapsed="false">
      <c r="X392" s="1"/>
      <c r="Y392" s="1"/>
      <c r="Z392" s="1"/>
    </row>
    <row r="393" customFormat="false" ht="15.75" hidden="false" customHeight="true" outlineLevel="0" collapsed="false">
      <c r="X393" s="1"/>
      <c r="Y393" s="1"/>
      <c r="Z393" s="1"/>
    </row>
    <row r="394" customFormat="false" ht="15.75" hidden="false" customHeight="true" outlineLevel="0" collapsed="false">
      <c r="X394" s="1"/>
      <c r="Y394" s="1"/>
      <c r="Z394" s="1"/>
    </row>
    <row r="395" customFormat="false" ht="15.75" hidden="false" customHeight="true" outlineLevel="0" collapsed="false">
      <c r="X395" s="1"/>
      <c r="Y395" s="1"/>
      <c r="Z395" s="1"/>
    </row>
    <row r="396" customFormat="false" ht="15.75" hidden="false" customHeight="true" outlineLevel="0" collapsed="false">
      <c r="X396" s="1"/>
      <c r="Y396" s="1"/>
      <c r="Z396" s="1"/>
    </row>
    <row r="397" customFormat="false" ht="15.75" hidden="false" customHeight="true" outlineLevel="0" collapsed="false">
      <c r="X397" s="1"/>
      <c r="Y397" s="1"/>
      <c r="Z397" s="1"/>
    </row>
    <row r="398" customFormat="false" ht="15.75" hidden="false" customHeight="true" outlineLevel="0" collapsed="false">
      <c r="X398" s="1"/>
      <c r="Y398" s="1"/>
      <c r="Z398" s="1"/>
    </row>
    <row r="399" customFormat="false" ht="15.75" hidden="false" customHeight="true" outlineLevel="0" collapsed="false">
      <c r="X399" s="1"/>
      <c r="Y399" s="1"/>
      <c r="Z399" s="1"/>
    </row>
    <row r="400" customFormat="false" ht="15.75" hidden="false" customHeight="true" outlineLevel="0" collapsed="false">
      <c r="X400" s="1"/>
      <c r="Y400" s="1"/>
      <c r="Z400" s="1"/>
    </row>
    <row r="401" customFormat="false" ht="15.75" hidden="false" customHeight="true" outlineLevel="0" collapsed="false">
      <c r="X401" s="1"/>
      <c r="Y401" s="1"/>
      <c r="Z401" s="1"/>
    </row>
    <row r="402" customFormat="false" ht="15.75" hidden="false" customHeight="true" outlineLevel="0" collapsed="false">
      <c r="X402" s="1"/>
      <c r="Y402" s="1"/>
      <c r="Z402" s="1"/>
    </row>
    <row r="403" customFormat="false" ht="15.75" hidden="false" customHeight="true" outlineLevel="0" collapsed="false">
      <c r="X403" s="1"/>
      <c r="Y403" s="1"/>
      <c r="Z403" s="1"/>
    </row>
    <row r="404" customFormat="false" ht="15.75" hidden="false" customHeight="true" outlineLevel="0" collapsed="false">
      <c r="X404" s="1"/>
      <c r="Y404" s="1"/>
      <c r="Z404" s="1"/>
    </row>
    <row r="405" customFormat="false" ht="15.75" hidden="false" customHeight="true" outlineLevel="0" collapsed="false">
      <c r="X405" s="1"/>
      <c r="Y405" s="1"/>
      <c r="Z405" s="1"/>
    </row>
    <row r="406" customFormat="false" ht="15.75" hidden="false" customHeight="true" outlineLevel="0" collapsed="false">
      <c r="X406" s="1"/>
      <c r="Y406" s="1"/>
      <c r="Z406" s="1"/>
    </row>
    <row r="407" customFormat="false" ht="15.75" hidden="false" customHeight="true" outlineLevel="0" collapsed="false">
      <c r="X407" s="1"/>
      <c r="Y407" s="1"/>
      <c r="Z407" s="1"/>
    </row>
    <row r="408" customFormat="false" ht="15.75" hidden="false" customHeight="true" outlineLevel="0" collapsed="false">
      <c r="X408" s="1"/>
      <c r="Y408" s="1"/>
      <c r="Z408" s="1"/>
    </row>
    <row r="409" customFormat="false" ht="15.75" hidden="false" customHeight="true" outlineLevel="0" collapsed="false">
      <c r="X409" s="1"/>
      <c r="Y409" s="1"/>
      <c r="Z409" s="1"/>
    </row>
    <row r="410" customFormat="false" ht="15.75" hidden="false" customHeight="true" outlineLevel="0" collapsed="false">
      <c r="X410" s="1"/>
      <c r="Y410" s="1"/>
      <c r="Z410" s="1"/>
    </row>
    <row r="411" customFormat="false" ht="15.75" hidden="false" customHeight="true" outlineLevel="0" collapsed="false">
      <c r="X411" s="1"/>
      <c r="Y411" s="1"/>
      <c r="Z411" s="1"/>
    </row>
    <row r="412" customFormat="false" ht="15.75" hidden="false" customHeight="true" outlineLevel="0" collapsed="false">
      <c r="X412" s="1"/>
      <c r="Y412" s="1"/>
      <c r="Z412" s="1"/>
    </row>
    <row r="413" customFormat="false" ht="15.75" hidden="false" customHeight="true" outlineLevel="0" collapsed="false">
      <c r="X413" s="1"/>
      <c r="Y413" s="1"/>
      <c r="Z413" s="1"/>
    </row>
    <row r="414" customFormat="false" ht="15.75" hidden="false" customHeight="true" outlineLevel="0" collapsed="false">
      <c r="X414" s="1"/>
      <c r="Y414" s="1"/>
      <c r="Z414" s="1"/>
    </row>
    <row r="415" customFormat="false" ht="15.75" hidden="false" customHeight="true" outlineLevel="0" collapsed="false">
      <c r="X415" s="1"/>
      <c r="Y415" s="1"/>
      <c r="Z415" s="1"/>
    </row>
    <row r="416" customFormat="false" ht="15.75" hidden="false" customHeight="true" outlineLevel="0" collapsed="false">
      <c r="X416" s="1"/>
      <c r="Y416" s="1"/>
      <c r="Z416" s="1"/>
    </row>
    <row r="417" customFormat="false" ht="15.75" hidden="false" customHeight="true" outlineLevel="0" collapsed="false">
      <c r="X417" s="1"/>
      <c r="Y417" s="1"/>
      <c r="Z417" s="1"/>
    </row>
    <row r="418" customFormat="false" ht="15.75" hidden="false" customHeight="true" outlineLevel="0" collapsed="false">
      <c r="X418" s="1"/>
      <c r="Y418" s="1"/>
      <c r="Z418" s="1"/>
    </row>
    <row r="419" customFormat="false" ht="15.75" hidden="false" customHeight="true" outlineLevel="0" collapsed="false">
      <c r="X419" s="1"/>
      <c r="Y419" s="1"/>
      <c r="Z419" s="1"/>
    </row>
    <row r="420" customFormat="false" ht="15.75" hidden="false" customHeight="true" outlineLevel="0" collapsed="false">
      <c r="X420" s="1"/>
      <c r="Y420" s="1"/>
      <c r="Z420" s="1"/>
    </row>
    <row r="421" customFormat="false" ht="15.75" hidden="false" customHeight="true" outlineLevel="0" collapsed="false">
      <c r="X421" s="1"/>
      <c r="Y421" s="1"/>
      <c r="Z421" s="1"/>
    </row>
    <row r="422" customFormat="false" ht="15.75" hidden="false" customHeight="true" outlineLevel="0" collapsed="false">
      <c r="X422" s="1"/>
      <c r="Y422" s="1"/>
      <c r="Z422" s="1"/>
    </row>
    <row r="423" customFormat="false" ht="15.75" hidden="false" customHeight="true" outlineLevel="0" collapsed="false">
      <c r="X423" s="1"/>
      <c r="Y423" s="1"/>
      <c r="Z423" s="1"/>
    </row>
    <row r="424" customFormat="false" ht="15.75" hidden="false" customHeight="true" outlineLevel="0" collapsed="false">
      <c r="X424" s="1"/>
      <c r="Y424" s="1"/>
      <c r="Z424" s="1"/>
    </row>
    <row r="425" customFormat="false" ht="15.75" hidden="false" customHeight="true" outlineLevel="0" collapsed="false">
      <c r="X425" s="1"/>
      <c r="Y425" s="1"/>
      <c r="Z425" s="1"/>
    </row>
    <row r="426" customFormat="false" ht="15.75" hidden="false" customHeight="true" outlineLevel="0" collapsed="false">
      <c r="X426" s="1"/>
      <c r="Y426" s="1"/>
      <c r="Z426" s="1"/>
    </row>
    <row r="427" customFormat="false" ht="15.75" hidden="false" customHeight="true" outlineLevel="0" collapsed="false">
      <c r="X427" s="1"/>
      <c r="Y427" s="1"/>
      <c r="Z427" s="1"/>
    </row>
    <row r="428" customFormat="false" ht="15.75" hidden="false" customHeight="true" outlineLevel="0" collapsed="false">
      <c r="X428" s="1"/>
      <c r="Y428" s="1"/>
      <c r="Z428" s="1"/>
    </row>
    <row r="429" customFormat="false" ht="15.75" hidden="false" customHeight="true" outlineLevel="0" collapsed="false">
      <c r="X429" s="1"/>
      <c r="Y429" s="1"/>
      <c r="Z429" s="1"/>
    </row>
    <row r="430" customFormat="false" ht="15.75" hidden="false" customHeight="true" outlineLevel="0" collapsed="false">
      <c r="X430" s="1"/>
      <c r="Y430" s="1"/>
      <c r="Z430" s="1"/>
    </row>
    <row r="431" customFormat="false" ht="15.75" hidden="false" customHeight="true" outlineLevel="0" collapsed="false">
      <c r="X431" s="1"/>
      <c r="Y431" s="1"/>
      <c r="Z431" s="1"/>
    </row>
    <row r="432" customFormat="false" ht="15.75" hidden="false" customHeight="true" outlineLevel="0" collapsed="false">
      <c r="X432" s="1"/>
      <c r="Y432" s="1"/>
      <c r="Z432" s="1"/>
    </row>
    <row r="433" customFormat="false" ht="15.75" hidden="false" customHeight="true" outlineLevel="0" collapsed="false">
      <c r="X433" s="1"/>
      <c r="Y433" s="1"/>
      <c r="Z433" s="1"/>
    </row>
    <row r="434" customFormat="false" ht="15.75" hidden="false" customHeight="true" outlineLevel="0" collapsed="false">
      <c r="X434" s="1"/>
      <c r="Y434" s="1"/>
      <c r="Z434" s="1"/>
    </row>
    <row r="435" customFormat="false" ht="15.75" hidden="false" customHeight="true" outlineLevel="0" collapsed="false">
      <c r="X435" s="1"/>
      <c r="Y435" s="1"/>
      <c r="Z435" s="1"/>
    </row>
    <row r="436" customFormat="false" ht="15.75" hidden="false" customHeight="true" outlineLevel="0" collapsed="false">
      <c r="X436" s="1"/>
      <c r="Y436" s="1"/>
      <c r="Z436" s="1"/>
    </row>
    <row r="437" customFormat="false" ht="15.75" hidden="false" customHeight="true" outlineLevel="0" collapsed="false">
      <c r="X437" s="1"/>
      <c r="Y437" s="1"/>
      <c r="Z437" s="1"/>
    </row>
    <row r="438" customFormat="false" ht="15.75" hidden="false" customHeight="true" outlineLevel="0" collapsed="false">
      <c r="X438" s="1"/>
      <c r="Y438" s="1"/>
      <c r="Z438" s="1"/>
    </row>
    <row r="439" customFormat="false" ht="15.75" hidden="false" customHeight="true" outlineLevel="0" collapsed="false">
      <c r="X439" s="1"/>
      <c r="Y439" s="1"/>
      <c r="Z439" s="1"/>
    </row>
    <row r="440" customFormat="false" ht="15.75" hidden="false" customHeight="true" outlineLevel="0" collapsed="false">
      <c r="X440" s="1"/>
      <c r="Y440" s="1"/>
      <c r="Z440" s="1"/>
    </row>
    <row r="441" customFormat="false" ht="15.75" hidden="false" customHeight="true" outlineLevel="0" collapsed="false">
      <c r="X441" s="1"/>
      <c r="Y441" s="1"/>
      <c r="Z441" s="1"/>
    </row>
    <row r="442" customFormat="false" ht="15.75" hidden="false" customHeight="true" outlineLevel="0" collapsed="false">
      <c r="X442" s="1"/>
      <c r="Y442" s="1"/>
      <c r="Z442" s="1"/>
    </row>
    <row r="443" customFormat="false" ht="15.75" hidden="false" customHeight="true" outlineLevel="0" collapsed="false">
      <c r="X443" s="1"/>
      <c r="Y443" s="1"/>
      <c r="Z443" s="1"/>
    </row>
    <row r="444" customFormat="false" ht="15.75" hidden="false" customHeight="true" outlineLevel="0" collapsed="false">
      <c r="X444" s="1"/>
      <c r="Y444" s="1"/>
      <c r="Z444" s="1"/>
    </row>
    <row r="445" customFormat="false" ht="15.75" hidden="false" customHeight="true" outlineLevel="0" collapsed="false">
      <c r="X445" s="1"/>
      <c r="Y445" s="1"/>
      <c r="Z445" s="1"/>
    </row>
    <row r="446" customFormat="false" ht="15.75" hidden="false" customHeight="true" outlineLevel="0" collapsed="false">
      <c r="X446" s="1"/>
      <c r="Y446" s="1"/>
      <c r="Z446" s="1"/>
    </row>
    <row r="447" customFormat="false" ht="15.75" hidden="false" customHeight="true" outlineLevel="0" collapsed="false">
      <c r="X447" s="1"/>
      <c r="Y447" s="1"/>
      <c r="Z447" s="1"/>
    </row>
    <row r="448" customFormat="false" ht="15.75" hidden="false" customHeight="true" outlineLevel="0" collapsed="false">
      <c r="X448" s="1"/>
      <c r="Y448" s="1"/>
      <c r="Z448" s="1"/>
    </row>
    <row r="449" customFormat="false" ht="15.75" hidden="false" customHeight="true" outlineLevel="0" collapsed="false">
      <c r="X449" s="1"/>
      <c r="Y449" s="1"/>
      <c r="Z449" s="1"/>
    </row>
    <row r="450" customFormat="false" ht="15.75" hidden="false" customHeight="true" outlineLevel="0" collapsed="false">
      <c r="X450" s="1"/>
      <c r="Y450" s="1"/>
      <c r="Z450" s="1"/>
    </row>
    <row r="451" customFormat="false" ht="15.75" hidden="false" customHeight="true" outlineLevel="0" collapsed="false">
      <c r="X451" s="1"/>
      <c r="Y451" s="1"/>
      <c r="Z451" s="1"/>
    </row>
    <row r="452" customFormat="false" ht="15.75" hidden="false" customHeight="true" outlineLevel="0" collapsed="false">
      <c r="X452" s="1"/>
      <c r="Y452" s="1"/>
      <c r="Z452" s="1"/>
    </row>
    <row r="453" customFormat="false" ht="15.75" hidden="false" customHeight="true" outlineLevel="0" collapsed="false">
      <c r="X453" s="1"/>
      <c r="Y453" s="1"/>
      <c r="Z453" s="1"/>
    </row>
    <row r="454" customFormat="false" ht="15.75" hidden="false" customHeight="true" outlineLevel="0" collapsed="false">
      <c r="X454" s="1"/>
      <c r="Y454" s="1"/>
      <c r="Z454" s="1"/>
    </row>
    <row r="455" customFormat="false" ht="15.75" hidden="false" customHeight="true" outlineLevel="0" collapsed="false">
      <c r="X455" s="1"/>
      <c r="Y455" s="1"/>
      <c r="Z455" s="1"/>
    </row>
    <row r="456" customFormat="false" ht="15.75" hidden="false" customHeight="true" outlineLevel="0" collapsed="false">
      <c r="X456" s="1"/>
      <c r="Y456" s="1"/>
      <c r="Z456" s="1"/>
    </row>
    <row r="457" customFormat="false" ht="15.75" hidden="false" customHeight="true" outlineLevel="0" collapsed="false">
      <c r="X457" s="1"/>
      <c r="Y457" s="1"/>
      <c r="Z457" s="1"/>
    </row>
    <row r="458" customFormat="false" ht="15.75" hidden="false" customHeight="true" outlineLevel="0" collapsed="false">
      <c r="X458" s="1"/>
      <c r="Y458" s="1"/>
      <c r="Z458" s="1"/>
    </row>
    <row r="459" customFormat="false" ht="15.75" hidden="false" customHeight="true" outlineLevel="0" collapsed="false">
      <c r="X459" s="1"/>
      <c r="Y459" s="1"/>
      <c r="Z459" s="1"/>
    </row>
    <row r="460" customFormat="false" ht="15.75" hidden="false" customHeight="true" outlineLevel="0" collapsed="false">
      <c r="X460" s="1"/>
      <c r="Y460" s="1"/>
      <c r="Z460" s="1"/>
    </row>
    <row r="461" customFormat="false" ht="15.75" hidden="false" customHeight="true" outlineLevel="0" collapsed="false">
      <c r="X461" s="1"/>
      <c r="Y461" s="1"/>
      <c r="Z461" s="1"/>
    </row>
    <row r="462" customFormat="false" ht="15.75" hidden="false" customHeight="true" outlineLevel="0" collapsed="false">
      <c r="X462" s="1"/>
      <c r="Y462" s="1"/>
      <c r="Z462" s="1"/>
    </row>
    <row r="463" customFormat="false" ht="15.75" hidden="false" customHeight="true" outlineLevel="0" collapsed="false">
      <c r="X463" s="1"/>
      <c r="Y463" s="1"/>
      <c r="Z463" s="1"/>
    </row>
    <row r="464" customFormat="false" ht="15.75" hidden="false" customHeight="true" outlineLevel="0" collapsed="false">
      <c r="X464" s="1"/>
      <c r="Y464" s="1"/>
      <c r="Z464" s="1"/>
    </row>
    <row r="465" customFormat="false" ht="15.75" hidden="false" customHeight="true" outlineLevel="0" collapsed="false">
      <c r="X465" s="1"/>
      <c r="Y465" s="1"/>
      <c r="Z465" s="1"/>
    </row>
    <row r="466" customFormat="false" ht="15.75" hidden="false" customHeight="true" outlineLevel="0" collapsed="false">
      <c r="X466" s="1"/>
      <c r="Y466" s="1"/>
      <c r="Z466" s="1"/>
    </row>
    <row r="467" customFormat="false" ht="15.75" hidden="false" customHeight="true" outlineLevel="0" collapsed="false">
      <c r="X467" s="1"/>
      <c r="Y467" s="1"/>
      <c r="Z467" s="1"/>
    </row>
    <row r="468" customFormat="false" ht="15.75" hidden="false" customHeight="true" outlineLevel="0" collapsed="false">
      <c r="X468" s="1"/>
      <c r="Y468" s="1"/>
      <c r="Z468" s="1"/>
    </row>
    <row r="469" customFormat="false" ht="15.75" hidden="false" customHeight="true" outlineLevel="0" collapsed="false">
      <c r="X469" s="1"/>
      <c r="Y469" s="1"/>
      <c r="Z469" s="1"/>
    </row>
    <row r="470" customFormat="false" ht="15.75" hidden="false" customHeight="true" outlineLevel="0" collapsed="false">
      <c r="X470" s="1"/>
      <c r="Y470" s="1"/>
      <c r="Z470" s="1"/>
    </row>
    <row r="471" customFormat="false" ht="15.75" hidden="false" customHeight="true" outlineLevel="0" collapsed="false">
      <c r="X471" s="1"/>
      <c r="Y471" s="1"/>
      <c r="Z471" s="1"/>
    </row>
    <row r="472" customFormat="false" ht="15.75" hidden="false" customHeight="true" outlineLevel="0" collapsed="false">
      <c r="X472" s="1"/>
      <c r="Y472" s="1"/>
      <c r="Z472" s="1"/>
    </row>
    <row r="473" customFormat="false" ht="15.75" hidden="false" customHeight="true" outlineLevel="0" collapsed="false">
      <c r="X473" s="1"/>
      <c r="Y473" s="1"/>
      <c r="Z473" s="1"/>
    </row>
    <row r="474" customFormat="false" ht="15.75" hidden="false" customHeight="true" outlineLevel="0" collapsed="false">
      <c r="X474" s="1"/>
      <c r="Y474" s="1"/>
      <c r="Z474" s="1"/>
    </row>
    <row r="475" customFormat="false" ht="15.75" hidden="false" customHeight="true" outlineLevel="0" collapsed="false">
      <c r="X475" s="1"/>
      <c r="Y475" s="1"/>
      <c r="Z475" s="1"/>
    </row>
    <row r="476" customFormat="false" ht="15.75" hidden="false" customHeight="true" outlineLevel="0" collapsed="false">
      <c r="X476" s="1"/>
      <c r="Y476" s="1"/>
      <c r="Z476" s="1"/>
    </row>
    <row r="477" customFormat="false" ht="15.75" hidden="false" customHeight="true" outlineLevel="0" collapsed="false">
      <c r="X477" s="1"/>
      <c r="Y477" s="1"/>
      <c r="Z477" s="1"/>
    </row>
    <row r="478" customFormat="false" ht="15.75" hidden="false" customHeight="true" outlineLevel="0" collapsed="false">
      <c r="X478" s="1"/>
      <c r="Y478" s="1"/>
      <c r="Z478" s="1"/>
    </row>
    <row r="479" customFormat="false" ht="15.75" hidden="false" customHeight="true" outlineLevel="0" collapsed="false">
      <c r="X479" s="1"/>
      <c r="Y479" s="1"/>
      <c r="Z479" s="1"/>
    </row>
    <row r="480" customFormat="false" ht="15.75" hidden="false" customHeight="true" outlineLevel="0" collapsed="false">
      <c r="X480" s="1"/>
      <c r="Y480" s="1"/>
      <c r="Z480" s="1"/>
    </row>
    <row r="481" customFormat="false" ht="15.75" hidden="false" customHeight="true" outlineLevel="0" collapsed="false">
      <c r="X481" s="1"/>
      <c r="Y481" s="1"/>
      <c r="Z481" s="1"/>
    </row>
    <row r="482" customFormat="false" ht="15.75" hidden="false" customHeight="true" outlineLevel="0" collapsed="false">
      <c r="X482" s="1"/>
      <c r="Y482" s="1"/>
      <c r="Z482" s="1"/>
    </row>
    <row r="483" customFormat="false" ht="15.75" hidden="false" customHeight="true" outlineLevel="0" collapsed="false">
      <c r="X483" s="1"/>
      <c r="Y483" s="1"/>
      <c r="Z483" s="1"/>
    </row>
    <row r="484" customFormat="false" ht="15.75" hidden="false" customHeight="true" outlineLevel="0" collapsed="false">
      <c r="X484" s="1"/>
      <c r="Y484" s="1"/>
      <c r="Z484" s="1"/>
    </row>
    <row r="485" customFormat="false" ht="15.75" hidden="false" customHeight="true" outlineLevel="0" collapsed="false">
      <c r="X485" s="1"/>
      <c r="Y485" s="1"/>
      <c r="Z485" s="1"/>
    </row>
    <row r="486" customFormat="false" ht="15.75" hidden="false" customHeight="true" outlineLevel="0" collapsed="false">
      <c r="X486" s="1"/>
      <c r="Y486" s="1"/>
      <c r="Z486" s="1"/>
    </row>
    <row r="487" customFormat="false" ht="15.75" hidden="false" customHeight="true" outlineLevel="0" collapsed="false">
      <c r="X487" s="1"/>
      <c r="Y487" s="1"/>
      <c r="Z487" s="1"/>
    </row>
    <row r="488" customFormat="false" ht="15.75" hidden="false" customHeight="true" outlineLevel="0" collapsed="false">
      <c r="X488" s="1"/>
      <c r="Y488" s="1"/>
      <c r="Z488" s="1"/>
    </row>
    <row r="489" customFormat="false" ht="15.75" hidden="false" customHeight="true" outlineLevel="0" collapsed="false">
      <c r="X489" s="1"/>
      <c r="Y489" s="1"/>
      <c r="Z489" s="1"/>
    </row>
    <row r="490" customFormat="false" ht="15.75" hidden="false" customHeight="true" outlineLevel="0" collapsed="false">
      <c r="X490" s="1"/>
      <c r="Y490" s="1"/>
      <c r="Z490" s="1"/>
    </row>
    <row r="491" customFormat="false" ht="15.75" hidden="false" customHeight="true" outlineLevel="0" collapsed="false">
      <c r="X491" s="1"/>
      <c r="Y491" s="1"/>
      <c r="Z491" s="1"/>
    </row>
    <row r="492" customFormat="false" ht="15.75" hidden="false" customHeight="true" outlineLevel="0" collapsed="false">
      <c r="X492" s="1"/>
      <c r="Y492" s="1"/>
      <c r="Z492" s="1"/>
    </row>
    <row r="493" customFormat="false" ht="15.75" hidden="false" customHeight="true" outlineLevel="0" collapsed="false">
      <c r="X493" s="1"/>
      <c r="Y493" s="1"/>
      <c r="Z493" s="1"/>
    </row>
    <row r="494" customFormat="false" ht="15.75" hidden="false" customHeight="true" outlineLevel="0" collapsed="false">
      <c r="X494" s="1"/>
      <c r="Y494" s="1"/>
      <c r="Z494" s="1"/>
    </row>
    <row r="495" customFormat="false" ht="15.75" hidden="false" customHeight="true" outlineLevel="0" collapsed="false">
      <c r="X495" s="1"/>
      <c r="Y495" s="1"/>
      <c r="Z495" s="1"/>
    </row>
    <row r="496" customFormat="false" ht="15.75" hidden="false" customHeight="true" outlineLevel="0" collapsed="false">
      <c r="X496" s="1"/>
      <c r="Y496" s="1"/>
      <c r="Z496" s="1"/>
    </row>
    <row r="497" customFormat="false" ht="15.75" hidden="false" customHeight="true" outlineLevel="0" collapsed="false">
      <c r="X497" s="1"/>
      <c r="Y497" s="1"/>
      <c r="Z497" s="1"/>
    </row>
    <row r="498" customFormat="false" ht="15.75" hidden="false" customHeight="true" outlineLevel="0" collapsed="false">
      <c r="X498" s="1"/>
      <c r="Y498" s="1"/>
      <c r="Z498" s="1"/>
    </row>
    <row r="499" customFormat="false" ht="15.75" hidden="false" customHeight="true" outlineLevel="0" collapsed="false">
      <c r="X499" s="1"/>
      <c r="Y499" s="1"/>
      <c r="Z499" s="1"/>
    </row>
    <row r="500" customFormat="false" ht="15.75" hidden="false" customHeight="true" outlineLevel="0" collapsed="false">
      <c r="X500" s="1"/>
      <c r="Y500" s="1"/>
      <c r="Z500" s="1"/>
    </row>
    <row r="501" customFormat="false" ht="15.75" hidden="false" customHeight="true" outlineLevel="0" collapsed="false">
      <c r="X501" s="1"/>
      <c r="Y501" s="1"/>
      <c r="Z501" s="1"/>
    </row>
    <row r="502" customFormat="false" ht="15.75" hidden="false" customHeight="true" outlineLevel="0" collapsed="false">
      <c r="X502" s="1"/>
      <c r="Y502" s="1"/>
      <c r="Z502" s="1"/>
    </row>
    <row r="503" customFormat="false" ht="15.75" hidden="false" customHeight="true" outlineLevel="0" collapsed="false">
      <c r="X503" s="1"/>
      <c r="Y503" s="1"/>
      <c r="Z503" s="1"/>
    </row>
    <row r="504" customFormat="false" ht="15.75" hidden="false" customHeight="true" outlineLevel="0" collapsed="false">
      <c r="X504" s="1"/>
      <c r="Y504" s="1"/>
      <c r="Z504" s="1"/>
    </row>
    <row r="505" customFormat="false" ht="15.75" hidden="false" customHeight="true" outlineLevel="0" collapsed="false">
      <c r="X505" s="1"/>
      <c r="Y505" s="1"/>
      <c r="Z505" s="1"/>
    </row>
    <row r="506" customFormat="false" ht="15.75" hidden="false" customHeight="true" outlineLevel="0" collapsed="false">
      <c r="X506" s="1"/>
      <c r="Y506" s="1"/>
      <c r="Z506" s="1"/>
    </row>
    <row r="507" customFormat="false" ht="15.75" hidden="false" customHeight="true" outlineLevel="0" collapsed="false">
      <c r="X507" s="1"/>
      <c r="Y507" s="1"/>
      <c r="Z507" s="1"/>
    </row>
    <row r="508" customFormat="false" ht="15.75" hidden="false" customHeight="true" outlineLevel="0" collapsed="false">
      <c r="X508" s="1"/>
      <c r="Y508" s="1"/>
      <c r="Z508" s="1"/>
    </row>
    <row r="509" customFormat="false" ht="15.75" hidden="false" customHeight="true" outlineLevel="0" collapsed="false">
      <c r="X509" s="1"/>
      <c r="Y509" s="1"/>
      <c r="Z509" s="1"/>
    </row>
    <row r="510" customFormat="false" ht="15.75" hidden="false" customHeight="true" outlineLevel="0" collapsed="false">
      <c r="X510" s="1"/>
      <c r="Y510" s="1"/>
      <c r="Z510" s="1"/>
    </row>
    <row r="511" customFormat="false" ht="15.75" hidden="false" customHeight="true" outlineLevel="0" collapsed="false">
      <c r="X511" s="1"/>
      <c r="Y511" s="1"/>
      <c r="Z511" s="1"/>
    </row>
    <row r="512" customFormat="false" ht="15.75" hidden="false" customHeight="true" outlineLevel="0" collapsed="false">
      <c r="X512" s="1"/>
      <c r="Y512" s="1"/>
      <c r="Z512" s="1"/>
    </row>
    <row r="513" customFormat="false" ht="15.75" hidden="false" customHeight="true" outlineLevel="0" collapsed="false">
      <c r="X513" s="1"/>
      <c r="Y513" s="1"/>
      <c r="Z513" s="1"/>
    </row>
    <row r="514" customFormat="false" ht="15.75" hidden="false" customHeight="true" outlineLevel="0" collapsed="false">
      <c r="X514" s="1"/>
      <c r="Y514" s="1"/>
      <c r="Z514" s="1"/>
    </row>
    <row r="515" customFormat="false" ht="15.75" hidden="false" customHeight="true" outlineLevel="0" collapsed="false">
      <c r="X515" s="1"/>
      <c r="Y515" s="1"/>
      <c r="Z515" s="1"/>
    </row>
    <row r="516" customFormat="false" ht="15.75" hidden="false" customHeight="true" outlineLevel="0" collapsed="false">
      <c r="X516" s="1"/>
      <c r="Y516" s="1"/>
      <c r="Z516" s="1"/>
    </row>
    <row r="517" customFormat="false" ht="15.75" hidden="false" customHeight="true" outlineLevel="0" collapsed="false">
      <c r="X517" s="1"/>
      <c r="Y517" s="1"/>
      <c r="Z517" s="1"/>
    </row>
    <row r="518" customFormat="false" ht="15.75" hidden="false" customHeight="true" outlineLevel="0" collapsed="false">
      <c r="X518" s="1"/>
      <c r="Y518" s="1"/>
      <c r="Z518" s="1"/>
    </row>
    <row r="519" customFormat="false" ht="15.75" hidden="false" customHeight="true" outlineLevel="0" collapsed="false">
      <c r="X519" s="1"/>
      <c r="Y519" s="1"/>
      <c r="Z519" s="1"/>
    </row>
    <row r="520" customFormat="false" ht="15.75" hidden="false" customHeight="true" outlineLevel="0" collapsed="false">
      <c r="X520" s="1"/>
      <c r="Y520" s="1"/>
      <c r="Z520" s="1"/>
    </row>
    <row r="521" customFormat="false" ht="15.75" hidden="false" customHeight="true" outlineLevel="0" collapsed="false">
      <c r="X521" s="1"/>
      <c r="Y521" s="1"/>
      <c r="Z521" s="1"/>
    </row>
    <row r="522" customFormat="false" ht="15.75" hidden="false" customHeight="true" outlineLevel="0" collapsed="false">
      <c r="X522" s="1"/>
      <c r="Y522" s="1"/>
      <c r="Z522" s="1"/>
    </row>
    <row r="523" customFormat="false" ht="15.75" hidden="false" customHeight="true" outlineLevel="0" collapsed="false">
      <c r="X523" s="1"/>
      <c r="Y523" s="1"/>
      <c r="Z523" s="1"/>
    </row>
    <row r="524" customFormat="false" ht="15.75" hidden="false" customHeight="true" outlineLevel="0" collapsed="false">
      <c r="X524" s="1"/>
      <c r="Y524" s="1"/>
      <c r="Z524" s="1"/>
    </row>
    <row r="525" customFormat="false" ht="15.75" hidden="false" customHeight="true" outlineLevel="0" collapsed="false">
      <c r="X525" s="1"/>
      <c r="Y525" s="1"/>
      <c r="Z525" s="1"/>
    </row>
    <row r="526" customFormat="false" ht="15.75" hidden="false" customHeight="true" outlineLevel="0" collapsed="false">
      <c r="X526" s="1"/>
      <c r="Y526" s="1"/>
      <c r="Z526" s="1"/>
    </row>
    <row r="527" customFormat="false" ht="15.75" hidden="false" customHeight="true" outlineLevel="0" collapsed="false">
      <c r="X527" s="1"/>
      <c r="Y527" s="1"/>
      <c r="Z527" s="1"/>
    </row>
    <row r="528" customFormat="false" ht="15.75" hidden="false" customHeight="true" outlineLevel="0" collapsed="false">
      <c r="X528" s="1"/>
      <c r="Y528" s="1"/>
      <c r="Z528" s="1"/>
    </row>
    <row r="529" customFormat="false" ht="15.75" hidden="false" customHeight="true" outlineLevel="0" collapsed="false">
      <c r="X529" s="1"/>
      <c r="Y529" s="1"/>
      <c r="Z529" s="1"/>
    </row>
    <row r="530" customFormat="false" ht="15.75" hidden="false" customHeight="true" outlineLevel="0" collapsed="false">
      <c r="X530" s="1"/>
      <c r="Y530" s="1"/>
      <c r="Z530" s="1"/>
    </row>
    <row r="531" customFormat="false" ht="15.75" hidden="false" customHeight="true" outlineLevel="0" collapsed="false">
      <c r="X531" s="1"/>
      <c r="Y531" s="1"/>
      <c r="Z531" s="1"/>
    </row>
    <row r="532" customFormat="false" ht="15.75" hidden="false" customHeight="true" outlineLevel="0" collapsed="false">
      <c r="X532" s="1"/>
      <c r="Y532" s="1"/>
      <c r="Z532" s="1"/>
    </row>
    <row r="533" customFormat="false" ht="15.75" hidden="false" customHeight="true" outlineLevel="0" collapsed="false">
      <c r="X533" s="1"/>
      <c r="Y533" s="1"/>
      <c r="Z533" s="1"/>
    </row>
    <row r="534" customFormat="false" ht="15.75" hidden="false" customHeight="true" outlineLevel="0" collapsed="false">
      <c r="X534" s="1"/>
      <c r="Y534" s="1"/>
      <c r="Z534" s="1"/>
    </row>
    <row r="535" customFormat="false" ht="15.75" hidden="false" customHeight="true" outlineLevel="0" collapsed="false">
      <c r="X535" s="1"/>
      <c r="Y535" s="1"/>
      <c r="Z535" s="1"/>
    </row>
    <row r="536" customFormat="false" ht="15.75" hidden="false" customHeight="true" outlineLevel="0" collapsed="false">
      <c r="X536" s="1"/>
      <c r="Y536" s="1"/>
      <c r="Z536" s="1"/>
    </row>
    <row r="537" customFormat="false" ht="15.75" hidden="false" customHeight="true" outlineLevel="0" collapsed="false">
      <c r="X537" s="1"/>
      <c r="Y537" s="1"/>
      <c r="Z537" s="1"/>
    </row>
    <row r="538" customFormat="false" ht="15.75" hidden="false" customHeight="true" outlineLevel="0" collapsed="false">
      <c r="X538" s="1"/>
      <c r="Y538" s="1"/>
      <c r="Z538" s="1"/>
    </row>
    <row r="539" customFormat="false" ht="15.75" hidden="false" customHeight="true" outlineLevel="0" collapsed="false">
      <c r="X539" s="1"/>
      <c r="Y539" s="1"/>
      <c r="Z539" s="1"/>
    </row>
    <row r="540" customFormat="false" ht="15.75" hidden="false" customHeight="true" outlineLevel="0" collapsed="false">
      <c r="X540" s="1"/>
      <c r="Y540" s="1"/>
      <c r="Z540" s="1"/>
    </row>
    <row r="541" customFormat="false" ht="15.75" hidden="false" customHeight="true" outlineLevel="0" collapsed="false">
      <c r="X541" s="1"/>
      <c r="Y541" s="1"/>
      <c r="Z541" s="1"/>
    </row>
    <row r="542" customFormat="false" ht="15.75" hidden="false" customHeight="true" outlineLevel="0" collapsed="false">
      <c r="X542" s="1"/>
      <c r="Y542" s="1"/>
      <c r="Z542" s="1"/>
    </row>
    <row r="543" customFormat="false" ht="15.75" hidden="false" customHeight="true" outlineLevel="0" collapsed="false">
      <c r="X543" s="1"/>
      <c r="Y543" s="1"/>
      <c r="Z543" s="1"/>
    </row>
    <row r="544" customFormat="false" ht="15.75" hidden="false" customHeight="true" outlineLevel="0" collapsed="false">
      <c r="X544" s="1"/>
      <c r="Y544" s="1"/>
      <c r="Z544" s="1"/>
    </row>
    <row r="545" customFormat="false" ht="15.75" hidden="false" customHeight="true" outlineLevel="0" collapsed="false">
      <c r="X545" s="1"/>
      <c r="Y545" s="1"/>
      <c r="Z545" s="1"/>
    </row>
    <row r="546" customFormat="false" ht="15.75" hidden="false" customHeight="true" outlineLevel="0" collapsed="false">
      <c r="X546" s="1"/>
      <c r="Y546" s="1"/>
      <c r="Z546" s="1"/>
    </row>
    <row r="547" customFormat="false" ht="15.75" hidden="false" customHeight="true" outlineLevel="0" collapsed="false">
      <c r="X547" s="1"/>
      <c r="Y547" s="1"/>
      <c r="Z547" s="1"/>
    </row>
    <row r="548" customFormat="false" ht="15.75" hidden="false" customHeight="true" outlineLevel="0" collapsed="false">
      <c r="X548" s="1"/>
      <c r="Y548" s="1"/>
      <c r="Z548" s="1"/>
    </row>
    <row r="549" customFormat="false" ht="15.75" hidden="false" customHeight="true" outlineLevel="0" collapsed="false">
      <c r="X549" s="1"/>
      <c r="Y549" s="1"/>
      <c r="Z549" s="1"/>
    </row>
    <row r="550" customFormat="false" ht="15.75" hidden="false" customHeight="true" outlineLevel="0" collapsed="false">
      <c r="X550" s="1"/>
      <c r="Y550" s="1"/>
      <c r="Z550" s="1"/>
    </row>
    <row r="551" customFormat="false" ht="15.75" hidden="false" customHeight="true" outlineLevel="0" collapsed="false">
      <c r="X551" s="1"/>
      <c r="Y551" s="1"/>
      <c r="Z551" s="1"/>
    </row>
    <row r="552" customFormat="false" ht="15.75" hidden="false" customHeight="true" outlineLevel="0" collapsed="false">
      <c r="X552" s="1"/>
      <c r="Y552" s="1"/>
      <c r="Z552" s="1"/>
    </row>
    <row r="553" customFormat="false" ht="15.75" hidden="false" customHeight="true" outlineLevel="0" collapsed="false">
      <c r="X553" s="1"/>
      <c r="Y553" s="1"/>
      <c r="Z553" s="1"/>
    </row>
    <row r="554" customFormat="false" ht="15.75" hidden="false" customHeight="true" outlineLevel="0" collapsed="false">
      <c r="X554" s="1"/>
      <c r="Y554" s="1"/>
      <c r="Z554" s="1"/>
    </row>
    <row r="555" customFormat="false" ht="15.75" hidden="false" customHeight="true" outlineLevel="0" collapsed="false">
      <c r="X555" s="1"/>
      <c r="Y555" s="1"/>
      <c r="Z555" s="1"/>
    </row>
    <row r="556" customFormat="false" ht="15.75" hidden="false" customHeight="true" outlineLevel="0" collapsed="false">
      <c r="X556" s="1"/>
      <c r="Y556" s="1"/>
      <c r="Z556" s="1"/>
    </row>
    <row r="557" customFormat="false" ht="15.75" hidden="false" customHeight="true" outlineLevel="0" collapsed="false">
      <c r="X557" s="1"/>
      <c r="Y557" s="1"/>
      <c r="Z557" s="1"/>
    </row>
    <row r="558" customFormat="false" ht="15.75" hidden="false" customHeight="true" outlineLevel="0" collapsed="false">
      <c r="X558" s="1"/>
      <c r="Y558" s="1"/>
      <c r="Z558" s="1"/>
    </row>
    <row r="559" customFormat="false" ht="15.75" hidden="false" customHeight="true" outlineLevel="0" collapsed="false">
      <c r="X559" s="1"/>
      <c r="Y559" s="1"/>
      <c r="Z559" s="1"/>
    </row>
    <row r="560" customFormat="false" ht="15.75" hidden="false" customHeight="true" outlineLevel="0" collapsed="false">
      <c r="X560" s="1"/>
      <c r="Y560" s="1"/>
      <c r="Z560" s="1"/>
    </row>
    <row r="561" customFormat="false" ht="15.75" hidden="false" customHeight="true" outlineLevel="0" collapsed="false">
      <c r="X561" s="1"/>
      <c r="Y561" s="1"/>
      <c r="Z561" s="1"/>
    </row>
    <row r="562" customFormat="false" ht="15.75" hidden="false" customHeight="true" outlineLevel="0" collapsed="false">
      <c r="X562" s="1"/>
      <c r="Y562" s="1"/>
      <c r="Z562" s="1"/>
    </row>
    <row r="563" customFormat="false" ht="15.75" hidden="false" customHeight="true" outlineLevel="0" collapsed="false">
      <c r="X563" s="1"/>
      <c r="Y563" s="1"/>
      <c r="Z563" s="1"/>
    </row>
    <row r="564" customFormat="false" ht="15.75" hidden="false" customHeight="true" outlineLevel="0" collapsed="false">
      <c r="X564" s="1"/>
      <c r="Y564" s="1"/>
      <c r="Z564" s="1"/>
    </row>
    <row r="565" customFormat="false" ht="15.75" hidden="false" customHeight="true" outlineLevel="0" collapsed="false">
      <c r="X565" s="1"/>
      <c r="Y565" s="1"/>
      <c r="Z565" s="1"/>
    </row>
    <row r="566" customFormat="false" ht="15.75" hidden="false" customHeight="true" outlineLevel="0" collapsed="false">
      <c r="X566" s="1"/>
      <c r="Y566" s="1"/>
      <c r="Z566" s="1"/>
    </row>
    <row r="567" customFormat="false" ht="15.75" hidden="false" customHeight="true" outlineLevel="0" collapsed="false">
      <c r="X567" s="1"/>
      <c r="Y567" s="1"/>
      <c r="Z567" s="1"/>
    </row>
    <row r="568" customFormat="false" ht="15.75" hidden="false" customHeight="true" outlineLevel="0" collapsed="false">
      <c r="X568" s="1"/>
      <c r="Y568" s="1"/>
      <c r="Z568" s="1"/>
    </row>
    <row r="569" customFormat="false" ht="15.75" hidden="false" customHeight="true" outlineLevel="0" collapsed="false">
      <c r="X569" s="1"/>
      <c r="Y569" s="1"/>
      <c r="Z569" s="1"/>
    </row>
    <row r="570" customFormat="false" ht="15.75" hidden="false" customHeight="true" outlineLevel="0" collapsed="false">
      <c r="X570" s="1"/>
      <c r="Y570" s="1"/>
      <c r="Z570" s="1"/>
    </row>
    <row r="571" customFormat="false" ht="15.75" hidden="false" customHeight="true" outlineLevel="0" collapsed="false">
      <c r="X571" s="1"/>
      <c r="Y571" s="1"/>
      <c r="Z571" s="1"/>
    </row>
    <row r="572" customFormat="false" ht="15.75" hidden="false" customHeight="true" outlineLevel="0" collapsed="false">
      <c r="X572" s="1"/>
      <c r="Y572" s="1"/>
      <c r="Z572" s="1"/>
    </row>
    <row r="573" customFormat="false" ht="15.75" hidden="false" customHeight="true" outlineLevel="0" collapsed="false">
      <c r="X573" s="1"/>
      <c r="Y573" s="1"/>
      <c r="Z573" s="1"/>
    </row>
    <row r="574" customFormat="false" ht="15.75" hidden="false" customHeight="true" outlineLevel="0" collapsed="false">
      <c r="X574" s="1"/>
      <c r="Y574" s="1"/>
      <c r="Z574" s="1"/>
    </row>
    <row r="575" customFormat="false" ht="15.75" hidden="false" customHeight="true" outlineLevel="0" collapsed="false">
      <c r="X575" s="1"/>
      <c r="Y575" s="1"/>
      <c r="Z575" s="1"/>
    </row>
    <row r="576" customFormat="false" ht="15.75" hidden="false" customHeight="true" outlineLevel="0" collapsed="false">
      <c r="X576" s="1"/>
      <c r="Y576" s="1"/>
      <c r="Z576" s="1"/>
    </row>
    <row r="577" customFormat="false" ht="15.75" hidden="false" customHeight="true" outlineLevel="0" collapsed="false">
      <c r="X577" s="1"/>
      <c r="Y577" s="1"/>
      <c r="Z577" s="1"/>
    </row>
    <row r="578" customFormat="false" ht="15.75" hidden="false" customHeight="true" outlineLevel="0" collapsed="false">
      <c r="X578" s="1"/>
      <c r="Y578" s="1"/>
      <c r="Z578" s="1"/>
    </row>
    <row r="579" customFormat="false" ht="15.75" hidden="false" customHeight="true" outlineLevel="0" collapsed="false">
      <c r="X579" s="1"/>
      <c r="Y579" s="1"/>
      <c r="Z579" s="1"/>
    </row>
    <row r="580" customFormat="false" ht="15.75" hidden="false" customHeight="true" outlineLevel="0" collapsed="false">
      <c r="X580" s="1"/>
      <c r="Y580" s="1"/>
      <c r="Z580" s="1"/>
    </row>
    <row r="581" customFormat="false" ht="15.75" hidden="false" customHeight="true" outlineLevel="0" collapsed="false">
      <c r="X581" s="1"/>
      <c r="Y581" s="1"/>
      <c r="Z581" s="1"/>
    </row>
    <row r="582" customFormat="false" ht="15.75" hidden="false" customHeight="true" outlineLevel="0" collapsed="false">
      <c r="X582" s="1"/>
      <c r="Y582" s="1"/>
      <c r="Z582" s="1"/>
    </row>
    <row r="583" customFormat="false" ht="15.75" hidden="false" customHeight="true" outlineLevel="0" collapsed="false">
      <c r="X583" s="1"/>
      <c r="Y583" s="1"/>
      <c r="Z583" s="1"/>
    </row>
    <row r="584" customFormat="false" ht="15.75" hidden="false" customHeight="true" outlineLevel="0" collapsed="false">
      <c r="X584" s="1"/>
      <c r="Y584" s="1"/>
      <c r="Z584" s="1"/>
    </row>
    <row r="585" customFormat="false" ht="15.75" hidden="false" customHeight="true" outlineLevel="0" collapsed="false">
      <c r="X585" s="1"/>
      <c r="Y585" s="1"/>
      <c r="Z585" s="1"/>
    </row>
    <row r="586" customFormat="false" ht="15.75" hidden="false" customHeight="true" outlineLevel="0" collapsed="false">
      <c r="X586" s="1"/>
      <c r="Y586" s="1"/>
      <c r="Z586" s="1"/>
    </row>
    <row r="587" customFormat="false" ht="15.75" hidden="false" customHeight="true" outlineLevel="0" collapsed="false">
      <c r="X587" s="1"/>
      <c r="Y587" s="1"/>
      <c r="Z587" s="1"/>
    </row>
    <row r="588" customFormat="false" ht="15.75" hidden="false" customHeight="true" outlineLevel="0" collapsed="false">
      <c r="X588" s="1"/>
      <c r="Y588" s="1"/>
      <c r="Z588" s="1"/>
    </row>
    <row r="589" customFormat="false" ht="15.75" hidden="false" customHeight="true" outlineLevel="0" collapsed="false">
      <c r="X589" s="1"/>
      <c r="Y589" s="1"/>
      <c r="Z589" s="1"/>
    </row>
    <row r="590" customFormat="false" ht="15.75" hidden="false" customHeight="true" outlineLevel="0" collapsed="false">
      <c r="X590" s="1"/>
      <c r="Y590" s="1"/>
      <c r="Z590" s="1"/>
    </row>
    <row r="591" customFormat="false" ht="15.75" hidden="false" customHeight="true" outlineLevel="0" collapsed="false">
      <c r="X591" s="1"/>
      <c r="Y591" s="1"/>
      <c r="Z591" s="1"/>
    </row>
    <row r="592" customFormat="false" ht="15.75" hidden="false" customHeight="true" outlineLevel="0" collapsed="false">
      <c r="X592" s="1"/>
      <c r="Y592" s="1"/>
      <c r="Z592" s="1"/>
    </row>
    <row r="593" customFormat="false" ht="15.75" hidden="false" customHeight="true" outlineLevel="0" collapsed="false">
      <c r="X593" s="1"/>
      <c r="Y593" s="1"/>
      <c r="Z593" s="1"/>
    </row>
    <row r="594" customFormat="false" ht="15.75" hidden="false" customHeight="true" outlineLevel="0" collapsed="false">
      <c r="X594" s="1"/>
      <c r="Y594" s="1"/>
      <c r="Z594" s="1"/>
    </row>
    <row r="595" customFormat="false" ht="15.75" hidden="false" customHeight="true" outlineLevel="0" collapsed="false">
      <c r="X595" s="1"/>
      <c r="Y595" s="1"/>
      <c r="Z595" s="1"/>
    </row>
    <row r="596" customFormat="false" ht="15.75" hidden="false" customHeight="true" outlineLevel="0" collapsed="false">
      <c r="X596" s="1"/>
      <c r="Y596" s="1"/>
      <c r="Z596" s="1"/>
    </row>
    <row r="597" customFormat="false" ht="15.75" hidden="false" customHeight="true" outlineLevel="0" collapsed="false">
      <c r="X597" s="1"/>
      <c r="Y597" s="1"/>
      <c r="Z597" s="1"/>
    </row>
    <row r="598" customFormat="false" ht="15.75" hidden="false" customHeight="true" outlineLevel="0" collapsed="false">
      <c r="X598" s="1"/>
      <c r="Y598" s="1"/>
      <c r="Z598" s="1"/>
    </row>
    <row r="599" customFormat="false" ht="15.75" hidden="false" customHeight="true" outlineLevel="0" collapsed="false">
      <c r="X599" s="1"/>
      <c r="Y599" s="1"/>
      <c r="Z599" s="1"/>
    </row>
    <row r="600" customFormat="false" ht="15.75" hidden="false" customHeight="true" outlineLevel="0" collapsed="false">
      <c r="X600" s="1"/>
      <c r="Y600" s="1"/>
      <c r="Z600" s="1"/>
    </row>
    <row r="601" customFormat="false" ht="15.75" hidden="false" customHeight="true" outlineLevel="0" collapsed="false">
      <c r="X601" s="1"/>
      <c r="Y601" s="1"/>
      <c r="Z601" s="1"/>
    </row>
    <row r="602" customFormat="false" ht="15.75" hidden="false" customHeight="true" outlineLevel="0" collapsed="false">
      <c r="X602" s="1"/>
      <c r="Y602" s="1"/>
      <c r="Z602" s="1"/>
    </row>
    <row r="603" customFormat="false" ht="15.75" hidden="false" customHeight="true" outlineLevel="0" collapsed="false">
      <c r="X603" s="1"/>
      <c r="Y603" s="1"/>
      <c r="Z603" s="1"/>
    </row>
    <row r="604" customFormat="false" ht="15.75" hidden="false" customHeight="true" outlineLevel="0" collapsed="false">
      <c r="X604" s="1"/>
      <c r="Y604" s="1"/>
      <c r="Z604" s="1"/>
    </row>
    <row r="605" customFormat="false" ht="15.75" hidden="false" customHeight="true" outlineLevel="0" collapsed="false">
      <c r="X605" s="1"/>
      <c r="Y605" s="1"/>
      <c r="Z605" s="1"/>
    </row>
    <row r="606" customFormat="false" ht="15.75" hidden="false" customHeight="true" outlineLevel="0" collapsed="false">
      <c r="X606" s="1"/>
      <c r="Y606" s="1"/>
      <c r="Z606" s="1"/>
    </row>
    <row r="607" customFormat="false" ht="15.75" hidden="false" customHeight="true" outlineLevel="0" collapsed="false">
      <c r="X607" s="1"/>
      <c r="Y607" s="1"/>
      <c r="Z607" s="1"/>
    </row>
    <row r="608" customFormat="false" ht="15.75" hidden="false" customHeight="true" outlineLevel="0" collapsed="false">
      <c r="X608" s="1"/>
      <c r="Y608" s="1"/>
      <c r="Z608" s="1"/>
    </row>
    <row r="609" customFormat="false" ht="15.75" hidden="false" customHeight="true" outlineLevel="0" collapsed="false">
      <c r="X609" s="1"/>
      <c r="Y609" s="1"/>
      <c r="Z609" s="1"/>
    </row>
    <row r="610" customFormat="false" ht="15.75" hidden="false" customHeight="true" outlineLevel="0" collapsed="false">
      <c r="X610" s="1"/>
      <c r="Y610" s="1"/>
      <c r="Z610" s="1"/>
    </row>
    <row r="611" customFormat="false" ht="15.75" hidden="false" customHeight="true" outlineLevel="0" collapsed="false">
      <c r="X611" s="1"/>
      <c r="Y611" s="1"/>
      <c r="Z611" s="1"/>
    </row>
    <row r="612" customFormat="false" ht="15.75" hidden="false" customHeight="true" outlineLevel="0" collapsed="false">
      <c r="X612" s="1"/>
      <c r="Y612" s="1"/>
      <c r="Z612" s="1"/>
    </row>
    <row r="613" customFormat="false" ht="15.75" hidden="false" customHeight="true" outlineLevel="0" collapsed="false">
      <c r="X613" s="1"/>
      <c r="Y613" s="1"/>
      <c r="Z613" s="1"/>
    </row>
    <row r="614" customFormat="false" ht="15.75" hidden="false" customHeight="true" outlineLevel="0" collapsed="false">
      <c r="X614" s="1"/>
      <c r="Y614" s="1"/>
      <c r="Z614" s="1"/>
    </row>
    <row r="615" customFormat="false" ht="15.75" hidden="false" customHeight="true" outlineLevel="0" collapsed="false">
      <c r="X615" s="1"/>
      <c r="Y615" s="1"/>
      <c r="Z615" s="1"/>
    </row>
    <row r="616" customFormat="false" ht="15.75" hidden="false" customHeight="true" outlineLevel="0" collapsed="false">
      <c r="X616" s="1"/>
      <c r="Y616" s="1"/>
      <c r="Z616" s="1"/>
    </row>
    <row r="617" customFormat="false" ht="15.75" hidden="false" customHeight="true" outlineLevel="0" collapsed="false">
      <c r="X617" s="1"/>
      <c r="Y617" s="1"/>
      <c r="Z617" s="1"/>
    </row>
    <row r="618" customFormat="false" ht="15.75" hidden="false" customHeight="true" outlineLevel="0" collapsed="false">
      <c r="X618" s="1"/>
      <c r="Y618" s="1"/>
      <c r="Z618" s="1"/>
    </row>
    <row r="619" customFormat="false" ht="15.75" hidden="false" customHeight="true" outlineLevel="0" collapsed="false">
      <c r="X619" s="1"/>
      <c r="Y619" s="1"/>
      <c r="Z619" s="1"/>
    </row>
    <row r="620" customFormat="false" ht="15.75" hidden="false" customHeight="true" outlineLevel="0" collapsed="false">
      <c r="X620" s="1"/>
      <c r="Y620" s="1"/>
      <c r="Z620" s="1"/>
    </row>
    <row r="621" customFormat="false" ht="15.75" hidden="false" customHeight="true" outlineLevel="0" collapsed="false">
      <c r="X621" s="1"/>
      <c r="Y621" s="1"/>
      <c r="Z621" s="1"/>
    </row>
    <row r="622" customFormat="false" ht="15.75" hidden="false" customHeight="true" outlineLevel="0" collapsed="false">
      <c r="X622" s="1"/>
      <c r="Y622" s="1"/>
      <c r="Z622" s="1"/>
    </row>
    <row r="623" customFormat="false" ht="15.75" hidden="false" customHeight="true" outlineLevel="0" collapsed="false">
      <c r="X623" s="1"/>
      <c r="Y623" s="1"/>
      <c r="Z623" s="1"/>
    </row>
    <row r="624" customFormat="false" ht="15.75" hidden="false" customHeight="true" outlineLevel="0" collapsed="false">
      <c r="X624" s="1"/>
      <c r="Y624" s="1"/>
      <c r="Z624" s="1"/>
    </row>
    <row r="625" customFormat="false" ht="15.75" hidden="false" customHeight="true" outlineLevel="0" collapsed="false">
      <c r="X625" s="1"/>
      <c r="Y625" s="1"/>
      <c r="Z625" s="1"/>
    </row>
    <row r="626" customFormat="false" ht="15.75" hidden="false" customHeight="true" outlineLevel="0" collapsed="false">
      <c r="X626" s="1"/>
      <c r="Y626" s="1"/>
      <c r="Z626" s="1"/>
    </row>
    <row r="627" customFormat="false" ht="15.75" hidden="false" customHeight="true" outlineLevel="0" collapsed="false">
      <c r="X627" s="1"/>
      <c r="Y627" s="1"/>
      <c r="Z627" s="1"/>
    </row>
    <row r="628" customFormat="false" ht="15.75" hidden="false" customHeight="true" outlineLevel="0" collapsed="false">
      <c r="X628" s="1"/>
      <c r="Y628" s="1"/>
      <c r="Z628" s="1"/>
    </row>
    <row r="629" customFormat="false" ht="15.75" hidden="false" customHeight="true" outlineLevel="0" collapsed="false">
      <c r="X629" s="1"/>
      <c r="Y629" s="1"/>
      <c r="Z629" s="1"/>
    </row>
    <row r="630" customFormat="false" ht="15.75" hidden="false" customHeight="true" outlineLevel="0" collapsed="false">
      <c r="X630" s="1"/>
      <c r="Y630" s="1"/>
      <c r="Z630" s="1"/>
    </row>
    <row r="631" customFormat="false" ht="15.75" hidden="false" customHeight="true" outlineLevel="0" collapsed="false">
      <c r="X631" s="1"/>
      <c r="Y631" s="1"/>
      <c r="Z631" s="1"/>
    </row>
    <row r="632" customFormat="false" ht="15.75" hidden="false" customHeight="true" outlineLevel="0" collapsed="false">
      <c r="X632" s="1"/>
      <c r="Y632" s="1"/>
      <c r="Z632" s="1"/>
    </row>
    <row r="633" customFormat="false" ht="15.75" hidden="false" customHeight="true" outlineLevel="0" collapsed="false">
      <c r="X633" s="1"/>
      <c r="Y633" s="1"/>
      <c r="Z633" s="1"/>
    </row>
    <row r="634" customFormat="false" ht="15.75" hidden="false" customHeight="true" outlineLevel="0" collapsed="false">
      <c r="X634" s="1"/>
      <c r="Y634" s="1"/>
      <c r="Z634" s="1"/>
    </row>
    <row r="635" customFormat="false" ht="15.75" hidden="false" customHeight="true" outlineLevel="0" collapsed="false">
      <c r="X635" s="1"/>
      <c r="Y635" s="1"/>
      <c r="Z635" s="1"/>
    </row>
    <row r="636" customFormat="false" ht="15.75" hidden="false" customHeight="true" outlineLevel="0" collapsed="false">
      <c r="X636" s="1"/>
      <c r="Y636" s="1"/>
      <c r="Z636" s="1"/>
    </row>
    <row r="637" customFormat="false" ht="15.75" hidden="false" customHeight="true" outlineLevel="0" collapsed="false">
      <c r="X637" s="1"/>
      <c r="Y637" s="1"/>
      <c r="Z637" s="1"/>
    </row>
    <row r="638" customFormat="false" ht="15.75" hidden="false" customHeight="true" outlineLevel="0" collapsed="false">
      <c r="X638" s="1"/>
      <c r="Y638" s="1"/>
      <c r="Z638" s="1"/>
    </row>
    <row r="639" customFormat="false" ht="15.75" hidden="false" customHeight="true" outlineLevel="0" collapsed="false">
      <c r="X639" s="1"/>
      <c r="Y639" s="1"/>
      <c r="Z639" s="1"/>
    </row>
    <row r="640" customFormat="false" ht="15.75" hidden="false" customHeight="true" outlineLevel="0" collapsed="false">
      <c r="X640" s="1"/>
      <c r="Y640" s="1"/>
      <c r="Z640" s="1"/>
    </row>
    <row r="641" customFormat="false" ht="15.75" hidden="false" customHeight="true" outlineLevel="0" collapsed="false">
      <c r="X641" s="1"/>
      <c r="Y641" s="1"/>
      <c r="Z641" s="1"/>
    </row>
    <row r="642" customFormat="false" ht="15.75" hidden="false" customHeight="true" outlineLevel="0" collapsed="false">
      <c r="X642" s="1"/>
      <c r="Y642" s="1"/>
      <c r="Z642" s="1"/>
    </row>
    <row r="643" customFormat="false" ht="15.75" hidden="false" customHeight="true" outlineLevel="0" collapsed="false">
      <c r="X643" s="1"/>
      <c r="Y643" s="1"/>
      <c r="Z643" s="1"/>
    </row>
    <row r="644" customFormat="false" ht="15.75" hidden="false" customHeight="true" outlineLevel="0" collapsed="false">
      <c r="X644" s="1"/>
      <c r="Y644" s="1"/>
      <c r="Z644" s="1"/>
    </row>
    <row r="645" customFormat="false" ht="15.75" hidden="false" customHeight="true" outlineLevel="0" collapsed="false">
      <c r="X645" s="1"/>
      <c r="Y645" s="1"/>
      <c r="Z645" s="1"/>
    </row>
    <row r="646" customFormat="false" ht="15.75" hidden="false" customHeight="true" outlineLevel="0" collapsed="false">
      <c r="X646" s="1"/>
      <c r="Y646" s="1"/>
      <c r="Z646" s="1"/>
    </row>
    <row r="647" customFormat="false" ht="15.75" hidden="false" customHeight="true" outlineLevel="0" collapsed="false">
      <c r="X647" s="1"/>
      <c r="Y647" s="1"/>
      <c r="Z647" s="1"/>
    </row>
    <row r="648" customFormat="false" ht="15.75" hidden="false" customHeight="true" outlineLevel="0" collapsed="false">
      <c r="X648" s="1"/>
      <c r="Y648" s="1"/>
      <c r="Z648" s="1"/>
    </row>
    <row r="649" customFormat="false" ht="15.75" hidden="false" customHeight="true" outlineLevel="0" collapsed="false">
      <c r="X649" s="1"/>
      <c r="Y649" s="1"/>
      <c r="Z649" s="1"/>
    </row>
    <row r="650" customFormat="false" ht="15.75" hidden="false" customHeight="true" outlineLevel="0" collapsed="false">
      <c r="X650" s="1"/>
      <c r="Y650" s="1"/>
      <c r="Z650" s="1"/>
    </row>
    <row r="651" customFormat="false" ht="15.75" hidden="false" customHeight="true" outlineLevel="0" collapsed="false">
      <c r="X651" s="1"/>
      <c r="Y651" s="1"/>
      <c r="Z651" s="1"/>
    </row>
    <row r="652" customFormat="false" ht="15.75" hidden="false" customHeight="true" outlineLevel="0" collapsed="false">
      <c r="X652" s="1"/>
      <c r="Y652" s="1"/>
      <c r="Z652" s="1"/>
    </row>
    <row r="653" customFormat="false" ht="15.75" hidden="false" customHeight="true" outlineLevel="0" collapsed="false">
      <c r="X653" s="1"/>
      <c r="Y653" s="1"/>
      <c r="Z653" s="1"/>
    </row>
    <row r="654" customFormat="false" ht="15.75" hidden="false" customHeight="true" outlineLevel="0" collapsed="false">
      <c r="X654" s="1"/>
      <c r="Y654" s="1"/>
      <c r="Z654" s="1"/>
    </row>
    <row r="655" customFormat="false" ht="15.75" hidden="false" customHeight="true" outlineLevel="0" collapsed="false">
      <c r="X655" s="1"/>
      <c r="Y655" s="1"/>
      <c r="Z655" s="1"/>
    </row>
    <row r="656" customFormat="false" ht="15.75" hidden="false" customHeight="true" outlineLevel="0" collapsed="false">
      <c r="X656" s="1"/>
      <c r="Y656" s="1"/>
      <c r="Z656" s="1"/>
    </row>
    <row r="657" customFormat="false" ht="15.75" hidden="false" customHeight="true" outlineLevel="0" collapsed="false">
      <c r="X657" s="1"/>
      <c r="Y657" s="1"/>
      <c r="Z657" s="1"/>
    </row>
    <row r="658" customFormat="false" ht="15.75" hidden="false" customHeight="true" outlineLevel="0" collapsed="false">
      <c r="X658" s="1"/>
      <c r="Y658" s="1"/>
      <c r="Z658" s="1"/>
    </row>
    <row r="659" customFormat="false" ht="15.75" hidden="false" customHeight="true" outlineLevel="0" collapsed="false">
      <c r="X659" s="1"/>
      <c r="Y659" s="1"/>
      <c r="Z659" s="1"/>
    </row>
    <row r="660" customFormat="false" ht="15.75" hidden="false" customHeight="true" outlineLevel="0" collapsed="false">
      <c r="X660" s="1"/>
      <c r="Y660" s="1"/>
      <c r="Z660" s="1"/>
    </row>
    <row r="661" customFormat="false" ht="15.75" hidden="false" customHeight="true" outlineLevel="0" collapsed="false">
      <c r="X661" s="1"/>
      <c r="Y661" s="1"/>
      <c r="Z661" s="1"/>
    </row>
    <row r="662" customFormat="false" ht="15.75" hidden="false" customHeight="true" outlineLevel="0" collapsed="false">
      <c r="X662" s="1"/>
      <c r="Y662" s="1"/>
      <c r="Z662" s="1"/>
    </row>
    <row r="663" customFormat="false" ht="15.75" hidden="false" customHeight="true" outlineLevel="0" collapsed="false">
      <c r="X663" s="1"/>
      <c r="Y663" s="1"/>
      <c r="Z663" s="1"/>
    </row>
    <row r="664" customFormat="false" ht="15.75" hidden="false" customHeight="true" outlineLevel="0" collapsed="false">
      <c r="X664" s="1"/>
      <c r="Y664" s="1"/>
      <c r="Z664" s="1"/>
    </row>
    <row r="665" customFormat="false" ht="15.75" hidden="false" customHeight="true" outlineLevel="0" collapsed="false">
      <c r="X665" s="1"/>
      <c r="Y665" s="1"/>
      <c r="Z665" s="1"/>
    </row>
    <row r="666" customFormat="false" ht="15.75" hidden="false" customHeight="true" outlineLevel="0" collapsed="false">
      <c r="X666" s="1"/>
      <c r="Y666" s="1"/>
      <c r="Z666" s="1"/>
    </row>
    <row r="667" customFormat="false" ht="15.75" hidden="false" customHeight="true" outlineLevel="0" collapsed="false">
      <c r="X667" s="1"/>
      <c r="Y667" s="1"/>
      <c r="Z667" s="1"/>
    </row>
    <row r="668" customFormat="false" ht="15.75" hidden="false" customHeight="true" outlineLevel="0" collapsed="false">
      <c r="X668" s="1"/>
      <c r="Y668" s="1"/>
      <c r="Z668" s="1"/>
    </row>
    <row r="669" customFormat="false" ht="15.75" hidden="false" customHeight="true" outlineLevel="0" collapsed="false">
      <c r="X669" s="1"/>
      <c r="Y669" s="1"/>
      <c r="Z669" s="1"/>
    </row>
    <row r="670" customFormat="false" ht="15.75" hidden="false" customHeight="true" outlineLevel="0" collapsed="false">
      <c r="X670" s="1"/>
      <c r="Y670" s="1"/>
      <c r="Z670" s="1"/>
    </row>
    <row r="671" customFormat="false" ht="15.75" hidden="false" customHeight="true" outlineLevel="0" collapsed="false">
      <c r="X671" s="1"/>
      <c r="Y671" s="1"/>
      <c r="Z671" s="1"/>
    </row>
    <row r="672" customFormat="false" ht="15.75" hidden="false" customHeight="true" outlineLevel="0" collapsed="false">
      <c r="X672" s="1"/>
      <c r="Y672" s="1"/>
      <c r="Z672" s="1"/>
    </row>
    <row r="673" customFormat="false" ht="15.75" hidden="false" customHeight="true" outlineLevel="0" collapsed="false">
      <c r="X673" s="1"/>
      <c r="Y673" s="1"/>
      <c r="Z673" s="1"/>
    </row>
    <row r="674" customFormat="false" ht="15.75" hidden="false" customHeight="true" outlineLevel="0" collapsed="false">
      <c r="X674" s="1"/>
      <c r="Y674" s="1"/>
      <c r="Z674" s="1"/>
    </row>
    <row r="675" customFormat="false" ht="15.75" hidden="false" customHeight="true" outlineLevel="0" collapsed="false">
      <c r="X675" s="1"/>
      <c r="Y675" s="1"/>
      <c r="Z675" s="1"/>
    </row>
    <row r="676" customFormat="false" ht="15.75" hidden="false" customHeight="true" outlineLevel="0" collapsed="false">
      <c r="X676" s="1"/>
      <c r="Y676" s="1"/>
      <c r="Z676" s="1"/>
    </row>
    <row r="677" customFormat="false" ht="15.75" hidden="false" customHeight="true" outlineLevel="0" collapsed="false">
      <c r="X677" s="1"/>
      <c r="Y677" s="1"/>
      <c r="Z677" s="1"/>
    </row>
    <row r="678" customFormat="false" ht="15.75" hidden="false" customHeight="true" outlineLevel="0" collapsed="false">
      <c r="X678" s="1"/>
      <c r="Y678" s="1"/>
      <c r="Z678" s="1"/>
    </row>
    <row r="679" customFormat="false" ht="15.75" hidden="false" customHeight="true" outlineLevel="0" collapsed="false">
      <c r="X679" s="1"/>
      <c r="Y679" s="1"/>
      <c r="Z679" s="1"/>
    </row>
    <row r="680" customFormat="false" ht="15.75" hidden="false" customHeight="true" outlineLevel="0" collapsed="false">
      <c r="X680" s="1"/>
      <c r="Y680" s="1"/>
      <c r="Z680" s="1"/>
    </row>
    <row r="681" customFormat="false" ht="15.75" hidden="false" customHeight="true" outlineLevel="0" collapsed="false">
      <c r="X681" s="1"/>
      <c r="Y681" s="1"/>
      <c r="Z681" s="1"/>
    </row>
    <row r="682" customFormat="false" ht="15.75" hidden="false" customHeight="true" outlineLevel="0" collapsed="false">
      <c r="X682" s="1"/>
      <c r="Y682" s="1"/>
      <c r="Z682" s="1"/>
    </row>
    <row r="683" customFormat="false" ht="15.75" hidden="false" customHeight="true" outlineLevel="0" collapsed="false">
      <c r="X683" s="1"/>
      <c r="Y683" s="1"/>
      <c r="Z683" s="1"/>
    </row>
    <row r="684" customFormat="false" ht="15.75" hidden="false" customHeight="true" outlineLevel="0" collapsed="false">
      <c r="X684" s="1"/>
      <c r="Y684" s="1"/>
      <c r="Z684" s="1"/>
    </row>
    <row r="685" customFormat="false" ht="15.75" hidden="false" customHeight="true" outlineLevel="0" collapsed="false">
      <c r="X685" s="1"/>
      <c r="Y685" s="1"/>
      <c r="Z685" s="1"/>
    </row>
    <row r="686" customFormat="false" ht="15.75" hidden="false" customHeight="true" outlineLevel="0" collapsed="false">
      <c r="X686" s="1"/>
      <c r="Y686" s="1"/>
      <c r="Z686" s="1"/>
    </row>
    <row r="687" customFormat="false" ht="15.75" hidden="false" customHeight="true" outlineLevel="0" collapsed="false">
      <c r="X687" s="1"/>
      <c r="Y687" s="1"/>
      <c r="Z687" s="1"/>
    </row>
    <row r="688" customFormat="false" ht="15.75" hidden="false" customHeight="true" outlineLevel="0" collapsed="false">
      <c r="X688" s="1"/>
      <c r="Y688" s="1"/>
      <c r="Z688" s="1"/>
    </row>
    <row r="689" customFormat="false" ht="15.75" hidden="false" customHeight="true" outlineLevel="0" collapsed="false">
      <c r="X689" s="1"/>
      <c r="Y689" s="1"/>
      <c r="Z689" s="1"/>
    </row>
    <row r="690" customFormat="false" ht="15.75" hidden="false" customHeight="true" outlineLevel="0" collapsed="false">
      <c r="X690" s="1"/>
      <c r="Y690" s="1"/>
      <c r="Z690" s="1"/>
    </row>
    <row r="691" customFormat="false" ht="15.75" hidden="false" customHeight="true" outlineLevel="0" collapsed="false">
      <c r="X691" s="1"/>
      <c r="Y691" s="1"/>
      <c r="Z691" s="1"/>
    </row>
    <row r="692" customFormat="false" ht="15.75" hidden="false" customHeight="true" outlineLevel="0" collapsed="false">
      <c r="X692" s="1"/>
      <c r="Y692" s="1"/>
      <c r="Z692" s="1"/>
    </row>
    <row r="693" customFormat="false" ht="15.75" hidden="false" customHeight="true" outlineLevel="0" collapsed="false">
      <c r="X693" s="1"/>
      <c r="Y693" s="1"/>
      <c r="Z693" s="1"/>
    </row>
    <row r="694" customFormat="false" ht="15.75" hidden="false" customHeight="true" outlineLevel="0" collapsed="false">
      <c r="X694" s="1"/>
      <c r="Y694" s="1"/>
      <c r="Z694" s="1"/>
    </row>
    <row r="695" customFormat="false" ht="15.75" hidden="false" customHeight="true" outlineLevel="0" collapsed="false">
      <c r="X695" s="1"/>
      <c r="Y695" s="1"/>
      <c r="Z695" s="1"/>
    </row>
    <row r="696" customFormat="false" ht="15.75" hidden="false" customHeight="true" outlineLevel="0" collapsed="false">
      <c r="X696" s="1"/>
      <c r="Y696" s="1"/>
      <c r="Z696" s="1"/>
    </row>
    <row r="697" customFormat="false" ht="15.75" hidden="false" customHeight="true" outlineLevel="0" collapsed="false">
      <c r="X697" s="1"/>
      <c r="Y697" s="1"/>
      <c r="Z697" s="1"/>
    </row>
    <row r="698" customFormat="false" ht="15.75" hidden="false" customHeight="true" outlineLevel="0" collapsed="false">
      <c r="X698" s="1"/>
      <c r="Y698" s="1"/>
      <c r="Z698" s="1"/>
    </row>
    <row r="699" customFormat="false" ht="15.75" hidden="false" customHeight="true" outlineLevel="0" collapsed="false">
      <c r="X699" s="1"/>
      <c r="Y699" s="1"/>
      <c r="Z699" s="1"/>
    </row>
    <row r="700" customFormat="false" ht="15.75" hidden="false" customHeight="true" outlineLevel="0" collapsed="false">
      <c r="X700" s="1"/>
      <c r="Y700" s="1"/>
      <c r="Z700" s="1"/>
    </row>
    <row r="701" customFormat="false" ht="15.75" hidden="false" customHeight="true" outlineLevel="0" collapsed="false">
      <c r="X701" s="1"/>
      <c r="Y701" s="1"/>
      <c r="Z701" s="1"/>
    </row>
    <row r="702" customFormat="false" ht="15.75" hidden="false" customHeight="true" outlineLevel="0" collapsed="false">
      <c r="X702" s="1"/>
      <c r="Y702" s="1"/>
      <c r="Z702" s="1"/>
    </row>
    <row r="703" customFormat="false" ht="15.75" hidden="false" customHeight="true" outlineLevel="0" collapsed="false">
      <c r="X703" s="1"/>
      <c r="Y703" s="1"/>
      <c r="Z703" s="1"/>
    </row>
    <row r="704" customFormat="false" ht="15.75" hidden="false" customHeight="true" outlineLevel="0" collapsed="false">
      <c r="X704" s="1"/>
      <c r="Y704" s="1"/>
      <c r="Z704" s="1"/>
    </row>
    <row r="705" customFormat="false" ht="15.75" hidden="false" customHeight="true" outlineLevel="0" collapsed="false">
      <c r="X705" s="1"/>
      <c r="Y705" s="1"/>
      <c r="Z705" s="1"/>
    </row>
    <row r="706" customFormat="false" ht="15.75" hidden="false" customHeight="true" outlineLevel="0" collapsed="false">
      <c r="X706" s="1"/>
      <c r="Y706" s="1"/>
      <c r="Z706" s="1"/>
    </row>
    <row r="707" customFormat="false" ht="15.75" hidden="false" customHeight="true" outlineLevel="0" collapsed="false">
      <c r="X707" s="1"/>
      <c r="Y707" s="1"/>
      <c r="Z707" s="1"/>
    </row>
    <row r="708" customFormat="false" ht="15.75" hidden="false" customHeight="true" outlineLevel="0" collapsed="false">
      <c r="X708" s="1"/>
      <c r="Y708" s="1"/>
      <c r="Z708" s="1"/>
    </row>
    <row r="709" customFormat="false" ht="15.75" hidden="false" customHeight="true" outlineLevel="0" collapsed="false">
      <c r="X709" s="1"/>
      <c r="Y709" s="1"/>
      <c r="Z709" s="1"/>
    </row>
    <row r="710" customFormat="false" ht="15.75" hidden="false" customHeight="true" outlineLevel="0" collapsed="false">
      <c r="X710" s="1"/>
      <c r="Y710" s="1"/>
      <c r="Z710" s="1"/>
    </row>
    <row r="711" customFormat="false" ht="15.75" hidden="false" customHeight="true" outlineLevel="0" collapsed="false">
      <c r="X711" s="1"/>
      <c r="Y711" s="1"/>
      <c r="Z711" s="1"/>
    </row>
    <row r="712" customFormat="false" ht="15.75" hidden="false" customHeight="true" outlineLevel="0" collapsed="false">
      <c r="X712" s="1"/>
      <c r="Y712" s="1"/>
      <c r="Z712" s="1"/>
    </row>
    <row r="713" customFormat="false" ht="15.75" hidden="false" customHeight="true" outlineLevel="0" collapsed="false">
      <c r="X713" s="1"/>
      <c r="Y713" s="1"/>
      <c r="Z713" s="1"/>
    </row>
    <row r="714" customFormat="false" ht="15.75" hidden="false" customHeight="true" outlineLevel="0" collapsed="false">
      <c r="X714" s="1"/>
      <c r="Y714" s="1"/>
      <c r="Z714" s="1"/>
    </row>
    <row r="715" customFormat="false" ht="15.75" hidden="false" customHeight="true" outlineLevel="0" collapsed="false">
      <c r="X715" s="1"/>
      <c r="Y715" s="1"/>
      <c r="Z715" s="1"/>
    </row>
    <row r="716" customFormat="false" ht="15.75" hidden="false" customHeight="true" outlineLevel="0" collapsed="false">
      <c r="X716" s="1"/>
      <c r="Y716" s="1"/>
      <c r="Z716" s="1"/>
    </row>
    <row r="717" customFormat="false" ht="15.75" hidden="false" customHeight="true" outlineLevel="0" collapsed="false">
      <c r="X717" s="1"/>
      <c r="Y717" s="1"/>
      <c r="Z717" s="1"/>
    </row>
    <row r="718" customFormat="false" ht="15.75" hidden="false" customHeight="true" outlineLevel="0" collapsed="false">
      <c r="X718" s="1"/>
      <c r="Y718" s="1"/>
      <c r="Z718" s="1"/>
    </row>
    <row r="719" customFormat="false" ht="15.75" hidden="false" customHeight="true" outlineLevel="0" collapsed="false">
      <c r="X719" s="1"/>
      <c r="Y719" s="1"/>
      <c r="Z719" s="1"/>
    </row>
    <row r="720" customFormat="false" ht="15.75" hidden="false" customHeight="true" outlineLevel="0" collapsed="false">
      <c r="X720" s="1"/>
      <c r="Y720" s="1"/>
      <c r="Z720" s="1"/>
    </row>
    <row r="721" customFormat="false" ht="15.75" hidden="false" customHeight="true" outlineLevel="0" collapsed="false">
      <c r="X721" s="1"/>
      <c r="Y721" s="1"/>
      <c r="Z721" s="1"/>
    </row>
    <row r="722" customFormat="false" ht="15.75" hidden="false" customHeight="true" outlineLevel="0" collapsed="false">
      <c r="X722" s="1"/>
      <c r="Y722" s="1"/>
      <c r="Z722" s="1"/>
    </row>
    <row r="723" customFormat="false" ht="15.75" hidden="false" customHeight="true" outlineLevel="0" collapsed="false">
      <c r="X723" s="1"/>
      <c r="Y723" s="1"/>
      <c r="Z723" s="1"/>
    </row>
    <row r="724" customFormat="false" ht="15.75" hidden="false" customHeight="true" outlineLevel="0" collapsed="false">
      <c r="X724" s="1"/>
      <c r="Y724" s="1"/>
      <c r="Z724" s="1"/>
    </row>
    <row r="725" customFormat="false" ht="15.75" hidden="false" customHeight="true" outlineLevel="0" collapsed="false">
      <c r="X725" s="1"/>
      <c r="Y725" s="1"/>
      <c r="Z725" s="1"/>
    </row>
    <row r="726" customFormat="false" ht="15.75" hidden="false" customHeight="true" outlineLevel="0" collapsed="false">
      <c r="X726" s="1"/>
      <c r="Y726" s="1"/>
      <c r="Z726" s="1"/>
    </row>
    <row r="727" customFormat="false" ht="15.75" hidden="false" customHeight="true" outlineLevel="0" collapsed="false">
      <c r="X727" s="1"/>
      <c r="Y727" s="1"/>
      <c r="Z727" s="1"/>
    </row>
    <row r="728" customFormat="false" ht="15.75" hidden="false" customHeight="true" outlineLevel="0" collapsed="false">
      <c r="X728" s="1"/>
      <c r="Y728" s="1"/>
      <c r="Z728" s="1"/>
    </row>
    <row r="729" customFormat="false" ht="15.75" hidden="false" customHeight="true" outlineLevel="0" collapsed="false">
      <c r="X729" s="1"/>
      <c r="Y729" s="1"/>
      <c r="Z729" s="1"/>
    </row>
    <row r="730" customFormat="false" ht="15.75" hidden="false" customHeight="true" outlineLevel="0" collapsed="false">
      <c r="X730" s="1"/>
      <c r="Y730" s="1"/>
      <c r="Z730" s="1"/>
    </row>
    <row r="731" customFormat="false" ht="15.75" hidden="false" customHeight="true" outlineLevel="0" collapsed="false">
      <c r="X731" s="1"/>
      <c r="Y731" s="1"/>
      <c r="Z731" s="1"/>
    </row>
    <row r="732" customFormat="false" ht="15.75" hidden="false" customHeight="true" outlineLevel="0" collapsed="false">
      <c r="X732" s="1"/>
      <c r="Y732" s="1"/>
      <c r="Z732" s="1"/>
    </row>
    <row r="733" customFormat="false" ht="15.75" hidden="false" customHeight="true" outlineLevel="0" collapsed="false">
      <c r="X733" s="1"/>
      <c r="Y733" s="1"/>
      <c r="Z733" s="1"/>
    </row>
    <row r="734" customFormat="false" ht="15.75" hidden="false" customHeight="true" outlineLevel="0" collapsed="false">
      <c r="X734" s="1"/>
      <c r="Y734" s="1"/>
      <c r="Z734" s="1"/>
    </row>
    <row r="735" customFormat="false" ht="15.75" hidden="false" customHeight="true" outlineLevel="0" collapsed="false">
      <c r="X735" s="1"/>
      <c r="Y735" s="1"/>
      <c r="Z735" s="1"/>
    </row>
    <row r="736" customFormat="false" ht="15.75" hidden="false" customHeight="true" outlineLevel="0" collapsed="false">
      <c r="X736" s="1"/>
      <c r="Y736" s="1"/>
      <c r="Z736" s="1"/>
    </row>
    <row r="737" customFormat="false" ht="15.75" hidden="false" customHeight="true" outlineLevel="0" collapsed="false">
      <c r="X737" s="1"/>
      <c r="Y737" s="1"/>
      <c r="Z737" s="1"/>
    </row>
    <row r="738" customFormat="false" ht="15.75" hidden="false" customHeight="true" outlineLevel="0" collapsed="false">
      <c r="X738" s="1"/>
      <c r="Y738" s="1"/>
      <c r="Z738" s="1"/>
    </row>
    <row r="739" customFormat="false" ht="15.75" hidden="false" customHeight="true" outlineLevel="0" collapsed="false">
      <c r="X739" s="1"/>
      <c r="Y739" s="1"/>
      <c r="Z739" s="1"/>
    </row>
    <row r="740" customFormat="false" ht="15.75" hidden="false" customHeight="true" outlineLevel="0" collapsed="false">
      <c r="X740" s="1"/>
      <c r="Y740" s="1"/>
      <c r="Z740" s="1"/>
    </row>
    <row r="741" customFormat="false" ht="15.75" hidden="false" customHeight="true" outlineLevel="0" collapsed="false">
      <c r="X741" s="1"/>
      <c r="Y741" s="1"/>
      <c r="Z741" s="1"/>
    </row>
    <row r="742" customFormat="false" ht="15.75" hidden="false" customHeight="true" outlineLevel="0" collapsed="false">
      <c r="X742" s="1"/>
      <c r="Y742" s="1"/>
      <c r="Z742" s="1"/>
    </row>
    <row r="743" customFormat="false" ht="15.75" hidden="false" customHeight="true" outlineLevel="0" collapsed="false">
      <c r="X743" s="1"/>
      <c r="Y743" s="1"/>
      <c r="Z743" s="1"/>
    </row>
    <row r="744" customFormat="false" ht="15.75" hidden="false" customHeight="true" outlineLevel="0" collapsed="false">
      <c r="X744" s="1"/>
      <c r="Y744" s="1"/>
      <c r="Z744" s="1"/>
    </row>
    <row r="745" customFormat="false" ht="15.75" hidden="false" customHeight="true" outlineLevel="0" collapsed="false">
      <c r="X745" s="1"/>
      <c r="Y745" s="1"/>
      <c r="Z745" s="1"/>
    </row>
    <row r="746" customFormat="false" ht="15.75" hidden="false" customHeight="true" outlineLevel="0" collapsed="false">
      <c r="X746" s="1"/>
      <c r="Y746" s="1"/>
      <c r="Z746" s="1"/>
    </row>
    <row r="747" customFormat="false" ht="15.75" hidden="false" customHeight="true" outlineLevel="0" collapsed="false">
      <c r="X747" s="1"/>
      <c r="Y747" s="1"/>
      <c r="Z747" s="1"/>
    </row>
    <row r="748" customFormat="false" ht="15.75" hidden="false" customHeight="true" outlineLevel="0" collapsed="false">
      <c r="X748" s="1"/>
      <c r="Y748" s="1"/>
      <c r="Z748" s="1"/>
    </row>
    <row r="749" customFormat="false" ht="15.75" hidden="false" customHeight="true" outlineLevel="0" collapsed="false">
      <c r="X749" s="1"/>
      <c r="Y749" s="1"/>
      <c r="Z749" s="1"/>
    </row>
    <row r="750" customFormat="false" ht="15.75" hidden="false" customHeight="true" outlineLevel="0" collapsed="false">
      <c r="X750" s="1"/>
      <c r="Y750" s="1"/>
      <c r="Z750" s="1"/>
    </row>
    <row r="751" customFormat="false" ht="15.75" hidden="false" customHeight="true" outlineLevel="0" collapsed="false">
      <c r="X751" s="1"/>
      <c r="Y751" s="1"/>
      <c r="Z751" s="1"/>
    </row>
    <row r="752" customFormat="false" ht="15.75" hidden="false" customHeight="true" outlineLevel="0" collapsed="false">
      <c r="X752" s="1"/>
      <c r="Y752" s="1"/>
      <c r="Z752" s="1"/>
    </row>
    <row r="753" customFormat="false" ht="15.75" hidden="false" customHeight="true" outlineLevel="0" collapsed="false">
      <c r="X753" s="1"/>
      <c r="Y753" s="1"/>
      <c r="Z753" s="1"/>
    </row>
    <row r="754" customFormat="false" ht="15.75" hidden="false" customHeight="true" outlineLevel="0" collapsed="false">
      <c r="X754" s="1"/>
      <c r="Y754" s="1"/>
      <c r="Z754" s="1"/>
    </row>
    <row r="755" customFormat="false" ht="15.75" hidden="false" customHeight="true" outlineLevel="0" collapsed="false">
      <c r="X755" s="1"/>
      <c r="Y755" s="1"/>
      <c r="Z755" s="1"/>
    </row>
    <row r="756" customFormat="false" ht="15.75" hidden="false" customHeight="true" outlineLevel="0" collapsed="false">
      <c r="X756" s="1"/>
      <c r="Y756" s="1"/>
      <c r="Z756" s="1"/>
    </row>
    <row r="757" customFormat="false" ht="15.75" hidden="false" customHeight="true" outlineLevel="0" collapsed="false">
      <c r="X757" s="1"/>
      <c r="Y757" s="1"/>
      <c r="Z757" s="1"/>
    </row>
    <row r="758" customFormat="false" ht="15.75" hidden="false" customHeight="true" outlineLevel="0" collapsed="false">
      <c r="X758" s="1"/>
      <c r="Y758" s="1"/>
      <c r="Z758" s="1"/>
    </row>
    <row r="759" customFormat="false" ht="15.75" hidden="false" customHeight="true" outlineLevel="0" collapsed="false">
      <c r="X759" s="1"/>
      <c r="Y759" s="1"/>
      <c r="Z759" s="1"/>
    </row>
    <row r="760" customFormat="false" ht="15.75" hidden="false" customHeight="true" outlineLevel="0" collapsed="false">
      <c r="X760" s="1"/>
      <c r="Y760" s="1"/>
      <c r="Z760" s="1"/>
    </row>
    <row r="761" customFormat="false" ht="15.75" hidden="false" customHeight="true" outlineLevel="0" collapsed="false">
      <c r="X761" s="1"/>
      <c r="Y761" s="1"/>
      <c r="Z761" s="1"/>
    </row>
    <row r="762" customFormat="false" ht="15.75" hidden="false" customHeight="true" outlineLevel="0" collapsed="false">
      <c r="X762" s="1"/>
      <c r="Y762" s="1"/>
      <c r="Z762" s="1"/>
    </row>
    <row r="763" customFormat="false" ht="15.75" hidden="false" customHeight="true" outlineLevel="0" collapsed="false">
      <c r="X763" s="1"/>
      <c r="Y763" s="1"/>
      <c r="Z763" s="1"/>
    </row>
    <row r="764" customFormat="false" ht="15.75" hidden="false" customHeight="true" outlineLevel="0" collapsed="false">
      <c r="X764" s="1"/>
      <c r="Y764" s="1"/>
      <c r="Z764" s="1"/>
    </row>
    <row r="765" customFormat="false" ht="15.75" hidden="false" customHeight="true" outlineLevel="0" collapsed="false">
      <c r="X765" s="1"/>
      <c r="Y765" s="1"/>
      <c r="Z765" s="1"/>
    </row>
    <row r="766" customFormat="false" ht="15.75" hidden="false" customHeight="true" outlineLevel="0" collapsed="false">
      <c r="X766" s="1"/>
      <c r="Y766" s="1"/>
      <c r="Z766" s="1"/>
    </row>
    <row r="767" customFormat="false" ht="15.75" hidden="false" customHeight="true" outlineLevel="0" collapsed="false">
      <c r="X767" s="1"/>
      <c r="Y767" s="1"/>
      <c r="Z767" s="1"/>
    </row>
    <row r="768" customFormat="false" ht="15.75" hidden="false" customHeight="true" outlineLevel="0" collapsed="false">
      <c r="X768" s="1"/>
      <c r="Y768" s="1"/>
      <c r="Z768" s="1"/>
    </row>
    <row r="769" customFormat="false" ht="15.75" hidden="false" customHeight="true" outlineLevel="0" collapsed="false">
      <c r="X769" s="1"/>
      <c r="Y769" s="1"/>
      <c r="Z769" s="1"/>
    </row>
    <row r="770" customFormat="false" ht="15.75" hidden="false" customHeight="true" outlineLevel="0" collapsed="false">
      <c r="X770" s="1"/>
      <c r="Y770" s="1"/>
      <c r="Z770" s="1"/>
    </row>
    <row r="771" customFormat="false" ht="15.75" hidden="false" customHeight="true" outlineLevel="0" collapsed="false">
      <c r="X771" s="1"/>
      <c r="Y771" s="1"/>
      <c r="Z771" s="1"/>
    </row>
    <row r="772" customFormat="false" ht="15.75" hidden="false" customHeight="true" outlineLevel="0" collapsed="false">
      <c r="X772" s="1"/>
      <c r="Y772" s="1"/>
      <c r="Z772" s="1"/>
    </row>
    <row r="773" customFormat="false" ht="15.75" hidden="false" customHeight="true" outlineLevel="0" collapsed="false">
      <c r="X773" s="1"/>
      <c r="Y773" s="1"/>
      <c r="Z773" s="1"/>
    </row>
    <row r="774" customFormat="false" ht="15.75" hidden="false" customHeight="true" outlineLevel="0" collapsed="false">
      <c r="X774" s="1"/>
      <c r="Y774" s="1"/>
      <c r="Z774" s="1"/>
    </row>
    <row r="775" customFormat="false" ht="15.75" hidden="false" customHeight="true" outlineLevel="0" collapsed="false">
      <c r="X775" s="1"/>
      <c r="Y775" s="1"/>
      <c r="Z775" s="1"/>
    </row>
    <row r="776" customFormat="false" ht="15.75" hidden="false" customHeight="true" outlineLevel="0" collapsed="false">
      <c r="X776" s="1"/>
      <c r="Y776" s="1"/>
      <c r="Z776" s="1"/>
    </row>
    <row r="777" customFormat="false" ht="15.75" hidden="false" customHeight="true" outlineLevel="0" collapsed="false">
      <c r="X777" s="1"/>
      <c r="Y777" s="1"/>
      <c r="Z777" s="1"/>
    </row>
    <row r="778" customFormat="false" ht="15.75" hidden="false" customHeight="true" outlineLevel="0" collapsed="false">
      <c r="X778" s="1"/>
      <c r="Y778" s="1"/>
      <c r="Z778" s="1"/>
    </row>
    <row r="779" customFormat="false" ht="15.75" hidden="false" customHeight="true" outlineLevel="0" collapsed="false">
      <c r="X779" s="1"/>
      <c r="Y779" s="1"/>
      <c r="Z779" s="1"/>
    </row>
    <row r="780" customFormat="false" ht="15.75" hidden="false" customHeight="true" outlineLevel="0" collapsed="false">
      <c r="X780" s="1"/>
      <c r="Y780" s="1"/>
      <c r="Z780" s="1"/>
    </row>
    <row r="781" customFormat="false" ht="15.75" hidden="false" customHeight="true" outlineLevel="0" collapsed="false">
      <c r="X781" s="1"/>
      <c r="Y781" s="1"/>
      <c r="Z781" s="1"/>
    </row>
    <row r="782" customFormat="false" ht="15.75" hidden="false" customHeight="true" outlineLevel="0" collapsed="false">
      <c r="X782" s="1"/>
      <c r="Y782" s="1"/>
      <c r="Z782" s="1"/>
    </row>
    <row r="783" customFormat="false" ht="15.75" hidden="false" customHeight="true" outlineLevel="0" collapsed="false">
      <c r="X783" s="1"/>
      <c r="Y783" s="1"/>
      <c r="Z783" s="1"/>
    </row>
    <row r="784" customFormat="false" ht="15.75" hidden="false" customHeight="true" outlineLevel="0" collapsed="false">
      <c r="X784" s="1"/>
      <c r="Y784" s="1"/>
      <c r="Z784" s="1"/>
    </row>
    <row r="785" customFormat="false" ht="15.75" hidden="false" customHeight="true" outlineLevel="0" collapsed="false">
      <c r="X785" s="1"/>
      <c r="Y785" s="1"/>
      <c r="Z785" s="1"/>
    </row>
    <row r="786" customFormat="false" ht="15.75" hidden="false" customHeight="true" outlineLevel="0" collapsed="false">
      <c r="X786" s="1"/>
      <c r="Y786" s="1"/>
      <c r="Z786" s="1"/>
    </row>
    <row r="787" customFormat="false" ht="15.75" hidden="false" customHeight="true" outlineLevel="0" collapsed="false">
      <c r="X787" s="1"/>
      <c r="Y787" s="1"/>
      <c r="Z787" s="1"/>
    </row>
    <row r="788" customFormat="false" ht="15.75" hidden="false" customHeight="true" outlineLevel="0" collapsed="false">
      <c r="X788" s="1"/>
      <c r="Y788" s="1"/>
      <c r="Z788" s="1"/>
    </row>
    <row r="789" customFormat="false" ht="15.75" hidden="false" customHeight="true" outlineLevel="0" collapsed="false">
      <c r="X789" s="1"/>
      <c r="Y789" s="1"/>
      <c r="Z789" s="1"/>
    </row>
    <row r="790" customFormat="false" ht="15.75" hidden="false" customHeight="true" outlineLevel="0" collapsed="false">
      <c r="X790" s="1"/>
      <c r="Y790" s="1"/>
      <c r="Z790" s="1"/>
    </row>
    <row r="791" customFormat="false" ht="15.75" hidden="false" customHeight="true" outlineLevel="0" collapsed="false">
      <c r="X791" s="1"/>
      <c r="Y791" s="1"/>
      <c r="Z791" s="1"/>
    </row>
    <row r="792" customFormat="false" ht="15.75" hidden="false" customHeight="true" outlineLevel="0" collapsed="false">
      <c r="X792" s="1"/>
      <c r="Y792" s="1"/>
      <c r="Z792" s="1"/>
    </row>
    <row r="793" customFormat="false" ht="15.75" hidden="false" customHeight="true" outlineLevel="0" collapsed="false">
      <c r="X793" s="1"/>
      <c r="Y793" s="1"/>
      <c r="Z793" s="1"/>
    </row>
    <row r="794" customFormat="false" ht="15.75" hidden="false" customHeight="true" outlineLevel="0" collapsed="false">
      <c r="X794" s="1"/>
      <c r="Y794" s="1"/>
      <c r="Z794" s="1"/>
    </row>
    <row r="795" customFormat="false" ht="15.75" hidden="false" customHeight="true" outlineLevel="0" collapsed="false">
      <c r="X795" s="1"/>
      <c r="Y795" s="1"/>
      <c r="Z795" s="1"/>
    </row>
    <row r="796" customFormat="false" ht="15.75" hidden="false" customHeight="true" outlineLevel="0" collapsed="false">
      <c r="X796" s="1"/>
      <c r="Y796" s="1"/>
      <c r="Z796" s="1"/>
    </row>
    <row r="797" customFormat="false" ht="15.75" hidden="false" customHeight="true" outlineLevel="0" collapsed="false">
      <c r="X797" s="1"/>
      <c r="Y797" s="1"/>
      <c r="Z797" s="1"/>
    </row>
    <row r="798" customFormat="false" ht="15.75" hidden="false" customHeight="true" outlineLevel="0" collapsed="false">
      <c r="X798" s="1"/>
      <c r="Y798" s="1"/>
      <c r="Z798" s="1"/>
    </row>
    <row r="799" customFormat="false" ht="15.75" hidden="false" customHeight="true" outlineLevel="0" collapsed="false">
      <c r="X799" s="1"/>
      <c r="Y799" s="1"/>
      <c r="Z799" s="1"/>
    </row>
    <row r="800" customFormat="false" ht="15.75" hidden="false" customHeight="true" outlineLevel="0" collapsed="false">
      <c r="X800" s="1"/>
      <c r="Y800" s="1"/>
      <c r="Z800" s="1"/>
    </row>
    <row r="801" customFormat="false" ht="15.75" hidden="false" customHeight="true" outlineLevel="0" collapsed="false">
      <c r="X801" s="1"/>
      <c r="Y801" s="1"/>
      <c r="Z801" s="1"/>
    </row>
    <row r="802" customFormat="false" ht="15.75" hidden="false" customHeight="true" outlineLevel="0" collapsed="false">
      <c r="X802" s="1"/>
      <c r="Y802" s="1"/>
      <c r="Z802" s="1"/>
    </row>
    <row r="803" customFormat="false" ht="15.75" hidden="false" customHeight="true" outlineLevel="0" collapsed="false">
      <c r="X803" s="1"/>
      <c r="Y803" s="1"/>
      <c r="Z803" s="1"/>
    </row>
    <row r="804" customFormat="false" ht="15.75" hidden="false" customHeight="true" outlineLevel="0" collapsed="false">
      <c r="X804" s="1"/>
      <c r="Y804" s="1"/>
      <c r="Z804" s="1"/>
    </row>
    <row r="805" customFormat="false" ht="15.75" hidden="false" customHeight="true" outlineLevel="0" collapsed="false">
      <c r="X805" s="1"/>
      <c r="Y805" s="1"/>
      <c r="Z805" s="1"/>
    </row>
    <row r="806" customFormat="false" ht="15.75" hidden="false" customHeight="true" outlineLevel="0" collapsed="false">
      <c r="X806" s="1"/>
      <c r="Y806" s="1"/>
      <c r="Z806" s="1"/>
    </row>
    <row r="807" customFormat="false" ht="15.75" hidden="false" customHeight="true" outlineLevel="0" collapsed="false">
      <c r="X807" s="1"/>
      <c r="Y807" s="1"/>
      <c r="Z807" s="1"/>
    </row>
    <row r="808" customFormat="false" ht="15.75" hidden="false" customHeight="true" outlineLevel="0" collapsed="false">
      <c r="X808" s="1"/>
      <c r="Y808" s="1"/>
      <c r="Z808" s="1"/>
    </row>
    <row r="809" customFormat="false" ht="15.75" hidden="false" customHeight="true" outlineLevel="0" collapsed="false">
      <c r="X809" s="1"/>
      <c r="Y809" s="1"/>
      <c r="Z809" s="1"/>
    </row>
    <row r="810" customFormat="false" ht="15.75" hidden="false" customHeight="true" outlineLevel="0" collapsed="false">
      <c r="X810" s="1"/>
      <c r="Y810" s="1"/>
      <c r="Z810" s="1"/>
    </row>
    <row r="811" customFormat="false" ht="15.75" hidden="false" customHeight="true" outlineLevel="0" collapsed="false">
      <c r="X811" s="1"/>
      <c r="Y811" s="1"/>
      <c r="Z811" s="1"/>
    </row>
    <row r="812" customFormat="false" ht="15.75" hidden="false" customHeight="true" outlineLevel="0" collapsed="false">
      <c r="X812" s="1"/>
      <c r="Y812" s="1"/>
      <c r="Z812" s="1"/>
    </row>
    <row r="813" customFormat="false" ht="15.75" hidden="false" customHeight="true" outlineLevel="0" collapsed="false">
      <c r="X813" s="1"/>
      <c r="Y813" s="1"/>
      <c r="Z813" s="1"/>
    </row>
    <row r="814" customFormat="false" ht="15.75" hidden="false" customHeight="true" outlineLevel="0" collapsed="false">
      <c r="X814" s="1"/>
      <c r="Y814" s="1"/>
      <c r="Z814" s="1"/>
    </row>
    <row r="815" customFormat="false" ht="15.75" hidden="false" customHeight="true" outlineLevel="0" collapsed="false">
      <c r="X815" s="1"/>
      <c r="Y815" s="1"/>
      <c r="Z815" s="1"/>
    </row>
    <row r="816" customFormat="false" ht="15.75" hidden="false" customHeight="true" outlineLevel="0" collapsed="false">
      <c r="X816" s="1"/>
      <c r="Y816" s="1"/>
      <c r="Z816" s="1"/>
    </row>
    <row r="817" customFormat="false" ht="15.75" hidden="false" customHeight="true" outlineLevel="0" collapsed="false">
      <c r="X817" s="1"/>
      <c r="Y817" s="1"/>
      <c r="Z817" s="1"/>
    </row>
    <row r="818" customFormat="false" ht="15.75" hidden="false" customHeight="true" outlineLevel="0" collapsed="false">
      <c r="X818" s="1"/>
      <c r="Y818" s="1"/>
      <c r="Z818" s="1"/>
    </row>
    <row r="819" customFormat="false" ht="15.75" hidden="false" customHeight="true" outlineLevel="0" collapsed="false">
      <c r="X819" s="1"/>
      <c r="Y819" s="1"/>
      <c r="Z819" s="1"/>
    </row>
    <row r="820" customFormat="false" ht="15.75" hidden="false" customHeight="true" outlineLevel="0" collapsed="false">
      <c r="X820" s="1"/>
      <c r="Y820" s="1"/>
      <c r="Z820" s="1"/>
    </row>
    <row r="821" customFormat="false" ht="15.75" hidden="false" customHeight="true" outlineLevel="0" collapsed="false">
      <c r="X821" s="1"/>
      <c r="Y821" s="1"/>
      <c r="Z821" s="1"/>
    </row>
    <row r="822" customFormat="false" ht="15.75" hidden="false" customHeight="true" outlineLevel="0" collapsed="false">
      <c r="X822" s="1"/>
      <c r="Y822" s="1"/>
      <c r="Z822" s="1"/>
    </row>
    <row r="823" customFormat="false" ht="15.75" hidden="false" customHeight="true" outlineLevel="0" collapsed="false">
      <c r="X823" s="1"/>
      <c r="Y823" s="1"/>
      <c r="Z823" s="1"/>
    </row>
    <row r="824" customFormat="false" ht="15.75" hidden="false" customHeight="true" outlineLevel="0" collapsed="false">
      <c r="X824" s="1"/>
      <c r="Y824" s="1"/>
      <c r="Z824" s="1"/>
    </row>
    <row r="825" customFormat="false" ht="15.75" hidden="false" customHeight="true" outlineLevel="0" collapsed="false">
      <c r="X825" s="1"/>
      <c r="Y825" s="1"/>
      <c r="Z825" s="1"/>
    </row>
    <row r="826" customFormat="false" ht="15.75" hidden="false" customHeight="true" outlineLevel="0" collapsed="false">
      <c r="X826" s="1"/>
      <c r="Y826" s="1"/>
      <c r="Z826" s="1"/>
    </row>
    <row r="827" customFormat="false" ht="15.75" hidden="false" customHeight="true" outlineLevel="0" collapsed="false">
      <c r="X827" s="1"/>
      <c r="Y827" s="1"/>
      <c r="Z827" s="1"/>
    </row>
    <row r="828" customFormat="false" ht="15.75" hidden="false" customHeight="true" outlineLevel="0" collapsed="false">
      <c r="X828" s="1"/>
      <c r="Y828" s="1"/>
      <c r="Z828" s="1"/>
    </row>
    <row r="829" customFormat="false" ht="15.75" hidden="false" customHeight="true" outlineLevel="0" collapsed="false">
      <c r="X829" s="1"/>
      <c r="Y829" s="1"/>
      <c r="Z829" s="1"/>
    </row>
    <row r="830" customFormat="false" ht="15.75" hidden="false" customHeight="true" outlineLevel="0" collapsed="false">
      <c r="X830" s="1"/>
      <c r="Y830" s="1"/>
      <c r="Z830" s="1"/>
    </row>
    <row r="831" customFormat="false" ht="15.75" hidden="false" customHeight="true" outlineLevel="0" collapsed="false">
      <c r="X831" s="1"/>
      <c r="Y831" s="1"/>
      <c r="Z831" s="1"/>
    </row>
    <row r="832" customFormat="false" ht="15.75" hidden="false" customHeight="true" outlineLevel="0" collapsed="false">
      <c r="X832" s="1"/>
      <c r="Y832" s="1"/>
      <c r="Z832" s="1"/>
    </row>
    <row r="833" customFormat="false" ht="15.75" hidden="false" customHeight="true" outlineLevel="0" collapsed="false">
      <c r="X833" s="1"/>
      <c r="Y833" s="1"/>
      <c r="Z833" s="1"/>
    </row>
    <row r="834" customFormat="false" ht="15.75" hidden="false" customHeight="true" outlineLevel="0" collapsed="false">
      <c r="X834" s="1"/>
      <c r="Y834" s="1"/>
      <c r="Z834" s="1"/>
    </row>
    <row r="835" customFormat="false" ht="15.75" hidden="false" customHeight="true" outlineLevel="0" collapsed="false">
      <c r="X835" s="1"/>
      <c r="Y835" s="1"/>
      <c r="Z835" s="1"/>
    </row>
    <row r="836" customFormat="false" ht="15.75" hidden="false" customHeight="true" outlineLevel="0" collapsed="false">
      <c r="X836" s="1"/>
      <c r="Y836" s="1"/>
      <c r="Z836" s="1"/>
    </row>
    <row r="837" customFormat="false" ht="15.75" hidden="false" customHeight="true" outlineLevel="0" collapsed="false">
      <c r="X837" s="1"/>
      <c r="Y837" s="1"/>
      <c r="Z837" s="1"/>
    </row>
    <row r="838" customFormat="false" ht="15.75" hidden="false" customHeight="true" outlineLevel="0" collapsed="false">
      <c r="X838" s="1"/>
      <c r="Y838" s="1"/>
      <c r="Z838" s="1"/>
    </row>
    <row r="839" customFormat="false" ht="15.75" hidden="false" customHeight="true" outlineLevel="0" collapsed="false">
      <c r="X839" s="1"/>
      <c r="Y839" s="1"/>
      <c r="Z839" s="1"/>
    </row>
    <row r="840" customFormat="false" ht="15.75" hidden="false" customHeight="true" outlineLevel="0" collapsed="false">
      <c r="X840" s="1"/>
      <c r="Y840" s="1"/>
      <c r="Z840" s="1"/>
    </row>
    <row r="841" customFormat="false" ht="15.75" hidden="false" customHeight="true" outlineLevel="0" collapsed="false">
      <c r="X841" s="1"/>
      <c r="Y841" s="1"/>
      <c r="Z841" s="1"/>
    </row>
    <row r="842" customFormat="false" ht="15.75" hidden="false" customHeight="true" outlineLevel="0" collapsed="false">
      <c r="X842" s="1"/>
      <c r="Y842" s="1"/>
      <c r="Z842" s="1"/>
    </row>
    <row r="843" customFormat="false" ht="15.75" hidden="false" customHeight="true" outlineLevel="0" collapsed="false">
      <c r="X843" s="1"/>
      <c r="Y843" s="1"/>
      <c r="Z843" s="1"/>
    </row>
    <row r="844" customFormat="false" ht="15.75" hidden="false" customHeight="true" outlineLevel="0" collapsed="false">
      <c r="X844" s="1"/>
      <c r="Y844" s="1"/>
      <c r="Z844" s="1"/>
    </row>
    <row r="845" customFormat="false" ht="15.75" hidden="false" customHeight="true" outlineLevel="0" collapsed="false">
      <c r="X845" s="1"/>
      <c r="Y845" s="1"/>
      <c r="Z845" s="1"/>
    </row>
    <row r="846" customFormat="false" ht="15.75" hidden="false" customHeight="true" outlineLevel="0" collapsed="false">
      <c r="X846" s="1"/>
      <c r="Y846" s="1"/>
      <c r="Z846" s="1"/>
    </row>
    <row r="847" customFormat="false" ht="15.75" hidden="false" customHeight="true" outlineLevel="0" collapsed="false">
      <c r="X847" s="1"/>
      <c r="Y847" s="1"/>
      <c r="Z847" s="1"/>
    </row>
    <row r="848" customFormat="false" ht="15.75" hidden="false" customHeight="true" outlineLevel="0" collapsed="false">
      <c r="X848" s="1"/>
      <c r="Y848" s="1"/>
      <c r="Z848" s="1"/>
    </row>
    <row r="849" customFormat="false" ht="15.75" hidden="false" customHeight="true" outlineLevel="0" collapsed="false">
      <c r="X849" s="1"/>
      <c r="Y849" s="1"/>
      <c r="Z849" s="1"/>
    </row>
    <row r="850" customFormat="false" ht="15.75" hidden="false" customHeight="true" outlineLevel="0" collapsed="false">
      <c r="X850" s="1"/>
      <c r="Y850" s="1"/>
      <c r="Z850" s="1"/>
    </row>
    <row r="851" customFormat="false" ht="15.75" hidden="false" customHeight="true" outlineLevel="0" collapsed="false">
      <c r="X851" s="1"/>
      <c r="Y851" s="1"/>
      <c r="Z851" s="1"/>
    </row>
    <row r="852" customFormat="false" ht="15.75" hidden="false" customHeight="true" outlineLevel="0" collapsed="false">
      <c r="X852" s="1"/>
      <c r="Y852" s="1"/>
      <c r="Z852" s="1"/>
    </row>
    <row r="853" customFormat="false" ht="15.75" hidden="false" customHeight="true" outlineLevel="0" collapsed="false">
      <c r="X853" s="1"/>
      <c r="Y853" s="1"/>
      <c r="Z853" s="1"/>
    </row>
    <row r="854" customFormat="false" ht="15.75" hidden="false" customHeight="true" outlineLevel="0" collapsed="false">
      <c r="X854" s="1"/>
      <c r="Y854" s="1"/>
      <c r="Z854" s="1"/>
    </row>
    <row r="855" customFormat="false" ht="15.75" hidden="false" customHeight="true" outlineLevel="0" collapsed="false">
      <c r="X855" s="1"/>
      <c r="Y855" s="1"/>
      <c r="Z855" s="1"/>
    </row>
    <row r="856" customFormat="false" ht="15.75" hidden="false" customHeight="true" outlineLevel="0" collapsed="false">
      <c r="X856" s="1"/>
      <c r="Y856" s="1"/>
      <c r="Z856" s="1"/>
    </row>
    <row r="857" customFormat="false" ht="15.75" hidden="false" customHeight="true" outlineLevel="0" collapsed="false">
      <c r="X857" s="1"/>
      <c r="Y857" s="1"/>
      <c r="Z857" s="1"/>
    </row>
    <row r="858" customFormat="false" ht="15.75" hidden="false" customHeight="true" outlineLevel="0" collapsed="false">
      <c r="X858" s="1"/>
      <c r="Y858" s="1"/>
      <c r="Z858" s="1"/>
    </row>
    <row r="859" customFormat="false" ht="15.75" hidden="false" customHeight="true" outlineLevel="0" collapsed="false">
      <c r="X859" s="1"/>
      <c r="Y859" s="1"/>
      <c r="Z859" s="1"/>
    </row>
    <row r="860" customFormat="false" ht="15.75" hidden="false" customHeight="true" outlineLevel="0" collapsed="false">
      <c r="X860" s="1"/>
      <c r="Y860" s="1"/>
      <c r="Z860" s="1"/>
    </row>
    <row r="861" customFormat="false" ht="15.75" hidden="false" customHeight="true" outlineLevel="0" collapsed="false">
      <c r="X861" s="1"/>
      <c r="Y861" s="1"/>
      <c r="Z861" s="1"/>
    </row>
    <row r="862" customFormat="false" ht="15.75" hidden="false" customHeight="true" outlineLevel="0" collapsed="false">
      <c r="X862" s="1"/>
      <c r="Y862" s="1"/>
      <c r="Z862" s="1"/>
    </row>
    <row r="863" customFormat="false" ht="15.75" hidden="false" customHeight="true" outlineLevel="0" collapsed="false">
      <c r="X863" s="1"/>
      <c r="Y863" s="1"/>
      <c r="Z863" s="1"/>
    </row>
    <row r="864" customFormat="false" ht="15.75" hidden="false" customHeight="true" outlineLevel="0" collapsed="false">
      <c r="X864" s="1"/>
      <c r="Y864" s="1"/>
      <c r="Z864" s="1"/>
    </row>
    <row r="865" customFormat="false" ht="15.75" hidden="false" customHeight="true" outlineLevel="0" collapsed="false">
      <c r="X865" s="1"/>
      <c r="Y865" s="1"/>
      <c r="Z865" s="1"/>
    </row>
    <row r="866" customFormat="false" ht="15.75" hidden="false" customHeight="true" outlineLevel="0" collapsed="false">
      <c r="X866" s="1"/>
      <c r="Y866" s="1"/>
      <c r="Z866" s="1"/>
    </row>
    <row r="867" customFormat="false" ht="15.75" hidden="false" customHeight="true" outlineLevel="0" collapsed="false">
      <c r="X867" s="1"/>
      <c r="Y867" s="1"/>
      <c r="Z867" s="1"/>
    </row>
    <row r="868" customFormat="false" ht="15.75" hidden="false" customHeight="true" outlineLevel="0" collapsed="false">
      <c r="X868" s="1"/>
      <c r="Y868" s="1"/>
      <c r="Z868" s="1"/>
    </row>
    <row r="869" customFormat="false" ht="15.75" hidden="false" customHeight="true" outlineLevel="0" collapsed="false">
      <c r="X869" s="1"/>
      <c r="Y869" s="1"/>
      <c r="Z869" s="1"/>
    </row>
    <row r="870" customFormat="false" ht="15.75" hidden="false" customHeight="true" outlineLevel="0" collapsed="false">
      <c r="X870" s="1"/>
      <c r="Y870" s="1"/>
      <c r="Z870" s="1"/>
    </row>
    <row r="871" customFormat="false" ht="15.75" hidden="false" customHeight="true" outlineLevel="0" collapsed="false">
      <c r="X871" s="1"/>
      <c r="Y871" s="1"/>
      <c r="Z871" s="1"/>
    </row>
    <row r="872" customFormat="false" ht="15.75" hidden="false" customHeight="true" outlineLevel="0" collapsed="false">
      <c r="X872" s="1"/>
      <c r="Y872" s="1"/>
      <c r="Z872" s="1"/>
    </row>
    <row r="873" customFormat="false" ht="15.75" hidden="false" customHeight="true" outlineLevel="0" collapsed="false">
      <c r="X873" s="1"/>
      <c r="Y873" s="1"/>
      <c r="Z873" s="1"/>
    </row>
    <row r="874" customFormat="false" ht="15.75" hidden="false" customHeight="true" outlineLevel="0" collapsed="false">
      <c r="X874" s="1"/>
      <c r="Y874" s="1"/>
      <c r="Z874" s="1"/>
    </row>
    <row r="875" customFormat="false" ht="15.75" hidden="false" customHeight="true" outlineLevel="0" collapsed="false">
      <c r="X875" s="1"/>
      <c r="Y875" s="1"/>
      <c r="Z875" s="1"/>
    </row>
    <row r="876" customFormat="false" ht="15.75" hidden="false" customHeight="true" outlineLevel="0" collapsed="false">
      <c r="X876" s="1"/>
      <c r="Y876" s="1"/>
      <c r="Z876" s="1"/>
    </row>
    <row r="877" customFormat="false" ht="15.75" hidden="false" customHeight="true" outlineLevel="0" collapsed="false">
      <c r="X877" s="1"/>
      <c r="Y877" s="1"/>
      <c r="Z877" s="1"/>
    </row>
    <row r="878" customFormat="false" ht="15.75" hidden="false" customHeight="true" outlineLevel="0" collapsed="false">
      <c r="X878" s="1"/>
      <c r="Y878" s="1"/>
      <c r="Z878" s="1"/>
    </row>
    <row r="879" customFormat="false" ht="15.75" hidden="false" customHeight="true" outlineLevel="0" collapsed="false">
      <c r="X879" s="1"/>
      <c r="Y879" s="1"/>
      <c r="Z879" s="1"/>
    </row>
    <row r="880" customFormat="false" ht="15.75" hidden="false" customHeight="true" outlineLevel="0" collapsed="false">
      <c r="X880" s="1"/>
      <c r="Y880" s="1"/>
      <c r="Z880" s="1"/>
    </row>
    <row r="881" customFormat="false" ht="15.75" hidden="false" customHeight="true" outlineLevel="0" collapsed="false">
      <c r="X881" s="1"/>
      <c r="Y881" s="1"/>
      <c r="Z881" s="1"/>
    </row>
    <row r="882" customFormat="false" ht="15.75" hidden="false" customHeight="true" outlineLevel="0" collapsed="false">
      <c r="X882" s="1"/>
      <c r="Y882" s="1"/>
      <c r="Z882" s="1"/>
    </row>
    <row r="883" customFormat="false" ht="15.75" hidden="false" customHeight="true" outlineLevel="0" collapsed="false">
      <c r="X883" s="1"/>
      <c r="Y883" s="1"/>
      <c r="Z883" s="1"/>
    </row>
    <row r="884" customFormat="false" ht="15.75" hidden="false" customHeight="true" outlineLevel="0" collapsed="false">
      <c r="X884" s="1"/>
      <c r="Y884" s="1"/>
      <c r="Z884" s="1"/>
    </row>
    <row r="885" customFormat="false" ht="15.75" hidden="false" customHeight="true" outlineLevel="0" collapsed="false">
      <c r="X885" s="1"/>
      <c r="Y885" s="1"/>
      <c r="Z885" s="1"/>
    </row>
    <row r="886" customFormat="false" ht="15.75" hidden="false" customHeight="true" outlineLevel="0" collapsed="false">
      <c r="X886" s="1"/>
      <c r="Y886" s="1"/>
      <c r="Z886" s="1"/>
    </row>
    <row r="887" customFormat="false" ht="15.75" hidden="false" customHeight="true" outlineLevel="0" collapsed="false">
      <c r="X887" s="1"/>
      <c r="Y887" s="1"/>
      <c r="Z887" s="1"/>
    </row>
    <row r="888" customFormat="false" ht="15.75" hidden="false" customHeight="true" outlineLevel="0" collapsed="false">
      <c r="X888" s="1"/>
      <c r="Y888" s="1"/>
      <c r="Z888" s="1"/>
    </row>
    <row r="889" customFormat="false" ht="15.75" hidden="false" customHeight="true" outlineLevel="0" collapsed="false">
      <c r="X889" s="1"/>
      <c r="Y889" s="1"/>
      <c r="Z889" s="1"/>
    </row>
    <row r="890" customFormat="false" ht="15.75" hidden="false" customHeight="true" outlineLevel="0" collapsed="false">
      <c r="X890" s="1"/>
      <c r="Y890" s="1"/>
      <c r="Z890" s="1"/>
    </row>
    <row r="891" customFormat="false" ht="15.75" hidden="false" customHeight="true" outlineLevel="0" collapsed="false">
      <c r="X891" s="1"/>
      <c r="Y891" s="1"/>
      <c r="Z891" s="1"/>
    </row>
    <row r="892" customFormat="false" ht="15.75" hidden="false" customHeight="true" outlineLevel="0" collapsed="false">
      <c r="X892" s="1"/>
      <c r="Y892" s="1"/>
      <c r="Z892" s="1"/>
    </row>
    <row r="893" customFormat="false" ht="15.75" hidden="false" customHeight="true" outlineLevel="0" collapsed="false">
      <c r="X893" s="1"/>
      <c r="Y893" s="1"/>
      <c r="Z893" s="1"/>
    </row>
    <row r="894" customFormat="false" ht="15.75" hidden="false" customHeight="true" outlineLevel="0" collapsed="false">
      <c r="X894" s="1"/>
      <c r="Y894" s="1"/>
      <c r="Z894" s="1"/>
    </row>
    <row r="895" customFormat="false" ht="15.75" hidden="false" customHeight="true" outlineLevel="0" collapsed="false">
      <c r="X895" s="1"/>
      <c r="Y895" s="1"/>
      <c r="Z895" s="1"/>
    </row>
    <row r="896" customFormat="false" ht="15.75" hidden="false" customHeight="true" outlineLevel="0" collapsed="false">
      <c r="X896" s="1"/>
      <c r="Y896" s="1"/>
      <c r="Z896" s="1"/>
    </row>
    <row r="897" customFormat="false" ht="15.75" hidden="false" customHeight="true" outlineLevel="0" collapsed="false">
      <c r="X897" s="1"/>
      <c r="Y897" s="1"/>
      <c r="Z897" s="1"/>
    </row>
    <row r="898" customFormat="false" ht="15.75" hidden="false" customHeight="true" outlineLevel="0" collapsed="false">
      <c r="X898" s="1"/>
      <c r="Y898" s="1"/>
      <c r="Z898" s="1"/>
    </row>
    <row r="899" customFormat="false" ht="15.75" hidden="false" customHeight="true" outlineLevel="0" collapsed="false">
      <c r="X899" s="1"/>
      <c r="Y899" s="1"/>
      <c r="Z899" s="1"/>
    </row>
    <row r="900" customFormat="false" ht="15.75" hidden="false" customHeight="true" outlineLevel="0" collapsed="false">
      <c r="X900" s="1"/>
      <c r="Y900" s="1"/>
      <c r="Z900" s="1"/>
    </row>
    <row r="901" customFormat="false" ht="15.75" hidden="false" customHeight="true" outlineLevel="0" collapsed="false">
      <c r="X901" s="1"/>
      <c r="Y901" s="1"/>
      <c r="Z901" s="1"/>
    </row>
    <row r="902" customFormat="false" ht="15.75" hidden="false" customHeight="true" outlineLevel="0" collapsed="false">
      <c r="X902" s="1"/>
      <c r="Y902" s="1"/>
      <c r="Z902" s="1"/>
    </row>
    <row r="903" customFormat="false" ht="15.75" hidden="false" customHeight="true" outlineLevel="0" collapsed="false">
      <c r="X903" s="1"/>
      <c r="Y903" s="1"/>
      <c r="Z903" s="1"/>
    </row>
    <row r="904" customFormat="false" ht="15.75" hidden="false" customHeight="true" outlineLevel="0" collapsed="false">
      <c r="X904" s="1"/>
      <c r="Y904" s="1"/>
      <c r="Z904" s="1"/>
    </row>
    <row r="905" customFormat="false" ht="15.75" hidden="false" customHeight="true" outlineLevel="0" collapsed="false">
      <c r="X905" s="1"/>
      <c r="Y905" s="1"/>
      <c r="Z905" s="1"/>
    </row>
    <row r="906" customFormat="false" ht="15.75" hidden="false" customHeight="true" outlineLevel="0" collapsed="false">
      <c r="X906" s="1"/>
      <c r="Y906" s="1"/>
      <c r="Z906" s="1"/>
    </row>
    <row r="907" customFormat="false" ht="15.75" hidden="false" customHeight="true" outlineLevel="0" collapsed="false">
      <c r="X907" s="1"/>
      <c r="Y907" s="1"/>
      <c r="Z907" s="1"/>
    </row>
    <row r="908" customFormat="false" ht="15.75" hidden="false" customHeight="true" outlineLevel="0" collapsed="false">
      <c r="X908" s="1"/>
      <c r="Y908" s="1"/>
      <c r="Z908" s="1"/>
    </row>
    <row r="909" customFormat="false" ht="15.75" hidden="false" customHeight="true" outlineLevel="0" collapsed="false">
      <c r="X909" s="1"/>
      <c r="Y909" s="1"/>
      <c r="Z909" s="1"/>
    </row>
    <row r="910" customFormat="false" ht="15.75" hidden="false" customHeight="true" outlineLevel="0" collapsed="false">
      <c r="X910" s="1"/>
      <c r="Y910" s="1"/>
      <c r="Z910" s="1"/>
    </row>
    <row r="911" customFormat="false" ht="15.75" hidden="false" customHeight="true" outlineLevel="0" collapsed="false">
      <c r="X911" s="1"/>
      <c r="Y911" s="1"/>
      <c r="Z911" s="1"/>
    </row>
    <row r="912" customFormat="false" ht="15.75" hidden="false" customHeight="true" outlineLevel="0" collapsed="false">
      <c r="X912" s="1"/>
      <c r="Y912" s="1"/>
      <c r="Z912" s="1"/>
    </row>
    <row r="913" customFormat="false" ht="15.75" hidden="false" customHeight="true" outlineLevel="0" collapsed="false">
      <c r="X913" s="1"/>
      <c r="Y913" s="1"/>
      <c r="Z913" s="1"/>
    </row>
    <row r="914" customFormat="false" ht="15.75" hidden="false" customHeight="true" outlineLevel="0" collapsed="false">
      <c r="X914" s="1"/>
      <c r="Y914" s="1"/>
      <c r="Z914" s="1"/>
    </row>
    <row r="915" customFormat="false" ht="15.75" hidden="false" customHeight="true" outlineLevel="0" collapsed="false">
      <c r="X915" s="1"/>
      <c r="Y915" s="1"/>
      <c r="Z915" s="1"/>
    </row>
    <row r="916" customFormat="false" ht="15.75" hidden="false" customHeight="true" outlineLevel="0" collapsed="false">
      <c r="X916" s="1"/>
      <c r="Y916" s="1"/>
      <c r="Z916" s="1"/>
    </row>
    <row r="917" customFormat="false" ht="15.75" hidden="false" customHeight="true" outlineLevel="0" collapsed="false">
      <c r="X917" s="1"/>
      <c r="Y917" s="1"/>
      <c r="Z917" s="1"/>
    </row>
    <row r="918" customFormat="false" ht="15.75" hidden="false" customHeight="true" outlineLevel="0" collapsed="false">
      <c r="X918" s="1"/>
      <c r="Y918" s="1"/>
      <c r="Z918" s="1"/>
    </row>
    <row r="919" customFormat="false" ht="15.75" hidden="false" customHeight="true" outlineLevel="0" collapsed="false">
      <c r="X919" s="1"/>
      <c r="Y919" s="1"/>
      <c r="Z919" s="1"/>
    </row>
    <row r="920" customFormat="false" ht="15.75" hidden="false" customHeight="true" outlineLevel="0" collapsed="false">
      <c r="X920" s="1"/>
      <c r="Y920" s="1"/>
      <c r="Z920" s="1"/>
    </row>
    <row r="921" customFormat="false" ht="15.75" hidden="false" customHeight="true" outlineLevel="0" collapsed="false">
      <c r="X921" s="1"/>
      <c r="Y921" s="1"/>
      <c r="Z921" s="1"/>
    </row>
    <row r="922" customFormat="false" ht="15.75" hidden="false" customHeight="true" outlineLevel="0" collapsed="false">
      <c r="X922" s="1"/>
      <c r="Y922" s="1"/>
      <c r="Z922" s="1"/>
    </row>
    <row r="923" customFormat="false" ht="15.75" hidden="false" customHeight="true" outlineLevel="0" collapsed="false">
      <c r="X923" s="1"/>
      <c r="Y923" s="1"/>
      <c r="Z923" s="1"/>
    </row>
    <row r="924" customFormat="false" ht="15.75" hidden="false" customHeight="true" outlineLevel="0" collapsed="false">
      <c r="X924" s="1"/>
      <c r="Y924" s="1"/>
      <c r="Z924" s="1"/>
    </row>
    <row r="925" customFormat="false" ht="15.75" hidden="false" customHeight="true" outlineLevel="0" collapsed="false">
      <c r="X925" s="1"/>
      <c r="Y925" s="1"/>
      <c r="Z925" s="1"/>
    </row>
    <row r="926" customFormat="false" ht="15.75" hidden="false" customHeight="true" outlineLevel="0" collapsed="false">
      <c r="X926" s="1"/>
      <c r="Y926" s="1"/>
      <c r="Z926" s="1"/>
    </row>
    <row r="927" customFormat="false" ht="15.75" hidden="false" customHeight="true" outlineLevel="0" collapsed="false">
      <c r="X927" s="1"/>
      <c r="Y927" s="1"/>
      <c r="Z927" s="1"/>
    </row>
    <row r="928" customFormat="false" ht="15.75" hidden="false" customHeight="true" outlineLevel="0" collapsed="false">
      <c r="X928" s="1"/>
      <c r="Y928" s="1"/>
      <c r="Z928" s="1"/>
    </row>
    <row r="929" customFormat="false" ht="15.75" hidden="false" customHeight="true" outlineLevel="0" collapsed="false">
      <c r="X929" s="1"/>
      <c r="Y929" s="1"/>
      <c r="Z929" s="1"/>
    </row>
    <row r="930" customFormat="false" ht="15.75" hidden="false" customHeight="true" outlineLevel="0" collapsed="false">
      <c r="X930" s="1"/>
      <c r="Y930" s="1"/>
      <c r="Z930" s="1"/>
    </row>
    <row r="931" customFormat="false" ht="15.75" hidden="false" customHeight="true" outlineLevel="0" collapsed="false">
      <c r="X931" s="1"/>
      <c r="Y931" s="1"/>
      <c r="Z931" s="1"/>
    </row>
    <row r="932" customFormat="false" ht="15.75" hidden="false" customHeight="true" outlineLevel="0" collapsed="false">
      <c r="X932" s="1"/>
      <c r="Y932" s="1"/>
      <c r="Z932" s="1"/>
    </row>
    <row r="933" customFormat="false" ht="15.75" hidden="false" customHeight="true" outlineLevel="0" collapsed="false">
      <c r="X933" s="1"/>
      <c r="Y933" s="1"/>
      <c r="Z933" s="1"/>
    </row>
    <row r="934" customFormat="false" ht="15.75" hidden="false" customHeight="true" outlineLevel="0" collapsed="false">
      <c r="X934" s="1"/>
      <c r="Y934" s="1"/>
      <c r="Z934" s="1"/>
    </row>
    <row r="935" customFormat="false" ht="15.75" hidden="false" customHeight="true" outlineLevel="0" collapsed="false">
      <c r="X935" s="1"/>
      <c r="Y935" s="1"/>
      <c r="Z935" s="1"/>
    </row>
    <row r="936" customFormat="false" ht="15.75" hidden="false" customHeight="true" outlineLevel="0" collapsed="false">
      <c r="X936" s="1"/>
      <c r="Y936" s="1"/>
      <c r="Z936" s="1"/>
    </row>
    <row r="937" customFormat="false" ht="15.75" hidden="false" customHeight="true" outlineLevel="0" collapsed="false">
      <c r="X937" s="1"/>
      <c r="Y937" s="1"/>
      <c r="Z937" s="1"/>
    </row>
    <row r="938" customFormat="false" ht="15.75" hidden="false" customHeight="true" outlineLevel="0" collapsed="false">
      <c r="X938" s="1"/>
      <c r="Y938" s="1"/>
      <c r="Z938" s="1"/>
    </row>
    <row r="939" customFormat="false" ht="15.75" hidden="false" customHeight="true" outlineLevel="0" collapsed="false">
      <c r="X939" s="1"/>
      <c r="Y939" s="1"/>
      <c r="Z939" s="1"/>
    </row>
    <row r="940" customFormat="false" ht="15.75" hidden="false" customHeight="true" outlineLevel="0" collapsed="false">
      <c r="X940" s="1"/>
      <c r="Y940" s="1"/>
      <c r="Z940" s="1"/>
    </row>
    <row r="941" customFormat="false" ht="15.75" hidden="false" customHeight="true" outlineLevel="0" collapsed="false">
      <c r="X941" s="1"/>
      <c r="Y941" s="1"/>
      <c r="Z941" s="1"/>
    </row>
    <row r="942" customFormat="false" ht="15.75" hidden="false" customHeight="true" outlineLevel="0" collapsed="false">
      <c r="X942" s="1"/>
      <c r="Y942" s="1"/>
      <c r="Z942" s="1"/>
    </row>
    <row r="943" customFormat="false" ht="15.75" hidden="false" customHeight="true" outlineLevel="0" collapsed="false">
      <c r="X943" s="1"/>
      <c r="Y943" s="1"/>
      <c r="Z943" s="1"/>
    </row>
    <row r="944" customFormat="false" ht="15.75" hidden="false" customHeight="true" outlineLevel="0" collapsed="false">
      <c r="X944" s="1"/>
      <c r="Y944" s="1"/>
      <c r="Z944" s="1"/>
    </row>
    <row r="945" customFormat="false" ht="15.75" hidden="false" customHeight="true" outlineLevel="0" collapsed="false">
      <c r="X945" s="1"/>
      <c r="Y945" s="1"/>
      <c r="Z945" s="1"/>
    </row>
    <row r="946" customFormat="false" ht="15.75" hidden="false" customHeight="true" outlineLevel="0" collapsed="false">
      <c r="X946" s="1"/>
      <c r="Y946" s="1"/>
      <c r="Z946" s="1"/>
    </row>
    <row r="947" customFormat="false" ht="15.75" hidden="false" customHeight="true" outlineLevel="0" collapsed="false">
      <c r="X947" s="1"/>
      <c r="Y947" s="1"/>
      <c r="Z947" s="1"/>
    </row>
    <row r="948" customFormat="false" ht="15.75" hidden="false" customHeight="true" outlineLevel="0" collapsed="false">
      <c r="X948" s="1"/>
      <c r="Y948" s="1"/>
      <c r="Z948" s="1"/>
    </row>
    <row r="949" customFormat="false" ht="15.75" hidden="false" customHeight="true" outlineLevel="0" collapsed="false">
      <c r="X949" s="1"/>
      <c r="Y949" s="1"/>
      <c r="Z949" s="1"/>
    </row>
    <row r="950" customFormat="false" ht="15.75" hidden="false" customHeight="true" outlineLevel="0" collapsed="false">
      <c r="X950" s="1"/>
      <c r="Y950" s="1"/>
      <c r="Z950" s="1"/>
    </row>
    <row r="951" customFormat="false" ht="15.75" hidden="false" customHeight="true" outlineLevel="0" collapsed="false">
      <c r="X951" s="1"/>
      <c r="Y951" s="1"/>
      <c r="Z951" s="1"/>
    </row>
    <row r="952" customFormat="false" ht="15.75" hidden="false" customHeight="true" outlineLevel="0" collapsed="false">
      <c r="X952" s="1"/>
      <c r="Y952" s="1"/>
      <c r="Z952" s="1"/>
    </row>
    <row r="953" customFormat="false" ht="15.75" hidden="false" customHeight="true" outlineLevel="0" collapsed="false">
      <c r="X953" s="1"/>
      <c r="Y953" s="1"/>
      <c r="Z953" s="1"/>
    </row>
    <row r="954" customFormat="false" ht="15.75" hidden="false" customHeight="true" outlineLevel="0" collapsed="false">
      <c r="X954" s="1"/>
      <c r="Y954" s="1"/>
      <c r="Z954" s="1"/>
    </row>
    <row r="955" customFormat="false" ht="15.75" hidden="false" customHeight="true" outlineLevel="0" collapsed="false">
      <c r="X955" s="1"/>
      <c r="Y955" s="1"/>
      <c r="Z955" s="1"/>
    </row>
    <row r="956" customFormat="false" ht="15.75" hidden="false" customHeight="true" outlineLevel="0" collapsed="false">
      <c r="X956" s="1"/>
      <c r="Y956" s="1"/>
      <c r="Z956" s="1"/>
    </row>
    <row r="957" customFormat="false" ht="15.75" hidden="false" customHeight="true" outlineLevel="0" collapsed="false">
      <c r="X957" s="1"/>
      <c r="Y957" s="1"/>
      <c r="Z957" s="1"/>
    </row>
    <row r="958" customFormat="false" ht="15.75" hidden="false" customHeight="true" outlineLevel="0" collapsed="false">
      <c r="X958" s="1"/>
      <c r="Y958" s="1"/>
      <c r="Z958" s="1"/>
    </row>
    <row r="959" customFormat="false" ht="15.75" hidden="false" customHeight="true" outlineLevel="0" collapsed="false">
      <c r="X959" s="1"/>
      <c r="Y959" s="1"/>
      <c r="Z959" s="1"/>
    </row>
    <row r="960" customFormat="false" ht="15.75" hidden="false" customHeight="true" outlineLevel="0" collapsed="false">
      <c r="X960" s="1"/>
      <c r="Y960" s="1"/>
      <c r="Z960" s="1"/>
    </row>
    <row r="961" customFormat="false" ht="15.75" hidden="false" customHeight="true" outlineLevel="0" collapsed="false">
      <c r="X961" s="1"/>
      <c r="Y961" s="1"/>
      <c r="Z961" s="1"/>
    </row>
    <row r="962" customFormat="false" ht="15.75" hidden="false" customHeight="true" outlineLevel="0" collapsed="false">
      <c r="X962" s="1"/>
      <c r="Y962" s="1"/>
      <c r="Z962" s="1"/>
    </row>
    <row r="963" customFormat="false" ht="15.75" hidden="false" customHeight="true" outlineLevel="0" collapsed="false">
      <c r="X963" s="1"/>
      <c r="Y963" s="1"/>
      <c r="Z963" s="1"/>
    </row>
    <row r="964" customFormat="false" ht="15.75" hidden="false" customHeight="true" outlineLevel="0" collapsed="false">
      <c r="X964" s="1"/>
      <c r="Y964" s="1"/>
      <c r="Z964" s="1"/>
    </row>
    <row r="965" customFormat="false" ht="15.75" hidden="false" customHeight="true" outlineLevel="0" collapsed="false">
      <c r="X965" s="1"/>
      <c r="Y965" s="1"/>
      <c r="Z965" s="1"/>
    </row>
    <row r="966" customFormat="false" ht="15.75" hidden="false" customHeight="true" outlineLevel="0" collapsed="false">
      <c r="X966" s="1"/>
      <c r="Y966" s="1"/>
      <c r="Z966" s="1"/>
    </row>
    <row r="967" customFormat="false" ht="15.75" hidden="false" customHeight="true" outlineLevel="0" collapsed="false">
      <c r="X967" s="1"/>
      <c r="Y967" s="1"/>
      <c r="Z967" s="1"/>
    </row>
    <row r="968" customFormat="false" ht="15.75" hidden="false" customHeight="true" outlineLevel="0" collapsed="false">
      <c r="X968" s="1"/>
      <c r="Y968" s="1"/>
      <c r="Z968" s="1"/>
    </row>
    <row r="969" customFormat="false" ht="15.75" hidden="false" customHeight="true" outlineLevel="0" collapsed="false">
      <c r="X969" s="1"/>
      <c r="Y969" s="1"/>
      <c r="Z969" s="1"/>
    </row>
    <row r="970" customFormat="false" ht="15.75" hidden="false" customHeight="true" outlineLevel="0" collapsed="false">
      <c r="X970" s="1"/>
      <c r="Y970" s="1"/>
      <c r="Z970" s="1"/>
    </row>
    <row r="971" customFormat="false" ht="15.75" hidden="false" customHeight="true" outlineLevel="0" collapsed="false">
      <c r="X971" s="1"/>
      <c r="Y971" s="1"/>
      <c r="Z971" s="1"/>
    </row>
    <row r="972" customFormat="false" ht="15.75" hidden="false" customHeight="true" outlineLevel="0" collapsed="false">
      <c r="X972" s="1"/>
      <c r="Y972" s="1"/>
      <c r="Z972" s="1"/>
    </row>
    <row r="973" customFormat="false" ht="15.75" hidden="false" customHeight="true" outlineLevel="0" collapsed="false">
      <c r="X973" s="1"/>
      <c r="Y973" s="1"/>
      <c r="Z973" s="1"/>
    </row>
    <row r="974" customFormat="false" ht="15.75" hidden="false" customHeight="true" outlineLevel="0" collapsed="false">
      <c r="X974" s="1"/>
      <c r="Y974" s="1"/>
      <c r="Z974" s="1"/>
    </row>
    <row r="975" customFormat="false" ht="15.75" hidden="false" customHeight="true" outlineLevel="0" collapsed="false">
      <c r="X975" s="1"/>
      <c r="Y975" s="1"/>
      <c r="Z975" s="1"/>
    </row>
    <row r="976" customFormat="false" ht="15.75" hidden="false" customHeight="true" outlineLevel="0" collapsed="false">
      <c r="X976" s="1"/>
      <c r="Y976" s="1"/>
      <c r="Z976" s="1"/>
    </row>
    <row r="977" customFormat="false" ht="15.75" hidden="false" customHeight="true" outlineLevel="0" collapsed="false">
      <c r="X977" s="1"/>
      <c r="Y977" s="1"/>
      <c r="Z977" s="1"/>
    </row>
    <row r="978" customFormat="false" ht="15.75" hidden="false" customHeight="true" outlineLevel="0" collapsed="false">
      <c r="X978" s="1"/>
      <c r="Y978" s="1"/>
      <c r="Z978" s="1"/>
    </row>
    <row r="979" customFormat="false" ht="15.75" hidden="false" customHeight="true" outlineLevel="0" collapsed="false">
      <c r="X979" s="1"/>
      <c r="Y979" s="1"/>
      <c r="Z979" s="1"/>
    </row>
    <row r="980" customFormat="false" ht="15.75" hidden="false" customHeight="true" outlineLevel="0" collapsed="false">
      <c r="X980" s="1"/>
      <c r="Y980" s="1"/>
      <c r="Z980" s="1"/>
    </row>
    <row r="981" customFormat="false" ht="15.75" hidden="false" customHeight="true" outlineLevel="0" collapsed="false">
      <c r="X981" s="1"/>
      <c r="Y981" s="1"/>
      <c r="Z981" s="1"/>
    </row>
    <row r="982" customFormat="false" ht="15.75" hidden="false" customHeight="true" outlineLevel="0" collapsed="false">
      <c r="X982" s="1"/>
      <c r="Y982" s="1"/>
      <c r="Z982" s="1"/>
    </row>
    <row r="983" customFormat="false" ht="15.75" hidden="false" customHeight="true" outlineLevel="0" collapsed="false">
      <c r="X983" s="1"/>
      <c r="Y983" s="1"/>
      <c r="Z983" s="1"/>
    </row>
    <row r="984" customFormat="false" ht="15.75" hidden="false" customHeight="true" outlineLevel="0" collapsed="false">
      <c r="X984" s="1"/>
      <c r="Y984" s="1"/>
      <c r="Z984" s="1"/>
    </row>
    <row r="985" customFormat="false" ht="15.75" hidden="false" customHeight="true" outlineLevel="0" collapsed="false">
      <c r="X985" s="1"/>
      <c r="Y985" s="1"/>
      <c r="Z985" s="1"/>
    </row>
    <row r="986" customFormat="false" ht="15.75" hidden="false" customHeight="true" outlineLevel="0" collapsed="false">
      <c r="X986" s="1"/>
      <c r="Y986" s="1"/>
      <c r="Z986" s="1"/>
    </row>
    <row r="987" customFormat="false" ht="15.75" hidden="false" customHeight="true" outlineLevel="0" collapsed="false">
      <c r="X987" s="1"/>
      <c r="Y987" s="1"/>
      <c r="Z987" s="1"/>
    </row>
    <row r="988" customFormat="false" ht="15.75" hidden="false" customHeight="true" outlineLevel="0" collapsed="false">
      <c r="X988" s="1"/>
      <c r="Y988" s="1"/>
      <c r="Z988" s="1"/>
    </row>
    <row r="989" customFormat="false" ht="15.75" hidden="false" customHeight="true" outlineLevel="0" collapsed="false">
      <c r="X989" s="1"/>
      <c r="Y989" s="1"/>
      <c r="Z989" s="1"/>
    </row>
    <row r="990" customFormat="false" ht="15.75" hidden="false" customHeight="true" outlineLevel="0" collapsed="false">
      <c r="X990" s="1"/>
      <c r="Y990" s="1"/>
      <c r="Z990" s="1"/>
    </row>
    <row r="991" customFormat="false" ht="15.75" hidden="false" customHeight="true" outlineLevel="0" collapsed="false">
      <c r="X991" s="1"/>
      <c r="Y991" s="1"/>
      <c r="Z991" s="1"/>
    </row>
    <row r="992" customFormat="false" ht="15.75" hidden="false" customHeight="true" outlineLevel="0" collapsed="false">
      <c r="X992" s="1"/>
      <c r="Y992" s="1"/>
      <c r="Z992" s="1"/>
    </row>
    <row r="993" customFormat="false" ht="15.75" hidden="false" customHeight="true" outlineLevel="0" collapsed="false">
      <c r="X993" s="1"/>
      <c r="Y993" s="1"/>
      <c r="Z993" s="1"/>
    </row>
    <row r="994" customFormat="false" ht="15.75" hidden="false" customHeight="true" outlineLevel="0" collapsed="false">
      <c r="X994" s="1"/>
      <c r="Y994" s="1"/>
      <c r="Z994" s="1"/>
    </row>
    <row r="995" customFormat="false" ht="15.75" hidden="false" customHeight="true" outlineLevel="0" collapsed="false">
      <c r="X995" s="1"/>
      <c r="Y995" s="1"/>
      <c r="Z995" s="1"/>
    </row>
    <row r="996" customFormat="false" ht="15.75" hidden="false" customHeight="true" outlineLevel="0" collapsed="false">
      <c r="X996" s="1"/>
      <c r="Y996" s="1"/>
      <c r="Z996" s="1"/>
    </row>
    <row r="997" customFormat="false" ht="15.75" hidden="false" customHeight="true" outlineLevel="0" collapsed="false">
      <c r="X997" s="1"/>
      <c r="Y997" s="1"/>
      <c r="Z997" s="1"/>
    </row>
    <row r="998" customFormat="false" ht="15.75" hidden="false" customHeight="true" outlineLevel="0" collapsed="false">
      <c r="X998" s="1"/>
      <c r="Y998" s="1"/>
      <c r="Z998" s="1"/>
    </row>
    <row r="999" customFormat="false" ht="15.75" hidden="false" customHeight="true" outlineLevel="0" collapsed="false">
      <c r="X999" s="1"/>
      <c r="Y999" s="1"/>
      <c r="Z999" s="1"/>
    </row>
    <row r="1000" customFormat="false" ht="15.75" hidden="false" customHeight="true" outlineLevel="0" collapsed="false">
      <c r="X1000" s="1"/>
      <c r="Y1000" s="1"/>
      <c r="Z1000" s="1"/>
    </row>
  </sheetData>
  <mergeCells count="6">
    <mergeCell ref="B142:F142"/>
    <mergeCell ref="B145:F145"/>
    <mergeCell ref="B157:F157"/>
    <mergeCell ref="B167:F167"/>
    <mergeCell ref="B175:F175"/>
    <mergeCell ref="B185:F18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4D2B"/>
    <outlinePr summaryBelow="0"/>
    <pageSetUpPr fitToPage="false"/>
  </sheetPr>
  <dimension ref="A1:Z97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43.29"/>
    <col collapsed="false" customWidth="true" hidden="false" outlineLevel="0" max="2" min="2" style="1" width="33.71"/>
    <col collapsed="false" customWidth="true" hidden="false" outlineLevel="0" max="3" min="3" style="1" width="63.14"/>
    <col collapsed="false" customWidth="true" hidden="false" outlineLevel="0" max="4" min="4" style="1" width="41.71"/>
    <col collapsed="false" customWidth="true" hidden="false" outlineLevel="0" max="5" min="5" style="1" width="61.43"/>
  </cols>
  <sheetData>
    <row r="1" customFormat="false" ht="19.5" hidden="false" customHeight="true" outlineLevel="0" collapsed="false">
      <c r="A1" s="353" t="s">
        <v>2163</v>
      </c>
      <c r="B1" s="353"/>
      <c r="C1" s="353"/>
      <c r="D1" s="353"/>
      <c r="E1" s="353"/>
      <c r="F1" s="354"/>
      <c r="G1" s="354"/>
      <c r="H1" s="354"/>
      <c r="I1" s="354"/>
      <c r="J1" s="354"/>
      <c r="K1" s="354"/>
      <c r="L1" s="354"/>
      <c r="M1" s="354"/>
      <c r="N1" s="354"/>
      <c r="O1" s="354"/>
      <c r="P1" s="354"/>
      <c r="Q1" s="354"/>
      <c r="R1" s="354"/>
      <c r="S1" s="354"/>
      <c r="T1" s="354"/>
      <c r="U1" s="354"/>
      <c r="V1" s="354"/>
      <c r="W1" s="354"/>
      <c r="X1" s="354"/>
      <c r="Y1" s="354"/>
      <c r="Z1" s="354"/>
    </row>
    <row r="2" customFormat="false" ht="15" hidden="false" customHeight="true" outlineLevel="0" collapsed="false">
      <c r="A2" s="355"/>
      <c r="B2" s="355"/>
      <c r="C2" s="355"/>
      <c r="D2" s="355"/>
      <c r="E2" s="355"/>
      <c r="F2" s="354"/>
      <c r="G2" s="354"/>
      <c r="H2" s="354"/>
      <c r="I2" s="354"/>
      <c r="J2" s="354"/>
      <c r="K2" s="354"/>
      <c r="L2" s="354"/>
      <c r="M2" s="354"/>
      <c r="N2" s="354"/>
      <c r="O2" s="354"/>
      <c r="P2" s="354"/>
      <c r="Q2" s="354"/>
      <c r="R2" s="354"/>
      <c r="S2" s="354"/>
      <c r="T2" s="354"/>
      <c r="U2" s="354"/>
      <c r="V2" s="354"/>
      <c r="W2" s="354"/>
      <c r="X2" s="354"/>
      <c r="Y2" s="354"/>
      <c r="Z2" s="354"/>
    </row>
    <row r="3" customFormat="false" ht="15" hidden="false" customHeight="true" outlineLevel="0" collapsed="false">
      <c r="A3" s="356" t="s">
        <v>2164</v>
      </c>
      <c r="B3" s="356"/>
      <c r="C3" s="356"/>
      <c r="D3" s="356"/>
      <c r="E3" s="356"/>
      <c r="F3" s="354"/>
      <c r="G3" s="354"/>
      <c r="H3" s="354"/>
      <c r="I3" s="354"/>
      <c r="J3" s="354"/>
      <c r="K3" s="354"/>
      <c r="L3" s="354"/>
      <c r="M3" s="354"/>
      <c r="N3" s="354"/>
      <c r="O3" s="354"/>
      <c r="P3" s="354"/>
      <c r="Q3" s="354"/>
      <c r="R3" s="354"/>
      <c r="S3" s="354"/>
      <c r="T3" s="354"/>
      <c r="U3" s="354"/>
      <c r="V3" s="354"/>
      <c r="W3" s="354"/>
      <c r="X3" s="354"/>
      <c r="Y3" s="354"/>
      <c r="Z3" s="354"/>
    </row>
    <row r="4" customFormat="false" ht="15" hidden="false" customHeight="true" outlineLevel="0" collapsed="false">
      <c r="A4" s="354" t="s">
        <v>2165</v>
      </c>
      <c r="B4" s="354"/>
      <c r="C4" s="354"/>
      <c r="D4" s="354"/>
      <c r="E4" s="354"/>
      <c r="F4" s="354"/>
      <c r="G4" s="354"/>
      <c r="H4" s="354"/>
      <c r="I4" s="354"/>
      <c r="J4" s="354"/>
      <c r="K4" s="354"/>
      <c r="L4" s="354"/>
      <c r="M4" s="354"/>
      <c r="N4" s="354"/>
      <c r="O4" s="354"/>
      <c r="P4" s="354"/>
      <c r="Q4" s="354"/>
      <c r="R4" s="354"/>
      <c r="S4" s="354"/>
      <c r="T4" s="354"/>
      <c r="U4" s="354"/>
      <c r="V4" s="354"/>
      <c r="W4" s="354"/>
      <c r="X4" s="354"/>
      <c r="Y4" s="354"/>
      <c r="Z4" s="354"/>
    </row>
    <row r="5" customFormat="false" ht="15.75" hidden="false" customHeight="true" outlineLevel="0" collapsed="false">
      <c r="A5" s="357"/>
      <c r="B5" s="357"/>
      <c r="C5" s="357"/>
      <c r="D5" s="357"/>
      <c r="E5" s="357"/>
      <c r="F5" s="354"/>
      <c r="G5" s="354"/>
      <c r="H5" s="354"/>
      <c r="I5" s="354"/>
      <c r="J5" s="354"/>
      <c r="K5" s="354"/>
      <c r="L5" s="354"/>
      <c r="M5" s="354"/>
      <c r="N5" s="354"/>
      <c r="O5" s="354"/>
      <c r="P5" s="354"/>
      <c r="Q5" s="354"/>
      <c r="R5" s="354"/>
      <c r="S5" s="354"/>
      <c r="T5" s="354"/>
      <c r="U5" s="354"/>
      <c r="V5" s="354"/>
      <c r="W5" s="354"/>
      <c r="X5" s="354"/>
      <c r="Y5" s="354"/>
      <c r="Z5" s="354"/>
    </row>
    <row r="6" customFormat="false" ht="15" hidden="false" customHeight="true" outlineLevel="0" collapsed="false">
      <c r="A6" s="358" t="s">
        <v>2166</v>
      </c>
      <c r="B6" s="358"/>
      <c r="C6" s="358"/>
      <c r="D6" s="358"/>
      <c r="E6" s="358"/>
      <c r="F6" s="354"/>
      <c r="G6" s="354"/>
      <c r="H6" s="354"/>
      <c r="I6" s="354"/>
      <c r="J6" s="354"/>
      <c r="K6" s="354"/>
      <c r="L6" s="354"/>
      <c r="M6" s="354"/>
      <c r="N6" s="354"/>
      <c r="O6" s="354"/>
      <c r="P6" s="354"/>
      <c r="Q6" s="354"/>
      <c r="R6" s="354"/>
      <c r="S6" s="354"/>
      <c r="T6" s="354"/>
      <c r="U6" s="354"/>
      <c r="V6" s="354"/>
      <c r="W6" s="354"/>
      <c r="X6" s="354"/>
      <c r="Y6" s="354"/>
      <c r="Z6" s="354"/>
    </row>
    <row r="7" customFormat="false" ht="15" hidden="false" customHeight="true" outlineLevel="0" collapsed="false">
      <c r="A7" s="354" t="s">
        <v>2167</v>
      </c>
      <c r="B7" s="354"/>
      <c r="C7" s="354"/>
      <c r="D7" s="354"/>
      <c r="E7" s="354"/>
      <c r="F7" s="354"/>
      <c r="G7" s="354"/>
      <c r="H7" s="354"/>
      <c r="I7" s="354"/>
      <c r="J7" s="354"/>
      <c r="K7" s="354"/>
      <c r="L7" s="354"/>
      <c r="M7" s="354"/>
      <c r="N7" s="354"/>
      <c r="O7" s="354"/>
      <c r="P7" s="354"/>
      <c r="Q7" s="354"/>
      <c r="R7" s="354"/>
      <c r="S7" s="354"/>
      <c r="T7" s="354"/>
      <c r="U7" s="354"/>
      <c r="V7" s="354"/>
      <c r="W7" s="354"/>
      <c r="X7" s="354"/>
      <c r="Y7" s="354"/>
      <c r="Z7" s="354"/>
    </row>
    <row r="8" customFormat="false" ht="15.75" hidden="false" customHeight="true" outlineLevel="0" collapsed="false">
      <c r="A8" s="357" t="s">
        <v>2168</v>
      </c>
      <c r="B8" s="357"/>
      <c r="C8" s="357"/>
      <c r="D8" s="357"/>
      <c r="E8" s="357"/>
      <c r="F8" s="354"/>
      <c r="G8" s="354"/>
      <c r="H8" s="354"/>
      <c r="I8" s="354"/>
      <c r="J8" s="354"/>
      <c r="K8" s="354"/>
      <c r="L8" s="354"/>
      <c r="M8" s="354"/>
      <c r="N8" s="354"/>
      <c r="O8" s="354"/>
      <c r="P8" s="354"/>
      <c r="Q8" s="354"/>
      <c r="R8" s="354"/>
      <c r="S8" s="354"/>
      <c r="T8" s="354"/>
      <c r="U8" s="354"/>
      <c r="V8" s="354"/>
      <c r="W8" s="354"/>
      <c r="X8" s="354"/>
      <c r="Y8" s="354"/>
      <c r="Z8" s="354"/>
    </row>
    <row r="9" customFormat="false" ht="15" hidden="false" customHeight="true" outlineLevel="0" collapsed="false">
      <c r="A9" s="359" t="s">
        <v>2169</v>
      </c>
      <c r="B9" s="359"/>
      <c r="C9" s="359"/>
      <c r="D9" s="359"/>
      <c r="E9" s="359"/>
      <c r="F9" s="354"/>
      <c r="G9" s="354"/>
      <c r="H9" s="354"/>
      <c r="I9" s="354"/>
      <c r="J9" s="354"/>
      <c r="K9" s="354"/>
      <c r="L9" s="354"/>
      <c r="M9" s="354"/>
      <c r="N9" s="354"/>
      <c r="O9" s="354"/>
      <c r="P9" s="354"/>
      <c r="Q9" s="354"/>
      <c r="R9" s="354"/>
      <c r="S9" s="354"/>
      <c r="T9" s="354"/>
      <c r="U9" s="354"/>
      <c r="V9" s="354"/>
      <c r="W9" s="354"/>
      <c r="X9" s="354"/>
      <c r="Y9" s="354"/>
      <c r="Z9" s="354"/>
    </row>
    <row r="10" customFormat="false" ht="34.5" hidden="false" customHeight="true" outlineLevel="0" collapsed="false">
      <c r="A10" s="360" t="s">
        <v>2170</v>
      </c>
      <c r="B10" s="360" t="s">
        <v>2171</v>
      </c>
      <c r="C10" s="360" t="s">
        <v>2172</v>
      </c>
      <c r="D10" s="360" t="s">
        <v>2173</v>
      </c>
      <c r="E10" s="360" t="s">
        <v>2174</v>
      </c>
      <c r="F10" s="354"/>
      <c r="G10" s="354"/>
      <c r="H10" s="354"/>
      <c r="I10" s="354"/>
      <c r="J10" s="354"/>
      <c r="K10" s="354"/>
      <c r="L10" s="354"/>
      <c r="M10" s="354"/>
      <c r="N10" s="354"/>
      <c r="O10" s="354"/>
      <c r="P10" s="354"/>
      <c r="Q10" s="354"/>
      <c r="R10" s="354"/>
      <c r="S10" s="354"/>
      <c r="T10" s="354"/>
      <c r="U10" s="354"/>
      <c r="V10" s="354"/>
      <c r="W10" s="354"/>
      <c r="X10" s="354"/>
      <c r="Y10" s="354"/>
      <c r="Z10" s="354"/>
    </row>
    <row r="11" customFormat="false" ht="27.75" hidden="false" customHeight="true" outlineLevel="0" collapsed="false">
      <c r="A11" s="361"/>
      <c r="B11" s="361" t="s">
        <v>2175</v>
      </c>
      <c r="C11" s="362" t="s">
        <v>2176</v>
      </c>
      <c r="D11" s="363" t="s">
        <v>2177</v>
      </c>
      <c r="E11" s="364" t="s">
        <v>2178</v>
      </c>
      <c r="F11" s="354"/>
      <c r="G11" s="354"/>
      <c r="H11" s="354"/>
      <c r="I11" s="354"/>
      <c r="J11" s="354"/>
      <c r="K11" s="354"/>
      <c r="L11" s="354"/>
      <c r="M11" s="354"/>
      <c r="N11" s="354"/>
      <c r="O11" s="354"/>
      <c r="P11" s="354"/>
      <c r="Q11" s="354"/>
      <c r="R11" s="354"/>
      <c r="S11" s="354"/>
      <c r="T11" s="354"/>
      <c r="U11" s="354"/>
      <c r="V11" s="354"/>
      <c r="W11" s="354"/>
      <c r="X11" s="354"/>
      <c r="Y11" s="354"/>
      <c r="Z11" s="354"/>
    </row>
    <row r="12" customFormat="false" ht="63.75" hidden="false" customHeight="true" outlineLevel="0" collapsed="false">
      <c r="A12" s="365" t="s">
        <v>2179</v>
      </c>
      <c r="B12" s="365" t="s">
        <v>2180</v>
      </c>
      <c r="C12" s="366" t="s">
        <v>2181</v>
      </c>
      <c r="D12" s="367" t="s">
        <v>2182</v>
      </c>
      <c r="E12" s="368" t="s">
        <v>2183</v>
      </c>
      <c r="F12" s="354"/>
      <c r="G12" s="354"/>
      <c r="H12" s="354"/>
      <c r="I12" s="354"/>
      <c r="J12" s="354"/>
      <c r="K12" s="354"/>
      <c r="L12" s="354"/>
      <c r="M12" s="354"/>
      <c r="N12" s="354"/>
      <c r="O12" s="354"/>
      <c r="P12" s="354"/>
      <c r="Q12" s="354"/>
      <c r="R12" s="354"/>
      <c r="S12" s="354"/>
      <c r="T12" s="354"/>
      <c r="U12" s="354"/>
      <c r="V12" s="354"/>
      <c r="W12" s="354"/>
      <c r="X12" s="354"/>
      <c r="Y12" s="354"/>
      <c r="Z12" s="354"/>
    </row>
    <row r="13" customFormat="false" ht="63.75" hidden="false" customHeight="true" outlineLevel="0" collapsed="false">
      <c r="A13" s="361" t="s">
        <v>2184</v>
      </c>
      <c r="B13" s="361" t="s">
        <v>2185</v>
      </c>
      <c r="C13" s="362" t="s">
        <v>2186</v>
      </c>
      <c r="D13" s="363" t="s">
        <v>2187</v>
      </c>
      <c r="E13" s="364" t="s">
        <v>2188</v>
      </c>
      <c r="F13" s="354"/>
      <c r="G13" s="354"/>
      <c r="H13" s="354"/>
      <c r="I13" s="354"/>
      <c r="J13" s="354"/>
      <c r="K13" s="354"/>
      <c r="L13" s="354"/>
      <c r="M13" s="354"/>
      <c r="N13" s="354"/>
      <c r="O13" s="354"/>
      <c r="P13" s="354"/>
      <c r="Q13" s="354"/>
      <c r="R13" s="354"/>
      <c r="S13" s="354"/>
      <c r="T13" s="354"/>
      <c r="U13" s="354"/>
      <c r="V13" s="354"/>
      <c r="W13" s="354"/>
      <c r="X13" s="354"/>
      <c r="Y13" s="354"/>
      <c r="Z13" s="354"/>
    </row>
    <row r="14" customFormat="false" ht="36.75" hidden="false" customHeight="true" outlineLevel="0" collapsed="false">
      <c r="A14" s="365" t="s">
        <v>2189</v>
      </c>
      <c r="B14" s="365" t="s">
        <v>2190</v>
      </c>
      <c r="C14" s="366" t="s">
        <v>2191</v>
      </c>
      <c r="D14" s="367" t="s">
        <v>2192</v>
      </c>
      <c r="E14" s="368" t="s">
        <v>2193</v>
      </c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354"/>
      <c r="X14" s="354"/>
      <c r="Y14" s="354"/>
      <c r="Z14" s="354"/>
    </row>
    <row r="15" customFormat="false" ht="72.75" hidden="false" customHeight="true" outlineLevel="0" collapsed="false">
      <c r="A15" s="361" t="s">
        <v>2194</v>
      </c>
      <c r="B15" s="361" t="s">
        <v>2195</v>
      </c>
      <c r="C15" s="362" t="s">
        <v>2196</v>
      </c>
      <c r="D15" s="363" t="s">
        <v>2197</v>
      </c>
      <c r="E15" s="364" t="s">
        <v>2198</v>
      </c>
      <c r="F15" s="354"/>
      <c r="G15" s="354"/>
      <c r="H15" s="354"/>
      <c r="I15" s="354"/>
      <c r="J15" s="354"/>
      <c r="K15" s="354"/>
      <c r="L15" s="354"/>
      <c r="M15" s="354"/>
      <c r="N15" s="354"/>
      <c r="O15" s="354"/>
      <c r="P15" s="354"/>
      <c r="Q15" s="354"/>
      <c r="R15" s="354"/>
      <c r="S15" s="354"/>
      <c r="T15" s="354"/>
      <c r="U15" s="354"/>
      <c r="V15" s="354"/>
      <c r="W15" s="354"/>
      <c r="X15" s="354"/>
      <c r="Y15" s="354"/>
      <c r="Z15" s="354"/>
    </row>
    <row r="16" customFormat="false" ht="54.75" hidden="false" customHeight="true" outlineLevel="0" collapsed="false">
      <c r="A16" s="365" t="s">
        <v>2199</v>
      </c>
      <c r="B16" s="365" t="s">
        <v>2200</v>
      </c>
      <c r="C16" s="366" t="s">
        <v>2201</v>
      </c>
      <c r="D16" s="367" t="s">
        <v>2202</v>
      </c>
      <c r="E16" s="368" t="s">
        <v>2203</v>
      </c>
      <c r="F16" s="354"/>
      <c r="G16" s="354"/>
      <c r="H16" s="354"/>
      <c r="I16" s="354"/>
      <c r="J16" s="354"/>
      <c r="K16" s="354"/>
      <c r="L16" s="354"/>
      <c r="M16" s="354"/>
      <c r="N16" s="354"/>
      <c r="O16" s="354"/>
      <c r="P16" s="354"/>
      <c r="Q16" s="354"/>
      <c r="R16" s="354"/>
      <c r="S16" s="354"/>
      <c r="T16" s="354"/>
      <c r="U16" s="354"/>
      <c r="V16" s="354"/>
      <c r="W16" s="354"/>
      <c r="X16" s="354"/>
      <c r="Y16" s="354"/>
      <c r="Z16" s="354"/>
    </row>
    <row r="17" customFormat="false" ht="72.75" hidden="false" customHeight="true" outlineLevel="0" collapsed="false">
      <c r="A17" s="361" t="s">
        <v>2204</v>
      </c>
      <c r="B17" s="361" t="s">
        <v>2205</v>
      </c>
      <c r="C17" s="362" t="s">
        <v>2206</v>
      </c>
      <c r="D17" s="363" t="s">
        <v>2207</v>
      </c>
      <c r="E17" s="364" t="s">
        <v>2208</v>
      </c>
      <c r="F17" s="354"/>
      <c r="G17" s="354"/>
      <c r="H17" s="354"/>
      <c r="I17" s="354"/>
      <c r="J17" s="354"/>
      <c r="K17" s="354"/>
      <c r="L17" s="354"/>
      <c r="M17" s="354"/>
      <c r="N17" s="354"/>
      <c r="O17" s="354"/>
      <c r="P17" s="354"/>
      <c r="Q17" s="354"/>
      <c r="R17" s="354"/>
      <c r="S17" s="354"/>
      <c r="T17" s="354"/>
      <c r="U17" s="354"/>
      <c r="V17" s="354"/>
      <c r="W17" s="354"/>
      <c r="X17" s="354"/>
      <c r="Y17" s="354"/>
      <c r="Z17" s="354"/>
    </row>
    <row r="18" customFormat="false" ht="36.75" hidden="false" customHeight="true" outlineLevel="0" collapsed="false">
      <c r="A18" s="365" t="s">
        <v>2209</v>
      </c>
      <c r="B18" s="365" t="s">
        <v>2210</v>
      </c>
      <c r="C18" s="366" t="s">
        <v>2211</v>
      </c>
      <c r="D18" s="367" t="s">
        <v>2212</v>
      </c>
      <c r="E18" s="368" t="s">
        <v>2213</v>
      </c>
      <c r="F18" s="354"/>
      <c r="G18" s="354"/>
      <c r="H18" s="354"/>
      <c r="I18" s="354"/>
      <c r="J18" s="354"/>
      <c r="K18" s="354"/>
      <c r="L18" s="354"/>
      <c r="M18" s="354"/>
      <c r="N18" s="354"/>
      <c r="O18" s="354"/>
      <c r="P18" s="354"/>
      <c r="Q18" s="354"/>
      <c r="R18" s="354"/>
      <c r="S18" s="354"/>
      <c r="T18" s="354"/>
      <c r="U18" s="354"/>
      <c r="V18" s="354"/>
      <c r="W18" s="354"/>
      <c r="X18" s="354"/>
      <c r="Y18" s="354"/>
      <c r="Z18" s="354"/>
    </row>
    <row r="19" customFormat="false" ht="54.75" hidden="false" customHeight="true" outlineLevel="0" collapsed="false">
      <c r="A19" s="361" t="s">
        <v>2214</v>
      </c>
      <c r="B19" s="361" t="s">
        <v>2215</v>
      </c>
      <c r="C19" s="362" t="s">
        <v>2216</v>
      </c>
      <c r="D19" s="363" t="s">
        <v>2217</v>
      </c>
      <c r="E19" s="364" t="s">
        <v>2218</v>
      </c>
      <c r="F19" s="354"/>
      <c r="G19" s="354"/>
      <c r="H19" s="354"/>
      <c r="I19" s="354"/>
      <c r="J19" s="354"/>
      <c r="K19" s="354"/>
      <c r="L19" s="354"/>
      <c r="M19" s="354"/>
      <c r="N19" s="354"/>
      <c r="O19" s="354"/>
      <c r="P19" s="354"/>
      <c r="Q19" s="354"/>
      <c r="R19" s="354"/>
      <c r="S19" s="354"/>
      <c r="T19" s="354"/>
      <c r="U19" s="354"/>
      <c r="V19" s="354"/>
      <c r="W19" s="354"/>
      <c r="X19" s="354"/>
      <c r="Y19" s="354"/>
      <c r="Z19" s="354"/>
    </row>
    <row r="20" customFormat="false" ht="36.75" hidden="false" customHeight="true" outlineLevel="0" collapsed="false">
      <c r="A20" s="365"/>
      <c r="B20" s="365" t="s">
        <v>2219</v>
      </c>
      <c r="C20" s="366" t="s">
        <v>2220</v>
      </c>
      <c r="D20" s="367" t="s">
        <v>2221</v>
      </c>
      <c r="E20" s="368" t="s">
        <v>2222</v>
      </c>
      <c r="F20" s="354"/>
      <c r="G20" s="354"/>
      <c r="H20" s="354"/>
      <c r="I20" s="354"/>
      <c r="J20" s="354"/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</row>
    <row r="21" customFormat="false" ht="15" hidden="false" customHeight="true" outlineLevel="0" collapsed="false">
      <c r="A21" s="354" t="s">
        <v>2223</v>
      </c>
      <c r="B21" s="354"/>
      <c r="C21" s="354"/>
      <c r="D21" s="354"/>
      <c r="E21" s="354"/>
      <c r="F21" s="354"/>
      <c r="G21" s="354"/>
      <c r="H21" s="354"/>
      <c r="I21" s="354"/>
      <c r="J21" s="354"/>
      <c r="K21" s="354"/>
      <c r="L21" s="354"/>
      <c r="M21" s="354"/>
      <c r="N21" s="354"/>
      <c r="O21" s="354"/>
      <c r="P21" s="354"/>
      <c r="Q21" s="354"/>
      <c r="R21" s="354"/>
      <c r="S21" s="354"/>
      <c r="T21" s="354"/>
      <c r="U21" s="354"/>
      <c r="V21" s="354"/>
      <c r="W21" s="354"/>
      <c r="X21" s="354"/>
      <c r="Y21" s="354"/>
      <c r="Z21" s="354"/>
    </row>
    <row r="22" customFormat="false" ht="15.75" hidden="false" customHeight="true" outlineLevel="0" collapsed="false">
      <c r="A22" s="357" t="s">
        <v>2224</v>
      </c>
      <c r="B22" s="357"/>
      <c r="C22" s="357"/>
      <c r="D22" s="357"/>
      <c r="E22" s="357"/>
      <c r="F22" s="354"/>
      <c r="G22" s="354"/>
      <c r="H22" s="354"/>
      <c r="I22" s="354"/>
      <c r="J22" s="354"/>
      <c r="K22" s="354"/>
      <c r="L22" s="354"/>
      <c r="M22" s="354"/>
      <c r="N22" s="354"/>
      <c r="O22" s="354"/>
      <c r="P22" s="354"/>
      <c r="Q22" s="354"/>
      <c r="R22" s="354"/>
      <c r="S22" s="354"/>
      <c r="T22" s="354"/>
      <c r="U22" s="354"/>
      <c r="V22" s="354"/>
      <c r="W22" s="354"/>
      <c r="X22" s="354"/>
      <c r="Y22" s="354"/>
      <c r="Z22" s="354"/>
    </row>
    <row r="23" customFormat="false" ht="15" hidden="false" customHeight="true" outlineLevel="0" collapsed="false">
      <c r="A23" s="369" t="s">
        <v>2225</v>
      </c>
      <c r="B23" s="369"/>
      <c r="C23" s="369"/>
      <c r="D23" s="369"/>
      <c r="E23" s="369"/>
      <c r="F23" s="354"/>
      <c r="G23" s="354"/>
      <c r="H23" s="354"/>
      <c r="I23" s="354"/>
      <c r="J23" s="354"/>
      <c r="K23" s="354"/>
      <c r="L23" s="354"/>
      <c r="M23" s="354"/>
      <c r="N23" s="354"/>
      <c r="O23" s="354"/>
      <c r="P23" s="354"/>
      <c r="Q23" s="354"/>
      <c r="R23" s="354"/>
      <c r="S23" s="354"/>
      <c r="T23" s="354"/>
      <c r="U23" s="354"/>
      <c r="V23" s="354"/>
      <c r="W23" s="354"/>
      <c r="X23" s="354"/>
      <c r="Y23" s="354"/>
      <c r="Z23" s="354"/>
    </row>
    <row r="24" customFormat="false" ht="15" hidden="false" customHeight="true" outlineLevel="0" collapsed="false">
      <c r="A24" s="370" t="s">
        <v>2226</v>
      </c>
      <c r="B24" s="370"/>
      <c r="C24" s="370"/>
      <c r="D24" s="370"/>
      <c r="E24" s="370"/>
      <c r="F24" s="354"/>
      <c r="G24" s="354"/>
      <c r="H24" s="354"/>
      <c r="I24" s="354"/>
      <c r="J24" s="354"/>
      <c r="K24" s="354"/>
      <c r="L24" s="354"/>
      <c r="M24" s="354"/>
      <c r="N24" s="354"/>
      <c r="O24" s="354"/>
      <c r="P24" s="354"/>
      <c r="Q24" s="354"/>
      <c r="R24" s="354"/>
      <c r="S24" s="354"/>
      <c r="T24" s="354"/>
      <c r="U24" s="354"/>
      <c r="V24" s="354"/>
      <c r="W24" s="354"/>
      <c r="X24" s="354"/>
      <c r="Y24" s="354"/>
      <c r="Z24" s="354"/>
    </row>
    <row r="25" customFormat="false" ht="15" hidden="false" customHeight="true" outlineLevel="0" collapsed="false">
      <c r="A25" s="354" t="s">
        <v>2227</v>
      </c>
      <c r="B25" s="354"/>
      <c r="C25" s="354"/>
      <c r="D25" s="354"/>
      <c r="E25" s="354"/>
      <c r="F25" s="354"/>
      <c r="G25" s="354"/>
      <c r="H25" s="354"/>
      <c r="I25" s="354"/>
      <c r="J25" s="354"/>
      <c r="K25" s="354"/>
      <c r="L25" s="354"/>
      <c r="M25" s="354"/>
      <c r="N25" s="354"/>
      <c r="O25" s="354"/>
      <c r="P25" s="354"/>
      <c r="Q25" s="354"/>
      <c r="R25" s="354"/>
      <c r="S25" s="354"/>
      <c r="T25" s="354"/>
      <c r="U25" s="354"/>
      <c r="V25" s="354"/>
      <c r="W25" s="354"/>
      <c r="X25" s="354"/>
      <c r="Y25" s="354"/>
      <c r="Z25" s="354"/>
    </row>
    <row r="26" customFormat="false" ht="15" hidden="false" customHeight="true" outlineLevel="0" collapsed="false">
      <c r="A26" s="354" t="s">
        <v>2228</v>
      </c>
      <c r="B26" s="354"/>
      <c r="C26" s="354"/>
      <c r="D26" s="354"/>
      <c r="E26" s="354"/>
      <c r="F26" s="354"/>
      <c r="G26" s="354"/>
      <c r="H26" s="354"/>
      <c r="I26" s="354"/>
      <c r="J26" s="354"/>
      <c r="K26" s="354"/>
      <c r="L26" s="354"/>
      <c r="M26" s="354"/>
      <c r="N26" s="354"/>
      <c r="O26" s="354"/>
      <c r="P26" s="354"/>
      <c r="Q26" s="354"/>
      <c r="R26" s="354"/>
      <c r="S26" s="354"/>
      <c r="T26" s="354"/>
      <c r="U26" s="354"/>
      <c r="V26" s="354"/>
      <c r="W26" s="354"/>
      <c r="X26" s="354"/>
      <c r="Y26" s="354"/>
      <c r="Z26" s="354"/>
    </row>
    <row r="27" customFormat="false" ht="15.75" hidden="false" customHeight="true" outlineLevel="0" collapsed="false">
      <c r="A27" s="357" t="s">
        <v>2229</v>
      </c>
      <c r="B27" s="357"/>
      <c r="C27" s="357"/>
      <c r="D27" s="357"/>
      <c r="E27" s="357"/>
      <c r="F27" s="354"/>
      <c r="G27" s="354"/>
      <c r="H27" s="354"/>
      <c r="I27" s="354"/>
      <c r="J27" s="354"/>
      <c r="K27" s="354"/>
      <c r="L27" s="354"/>
      <c r="M27" s="354"/>
      <c r="N27" s="354"/>
      <c r="O27" s="354"/>
      <c r="P27" s="354"/>
      <c r="Q27" s="354"/>
      <c r="R27" s="354"/>
      <c r="S27" s="354"/>
      <c r="T27" s="354"/>
      <c r="U27" s="354"/>
      <c r="V27" s="354"/>
      <c r="W27" s="354"/>
      <c r="X27" s="354"/>
      <c r="Y27" s="354"/>
      <c r="Z27" s="354"/>
    </row>
    <row r="28" customFormat="false" ht="15" hidden="false" customHeight="true" outlineLevel="0" collapsed="false">
      <c r="A28" s="358"/>
      <c r="B28" s="358"/>
      <c r="C28" s="358"/>
      <c r="D28" s="358"/>
      <c r="E28" s="358"/>
      <c r="F28" s="354"/>
      <c r="G28" s="354"/>
      <c r="H28" s="354"/>
      <c r="I28" s="354"/>
      <c r="J28" s="354"/>
      <c r="K28" s="354"/>
      <c r="L28" s="354"/>
      <c r="M28" s="354"/>
      <c r="N28" s="354"/>
      <c r="O28" s="354"/>
      <c r="P28" s="354"/>
      <c r="Q28" s="354"/>
      <c r="R28" s="354"/>
      <c r="S28" s="354"/>
      <c r="T28" s="354"/>
      <c r="U28" s="354"/>
      <c r="V28" s="354"/>
      <c r="W28" s="354"/>
      <c r="X28" s="354"/>
      <c r="Y28" s="354"/>
      <c r="Z28" s="354"/>
    </row>
    <row r="29" customFormat="false" ht="23.25" hidden="false" customHeight="true" outlineLevel="0" collapsed="false">
      <c r="A29" s="360" t="s">
        <v>2230</v>
      </c>
      <c r="B29" s="360" t="s">
        <v>2231</v>
      </c>
      <c r="C29" s="360" t="s">
        <v>2232</v>
      </c>
      <c r="D29" s="360" t="s">
        <v>2233</v>
      </c>
      <c r="E29" s="360" t="s">
        <v>2234</v>
      </c>
      <c r="F29" s="354"/>
      <c r="G29" s="354"/>
      <c r="H29" s="354"/>
      <c r="I29" s="354"/>
      <c r="J29" s="354"/>
      <c r="K29" s="354"/>
      <c r="L29" s="354"/>
      <c r="M29" s="354"/>
      <c r="N29" s="354"/>
      <c r="O29" s="354"/>
      <c r="P29" s="354"/>
      <c r="Q29" s="354"/>
      <c r="R29" s="354"/>
      <c r="S29" s="354"/>
      <c r="T29" s="354"/>
      <c r="U29" s="354"/>
      <c r="V29" s="354"/>
      <c r="W29" s="354"/>
      <c r="X29" s="354"/>
      <c r="Y29" s="354"/>
      <c r="Z29" s="354"/>
    </row>
    <row r="30" customFormat="false" ht="57" hidden="false" customHeight="true" outlineLevel="0" collapsed="false">
      <c r="A30" s="371" t="s">
        <v>2235</v>
      </c>
      <c r="B30" s="372" t="s">
        <v>2236</v>
      </c>
      <c r="C30" s="373" t="s">
        <v>2237</v>
      </c>
      <c r="D30" s="374" t="s">
        <v>2238</v>
      </c>
      <c r="E30" s="375" t="s">
        <v>2239</v>
      </c>
      <c r="F30" s="354"/>
      <c r="G30" s="354"/>
      <c r="H30" s="354"/>
      <c r="I30" s="354"/>
      <c r="J30" s="354"/>
      <c r="K30" s="354"/>
      <c r="L30" s="354"/>
      <c r="M30" s="354"/>
      <c r="N30" s="354"/>
      <c r="O30" s="354"/>
      <c r="P30" s="354"/>
      <c r="Q30" s="354"/>
      <c r="R30" s="354"/>
      <c r="S30" s="354"/>
      <c r="T30" s="354"/>
      <c r="U30" s="354"/>
      <c r="V30" s="354"/>
      <c r="W30" s="354"/>
      <c r="X30" s="354"/>
      <c r="Y30" s="354"/>
      <c r="Z30" s="354"/>
    </row>
    <row r="31" customFormat="false" ht="27.75" hidden="false" customHeight="true" outlineLevel="0" collapsed="false">
      <c r="A31" s="376"/>
      <c r="B31" s="377" t="s">
        <v>2240</v>
      </c>
      <c r="C31" s="378" t="s">
        <v>2241</v>
      </c>
      <c r="D31" s="379" t="s">
        <v>2242</v>
      </c>
      <c r="E31" s="380" t="s">
        <v>2243</v>
      </c>
      <c r="F31" s="354"/>
      <c r="G31" s="354"/>
      <c r="H31" s="354"/>
      <c r="I31" s="354"/>
      <c r="J31" s="354"/>
      <c r="K31" s="354"/>
      <c r="L31" s="354"/>
      <c r="M31" s="354"/>
      <c r="N31" s="354"/>
      <c r="O31" s="354"/>
      <c r="P31" s="354"/>
      <c r="Q31" s="354"/>
      <c r="R31" s="354"/>
      <c r="S31" s="354"/>
      <c r="T31" s="354"/>
      <c r="U31" s="354"/>
      <c r="V31" s="354"/>
      <c r="W31" s="354"/>
      <c r="X31" s="354"/>
      <c r="Y31" s="354"/>
      <c r="Z31" s="354"/>
    </row>
    <row r="32" customFormat="false" ht="27.75" hidden="false" customHeight="true" outlineLevel="0" collapsed="false">
      <c r="A32" s="376" t="s">
        <v>2244</v>
      </c>
      <c r="B32" s="377" t="s">
        <v>2245</v>
      </c>
      <c r="C32" s="378" t="s">
        <v>2246</v>
      </c>
      <c r="D32" s="379" t="s">
        <v>2247</v>
      </c>
      <c r="E32" s="380" t="s">
        <v>2248</v>
      </c>
      <c r="F32" s="354"/>
      <c r="G32" s="354"/>
      <c r="H32" s="354"/>
      <c r="I32" s="354"/>
      <c r="J32" s="354"/>
      <c r="K32" s="354"/>
      <c r="L32" s="354"/>
      <c r="M32" s="354"/>
      <c r="N32" s="354"/>
      <c r="O32" s="354"/>
      <c r="P32" s="354"/>
      <c r="Q32" s="354"/>
      <c r="R32" s="354"/>
      <c r="S32" s="354"/>
      <c r="T32" s="354"/>
      <c r="U32" s="354"/>
      <c r="V32" s="354"/>
      <c r="W32" s="354"/>
      <c r="X32" s="354"/>
      <c r="Y32" s="354"/>
      <c r="Z32" s="354"/>
    </row>
    <row r="33" customFormat="false" ht="27.75" hidden="false" customHeight="true" outlineLevel="0" collapsed="false">
      <c r="A33" s="381" t="s">
        <v>2249</v>
      </c>
      <c r="B33" s="382" t="s">
        <v>2250</v>
      </c>
      <c r="C33" s="383" t="s">
        <v>2251</v>
      </c>
      <c r="D33" s="384" t="s">
        <v>2252</v>
      </c>
      <c r="E33" s="385" t="s">
        <v>2253</v>
      </c>
      <c r="F33" s="354"/>
      <c r="G33" s="354"/>
      <c r="H33" s="354"/>
      <c r="I33" s="354"/>
      <c r="J33" s="354"/>
      <c r="K33" s="354"/>
      <c r="L33" s="354"/>
      <c r="M33" s="354"/>
      <c r="N33" s="354"/>
      <c r="O33" s="354"/>
      <c r="P33" s="354"/>
      <c r="Q33" s="354"/>
      <c r="R33" s="354"/>
      <c r="S33" s="354"/>
      <c r="T33" s="354"/>
      <c r="U33" s="354"/>
      <c r="V33" s="354"/>
      <c r="W33" s="354"/>
      <c r="X33" s="354"/>
      <c r="Y33" s="354"/>
      <c r="Z33" s="354"/>
    </row>
    <row r="34" customFormat="false" ht="36.75" hidden="false" customHeight="true" outlineLevel="0" collapsed="false">
      <c r="A34" s="386" t="s">
        <v>2254</v>
      </c>
      <c r="B34" s="387" t="s">
        <v>2255</v>
      </c>
      <c r="C34" s="388" t="s">
        <v>2256</v>
      </c>
      <c r="D34" s="389" t="s">
        <v>2257</v>
      </c>
      <c r="E34" s="390" t="s">
        <v>2258</v>
      </c>
      <c r="F34" s="354"/>
      <c r="G34" s="354"/>
      <c r="H34" s="354"/>
      <c r="I34" s="354"/>
      <c r="J34" s="354"/>
      <c r="K34" s="354"/>
      <c r="L34" s="354"/>
      <c r="M34" s="354"/>
      <c r="N34" s="354"/>
      <c r="O34" s="354"/>
      <c r="P34" s="354"/>
      <c r="Q34" s="354"/>
      <c r="R34" s="354"/>
      <c r="S34" s="354"/>
      <c r="T34" s="354"/>
      <c r="U34" s="354"/>
      <c r="V34" s="354"/>
      <c r="W34" s="354"/>
      <c r="X34" s="354"/>
      <c r="Y34" s="354"/>
      <c r="Z34" s="354"/>
    </row>
    <row r="35" customFormat="false" ht="36.75" hidden="false" customHeight="true" outlineLevel="0" collapsed="false">
      <c r="A35" s="386" t="s">
        <v>2259</v>
      </c>
      <c r="B35" s="387" t="s">
        <v>2260</v>
      </c>
      <c r="C35" s="388" t="s">
        <v>2261</v>
      </c>
      <c r="D35" s="389" t="s">
        <v>2262</v>
      </c>
      <c r="E35" s="390" t="s">
        <v>2258</v>
      </c>
      <c r="F35" s="354"/>
      <c r="G35" s="354"/>
      <c r="H35" s="354"/>
      <c r="I35" s="354"/>
      <c r="J35" s="354"/>
      <c r="K35" s="354"/>
      <c r="L35" s="354"/>
      <c r="M35" s="354"/>
      <c r="N35" s="354"/>
      <c r="O35" s="354"/>
      <c r="P35" s="354"/>
      <c r="Q35" s="354"/>
      <c r="R35" s="354"/>
      <c r="S35" s="354"/>
      <c r="T35" s="354"/>
      <c r="U35" s="354"/>
      <c r="V35" s="354"/>
      <c r="W35" s="354"/>
      <c r="X35" s="354"/>
      <c r="Y35" s="354"/>
      <c r="Z35" s="354"/>
    </row>
    <row r="36" customFormat="false" ht="15" hidden="false" customHeight="true" outlineLevel="0" collapsed="false">
      <c r="A36" s="354"/>
      <c r="B36" s="354"/>
      <c r="C36" s="354"/>
      <c r="D36" s="354"/>
      <c r="E36" s="354"/>
      <c r="F36" s="354"/>
      <c r="G36" s="354"/>
      <c r="H36" s="354"/>
      <c r="I36" s="354"/>
      <c r="J36" s="354"/>
      <c r="K36" s="354"/>
      <c r="L36" s="354"/>
      <c r="M36" s="354"/>
      <c r="N36" s="354"/>
      <c r="O36" s="354"/>
      <c r="P36" s="354"/>
      <c r="Q36" s="354"/>
      <c r="R36" s="354"/>
      <c r="S36" s="354"/>
      <c r="T36" s="354"/>
      <c r="U36" s="354"/>
      <c r="V36" s="354"/>
      <c r="W36" s="354"/>
      <c r="X36" s="354"/>
      <c r="Y36" s="354"/>
      <c r="Z36" s="354"/>
    </row>
    <row r="37" customFormat="false" ht="15.75" hidden="false" customHeight="true" outlineLevel="0" collapsed="false">
      <c r="A37" s="357" t="s">
        <v>2263</v>
      </c>
      <c r="B37" s="357"/>
      <c r="C37" s="357"/>
      <c r="D37" s="357"/>
      <c r="E37" s="357"/>
      <c r="F37" s="354"/>
      <c r="G37" s="354"/>
      <c r="H37" s="354"/>
      <c r="I37" s="354"/>
      <c r="J37" s="354"/>
      <c r="K37" s="354"/>
      <c r="L37" s="354"/>
      <c r="M37" s="354"/>
      <c r="N37" s="354"/>
      <c r="O37" s="354"/>
      <c r="P37" s="354"/>
      <c r="Q37" s="354"/>
      <c r="R37" s="354"/>
      <c r="S37" s="354"/>
      <c r="T37" s="354"/>
      <c r="U37" s="354"/>
      <c r="V37" s="354"/>
      <c r="W37" s="354"/>
      <c r="X37" s="354"/>
      <c r="Y37" s="354"/>
      <c r="Z37" s="354"/>
    </row>
    <row r="38" customFormat="false" ht="15" hidden="false" customHeight="true" outlineLevel="0" collapsed="false">
      <c r="A38" s="391" t="s">
        <v>2264</v>
      </c>
      <c r="B38" s="391"/>
      <c r="C38" s="391"/>
      <c r="D38" s="391"/>
      <c r="E38" s="391"/>
      <c r="F38" s="354"/>
      <c r="G38" s="354"/>
      <c r="H38" s="354"/>
      <c r="I38" s="354"/>
      <c r="J38" s="354"/>
      <c r="K38" s="354"/>
      <c r="L38" s="354"/>
      <c r="M38" s="354"/>
      <c r="N38" s="354"/>
      <c r="O38" s="354"/>
      <c r="P38" s="354"/>
      <c r="Q38" s="354"/>
      <c r="R38" s="354"/>
      <c r="S38" s="354"/>
      <c r="T38" s="354"/>
      <c r="U38" s="354"/>
      <c r="V38" s="354"/>
      <c r="W38" s="354"/>
      <c r="X38" s="354"/>
      <c r="Y38" s="354"/>
      <c r="Z38" s="354"/>
    </row>
    <row r="39" customFormat="false" ht="15" hidden="false" customHeight="true" outlineLevel="0" collapsed="false">
      <c r="A39" s="354" t="s">
        <v>2265</v>
      </c>
      <c r="B39" s="354"/>
      <c r="C39" s="354"/>
      <c r="D39" s="354"/>
      <c r="E39" s="354"/>
      <c r="F39" s="354"/>
      <c r="G39" s="354"/>
      <c r="H39" s="354"/>
      <c r="I39" s="354"/>
      <c r="J39" s="354"/>
      <c r="K39" s="354"/>
      <c r="L39" s="354"/>
      <c r="M39" s="354"/>
      <c r="N39" s="354"/>
      <c r="O39" s="354"/>
      <c r="P39" s="354"/>
      <c r="Q39" s="354"/>
      <c r="R39" s="354"/>
      <c r="S39" s="354"/>
      <c r="T39" s="354"/>
      <c r="U39" s="354"/>
      <c r="V39" s="354"/>
      <c r="W39" s="354"/>
      <c r="X39" s="354"/>
      <c r="Y39" s="354"/>
      <c r="Z39" s="354"/>
    </row>
    <row r="40" customFormat="false" ht="15.75" hidden="false" customHeight="true" outlineLevel="0" collapsed="false">
      <c r="A40" s="357" t="s">
        <v>2266</v>
      </c>
      <c r="B40" s="357"/>
      <c r="C40" s="357"/>
      <c r="D40" s="357"/>
      <c r="E40" s="357"/>
      <c r="F40" s="354"/>
      <c r="G40" s="354"/>
      <c r="H40" s="354"/>
      <c r="I40" s="354"/>
      <c r="J40" s="354"/>
      <c r="K40" s="354"/>
      <c r="L40" s="354"/>
      <c r="M40" s="354"/>
      <c r="N40" s="354"/>
      <c r="O40" s="354"/>
      <c r="P40" s="354"/>
      <c r="Q40" s="354"/>
      <c r="R40" s="354"/>
      <c r="S40" s="354"/>
      <c r="T40" s="354"/>
      <c r="U40" s="354"/>
      <c r="V40" s="354"/>
      <c r="W40" s="354"/>
      <c r="X40" s="354"/>
      <c r="Y40" s="354"/>
      <c r="Z40" s="354"/>
    </row>
    <row r="41" customFormat="false" ht="45.75" hidden="false" customHeight="true" outlineLevel="0" collapsed="false">
      <c r="A41" s="360" t="s">
        <v>2267</v>
      </c>
      <c r="B41" s="360" t="s">
        <v>2268</v>
      </c>
      <c r="C41" s="360" t="s">
        <v>2269</v>
      </c>
      <c r="D41" s="360" t="s">
        <v>2270</v>
      </c>
      <c r="E41" s="360" t="s">
        <v>2271</v>
      </c>
      <c r="F41" s="354"/>
      <c r="G41" s="354"/>
      <c r="H41" s="354"/>
      <c r="I41" s="354"/>
      <c r="J41" s="354"/>
      <c r="K41" s="354"/>
      <c r="L41" s="354"/>
      <c r="M41" s="354"/>
      <c r="N41" s="354"/>
      <c r="O41" s="354"/>
      <c r="P41" s="354"/>
      <c r="Q41" s="354"/>
      <c r="R41" s="354"/>
      <c r="S41" s="354"/>
      <c r="T41" s="354"/>
      <c r="U41" s="354"/>
      <c r="V41" s="354"/>
      <c r="W41" s="354"/>
      <c r="X41" s="354"/>
      <c r="Y41" s="354"/>
      <c r="Z41" s="354"/>
    </row>
    <row r="42" customFormat="false" ht="15" hidden="false" customHeight="true" outlineLevel="0" collapsed="false">
      <c r="A42" s="365"/>
      <c r="B42" s="392" t="s">
        <v>2272</v>
      </c>
      <c r="C42" s="393" t="s">
        <v>2273</v>
      </c>
      <c r="D42" s="394" t="s">
        <v>2274</v>
      </c>
      <c r="E42" s="395" t="s">
        <v>2275</v>
      </c>
      <c r="F42" s="354"/>
      <c r="G42" s="354"/>
      <c r="H42" s="354"/>
      <c r="I42" s="354"/>
      <c r="J42" s="354"/>
      <c r="K42" s="354"/>
      <c r="L42" s="354"/>
      <c r="M42" s="354"/>
      <c r="N42" s="354"/>
      <c r="O42" s="354"/>
      <c r="P42" s="354"/>
      <c r="Q42" s="354"/>
      <c r="R42" s="354"/>
      <c r="S42" s="354"/>
      <c r="T42" s="354"/>
      <c r="U42" s="354"/>
      <c r="V42" s="354"/>
      <c r="W42" s="354"/>
      <c r="X42" s="354"/>
      <c r="Y42" s="354"/>
      <c r="Z42" s="354"/>
    </row>
    <row r="43" customFormat="false" ht="23.25" hidden="false" customHeight="true" outlineLevel="0" collapsed="false">
      <c r="A43" s="361" t="s">
        <v>2276</v>
      </c>
      <c r="B43" s="396" t="s">
        <v>2277</v>
      </c>
      <c r="C43" s="397" t="s">
        <v>2278</v>
      </c>
      <c r="D43" s="398" t="s">
        <v>2279</v>
      </c>
      <c r="E43" s="399" t="s">
        <v>2280</v>
      </c>
      <c r="F43" s="354"/>
      <c r="G43" s="354"/>
      <c r="H43" s="354"/>
      <c r="I43" s="354"/>
      <c r="J43" s="354"/>
      <c r="K43" s="354"/>
      <c r="L43" s="354"/>
      <c r="M43" s="354"/>
      <c r="N43" s="354"/>
      <c r="O43" s="354"/>
      <c r="P43" s="354"/>
      <c r="Q43" s="354"/>
      <c r="R43" s="354"/>
      <c r="S43" s="354"/>
      <c r="T43" s="354"/>
      <c r="U43" s="354"/>
      <c r="V43" s="354"/>
      <c r="W43" s="354"/>
      <c r="X43" s="354"/>
      <c r="Y43" s="354"/>
      <c r="Z43" s="354"/>
    </row>
    <row r="44" customFormat="false" ht="45.75" hidden="false" customHeight="true" outlineLevel="0" collapsed="false">
      <c r="A44" s="365" t="s">
        <v>2281</v>
      </c>
      <c r="B44" s="392" t="s">
        <v>2282</v>
      </c>
      <c r="C44" s="393" t="s">
        <v>2273</v>
      </c>
      <c r="D44" s="394" t="s">
        <v>2283</v>
      </c>
      <c r="E44" s="395" t="s">
        <v>2284</v>
      </c>
      <c r="F44" s="354"/>
      <c r="G44" s="354"/>
      <c r="H44" s="354"/>
      <c r="I44" s="354"/>
      <c r="J44" s="354"/>
      <c r="K44" s="354"/>
      <c r="L44" s="354"/>
      <c r="M44" s="354"/>
      <c r="N44" s="354"/>
      <c r="O44" s="354"/>
      <c r="P44" s="354"/>
      <c r="Q44" s="354"/>
      <c r="R44" s="354"/>
      <c r="S44" s="354"/>
      <c r="T44" s="354"/>
      <c r="U44" s="354"/>
      <c r="V44" s="354"/>
      <c r="W44" s="354"/>
      <c r="X44" s="354"/>
      <c r="Y44" s="354"/>
      <c r="Z44" s="354"/>
    </row>
    <row r="45" customFormat="false" ht="23.25" hidden="false" customHeight="true" outlineLevel="0" collapsed="false">
      <c r="A45" s="361" t="s">
        <v>2285</v>
      </c>
      <c r="B45" s="396" t="s">
        <v>2286</v>
      </c>
      <c r="C45" s="397" t="s">
        <v>2287</v>
      </c>
      <c r="D45" s="398" t="s">
        <v>2288</v>
      </c>
      <c r="E45" s="399" t="s">
        <v>2289</v>
      </c>
      <c r="F45" s="354"/>
      <c r="G45" s="354"/>
      <c r="H45" s="354"/>
      <c r="I45" s="354"/>
      <c r="J45" s="354"/>
      <c r="K45" s="354"/>
      <c r="L45" s="354"/>
      <c r="M45" s="354"/>
      <c r="N45" s="354"/>
      <c r="O45" s="354"/>
      <c r="P45" s="354"/>
      <c r="Q45" s="354"/>
      <c r="R45" s="354"/>
      <c r="S45" s="354"/>
      <c r="T45" s="354"/>
      <c r="U45" s="354"/>
      <c r="V45" s="354"/>
      <c r="W45" s="354"/>
      <c r="X45" s="354"/>
      <c r="Y45" s="354"/>
      <c r="Z45" s="354"/>
    </row>
    <row r="46" customFormat="false" ht="23.25" hidden="false" customHeight="true" outlineLevel="0" collapsed="false">
      <c r="A46" s="365" t="s">
        <v>2290</v>
      </c>
      <c r="B46" s="392" t="s">
        <v>2291</v>
      </c>
      <c r="C46" s="393" t="s">
        <v>2292</v>
      </c>
      <c r="D46" s="394" t="s">
        <v>2293</v>
      </c>
      <c r="E46" s="395" t="s">
        <v>2294</v>
      </c>
      <c r="F46" s="354"/>
      <c r="G46" s="354"/>
      <c r="H46" s="354"/>
      <c r="I46" s="354"/>
      <c r="J46" s="354"/>
      <c r="K46" s="354"/>
      <c r="L46" s="354"/>
      <c r="M46" s="354"/>
      <c r="N46" s="354"/>
      <c r="O46" s="354"/>
      <c r="P46" s="354"/>
      <c r="Q46" s="354"/>
      <c r="R46" s="354"/>
      <c r="S46" s="354"/>
      <c r="T46" s="354"/>
      <c r="U46" s="354"/>
      <c r="V46" s="354"/>
      <c r="W46" s="354"/>
      <c r="X46" s="354"/>
      <c r="Y46" s="354"/>
      <c r="Z46" s="354"/>
    </row>
    <row r="47" customFormat="false" ht="34.5" hidden="false" customHeight="true" outlineLevel="0" collapsed="false">
      <c r="A47" s="361" t="s">
        <v>2295</v>
      </c>
      <c r="B47" s="396" t="s">
        <v>2296</v>
      </c>
      <c r="C47" s="397" t="s">
        <v>2297</v>
      </c>
      <c r="D47" s="398" t="s">
        <v>2298</v>
      </c>
      <c r="E47" s="399" t="s">
        <v>2299</v>
      </c>
      <c r="F47" s="354"/>
      <c r="G47" s="354"/>
      <c r="H47" s="354"/>
      <c r="I47" s="354"/>
      <c r="J47" s="354"/>
      <c r="K47" s="354"/>
      <c r="L47" s="354"/>
      <c r="M47" s="354"/>
      <c r="N47" s="354"/>
      <c r="O47" s="354"/>
      <c r="P47" s="354"/>
      <c r="Q47" s="354"/>
      <c r="R47" s="354"/>
      <c r="S47" s="354"/>
      <c r="T47" s="354"/>
      <c r="U47" s="354"/>
      <c r="V47" s="354"/>
      <c r="W47" s="354"/>
      <c r="X47" s="354"/>
      <c r="Y47" s="354"/>
      <c r="Z47" s="354"/>
    </row>
    <row r="48" customFormat="false" ht="15" hidden="false" customHeight="true" outlineLevel="0" collapsed="false">
      <c r="A48" s="365"/>
      <c r="B48" s="392" t="s">
        <v>2300</v>
      </c>
      <c r="C48" s="393" t="s">
        <v>2301</v>
      </c>
      <c r="D48" s="394" t="s">
        <v>2302</v>
      </c>
      <c r="E48" s="395" t="s">
        <v>2303</v>
      </c>
      <c r="F48" s="354"/>
      <c r="G48" s="354"/>
      <c r="H48" s="354"/>
      <c r="I48" s="354"/>
      <c r="J48" s="354"/>
      <c r="K48" s="354"/>
      <c r="L48" s="354"/>
      <c r="M48" s="354"/>
      <c r="N48" s="354"/>
      <c r="O48" s="354"/>
      <c r="P48" s="354"/>
      <c r="Q48" s="354"/>
      <c r="R48" s="354"/>
      <c r="S48" s="354"/>
      <c r="T48" s="354"/>
      <c r="U48" s="354"/>
      <c r="V48" s="354"/>
      <c r="W48" s="354"/>
      <c r="X48" s="354"/>
      <c r="Y48" s="354"/>
      <c r="Z48" s="354"/>
    </row>
    <row r="49" customFormat="false" ht="15" hidden="false" customHeight="true" outlineLevel="0" collapsed="false">
      <c r="A49" s="361" t="s">
        <v>2304</v>
      </c>
      <c r="B49" s="396" t="s">
        <v>2305</v>
      </c>
      <c r="C49" s="397" t="s">
        <v>2306</v>
      </c>
      <c r="D49" s="398" t="s">
        <v>2307</v>
      </c>
      <c r="E49" s="399" t="s">
        <v>2308</v>
      </c>
      <c r="F49" s="354"/>
      <c r="G49" s="354"/>
      <c r="H49" s="354"/>
      <c r="I49" s="354"/>
      <c r="J49" s="354"/>
      <c r="K49" s="354"/>
      <c r="L49" s="354"/>
      <c r="M49" s="354"/>
      <c r="N49" s="354"/>
      <c r="O49" s="354"/>
      <c r="P49" s="354"/>
      <c r="Q49" s="354"/>
      <c r="R49" s="354"/>
      <c r="S49" s="354"/>
      <c r="T49" s="354"/>
      <c r="U49" s="354"/>
      <c r="V49" s="354"/>
      <c r="W49" s="354"/>
      <c r="X49" s="354"/>
      <c r="Y49" s="354"/>
      <c r="Z49" s="354"/>
    </row>
    <row r="50" customFormat="false" ht="34.5" hidden="false" customHeight="true" outlineLevel="0" collapsed="false">
      <c r="A50" s="365" t="s">
        <v>2309</v>
      </c>
      <c r="B50" s="392" t="s">
        <v>2310</v>
      </c>
      <c r="C50" s="393" t="s">
        <v>2311</v>
      </c>
      <c r="D50" s="394" t="s">
        <v>2312</v>
      </c>
      <c r="E50" s="395" t="s">
        <v>2313</v>
      </c>
      <c r="F50" s="354"/>
      <c r="G50" s="354"/>
      <c r="H50" s="354"/>
      <c r="I50" s="354"/>
      <c r="J50" s="354"/>
      <c r="K50" s="354"/>
      <c r="L50" s="354"/>
      <c r="M50" s="354"/>
      <c r="N50" s="354"/>
      <c r="O50" s="354"/>
      <c r="P50" s="354"/>
      <c r="Q50" s="354"/>
      <c r="R50" s="354"/>
      <c r="S50" s="354"/>
      <c r="T50" s="354"/>
      <c r="U50" s="354"/>
      <c r="V50" s="354"/>
      <c r="W50" s="354"/>
      <c r="X50" s="354"/>
      <c r="Y50" s="354"/>
      <c r="Z50" s="354"/>
    </row>
    <row r="51" customFormat="false" ht="34.5" hidden="false" customHeight="true" outlineLevel="0" collapsed="false">
      <c r="A51" s="361" t="s">
        <v>2314</v>
      </c>
      <c r="B51" s="396" t="s">
        <v>2315</v>
      </c>
      <c r="C51" s="397" t="s">
        <v>2316</v>
      </c>
      <c r="D51" s="398" t="s">
        <v>2317</v>
      </c>
      <c r="E51" s="399" t="s">
        <v>2318</v>
      </c>
      <c r="F51" s="354"/>
      <c r="G51" s="354"/>
      <c r="H51" s="354"/>
      <c r="I51" s="354"/>
      <c r="J51" s="354"/>
      <c r="K51" s="354"/>
      <c r="L51" s="354"/>
      <c r="M51" s="354"/>
      <c r="N51" s="354"/>
      <c r="O51" s="354"/>
      <c r="P51" s="354"/>
      <c r="Q51" s="354"/>
      <c r="R51" s="354"/>
      <c r="S51" s="354"/>
      <c r="T51" s="354"/>
      <c r="U51" s="354"/>
      <c r="V51" s="354"/>
      <c r="W51" s="354"/>
      <c r="X51" s="354"/>
      <c r="Y51" s="354"/>
      <c r="Z51" s="354"/>
    </row>
    <row r="52" customFormat="false" ht="15" hidden="false" customHeight="true" outlineLevel="0" collapsed="false">
      <c r="A52" s="354"/>
      <c r="B52" s="354"/>
      <c r="C52" s="354"/>
      <c r="D52" s="354"/>
      <c r="E52" s="354"/>
      <c r="F52" s="354"/>
      <c r="G52" s="354"/>
      <c r="H52" s="354"/>
      <c r="I52" s="354"/>
      <c r="J52" s="354"/>
      <c r="K52" s="354"/>
      <c r="L52" s="354"/>
      <c r="M52" s="354"/>
      <c r="N52" s="354"/>
      <c r="O52" s="354"/>
      <c r="P52" s="354"/>
      <c r="Q52" s="354"/>
      <c r="R52" s="354"/>
      <c r="S52" s="354"/>
      <c r="T52" s="354"/>
      <c r="U52" s="354"/>
      <c r="V52" s="354"/>
      <c r="W52" s="354"/>
      <c r="X52" s="354"/>
      <c r="Y52" s="354"/>
      <c r="Z52" s="354"/>
    </row>
    <row r="53" customFormat="false" ht="15.75" hidden="false" customHeight="true" outlineLevel="0" collapsed="false">
      <c r="A53" s="357" t="s">
        <v>2319</v>
      </c>
      <c r="B53" s="357"/>
      <c r="C53" s="357"/>
      <c r="D53" s="357"/>
      <c r="E53" s="357"/>
      <c r="F53" s="354"/>
      <c r="G53" s="354"/>
      <c r="H53" s="354"/>
      <c r="I53" s="354"/>
      <c r="J53" s="354"/>
      <c r="K53" s="354"/>
      <c r="L53" s="354"/>
      <c r="M53" s="354"/>
      <c r="N53" s="354"/>
      <c r="O53" s="354"/>
      <c r="P53" s="354"/>
      <c r="Q53" s="354"/>
      <c r="R53" s="354"/>
      <c r="S53" s="354"/>
      <c r="T53" s="354"/>
      <c r="U53" s="354"/>
      <c r="V53" s="354"/>
      <c r="W53" s="354"/>
      <c r="X53" s="354"/>
      <c r="Y53" s="354"/>
      <c r="Z53" s="354"/>
    </row>
    <row r="54" customFormat="false" ht="23.25" hidden="false" customHeight="true" outlineLevel="0" collapsed="false">
      <c r="A54" s="360" t="s">
        <v>2320</v>
      </c>
      <c r="B54" s="360" t="s">
        <v>2321</v>
      </c>
      <c r="C54" s="360" t="s">
        <v>2322</v>
      </c>
      <c r="D54" s="360" t="s">
        <v>2323</v>
      </c>
      <c r="E54" s="360" t="s">
        <v>2324</v>
      </c>
      <c r="F54" s="354"/>
      <c r="G54" s="354"/>
      <c r="H54" s="354"/>
      <c r="I54" s="354"/>
      <c r="J54" s="354"/>
      <c r="K54" s="354"/>
      <c r="L54" s="354"/>
      <c r="M54" s="354"/>
      <c r="N54" s="354"/>
      <c r="O54" s="354"/>
      <c r="P54" s="354"/>
      <c r="Q54" s="354"/>
      <c r="R54" s="354"/>
      <c r="S54" s="354"/>
      <c r="T54" s="354"/>
      <c r="U54" s="354"/>
      <c r="V54" s="354"/>
      <c r="W54" s="354"/>
      <c r="X54" s="354"/>
      <c r="Y54" s="354"/>
      <c r="Z54" s="354"/>
    </row>
    <row r="55" customFormat="false" ht="23.25" hidden="false" customHeight="true" outlineLevel="0" collapsed="false">
      <c r="A55" s="400" t="s">
        <v>2325</v>
      </c>
      <c r="B55" s="401" t="s">
        <v>2326</v>
      </c>
      <c r="C55" s="401" t="s">
        <v>2327</v>
      </c>
      <c r="D55" s="402" t="s">
        <v>2328</v>
      </c>
      <c r="E55" s="403" t="s">
        <v>2329</v>
      </c>
      <c r="F55" s="354"/>
      <c r="G55" s="354"/>
      <c r="H55" s="354"/>
      <c r="I55" s="354"/>
      <c r="J55" s="354"/>
      <c r="K55" s="354"/>
      <c r="L55" s="354"/>
      <c r="M55" s="354"/>
      <c r="N55" s="354"/>
      <c r="O55" s="354"/>
      <c r="P55" s="354"/>
      <c r="Q55" s="354"/>
      <c r="R55" s="354"/>
      <c r="S55" s="354"/>
      <c r="T55" s="354"/>
      <c r="U55" s="354"/>
      <c r="V55" s="354"/>
      <c r="W55" s="354"/>
      <c r="X55" s="354"/>
      <c r="Y55" s="354"/>
      <c r="Z55" s="354"/>
    </row>
    <row r="56" customFormat="false" ht="23.25" hidden="false" customHeight="true" outlineLevel="0" collapsed="false">
      <c r="A56" s="404" t="s">
        <v>2330</v>
      </c>
      <c r="B56" s="405" t="s">
        <v>2331</v>
      </c>
      <c r="C56" s="405" t="s">
        <v>2332</v>
      </c>
      <c r="D56" s="406" t="s">
        <v>2333</v>
      </c>
      <c r="E56" s="407" t="s">
        <v>2334</v>
      </c>
      <c r="F56" s="354"/>
      <c r="G56" s="354"/>
      <c r="H56" s="354"/>
      <c r="I56" s="354"/>
      <c r="J56" s="354"/>
      <c r="K56" s="354"/>
      <c r="L56" s="354"/>
      <c r="M56" s="354"/>
      <c r="N56" s="354"/>
      <c r="O56" s="354"/>
      <c r="P56" s="354"/>
      <c r="Q56" s="354"/>
      <c r="R56" s="354"/>
      <c r="S56" s="354"/>
      <c r="T56" s="354"/>
      <c r="U56" s="354"/>
      <c r="V56" s="354"/>
      <c r="W56" s="354"/>
      <c r="X56" s="354"/>
      <c r="Y56" s="354"/>
      <c r="Z56" s="354"/>
    </row>
    <row r="57" customFormat="false" ht="23.25" hidden="false" customHeight="true" outlineLevel="0" collapsed="false">
      <c r="A57" s="400" t="s">
        <v>2335</v>
      </c>
      <c r="B57" s="401" t="s">
        <v>2336</v>
      </c>
      <c r="C57" s="401" t="s">
        <v>2337</v>
      </c>
      <c r="D57" s="402" t="s">
        <v>2338</v>
      </c>
      <c r="E57" s="403" t="s">
        <v>2339</v>
      </c>
      <c r="F57" s="354"/>
      <c r="G57" s="354"/>
      <c r="H57" s="354"/>
      <c r="I57" s="354"/>
      <c r="J57" s="354"/>
      <c r="K57" s="354"/>
      <c r="L57" s="354"/>
      <c r="M57" s="354"/>
      <c r="N57" s="354"/>
      <c r="O57" s="354"/>
      <c r="P57" s="354"/>
      <c r="Q57" s="354"/>
      <c r="R57" s="354"/>
      <c r="S57" s="354"/>
      <c r="T57" s="354"/>
      <c r="U57" s="354"/>
      <c r="V57" s="354"/>
      <c r="W57" s="354"/>
      <c r="X57" s="354"/>
      <c r="Y57" s="354"/>
      <c r="Z57" s="354"/>
    </row>
    <row r="58" customFormat="false" ht="23.25" hidden="false" customHeight="true" outlineLevel="0" collapsed="false">
      <c r="A58" s="404" t="s">
        <v>2340</v>
      </c>
      <c r="B58" s="405" t="s">
        <v>2341</v>
      </c>
      <c r="C58" s="405" t="s">
        <v>2332</v>
      </c>
      <c r="D58" s="406" t="s">
        <v>2342</v>
      </c>
      <c r="E58" s="407" t="s">
        <v>2343</v>
      </c>
      <c r="F58" s="354"/>
      <c r="G58" s="354"/>
      <c r="H58" s="354"/>
      <c r="I58" s="354"/>
      <c r="J58" s="354"/>
      <c r="K58" s="354"/>
      <c r="L58" s="354"/>
      <c r="M58" s="354"/>
      <c r="N58" s="354"/>
      <c r="O58" s="354"/>
      <c r="P58" s="354"/>
      <c r="Q58" s="354"/>
      <c r="R58" s="354"/>
      <c r="S58" s="354"/>
      <c r="T58" s="354"/>
      <c r="U58" s="354"/>
      <c r="V58" s="354"/>
      <c r="W58" s="354"/>
      <c r="X58" s="354"/>
      <c r="Y58" s="354"/>
      <c r="Z58" s="354"/>
    </row>
    <row r="59" customFormat="false" ht="15" hidden="false" customHeight="true" outlineLevel="0" collapsed="false">
      <c r="A59" s="400" t="s">
        <v>2344</v>
      </c>
      <c r="B59" s="401" t="s">
        <v>2345</v>
      </c>
      <c r="C59" s="401" t="s">
        <v>2346</v>
      </c>
      <c r="D59" s="402" t="s">
        <v>2347</v>
      </c>
      <c r="E59" s="403" t="s">
        <v>2348</v>
      </c>
      <c r="F59" s="354"/>
      <c r="G59" s="354"/>
      <c r="H59" s="354"/>
      <c r="I59" s="354"/>
      <c r="J59" s="354"/>
      <c r="K59" s="354"/>
      <c r="L59" s="354"/>
      <c r="M59" s="354"/>
      <c r="N59" s="354"/>
      <c r="O59" s="354"/>
      <c r="P59" s="354"/>
      <c r="Q59" s="354"/>
      <c r="R59" s="354"/>
      <c r="S59" s="354"/>
      <c r="T59" s="354"/>
      <c r="U59" s="354"/>
      <c r="V59" s="354"/>
      <c r="W59" s="354"/>
      <c r="X59" s="354"/>
      <c r="Y59" s="354"/>
      <c r="Z59" s="354"/>
    </row>
    <row r="60" customFormat="false" ht="15" hidden="false" customHeight="true" outlineLevel="0" collapsed="false">
      <c r="A60" s="404" t="s">
        <v>2349</v>
      </c>
      <c r="B60" s="405" t="s">
        <v>2350</v>
      </c>
      <c r="C60" s="405" t="s">
        <v>2351</v>
      </c>
      <c r="D60" s="406" t="s">
        <v>2352</v>
      </c>
      <c r="E60" s="407" t="s">
        <v>2353</v>
      </c>
      <c r="F60" s="354"/>
      <c r="G60" s="354"/>
      <c r="H60" s="354"/>
      <c r="I60" s="354"/>
      <c r="J60" s="354"/>
      <c r="K60" s="354"/>
      <c r="L60" s="354"/>
      <c r="M60" s="354"/>
      <c r="N60" s="354"/>
      <c r="O60" s="354"/>
      <c r="P60" s="354"/>
      <c r="Q60" s="354"/>
      <c r="R60" s="354"/>
      <c r="S60" s="354"/>
      <c r="T60" s="354"/>
      <c r="U60" s="354"/>
      <c r="V60" s="354"/>
      <c r="W60" s="354"/>
      <c r="X60" s="354"/>
      <c r="Y60" s="354"/>
      <c r="Z60" s="354"/>
    </row>
    <row r="61" customFormat="false" ht="15" hidden="false" customHeight="true" outlineLevel="0" collapsed="false">
      <c r="A61" s="408" t="s">
        <v>2354</v>
      </c>
      <c r="B61" s="380" t="s">
        <v>2355</v>
      </c>
      <c r="C61" s="380" t="s">
        <v>2356</v>
      </c>
      <c r="D61" s="409" t="s">
        <v>2357</v>
      </c>
      <c r="E61" s="410" t="s">
        <v>2358</v>
      </c>
      <c r="F61" s="354"/>
      <c r="G61" s="354"/>
      <c r="H61" s="354"/>
      <c r="I61" s="354"/>
      <c r="J61" s="354"/>
      <c r="K61" s="354"/>
      <c r="L61" s="354"/>
      <c r="M61" s="354"/>
      <c r="N61" s="354"/>
      <c r="O61" s="354"/>
      <c r="P61" s="354"/>
      <c r="Q61" s="354"/>
      <c r="R61" s="354"/>
      <c r="S61" s="354"/>
      <c r="T61" s="354"/>
      <c r="U61" s="354"/>
      <c r="V61" s="354"/>
      <c r="W61" s="354"/>
      <c r="X61" s="354"/>
      <c r="Y61" s="354"/>
      <c r="Z61" s="354"/>
    </row>
    <row r="62" customFormat="false" ht="15" hidden="false" customHeight="true" outlineLevel="0" collapsed="false">
      <c r="A62" s="408" t="s">
        <v>2359</v>
      </c>
      <c r="B62" s="380" t="s">
        <v>2360</v>
      </c>
      <c r="C62" s="380" t="s">
        <v>2361</v>
      </c>
      <c r="D62" s="409" t="s">
        <v>2362</v>
      </c>
      <c r="E62" s="410" t="s">
        <v>2363</v>
      </c>
      <c r="F62" s="354"/>
      <c r="G62" s="354"/>
      <c r="H62" s="354"/>
      <c r="I62" s="354"/>
      <c r="J62" s="354"/>
      <c r="K62" s="354"/>
      <c r="L62" s="354"/>
      <c r="M62" s="354"/>
      <c r="N62" s="354"/>
      <c r="O62" s="354"/>
      <c r="P62" s="354"/>
      <c r="Q62" s="354"/>
      <c r="R62" s="354"/>
      <c r="S62" s="354"/>
      <c r="T62" s="354"/>
      <c r="U62" s="354"/>
      <c r="V62" s="354"/>
      <c r="W62" s="354"/>
      <c r="X62" s="354"/>
      <c r="Y62" s="354"/>
      <c r="Z62" s="354"/>
    </row>
    <row r="63" customFormat="false" ht="15" hidden="false" customHeight="true" outlineLevel="0" collapsed="false">
      <c r="A63" s="354"/>
      <c r="B63" s="354"/>
      <c r="C63" s="354"/>
      <c r="D63" s="354"/>
      <c r="E63" s="354"/>
      <c r="F63" s="354"/>
      <c r="G63" s="354"/>
      <c r="H63" s="354"/>
      <c r="I63" s="354"/>
      <c r="J63" s="354"/>
      <c r="K63" s="354"/>
      <c r="L63" s="354"/>
      <c r="M63" s="354"/>
      <c r="N63" s="354"/>
      <c r="O63" s="354"/>
      <c r="P63" s="354"/>
      <c r="Q63" s="354"/>
      <c r="R63" s="354"/>
      <c r="S63" s="354"/>
      <c r="T63" s="354"/>
      <c r="U63" s="354"/>
      <c r="V63" s="354"/>
      <c r="W63" s="354"/>
      <c r="X63" s="354"/>
      <c r="Y63" s="354"/>
      <c r="Z63" s="354"/>
    </row>
    <row r="64" customFormat="false" ht="15" hidden="false" customHeight="true" outlineLevel="0" collapsed="false">
      <c r="A64" s="411" t="s">
        <v>2364</v>
      </c>
      <c r="B64" s="411"/>
      <c r="C64" s="411"/>
      <c r="D64" s="411"/>
      <c r="E64" s="411"/>
      <c r="F64" s="354"/>
      <c r="G64" s="354"/>
      <c r="H64" s="354"/>
      <c r="I64" s="354"/>
      <c r="J64" s="354"/>
      <c r="K64" s="354"/>
      <c r="L64" s="354"/>
      <c r="M64" s="354"/>
      <c r="N64" s="354"/>
      <c r="O64" s="354"/>
      <c r="P64" s="354"/>
      <c r="Q64" s="354"/>
      <c r="R64" s="354"/>
      <c r="S64" s="354"/>
      <c r="T64" s="354"/>
      <c r="U64" s="354"/>
      <c r="V64" s="354"/>
      <c r="W64" s="354"/>
      <c r="X64" s="354"/>
      <c r="Y64" s="354"/>
      <c r="Z64" s="354"/>
    </row>
    <row r="65" customFormat="false" ht="15" hidden="false" customHeight="true" outlineLevel="0" collapsed="false">
      <c r="A65" s="354"/>
      <c r="B65" s="354"/>
      <c r="C65" s="354"/>
      <c r="D65" s="354"/>
      <c r="E65" s="354"/>
      <c r="F65" s="354"/>
      <c r="G65" s="354"/>
      <c r="H65" s="354"/>
      <c r="I65" s="354"/>
      <c r="J65" s="354"/>
      <c r="K65" s="354"/>
      <c r="L65" s="354"/>
      <c r="M65" s="354"/>
      <c r="N65" s="354"/>
      <c r="O65" s="354"/>
      <c r="P65" s="354"/>
      <c r="Q65" s="354"/>
      <c r="R65" s="354"/>
      <c r="S65" s="354"/>
      <c r="T65" s="354"/>
      <c r="U65" s="354"/>
      <c r="V65" s="354"/>
      <c r="W65" s="354"/>
      <c r="X65" s="354"/>
      <c r="Y65" s="354"/>
      <c r="Z65" s="354"/>
    </row>
    <row r="66" customFormat="false" ht="15" hidden="false" customHeight="true" outlineLevel="0" collapsed="false">
      <c r="A66" s="354"/>
      <c r="B66" s="354"/>
      <c r="C66" s="354"/>
      <c r="D66" s="354"/>
      <c r="E66" s="354"/>
      <c r="F66" s="354"/>
      <c r="G66" s="354"/>
      <c r="H66" s="354"/>
      <c r="I66" s="354"/>
      <c r="J66" s="354"/>
      <c r="K66" s="354"/>
      <c r="L66" s="354"/>
      <c r="M66" s="354"/>
      <c r="N66" s="354"/>
      <c r="O66" s="354"/>
      <c r="P66" s="354"/>
      <c r="Q66" s="354"/>
      <c r="R66" s="354"/>
      <c r="S66" s="354"/>
      <c r="T66" s="354"/>
      <c r="U66" s="354"/>
      <c r="V66" s="354"/>
      <c r="W66" s="354"/>
      <c r="X66" s="354"/>
      <c r="Y66" s="354"/>
      <c r="Z66" s="354"/>
    </row>
    <row r="67" customFormat="false" ht="15" hidden="false" customHeight="true" outlineLevel="0" collapsed="false">
      <c r="A67" s="354"/>
      <c r="B67" s="354"/>
      <c r="C67" s="354"/>
      <c r="D67" s="354"/>
      <c r="E67" s="354"/>
      <c r="F67" s="354"/>
      <c r="G67" s="354"/>
      <c r="H67" s="354"/>
      <c r="I67" s="354"/>
      <c r="J67" s="354"/>
      <c r="K67" s="354"/>
      <c r="L67" s="354"/>
      <c r="M67" s="354"/>
      <c r="N67" s="354"/>
      <c r="O67" s="354"/>
      <c r="P67" s="354"/>
      <c r="Q67" s="354"/>
      <c r="R67" s="354"/>
      <c r="S67" s="354"/>
      <c r="T67" s="354"/>
      <c r="U67" s="354"/>
      <c r="V67" s="354"/>
      <c r="W67" s="354"/>
      <c r="X67" s="354"/>
      <c r="Y67" s="354"/>
      <c r="Z67" s="354"/>
    </row>
    <row r="68" customFormat="false" ht="15" hidden="false" customHeight="true" outlineLevel="0" collapsed="false">
      <c r="A68" s="354"/>
      <c r="B68" s="354"/>
      <c r="C68" s="354"/>
      <c r="D68" s="354"/>
      <c r="E68" s="354"/>
      <c r="F68" s="354"/>
      <c r="G68" s="354"/>
      <c r="H68" s="354"/>
      <c r="I68" s="354"/>
      <c r="J68" s="354"/>
      <c r="K68" s="354"/>
      <c r="L68" s="354"/>
      <c r="M68" s="354"/>
      <c r="N68" s="354"/>
      <c r="O68" s="354"/>
      <c r="P68" s="354"/>
      <c r="Q68" s="354"/>
      <c r="R68" s="354"/>
      <c r="S68" s="354"/>
      <c r="T68" s="354"/>
      <c r="U68" s="354"/>
      <c r="V68" s="354"/>
      <c r="W68" s="354"/>
      <c r="X68" s="354"/>
      <c r="Y68" s="354"/>
      <c r="Z68" s="354"/>
    </row>
    <row r="69" customFormat="false" ht="15" hidden="false" customHeight="true" outlineLevel="0" collapsed="false">
      <c r="A69" s="354"/>
      <c r="B69" s="354"/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354"/>
      <c r="Q69" s="354"/>
      <c r="R69" s="354"/>
      <c r="S69" s="354"/>
      <c r="T69" s="354"/>
      <c r="U69" s="354"/>
      <c r="V69" s="354"/>
      <c r="W69" s="354"/>
      <c r="X69" s="354"/>
      <c r="Y69" s="354"/>
      <c r="Z69" s="354"/>
    </row>
    <row r="70" customFormat="false" ht="15" hidden="false" customHeight="true" outlineLevel="0" collapsed="false">
      <c r="A70" s="354"/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354"/>
      <c r="Q70" s="354"/>
      <c r="R70" s="354"/>
      <c r="S70" s="354"/>
      <c r="T70" s="354"/>
      <c r="U70" s="354"/>
      <c r="V70" s="354"/>
      <c r="W70" s="354"/>
      <c r="X70" s="354"/>
      <c r="Y70" s="354"/>
      <c r="Z70" s="354"/>
    </row>
    <row r="71" customFormat="false" ht="15" hidden="false" customHeight="true" outlineLevel="0" collapsed="false">
      <c r="A71" s="354"/>
      <c r="B71" s="354"/>
      <c r="C71" s="354"/>
      <c r="D71" s="354"/>
      <c r="E71" s="354"/>
      <c r="F71" s="354"/>
      <c r="G71" s="354"/>
      <c r="H71" s="354"/>
      <c r="I71" s="354"/>
      <c r="J71" s="354"/>
      <c r="K71" s="354"/>
      <c r="L71" s="354"/>
      <c r="M71" s="354"/>
      <c r="N71" s="354"/>
      <c r="O71" s="354"/>
      <c r="P71" s="354"/>
      <c r="Q71" s="354"/>
      <c r="R71" s="354"/>
      <c r="S71" s="354"/>
      <c r="T71" s="354"/>
      <c r="U71" s="354"/>
      <c r="V71" s="354"/>
      <c r="W71" s="354"/>
      <c r="X71" s="354"/>
      <c r="Y71" s="354"/>
      <c r="Z71" s="354"/>
    </row>
    <row r="72" customFormat="false" ht="15" hidden="false" customHeight="true" outlineLevel="0" collapsed="false">
      <c r="A72" s="354"/>
      <c r="B72" s="354"/>
      <c r="C72" s="354"/>
      <c r="D72" s="354"/>
      <c r="E72" s="354"/>
      <c r="F72" s="354"/>
      <c r="G72" s="354"/>
      <c r="H72" s="354"/>
      <c r="I72" s="354"/>
      <c r="J72" s="354"/>
      <c r="K72" s="354"/>
      <c r="L72" s="354"/>
      <c r="M72" s="354"/>
      <c r="N72" s="354"/>
      <c r="O72" s="354"/>
      <c r="P72" s="354"/>
      <c r="Q72" s="354"/>
      <c r="R72" s="354"/>
      <c r="S72" s="354"/>
      <c r="T72" s="354"/>
      <c r="U72" s="354"/>
      <c r="V72" s="354"/>
      <c r="W72" s="354"/>
      <c r="X72" s="354"/>
      <c r="Y72" s="354"/>
      <c r="Z72" s="354"/>
    </row>
    <row r="73" customFormat="false" ht="15" hidden="false" customHeight="true" outlineLevel="0" collapsed="false">
      <c r="A73" s="354"/>
      <c r="B73" s="354"/>
      <c r="C73" s="354"/>
      <c r="D73" s="354"/>
      <c r="E73" s="354"/>
      <c r="F73" s="354"/>
      <c r="G73" s="354"/>
      <c r="H73" s="354"/>
      <c r="I73" s="354"/>
      <c r="J73" s="354"/>
      <c r="K73" s="354"/>
      <c r="L73" s="354"/>
      <c r="M73" s="354"/>
      <c r="N73" s="354"/>
      <c r="O73" s="354"/>
      <c r="P73" s="354"/>
      <c r="Q73" s="354"/>
      <c r="R73" s="354"/>
      <c r="S73" s="354"/>
      <c r="T73" s="354"/>
      <c r="U73" s="354"/>
      <c r="V73" s="354"/>
      <c r="W73" s="354"/>
      <c r="X73" s="354"/>
      <c r="Y73" s="354"/>
      <c r="Z73" s="354"/>
    </row>
    <row r="74" customFormat="false" ht="15" hidden="false" customHeight="true" outlineLevel="0" collapsed="false">
      <c r="A74" s="354"/>
      <c r="B74" s="354"/>
      <c r="C74" s="354"/>
      <c r="D74" s="354"/>
      <c r="E74" s="354"/>
      <c r="F74" s="354"/>
      <c r="G74" s="354"/>
      <c r="H74" s="354"/>
      <c r="I74" s="354"/>
      <c r="J74" s="354"/>
      <c r="K74" s="354"/>
      <c r="L74" s="354"/>
      <c r="M74" s="354"/>
      <c r="N74" s="354"/>
      <c r="O74" s="354"/>
      <c r="P74" s="354"/>
      <c r="Q74" s="354"/>
      <c r="R74" s="354"/>
      <c r="S74" s="354"/>
      <c r="T74" s="354"/>
      <c r="U74" s="354"/>
      <c r="V74" s="354"/>
      <c r="W74" s="354"/>
      <c r="X74" s="354"/>
      <c r="Y74" s="354"/>
      <c r="Z74" s="354"/>
    </row>
    <row r="75" customFormat="false" ht="15" hidden="false" customHeight="true" outlineLevel="0" collapsed="false">
      <c r="A75" s="354"/>
      <c r="B75" s="354"/>
      <c r="C75" s="354"/>
      <c r="D75" s="354"/>
      <c r="E75" s="354"/>
      <c r="F75" s="354"/>
      <c r="G75" s="354"/>
      <c r="H75" s="354"/>
      <c r="I75" s="354"/>
      <c r="J75" s="354"/>
      <c r="K75" s="354"/>
      <c r="L75" s="354"/>
      <c r="M75" s="354"/>
      <c r="N75" s="354"/>
      <c r="O75" s="354"/>
      <c r="P75" s="354"/>
      <c r="Q75" s="354"/>
      <c r="R75" s="354"/>
      <c r="S75" s="354"/>
      <c r="T75" s="354"/>
      <c r="U75" s="354"/>
      <c r="V75" s="354"/>
      <c r="W75" s="354"/>
      <c r="X75" s="354"/>
      <c r="Y75" s="354"/>
      <c r="Z75" s="354"/>
    </row>
    <row r="76" customFormat="false" ht="15" hidden="false" customHeight="true" outlineLevel="0" collapsed="false">
      <c r="A76" s="354"/>
      <c r="B76" s="354"/>
      <c r="C76" s="354"/>
      <c r="D76" s="354"/>
      <c r="E76" s="354"/>
      <c r="F76" s="354"/>
      <c r="G76" s="354"/>
      <c r="H76" s="354"/>
      <c r="I76" s="354"/>
      <c r="J76" s="354"/>
      <c r="K76" s="354"/>
      <c r="L76" s="354"/>
      <c r="M76" s="354"/>
      <c r="N76" s="354"/>
      <c r="O76" s="354"/>
      <c r="P76" s="354"/>
      <c r="Q76" s="354"/>
      <c r="R76" s="354"/>
      <c r="S76" s="354"/>
      <c r="T76" s="354"/>
      <c r="U76" s="354"/>
      <c r="V76" s="354"/>
      <c r="W76" s="354"/>
      <c r="X76" s="354"/>
      <c r="Y76" s="354"/>
      <c r="Z76" s="354"/>
    </row>
    <row r="77" customFormat="false" ht="15" hidden="false" customHeight="true" outlineLevel="0" collapsed="false">
      <c r="A77" s="354"/>
      <c r="B77" s="354"/>
      <c r="C77" s="354"/>
      <c r="D77" s="354"/>
      <c r="E77" s="354"/>
      <c r="F77" s="354"/>
      <c r="G77" s="354"/>
      <c r="H77" s="354"/>
      <c r="I77" s="354"/>
      <c r="J77" s="354"/>
      <c r="K77" s="354"/>
      <c r="L77" s="354"/>
      <c r="M77" s="354"/>
      <c r="N77" s="354"/>
      <c r="O77" s="354"/>
      <c r="P77" s="354"/>
      <c r="Q77" s="354"/>
      <c r="R77" s="354"/>
      <c r="S77" s="354"/>
      <c r="T77" s="354"/>
      <c r="U77" s="354"/>
      <c r="V77" s="354"/>
      <c r="W77" s="354"/>
      <c r="X77" s="354"/>
      <c r="Y77" s="354"/>
      <c r="Z77" s="354"/>
    </row>
    <row r="78" customFormat="false" ht="15" hidden="false" customHeight="true" outlineLevel="0" collapsed="false">
      <c r="A78" s="354"/>
      <c r="B78" s="354"/>
      <c r="C78" s="354"/>
      <c r="D78" s="354"/>
      <c r="E78" s="354"/>
      <c r="F78" s="354"/>
      <c r="G78" s="354"/>
      <c r="H78" s="354"/>
      <c r="I78" s="354"/>
      <c r="J78" s="354"/>
      <c r="K78" s="354"/>
      <c r="L78" s="354"/>
      <c r="M78" s="354"/>
      <c r="N78" s="354"/>
      <c r="O78" s="354"/>
      <c r="P78" s="354"/>
      <c r="Q78" s="354"/>
      <c r="R78" s="354"/>
      <c r="S78" s="354"/>
      <c r="T78" s="354"/>
      <c r="U78" s="354"/>
      <c r="V78" s="354"/>
      <c r="W78" s="354"/>
      <c r="X78" s="354"/>
      <c r="Y78" s="354"/>
      <c r="Z78" s="354"/>
    </row>
    <row r="79" customFormat="false" ht="15" hidden="false" customHeight="true" outlineLevel="0" collapsed="false">
      <c r="A79" s="354"/>
      <c r="B79" s="354"/>
      <c r="C79" s="354"/>
      <c r="D79" s="354"/>
      <c r="E79" s="354"/>
      <c r="F79" s="354"/>
      <c r="G79" s="354"/>
      <c r="H79" s="354"/>
      <c r="I79" s="354"/>
      <c r="J79" s="354"/>
      <c r="K79" s="354"/>
      <c r="L79" s="354"/>
      <c r="M79" s="354"/>
      <c r="N79" s="354"/>
      <c r="O79" s="354"/>
      <c r="P79" s="354"/>
      <c r="Q79" s="354"/>
      <c r="R79" s="354"/>
      <c r="S79" s="354"/>
      <c r="T79" s="354"/>
      <c r="U79" s="354"/>
      <c r="V79" s="354"/>
      <c r="W79" s="354"/>
      <c r="X79" s="354"/>
      <c r="Y79" s="354"/>
      <c r="Z79" s="354"/>
    </row>
    <row r="80" customFormat="false" ht="15" hidden="false" customHeight="true" outlineLevel="0" collapsed="false">
      <c r="A80" s="354"/>
      <c r="B80" s="354"/>
      <c r="C80" s="354"/>
      <c r="D80" s="354"/>
      <c r="E80" s="354"/>
      <c r="F80" s="354"/>
      <c r="G80" s="354"/>
      <c r="H80" s="354"/>
      <c r="I80" s="354"/>
      <c r="J80" s="354"/>
      <c r="K80" s="354"/>
      <c r="L80" s="354"/>
      <c r="M80" s="354"/>
      <c r="N80" s="354"/>
      <c r="O80" s="354"/>
      <c r="P80" s="354"/>
      <c r="Q80" s="354"/>
      <c r="R80" s="354"/>
      <c r="S80" s="354"/>
      <c r="T80" s="354"/>
      <c r="U80" s="354"/>
      <c r="V80" s="354"/>
      <c r="W80" s="354"/>
      <c r="X80" s="354"/>
      <c r="Y80" s="354"/>
      <c r="Z80" s="354"/>
    </row>
    <row r="81" customFormat="false" ht="15" hidden="false" customHeight="true" outlineLevel="0" collapsed="false">
      <c r="A81" s="354"/>
      <c r="B81" s="354"/>
      <c r="C81" s="354"/>
      <c r="D81" s="354"/>
      <c r="E81" s="354"/>
      <c r="F81" s="354"/>
      <c r="G81" s="354"/>
      <c r="H81" s="354"/>
      <c r="I81" s="354"/>
      <c r="J81" s="354"/>
      <c r="K81" s="354"/>
      <c r="L81" s="354"/>
      <c r="M81" s="354"/>
      <c r="N81" s="354"/>
      <c r="O81" s="354"/>
      <c r="P81" s="354"/>
      <c r="Q81" s="354"/>
      <c r="R81" s="354"/>
      <c r="S81" s="354"/>
      <c r="T81" s="354"/>
      <c r="U81" s="354"/>
      <c r="V81" s="354"/>
      <c r="W81" s="354"/>
      <c r="X81" s="354"/>
      <c r="Y81" s="354"/>
      <c r="Z81" s="354"/>
    </row>
    <row r="82" customFormat="false" ht="15" hidden="false" customHeight="true" outlineLevel="0" collapsed="false">
      <c r="A82" s="354"/>
      <c r="B82" s="354"/>
      <c r="C82" s="354"/>
      <c r="D82" s="354"/>
      <c r="E82" s="354"/>
      <c r="F82" s="354"/>
      <c r="G82" s="354"/>
      <c r="H82" s="354"/>
      <c r="I82" s="354"/>
      <c r="J82" s="354"/>
      <c r="K82" s="354"/>
      <c r="L82" s="354"/>
      <c r="M82" s="354"/>
      <c r="N82" s="354"/>
      <c r="O82" s="354"/>
      <c r="P82" s="354"/>
      <c r="Q82" s="354"/>
      <c r="R82" s="354"/>
      <c r="S82" s="354"/>
      <c r="T82" s="354"/>
      <c r="U82" s="354"/>
      <c r="V82" s="354"/>
      <c r="W82" s="354"/>
      <c r="X82" s="354"/>
      <c r="Y82" s="354"/>
      <c r="Z82" s="354"/>
    </row>
    <row r="83" customFormat="false" ht="15" hidden="false" customHeight="true" outlineLevel="0" collapsed="false">
      <c r="A83" s="354"/>
      <c r="B83" s="354"/>
      <c r="C83" s="354"/>
      <c r="D83" s="354"/>
      <c r="E83" s="354"/>
      <c r="F83" s="354"/>
      <c r="G83" s="354"/>
      <c r="H83" s="354"/>
      <c r="I83" s="354"/>
      <c r="J83" s="354"/>
      <c r="K83" s="354"/>
      <c r="L83" s="354"/>
      <c r="M83" s="354"/>
      <c r="N83" s="354"/>
      <c r="O83" s="354"/>
      <c r="P83" s="354"/>
      <c r="Q83" s="354"/>
      <c r="R83" s="354"/>
      <c r="S83" s="354"/>
      <c r="T83" s="354"/>
      <c r="U83" s="354"/>
      <c r="V83" s="354"/>
      <c r="W83" s="354"/>
      <c r="X83" s="354"/>
      <c r="Y83" s="354"/>
      <c r="Z83" s="354"/>
    </row>
    <row r="84" customFormat="false" ht="15" hidden="false" customHeight="true" outlineLevel="0" collapsed="false">
      <c r="A84" s="354"/>
      <c r="B84" s="354"/>
      <c r="C84" s="354"/>
      <c r="D84" s="354"/>
      <c r="E84" s="354"/>
      <c r="F84" s="354"/>
      <c r="G84" s="354"/>
      <c r="H84" s="354"/>
      <c r="I84" s="354"/>
      <c r="J84" s="354"/>
      <c r="K84" s="354"/>
      <c r="L84" s="354"/>
      <c r="M84" s="354"/>
      <c r="N84" s="354"/>
      <c r="O84" s="354"/>
      <c r="P84" s="354"/>
      <c r="Q84" s="354"/>
      <c r="R84" s="354"/>
      <c r="S84" s="354"/>
      <c r="T84" s="354"/>
      <c r="U84" s="354"/>
      <c r="V84" s="354"/>
      <c r="W84" s="354"/>
      <c r="X84" s="354"/>
      <c r="Y84" s="354"/>
      <c r="Z84" s="354"/>
    </row>
    <row r="85" customFormat="false" ht="15" hidden="false" customHeight="true" outlineLevel="0" collapsed="false">
      <c r="A85" s="354"/>
      <c r="B85" s="354"/>
      <c r="C85" s="354"/>
      <c r="D85" s="354"/>
      <c r="E85" s="354"/>
      <c r="F85" s="354"/>
      <c r="G85" s="354"/>
      <c r="H85" s="354"/>
      <c r="I85" s="354"/>
      <c r="J85" s="354"/>
      <c r="K85" s="354"/>
      <c r="L85" s="354"/>
      <c r="M85" s="354"/>
      <c r="N85" s="354"/>
      <c r="O85" s="354"/>
      <c r="P85" s="354"/>
      <c r="Q85" s="354"/>
      <c r="R85" s="354"/>
      <c r="S85" s="354"/>
      <c r="T85" s="354"/>
      <c r="U85" s="354"/>
      <c r="V85" s="354"/>
      <c r="W85" s="354"/>
      <c r="X85" s="354"/>
      <c r="Y85" s="354"/>
      <c r="Z85" s="354"/>
    </row>
    <row r="86" customFormat="false" ht="15" hidden="false" customHeight="true" outlineLevel="0" collapsed="false">
      <c r="A86" s="354"/>
      <c r="B86" s="354"/>
      <c r="C86" s="354"/>
      <c r="D86" s="354"/>
      <c r="E86" s="354"/>
      <c r="F86" s="354"/>
      <c r="G86" s="354"/>
      <c r="H86" s="354"/>
      <c r="I86" s="354"/>
      <c r="J86" s="354"/>
      <c r="K86" s="354"/>
      <c r="L86" s="354"/>
      <c r="M86" s="354"/>
      <c r="N86" s="354"/>
      <c r="O86" s="354"/>
      <c r="P86" s="354"/>
      <c r="Q86" s="354"/>
      <c r="R86" s="354"/>
      <c r="S86" s="354"/>
      <c r="T86" s="354"/>
      <c r="U86" s="354"/>
      <c r="V86" s="354"/>
      <c r="W86" s="354"/>
      <c r="X86" s="354"/>
      <c r="Y86" s="354"/>
      <c r="Z86" s="354"/>
    </row>
    <row r="87" customFormat="false" ht="15" hidden="false" customHeight="true" outlineLevel="0" collapsed="false">
      <c r="A87" s="354"/>
      <c r="B87" s="354"/>
      <c r="C87" s="354"/>
      <c r="D87" s="354"/>
      <c r="E87" s="354"/>
      <c r="F87" s="354"/>
      <c r="G87" s="354"/>
      <c r="H87" s="354"/>
      <c r="I87" s="354"/>
      <c r="J87" s="354"/>
      <c r="K87" s="354"/>
      <c r="L87" s="354"/>
      <c r="M87" s="354"/>
      <c r="N87" s="354"/>
      <c r="O87" s="354"/>
      <c r="P87" s="354"/>
      <c r="Q87" s="354"/>
      <c r="R87" s="354"/>
      <c r="S87" s="354"/>
      <c r="T87" s="354"/>
      <c r="U87" s="354"/>
      <c r="V87" s="354"/>
      <c r="W87" s="354"/>
      <c r="X87" s="354"/>
      <c r="Y87" s="354"/>
      <c r="Z87" s="354"/>
    </row>
    <row r="88" customFormat="false" ht="15" hidden="false" customHeight="true" outlineLevel="0" collapsed="false">
      <c r="A88" s="354"/>
      <c r="B88" s="354"/>
      <c r="C88" s="354"/>
      <c r="D88" s="354"/>
      <c r="E88" s="354"/>
      <c r="F88" s="354"/>
      <c r="G88" s="354"/>
      <c r="H88" s="354"/>
      <c r="I88" s="354"/>
      <c r="J88" s="354"/>
      <c r="K88" s="354"/>
      <c r="L88" s="354"/>
      <c r="M88" s="354"/>
      <c r="N88" s="354"/>
      <c r="O88" s="354"/>
      <c r="P88" s="354"/>
      <c r="Q88" s="354"/>
      <c r="R88" s="354"/>
      <c r="S88" s="354"/>
      <c r="T88" s="354"/>
      <c r="U88" s="354"/>
      <c r="V88" s="354"/>
      <c r="W88" s="354"/>
      <c r="X88" s="354"/>
      <c r="Y88" s="354"/>
      <c r="Z88" s="354"/>
    </row>
    <row r="89" customFormat="false" ht="15" hidden="false" customHeight="true" outlineLevel="0" collapsed="false">
      <c r="A89" s="354"/>
      <c r="B89" s="354"/>
      <c r="C89" s="354"/>
      <c r="D89" s="354"/>
      <c r="E89" s="354"/>
      <c r="F89" s="354"/>
      <c r="G89" s="354"/>
      <c r="H89" s="354"/>
      <c r="I89" s="354"/>
      <c r="J89" s="354"/>
      <c r="K89" s="354"/>
      <c r="L89" s="354"/>
      <c r="M89" s="354"/>
      <c r="N89" s="354"/>
      <c r="O89" s="354"/>
      <c r="P89" s="354"/>
      <c r="Q89" s="354"/>
      <c r="R89" s="354"/>
      <c r="S89" s="354"/>
      <c r="T89" s="354"/>
      <c r="U89" s="354"/>
      <c r="V89" s="354"/>
      <c r="W89" s="354"/>
      <c r="X89" s="354"/>
      <c r="Y89" s="354"/>
      <c r="Z89" s="354"/>
    </row>
    <row r="90" customFormat="false" ht="15" hidden="false" customHeight="true" outlineLevel="0" collapsed="false">
      <c r="A90" s="354"/>
      <c r="B90" s="354"/>
      <c r="C90" s="354"/>
      <c r="D90" s="354"/>
      <c r="E90" s="354"/>
      <c r="F90" s="354"/>
      <c r="G90" s="354"/>
      <c r="H90" s="354"/>
      <c r="I90" s="354"/>
      <c r="J90" s="354"/>
      <c r="K90" s="354"/>
      <c r="L90" s="354"/>
      <c r="M90" s="354"/>
      <c r="N90" s="354"/>
      <c r="O90" s="354"/>
      <c r="P90" s="354"/>
      <c r="Q90" s="354"/>
      <c r="R90" s="354"/>
      <c r="S90" s="354"/>
      <c r="T90" s="354"/>
      <c r="U90" s="354"/>
      <c r="V90" s="354"/>
      <c r="W90" s="354"/>
      <c r="X90" s="354"/>
      <c r="Y90" s="354"/>
      <c r="Z90" s="354"/>
    </row>
    <row r="91" customFormat="false" ht="15" hidden="false" customHeight="true" outlineLevel="0" collapsed="false">
      <c r="A91" s="354"/>
      <c r="B91" s="354"/>
      <c r="C91" s="354"/>
      <c r="D91" s="354"/>
      <c r="E91" s="354"/>
      <c r="F91" s="354"/>
      <c r="G91" s="354"/>
      <c r="H91" s="354"/>
      <c r="I91" s="354"/>
      <c r="J91" s="354"/>
      <c r="K91" s="354"/>
      <c r="L91" s="354"/>
      <c r="M91" s="354"/>
      <c r="N91" s="354"/>
      <c r="O91" s="354"/>
      <c r="P91" s="354"/>
      <c r="Q91" s="354"/>
      <c r="R91" s="354"/>
      <c r="S91" s="354"/>
      <c r="T91" s="354"/>
      <c r="U91" s="354"/>
      <c r="V91" s="354"/>
      <c r="W91" s="354"/>
      <c r="X91" s="354"/>
      <c r="Y91" s="354"/>
      <c r="Z91" s="354"/>
    </row>
    <row r="92" customFormat="false" ht="15" hidden="false" customHeight="true" outlineLevel="0" collapsed="false">
      <c r="A92" s="354"/>
      <c r="B92" s="354"/>
      <c r="C92" s="354"/>
      <c r="D92" s="354"/>
      <c r="E92" s="354"/>
      <c r="F92" s="354"/>
      <c r="G92" s="354"/>
      <c r="H92" s="354"/>
      <c r="I92" s="354"/>
      <c r="J92" s="354"/>
      <c r="K92" s="354"/>
      <c r="L92" s="354"/>
      <c r="M92" s="354"/>
      <c r="N92" s="354"/>
      <c r="O92" s="354"/>
      <c r="P92" s="354"/>
      <c r="Q92" s="354"/>
      <c r="R92" s="354"/>
      <c r="S92" s="354"/>
      <c r="T92" s="354"/>
      <c r="U92" s="354"/>
      <c r="V92" s="354"/>
      <c r="W92" s="354"/>
      <c r="X92" s="354"/>
      <c r="Y92" s="354"/>
      <c r="Z92" s="354"/>
    </row>
    <row r="93" customFormat="false" ht="15" hidden="false" customHeight="true" outlineLevel="0" collapsed="false">
      <c r="A93" s="354"/>
      <c r="B93" s="354"/>
      <c r="C93" s="354"/>
      <c r="D93" s="354"/>
      <c r="E93" s="354"/>
      <c r="F93" s="354"/>
      <c r="G93" s="354"/>
      <c r="H93" s="354"/>
      <c r="I93" s="354"/>
      <c r="J93" s="354"/>
      <c r="K93" s="354"/>
      <c r="L93" s="354"/>
      <c r="M93" s="354"/>
      <c r="N93" s="354"/>
      <c r="O93" s="354"/>
      <c r="P93" s="354"/>
      <c r="Q93" s="354"/>
      <c r="R93" s="354"/>
      <c r="S93" s="354"/>
      <c r="T93" s="354"/>
      <c r="U93" s="354"/>
      <c r="V93" s="354"/>
      <c r="W93" s="354"/>
      <c r="X93" s="354"/>
      <c r="Y93" s="354"/>
      <c r="Z93" s="354"/>
    </row>
    <row r="94" customFormat="false" ht="15" hidden="false" customHeight="true" outlineLevel="0" collapsed="false">
      <c r="A94" s="354"/>
      <c r="B94" s="354"/>
      <c r="C94" s="354"/>
      <c r="D94" s="354"/>
      <c r="E94" s="354"/>
      <c r="F94" s="354"/>
      <c r="G94" s="354"/>
      <c r="H94" s="354"/>
      <c r="I94" s="354"/>
      <c r="J94" s="354"/>
      <c r="K94" s="354"/>
      <c r="L94" s="354"/>
      <c r="M94" s="354"/>
      <c r="N94" s="354"/>
      <c r="O94" s="354"/>
      <c r="P94" s="354"/>
      <c r="Q94" s="354"/>
      <c r="R94" s="354"/>
      <c r="S94" s="354"/>
      <c r="T94" s="354"/>
      <c r="U94" s="354"/>
      <c r="V94" s="354"/>
      <c r="W94" s="354"/>
      <c r="X94" s="354"/>
      <c r="Y94" s="354"/>
      <c r="Z94" s="354"/>
    </row>
    <row r="95" customFormat="false" ht="15" hidden="false" customHeight="true" outlineLevel="0" collapsed="false">
      <c r="A95" s="354"/>
      <c r="B95" s="354"/>
      <c r="C95" s="354"/>
      <c r="D95" s="354"/>
      <c r="E95" s="354"/>
      <c r="F95" s="354"/>
      <c r="G95" s="354"/>
      <c r="H95" s="354"/>
      <c r="I95" s="354"/>
      <c r="J95" s="354"/>
      <c r="K95" s="354"/>
      <c r="L95" s="354"/>
      <c r="M95" s="354"/>
      <c r="N95" s="354"/>
      <c r="O95" s="354"/>
      <c r="P95" s="354"/>
      <c r="Q95" s="354"/>
      <c r="R95" s="354"/>
      <c r="S95" s="354"/>
      <c r="T95" s="354"/>
      <c r="U95" s="354"/>
      <c r="V95" s="354"/>
      <c r="W95" s="354"/>
      <c r="X95" s="354"/>
      <c r="Y95" s="354"/>
      <c r="Z95" s="354"/>
    </row>
    <row r="96" customFormat="false" ht="15" hidden="false" customHeight="true" outlineLevel="0" collapsed="false">
      <c r="A96" s="354"/>
      <c r="B96" s="354"/>
      <c r="C96" s="354"/>
      <c r="D96" s="354"/>
      <c r="E96" s="354"/>
      <c r="F96" s="354"/>
      <c r="G96" s="354"/>
      <c r="H96" s="354"/>
      <c r="I96" s="354"/>
      <c r="J96" s="354"/>
      <c r="K96" s="354"/>
      <c r="L96" s="354"/>
      <c r="M96" s="354"/>
      <c r="N96" s="354"/>
      <c r="O96" s="354"/>
      <c r="P96" s="354"/>
      <c r="Q96" s="354"/>
      <c r="R96" s="354"/>
      <c r="S96" s="354"/>
      <c r="T96" s="354"/>
      <c r="U96" s="354"/>
      <c r="V96" s="354"/>
      <c r="W96" s="354"/>
      <c r="X96" s="354"/>
      <c r="Y96" s="354"/>
      <c r="Z96" s="354"/>
    </row>
    <row r="97" customFormat="false" ht="15" hidden="false" customHeight="true" outlineLevel="0" collapsed="false">
      <c r="A97" s="354"/>
      <c r="B97" s="354"/>
      <c r="C97" s="354"/>
      <c r="D97" s="354"/>
      <c r="E97" s="354"/>
      <c r="F97" s="354"/>
      <c r="G97" s="354"/>
      <c r="H97" s="354"/>
      <c r="I97" s="354"/>
      <c r="J97" s="354"/>
      <c r="K97" s="354"/>
      <c r="L97" s="354"/>
      <c r="M97" s="354"/>
      <c r="N97" s="354"/>
      <c r="O97" s="354"/>
      <c r="P97" s="354"/>
      <c r="Q97" s="354"/>
      <c r="R97" s="354"/>
      <c r="S97" s="354"/>
      <c r="T97" s="354"/>
      <c r="U97" s="354"/>
      <c r="V97" s="354"/>
      <c r="W97" s="354"/>
      <c r="X97" s="354"/>
      <c r="Y97" s="354"/>
      <c r="Z97" s="354"/>
    </row>
    <row r="98" customFormat="false" ht="15" hidden="false" customHeight="true" outlineLevel="0" collapsed="false">
      <c r="A98" s="354"/>
      <c r="B98" s="354"/>
      <c r="C98" s="354"/>
      <c r="D98" s="354"/>
      <c r="E98" s="354"/>
      <c r="F98" s="354"/>
      <c r="G98" s="354"/>
      <c r="H98" s="354"/>
      <c r="I98" s="354"/>
      <c r="J98" s="354"/>
      <c r="K98" s="354"/>
      <c r="L98" s="354"/>
      <c r="M98" s="354"/>
      <c r="N98" s="354"/>
      <c r="O98" s="354"/>
      <c r="P98" s="354"/>
      <c r="Q98" s="354"/>
      <c r="R98" s="354"/>
      <c r="S98" s="354"/>
      <c r="T98" s="354"/>
      <c r="U98" s="354"/>
      <c r="V98" s="354"/>
      <c r="W98" s="354"/>
      <c r="X98" s="354"/>
      <c r="Y98" s="354"/>
      <c r="Z98" s="354"/>
    </row>
    <row r="99" customFormat="false" ht="15" hidden="false" customHeight="true" outlineLevel="0" collapsed="false">
      <c r="A99" s="354"/>
      <c r="B99" s="354"/>
      <c r="C99" s="354"/>
      <c r="D99" s="354"/>
      <c r="E99" s="354"/>
      <c r="F99" s="354"/>
      <c r="G99" s="354"/>
      <c r="H99" s="354"/>
      <c r="I99" s="354"/>
      <c r="J99" s="354"/>
      <c r="K99" s="354"/>
      <c r="L99" s="354"/>
      <c r="M99" s="354"/>
      <c r="N99" s="354"/>
      <c r="O99" s="354"/>
      <c r="P99" s="354"/>
      <c r="Q99" s="354"/>
      <c r="R99" s="354"/>
      <c r="S99" s="354"/>
      <c r="T99" s="354"/>
      <c r="U99" s="354"/>
      <c r="V99" s="354"/>
      <c r="W99" s="354"/>
      <c r="X99" s="354"/>
      <c r="Y99" s="354"/>
      <c r="Z99" s="354"/>
    </row>
    <row r="100" customFormat="false" ht="15" hidden="false" customHeight="true" outlineLevel="0" collapsed="false">
      <c r="A100" s="354"/>
      <c r="B100" s="354"/>
      <c r="C100" s="354"/>
      <c r="D100" s="354"/>
      <c r="E100" s="354"/>
      <c r="F100" s="354"/>
      <c r="G100" s="354"/>
      <c r="H100" s="354"/>
      <c r="I100" s="354"/>
      <c r="J100" s="354"/>
      <c r="K100" s="354"/>
      <c r="L100" s="354"/>
      <c r="M100" s="354"/>
      <c r="N100" s="354"/>
      <c r="O100" s="354"/>
      <c r="P100" s="354"/>
      <c r="Q100" s="354"/>
      <c r="R100" s="354"/>
      <c r="S100" s="354"/>
      <c r="T100" s="354"/>
      <c r="U100" s="354"/>
      <c r="V100" s="354"/>
      <c r="W100" s="354"/>
      <c r="X100" s="354"/>
      <c r="Y100" s="354"/>
      <c r="Z100" s="354"/>
    </row>
    <row r="101" customFormat="false" ht="15" hidden="false" customHeight="true" outlineLevel="0" collapsed="false">
      <c r="A101" s="354"/>
      <c r="B101" s="354"/>
      <c r="C101" s="354"/>
      <c r="D101" s="354"/>
      <c r="E101" s="354"/>
      <c r="F101" s="354"/>
      <c r="G101" s="354"/>
      <c r="H101" s="354"/>
      <c r="I101" s="354"/>
      <c r="J101" s="354"/>
      <c r="K101" s="354"/>
      <c r="L101" s="354"/>
      <c r="M101" s="354"/>
      <c r="N101" s="354"/>
      <c r="O101" s="354"/>
      <c r="P101" s="354"/>
      <c r="Q101" s="354"/>
      <c r="R101" s="354"/>
      <c r="S101" s="354"/>
      <c r="T101" s="354"/>
      <c r="U101" s="354"/>
      <c r="V101" s="354"/>
      <c r="W101" s="354"/>
      <c r="X101" s="354"/>
      <c r="Y101" s="354"/>
      <c r="Z101" s="354"/>
    </row>
    <row r="102" customFormat="false" ht="15" hidden="false" customHeight="true" outlineLevel="0" collapsed="false">
      <c r="A102" s="354"/>
      <c r="B102" s="354"/>
      <c r="C102" s="354"/>
      <c r="D102" s="354"/>
      <c r="E102" s="354"/>
      <c r="F102" s="354"/>
      <c r="G102" s="354"/>
      <c r="H102" s="354"/>
      <c r="I102" s="354"/>
      <c r="J102" s="354"/>
      <c r="K102" s="354"/>
      <c r="L102" s="354"/>
      <c r="M102" s="354"/>
      <c r="N102" s="354"/>
      <c r="O102" s="354"/>
      <c r="P102" s="354"/>
      <c r="Q102" s="354"/>
      <c r="R102" s="354"/>
      <c r="S102" s="354"/>
      <c r="T102" s="354"/>
      <c r="U102" s="354"/>
      <c r="V102" s="354"/>
      <c r="W102" s="354"/>
      <c r="X102" s="354"/>
      <c r="Y102" s="354"/>
      <c r="Z102" s="354"/>
    </row>
    <row r="103" customFormat="false" ht="15" hidden="false" customHeight="true" outlineLevel="0" collapsed="false">
      <c r="A103" s="354"/>
      <c r="B103" s="354"/>
      <c r="C103" s="354"/>
      <c r="D103" s="354"/>
      <c r="E103" s="354"/>
      <c r="F103" s="354"/>
      <c r="G103" s="354"/>
      <c r="H103" s="354"/>
      <c r="I103" s="354"/>
      <c r="J103" s="354"/>
      <c r="K103" s="354"/>
      <c r="L103" s="354"/>
      <c r="M103" s="354"/>
      <c r="N103" s="354"/>
      <c r="O103" s="354"/>
      <c r="P103" s="354"/>
      <c r="Q103" s="354"/>
      <c r="R103" s="354"/>
      <c r="S103" s="354"/>
      <c r="T103" s="354"/>
      <c r="U103" s="354"/>
      <c r="V103" s="354"/>
      <c r="W103" s="354"/>
      <c r="X103" s="354"/>
      <c r="Y103" s="354"/>
      <c r="Z103" s="354"/>
    </row>
    <row r="104" customFormat="false" ht="15" hidden="false" customHeight="true" outlineLevel="0" collapsed="false">
      <c r="A104" s="354"/>
      <c r="B104" s="354"/>
      <c r="C104" s="354"/>
      <c r="D104" s="354"/>
      <c r="E104" s="354"/>
      <c r="F104" s="354"/>
      <c r="G104" s="354"/>
      <c r="H104" s="354"/>
      <c r="I104" s="354"/>
      <c r="J104" s="354"/>
      <c r="K104" s="354"/>
      <c r="L104" s="354"/>
      <c r="M104" s="354"/>
      <c r="N104" s="354"/>
      <c r="O104" s="354"/>
      <c r="P104" s="354"/>
      <c r="Q104" s="354"/>
      <c r="R104" s="354"/>
      <c r="S104" s="354"/>
      <c r="T104" s="354"/>
      <c r="U104" s="354"/>
      <c r="V104" s="354"/>
      <c r="W104" s="354"/>
      <c r="X104" s="354"/>
      <c r="Y104" s="354"/>
      <c r="Z104" s="354"/>
    </row>
    <row r="105" customFormat="false" ht="15" hidden="false" customHeight="true" outlineLevel="0" collapsed="false">
      <c r="A105" s="354"/>
      <c r="B105" s="354"/>
      <c r="C105" s="354"/>
      <c r="D105" s="354"/>
      <c r="E105" s="354"/>
      <c r="F105" s="354"/>
      <c r="G105" s="354"/>
      <c r="H105" s="354"/>
      <c r="I105" s="354"/>
      <c r="J105" s="354"/>
      <c r="K105" s="354"/>
      <c r="L105" s="354"/>
      <c r="M105" s="354"/>
      <c r="N105" s="354"/>
      <c r="O105" s="354"/>
      <c r="P105" s="354"/>
      <c r="Q105" s="354"/>
      <c r="R105" s="354"/>
      <c r="S105" s="354"/>
      <c r="T105" s="354"/>
      <c r="U105" s="354"/>
      <c r="V105" s="354"/>
      <c r="W105" s="354"/>
      <c r="X105" s="354"/>
      <c r="Y105" s="354"/>
      <c r="Z105" s="354"/>
    </row>
    <row r="106" customFormat="false" ht="15" hidden="false" customHeight="true" outlineLevel="0" collapsed="false">
      <c r="A106" s="354"/>
      <c r="B106" s="354"/>
      <c r="C106" s="354"/>
      <c r="D106" s="354"/>
      <c r="E106" s="354"/>
      <c r="F106" s="354"/>
      <c r="G106" s="354"/>
      <c r="H106" s="354"/>
      <c r="I106" s="354"/>
      <c r="J106" s="354"/>
      <c r="K106" s="354"/>
      <c r="L106" s="354"/>
      <c r="M106" s="354"/>
      <c r="N106" s="354"/>
      <c r="O106" s="354"/>
      <c r="P106" s="354"/>
      <c r="Q106" s="354"/>
      <c r="R106" s="354"/>
      <c r="S106" s="354"/>
      <c r="T106" s="354"/>
      <c r="U106" s="354"/>
      <c r="V106" s="354"/>
      <c r="W106" s="354"/>
      <c r="X106" s="354"/>
      <c r="Y106" s="354"/>
      <c r="Z106" s="354"/>
    </row>
    <row r="107" customFormat="false" ht="15" hidden="false" customHeight="true" outlineLevel="0" collapsed="false">
      <c r="A107" s="354"/>
      <c r="B107" s="354"/>
      <c r="C107" s="354"/>
      <c r="D107" s="354"/>
      <c r="E107" s="354"/>
      <c r="F107" s="354"/>
      <c r="G107" s="354"/>
      <c r="H107" s="354"/>
      <c r="I107" s="354"/>
      <c r="J107" s="354"/>
      <c r="K107" s="354"/>
      <c r="L107" s="354"/>
      <c r="M107" s="354"/>
      <c r="N107" s="354"/>
      <c r="O107" s="354"/>
      <c r="P107" s="354"/>
      <c r="Q107" s="354"/>
      <c r="R107" s="354"/>
      <c r="S107" s="354"/>
      <c r="T107" s="354"/>
      <c r="U107" s="354"/>
      <c r="V107" s="354"/>
      <c r="W107" s="354"/>
      <c r="X107" s="354"/>
      <c r="Y107" s="354"/>
      <c r="Z107" s="354"/>
    </row>
    <row r="108" customFormat="false" ht="15" hidden="false" customHeight="true" outlineLevel="0" collapsed="false">
      <c r="A108" s="354"/>
      <c r="B108" s="354"/>
      <c r="C108" s="354"/>
      <c r="D108" s="354"/>
      <c r="E108" s="354"/>
      <c r="F108" s="354"/>
      <c r="G108" s="354"/>
      <c r="H108" s="354"/>
      <c r="I108" s="354"/>
      <c r="J108" s="354"/>
      <c r="K108" s="354"/>
      <c r="L108" s="354"/>
      <c r="M108" s="354"/>
      <c r="N108" s="354"/>
      <c r="O108" s="354"/>
      <c r="P108" s="354"/>
      <c r="Q108" s="354"/>
      <c r="R108" s="354"/>
      <c r="S108" s="354"/>
      <c r="T108" s="354"/>
      <c r="U108" s="354"/>
      <c r="V108" s="354"/>
      <c r="W108" s="354"/>
      <c r="X108" s="354"/>
      <c r="Y108" s="354"/>
      <c r="Z108" s="354"/>
    </row>
    <row r="109" customFormat="false" ht="15" hidden="false" customHeight="true" outlineLevel="0" collapsed="false">
      <c r="A109" s="354"/>
      <c r="B109" s="354"/>
      <c r="C109" s="354"/>
      <c r="D109" s="354"/>
      <c r="E109" s="354"/>
      <c r="F109" s="354"/>
      <c r="G109" s="354"/>
      <c r="H109" s="354"/>
      <c r="I109" s="354"/>
      <c r="J109" s="354"/>
      <c r="K109" s="354"/>
      <c r="L109" s="354"/>
      <c r="M109" s="354"/>
      <c r="N109" s="354"/>
      <c r="O109" s="354"/>
      <c r="P109" s="354"/>
      <c r="Q109" s="354"/>
      <c r="R109" s="354"/>
      <c r="S109" s="354"/>
      <c r="T109" s="354"/>
      <c r="U109" s="354"/>
      <c r="V109" s="354"/>
      <c r="W109" s="354"/>
      <c r="X109" s="354"/>
      <c r="Y109" s="354"/>
      <c r="Z109" s="354"/>
    </row>
    <row r="110" customFormat="false" ht="15" hidden="false" customHeight="true" outlineLevel="0" collapsed="false">
      <c r="A110" s="354"/>
      <c r="B110" s="354"/>
      <c r="C110" s="354"/>
      <c r="D110" s="354"/>
      <c r="E110" s="354"/>
      <c r="F110" s="354"/>
      <c r="G110" s="354"/>
      <c r="H110" s="354"/>
      <c r="I110" s="354"/>
      <c r="J110" s="354"/>
      <c r="K110" s="354"/>
      <c r="L110" s="354"/>
      <c r="M110" s="354"/>
      <c r="N110" s="354"/>
      <c r="O110" s="354"/>
      <c r="P110" s="354"/>
      <c r="Q110" s="354"/>
      <c r="R110" s="354"/>
      <c r="S110" s="354"/>
      <c r="T110" s="354"/>
      <c r="U110" s="354"/>
      <c r="V110" s="354"/>
      <c r="W110" s="354"/>
      <c r="X110" s="354"/>
      <c r="Y110" s="354"/>
      <c r="Z110" s="354"/>
    </row>
    <row r="111" customFormat="false" ht="15" hidden="false" customHeight="true" outlineLevel="0" collapsed="false">
      <c r="A111" s="354"/>
      <c r="B111" s="354"/>
      <c r="C111" s="354"/>
      <c r="D111" s="354"/>
      <c r="E111" s="354"/>
      <c r="F111" s="354"/>
      <c r="G111" s="354"/>
      <c r="H111" s="354"/>
      <c r="I111" s="354"/>
      <c r="J111" s="354"/>
      <c r="K111" s="354"/>
      <c r="L111" s="354"/>
      <c r="M111" s="354"/>
      <c r="N111" s="354"/>
      <c r="O111" s="354"/>
      <c r="P111" s="354"/>
      <c r="Q111" s="354"/>
      <c r="R111" s="354"/>
      <c r="S111" s="354"/>
      <c r="T111" s="354"/>
      <c r="U111" s="354"/>
      <c r="V111" s="354"/>
      <c r="W111" s="354"/>
      <c r="X111" s="354"/>
      <c r="Y111" s="354"/>
      <c r="Z111" s="354"/>
    </row>
    <row r="112" customFormat="false" ht="15" hidden="false" customHeight="true" outlineLevel="0" collapsed="false">
      <c r="A112" s="354"/>
      <c r="B112" s="354"/>
      <c r="C112" s="354"/>
      <c r="D112" s="354"/>
      <c r="E112" s="354"/>
      <c r="F112" s="354"/>
      <c r="G112" s="354"/>
      <c r="H112" s="354"/>
      <c r="I112" s="354"/>
      <c r="J112" s="354"/>
      <c r="K112" s="354"/>
      <c r="L112" s="354"/>
      <c r="M112" s="354"/>
      <c r="N112" s="354"/>
      <c r="O112" s="354"/>
      <c r="P112" s="354"/>
      <c r="Q112" s="354"/>
      <c r="R112" s="354"/>
      <c r="S112" s="354"/>
      <c r="T112" s="354"/>
      <c r="U112" s="354"/>
      <c r="V112" s="354"/>
      <c r="W112" s="354"/>
      <c r="X112" s="354"/>
      <c r="Y112" s="354"/>
      <c r="Z112" s="354"/>
    </row>
    <row r="113" customFormat="false" ht="15" hidden="false" customHeight="true" outlineLevel="0" collapsed="false">
      <c r="A113" s="354"/>
      <c r="B113" s="354"/>
      <c r="C113" s="354"/>
      <c r="D113" s="354"/>
      <c r="E113" s="354"/>
      <c r="F113" s="354"/>
      <c r="G113" s="354"/>
      <c r="H113" s="354"/>
      <c r="I113" s="354"/>
      <c r="J113" s="354"/>
      <c r="K113" s="354"/>
      <c r="L113" s="354"/>
      <c r="M113" s="354"/>
      <c r="N113" s="354"/>
      <c r="O113" s="354"/>
      <c r="P113" s="354"/>
      <c r="Q113" s="354"/>
      <c r="R113" s="354"/>
      <c r="S113" s="354"/>
      <c r="T113" s="354"/>
      <c r="U113" s="354"/>
      <c r="V113" s="354"/>
      <c r="W113" s="354"/>
      <c r="X113" s="354"/>
      <c r="Y113" s="354"/>
      <c r="Z113" s="354"/>
    </row>
    <row r="114" customFormat="false" ht="15" hidden="false" customHeight="true" outlineLevel="0" collapsed="false">
      <c r="A114" s="354"/>
      <c r="B114" s="354"/>
      <c r="C114" s="354"/>
      <c r="D114" s="354"/>
      <c r="E114" s="354"/>
      <c r="F114" s="354"/>
      <c r="G114" s="354"/>
      <c r="H114" s="354"/>
      <c r="I114" s="354"/>
      <c r="J114" s="354"/>
      <c r="K114" s="354"/>
      <c r="L114" s="354"/>
      <c r="M114" s="354"/>
      <c r="N114" s="354"/>
      <c r="O114" s="354"/>
      <c r="P114" s="354"/>
      <c r="Q114" s="354"/>
      <c r="R114" s="354"/>
      <c r="S114" s="354"/>
      <c r="T114" s="354"/>
      <c r="U114" s="354"/>
      <c r="V114" s="354"/>
      <c r="W114" s="354"/>
      <c r="X114" s="354"/>
      <c r="Y114" s="354"/>
      <c r="Z114" s="354"/>
    </row>
    <row r="115" customFormat="false" ht="15" hidden="false" customHeight="true" outlineLevel="0" collapsed="false">
      <c r="A115" s="354"/>
      <c r="B115" s="354"/>
      <c r="C115" s="354"/>
      <c r="D115" s="354"/>
      <c r="E115" s="354"/>
      <c r="F115" s="354"/>
      <c r="G115" s="354"/>
      <c r="H115" s="354"/>
      <c r="I115" s="354"/>
      <c r="J115" s="354"/>
      <c r="K115" s="354"/>
      <c r="L115" s="354"/>
      <c r="M115" s="354"/>
      <c r="N115" s="354"/>
      <c r="O115" s="354"/>
      <c r="P115" s="354"/>
      <c r="Q115" s="354"/>
      <c r="R115" s="354"/>
      <c r="S115" s="354"/>
      <c r="T115" s="354"/>
      <c r="U115" s="354"/>
      <c r="V115" s="354"/>
      <c r="W115" s="354"/>
      <c r="X115" s="354"/>
      <c r="Y115" s="354"/>
      <c r="Z115" s="354"/>
    </row>
    <row r="116" customFormat="false" ht="15" hidden="false" customHeight="true" outlineLevel="0" collapsed="false">
      <c r="A116" s="354"/>
      <c r="B116" s="354"/>
      <c r="C116" s="354"/>
      <c r="D116" s="354"/>
      <c r="E116" s="354"/>
      <c r="F116" s="354"/>
      <c r="G116" s="354"/>
      <c r="H116" s="354"/>
      <c r="I116" s="354"/>
      <c r="J116" s="354"/>
      <c r="K116" s="354"/>
      <c r="L116" s="354"/>
      <c r="M116" s="354"/>
      <c r="N116" s="354"/>
      <c r="O116" s="354"/>
      <c r="P116" s="354"/>
      <c r="Q116" s="354"/>
      <c r="R116" s="354"/>
      <c r="S116" s="354"/>
      <c r="T116" s="354"/>
      <c r="U116" s="354"/>
      <c r="V116" s="354"/>
      <c r="W116" s="354"/>
      <c r="X116" s="354"/>
      <c r="Y116" s="354"/>
      <c r="Z116" s="354"/>
    </row>
    <row r="117" customFormat="false" ht="15" hidden="false" customHeight="true" outlineLevel="0" collapsed="false">
      <c r="A117" s="354"/>
      <c r="B117" s="354"/>
      <c r="C117" s="354"/>
      <c r="D117" s="354"/>
      <c r="E117" s="354"/>
      <c r="F117" s="354"/>
      <c r="G117" s="354"/>
      <c r="H117" s="354"/>
      <c r="I117" s="354"/>
      <c r="J117" s="354"/>
      <c r="K117" s="354"/>
      <c r="L117" s="354"/>
      <c r="M117" s="354"/>
      <c r="N117" s="354"/>
      <c r="O117" s="354"/>
      <c r="P117" s="354"/>
      <c r="Q117" s="354"/>
      <c r="R117" s="354"/>
      <c r="S117" s="354"/>
      <c r="T117" s="354"/>
      <c r="U117" s="354"/>
      <c r="V117" s="354"/>
      <c r="W117" s="354"/>
      <c r="X117" s="354"/>
      <c r="Y117" s="354"/>
      <c r="Z117" s="354"/>
    </row>
    <row r="118" customFormat="false" ht="15" hidden="false" customHeight="true" outlineLevel="0" collapsed="false">
      <c r="A118" s="354"/>
      <c r="B118" s="354"/>
      <c r="C118" s="354"/>
      <c r="D118" s="354"/>
      <c r="E118" s="354"/>
      <c r="F118" s="354"/>
      <c r="G118" s="354"/>
      <c r="H118" s="354"/>
      <c r="I118" s="354"/>
      <c r="J118" s="354"/>
      <c r="K118" s="354"/>
      <c r="L118" s="354"/>
      <c r="M118" s="354"/>
      <c r="N118" s="354"/>
      <c r="O118" s="354"/>
      <c r="P118" s="354"/>
      <c r="Q118" s="354"/>
      <c r="R118" s="354"/>
      <c r="S118" s="354"/>
      <c r="T118" s="354"/>
      <c r="U118" s="354"/>
      <c r="V118" s="354"/>
      <c r="W118" s="354"/>
      <c r="X118" s="354"/>
      <c r="Y118" s="354"/>
      <c r="Z118" s="354"/>
    </row>
    <row r="119" customFormat="false" ht="15" hidden="false" customHeight="true" outlineLevel="0" collapsed="false">
      <c r="A119" s="354"/>
      <c r="B119" s="354"/>
      <c r="C119" s="354"/>
      <c r="D119" s="354"/>
      <c r="E119" s="354"/>
      <c r="F119" s="354"/>
      <c r="G119" s="354"/>
      <c r="H119" s="354"/>
      <c r="I119" s="354"/>
      <c r="J119" s="354"/>
      <c r="K119" s="354"/>
      <c r="L119" s="354"/>
      <c r="M119" s="354"/>
      <c r="N119" s="354"/>
      <c r="O119" s="354"/>
      <c r="P119" s="354"/>
      <c r="Q119" s="354"/>
      <c r="R119" s="354"/>
      <c r="S119" s="354"/>
      <c r="T119" s="354"/>
      <c r="U119" s="354"/>
      <c r="V119" s="354"/>
      <c r="W119" s="354"/>
      <c r="X119" s="354"/>
      <c r="Y119" s="354"/>
      <c r="Z119" s="354"/>
    </row>
    <row r="120" customFormat="false" ht="15" hidden="false" customHeight="true" outlineLevel="0" collapsed="false">
      <c r="A120" s="354"/>
      <c r="B120" s="354"/>
      <c r="C120" s="354"/>
      <c r="D120" s="354"/>
      <c r="E120" s="354"/>
      <c r="F120" s="354"/>
      <c r="G120" s="354"/>
      <c r="H120" s="354"/>
      <c r="I120" s="354"/>
      <c r="J120" s="354"/>
      <c r="K120" s="354"/>
      <c r="L120" s="354"/>
      <c r="M120" s="354"/>
      <c r="N120" s="354"/>
      <c r="O120" s="354"/>
      <c r="P120" s="354"/>
      <c r="Q120" s="354"/>
      <c r="R120" s="354"/>
      <c r="S120" s="354"/>
      <c r="T120" s="354"/>
      <c r="U120" s="354"/>
      <c r="V120" s="354"/>
      <c r="W120" s="354"/>
      <c r="X120" s="354"/>
      <c r="Y120" s="354"/>
      <c r="Z120" s="354"/>
    </row>
    <row r="121" customFormat="false" ht="15" hidden="false" customHeight="true" outlineLevel="0" collapsed="false">
      <c r="A121" s="354"/>
      <c r="B121" s="354"/>
      <c r="C121" s="354"/>
      <c r="D121" s="354"/>
      <c r="E121" s="354"/>
      <c r="F121" s="354"/>
      <c r="G121" s="354"/>
      <c r="H121" s="354"/>
      <c r="I121" s="354"/>
      <c r="J121" s="354"/>
      <c r="K121" s="354"/>
      <c r="L121" s="354"/>
      <c r="M121" s="354"/>
      <c r="N121" s="354"/>
      <c r="O121" s="354"/>
      <c r="P121" s="354"/>
      <c r="Q121" s="354"/>
      <c r="R121" s="354"/>
      <c r="S121" s="354"/>
      <c r="T121" s="354"/>
      <c r="U121" s="354"/>
      <c r="V121" s="354"/>
      <c r="W121" s="354"/>
      <c r="X121" s="354"/>
      <c r="Y121" s="354"/>
      <c r="Z121" s="354"/>
    </row>
    <row r="122" customFormat="false" ht="15" hidden="false" customHeight="true" outlineLevel="0" collapsed="false">
      <c r="A122" s="354"/>
      <c r="B122" s="354"/>
      <c r="C122" s="354"/>
      <c r="D122" s="354"/>
      <c r="E122" s="354"/>
      <c r="F122" s="354"/>
      <c r="G122" s="354"/>
      <c r="H122" s="354"/>
      <c r="I122" s="354"/>
      <c r="J122" s="354"/>
      <c r="K122" s="354"/>
      <c r="L122" s="354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</row>
    <row r="123" customFormat="false" ht="15" hidden="false" customHeight="true" outlineLevel="0" collapsed="false">
      <c r="A123" s="354"/>
      <c r="B123" s="354"/>
      <c r="C123" s="354"/>
      <c r="D123" s="354"/>
      <c r="E123" s="354"/>
      <c r="F123" s="354"/>
      <c r="G123" s="354"/>
      <c r="H123" s="354"/>
      <c r="I123" s="354"/>
      <c r="J123" s="354"/>
      <c r="K123" s="354"/>
      <c r="L123" s="354"/>
      <c r="M123" s="354"/>
      <c r="N123" s="354"/>
      <c r="O123" s="354"/>
      <c r="P123" s="354"/>
      <c r="Q123" s="354"/>
      <c r="R123" s="354"/>
      <c r="S123" s="354"/>
      <c r="T123" s="354"/>
      <c r="U123" s="354"/>
      <c r="V123" s="354"/>
      <c r="W123" s="354"/>
      <c r="X123" s="354"/>
      <c r="Y123" s="354"/>
      <c r="Z123" s="354"/>
    </row>
    <row r="124" customFormat="false" ht="15" hidden="false" customHeight="true" outlineLevel="0" collapsed="false">
      <c r="A124" s="354"/>
      <c r="B124" s="354"/>
      <c r="C124" s="354"/>
      <c r="D124" s="354"/>
      <c r="E124" s="354"/>
      <c r="F124" s="354"/>
      <c r="G124" s="354"/>
      <c r="H124" s="354"/>
      <c r="I124" s="354"/>
      <c r="J124" s="354"/>
      <c r="K124" s="354"/>
      <c r="L124" s="354"/>
      <c r="M124" s="354"/>
      <c r="N124" s="354"/>
      <c r="O124" s="354"/>
      <c r="P124" s="354"/>
      <c r="Q124" s="354"/>
      <c r="R124" s="354"/>
      <c r="S124" s="354"/>
      <c r="T124" s="354"/>
      <c r="U124" s="354"/>
      <c r="V124" s="354"/>
      <c r="W124" s="354"/>
      <c r="X124" s="354"/>
      <c r="Y124" s="354"/>
      <c r="Z124" s="354"/>
    </row>
    <row r="125" customFormat="false" ht="15" hidden="false" customHeight="true" outlineLevel="0" collapsed="false">
      <c r="A125" s="354"/>
      <c r="B125" s="354"/>
      <c r="C125" s="354"/>
      <c r="D125" s="354"/>
      <c r="E125" s="354"/>
      <c r="F125" s="354"/>
      <c r="G125" s="354"/>
      <c r="H125" s="354"/>
      <c r="I125" s="354"/>
      <c r="J125" s="354"/>
      <c r="K125" s="354"/>
      <c r="L125" s="354"/>
      <c r="M125" s="354"/>
      <c r="N125" s="354"/>
      <c r="O125" s="354"/>
      <c r="P125" s="354"/>
      <c r="Q125" s="354"/>
      <c r="R125" s="354"/>
      <c r="S125" s="354"/>
      <c r="T125" s="354"/>
      <c r="U125" s="354"/>
      <c r="V125" s="354"/>
      <c r="W125" s="354"/>
      <c r="X125" s="354"/>
      <c r="Y125" s="354"/>
      <c r="Z125" s="354"/>
    </row>
    <row r="126" customFormat="false" ht="15" hidden="false" customHeight="true" outlineLevel="0" collapsed="false">
      <c r="A126" s="354"/>
      <c r="B126" s="354"/>
      <c r="C126" s="354"/>
      <c r="D126" s="354"/>
      <c r="E126" s="354"/>
      <c r="F126" s="354"/>
      <c r="G126" s="354"/>
      <c r="H126" s="354"/>
      <c r="I126" s="354"/>
      <c r="J126" s="354"/>
      <c r="K126" s="354"/>
      <c r="L126" s="354"/>
      <c r="M126" s="354"/>
      <c r="N126" s="354"/>
      <c r="O126" s="354"/>
      <c r="P126" s="354"/>
      <c r="Q126" s="354"/>
      <c r="R126" s="354"/>
      <c r="S126" s="354"/>
      <c r="T126" s="354"/>
      <c r="U126" s="354"/>
      <c r="V126" s="354"/>
      <c r="W126" s="354"/>
      <c r="X126" s="354"/>
      <c r="Y126" s="354"/>
      <c r="Z126" s="354"/>
    </row>
    <row r="127" customFormat="false" ht="15" hidden="false" customHeight="true" outlineLevel="0" collapsed="false">
      <c r="A127" s="354"/>
      <c r="B127" s="354"/>
      <c r="C127" s="354"/>
      <c r="D127" s="354"/>
      <c r="E127" s="354"/>
      <c r="F127" s="354"/>
      <c r="G127" s="354"/>
      <c r="H127" s="354"/>
      <c r="I127" s="354"/>
      <c r="J127" s="354"/>
      <c r="K127" s="354"/>
      <c r="L127" s="354"/>
      <c r="M127" s="354"/>
      <c r="N127" s="354"/>
      <c r="O127" s="354"/>
      <c r="P127" s="354"/>
      <c r="Q127" s="354"/>
      <c r="R127" s="354"/>
      <c r="S127" s="354"/>
      <c r="T127" s="354"/>
      <c r="U127" s="354"/>
      <c r="V127" s="354"/>
      <c r="W127" s="354"/>
      <c r="X127" s="354"/>
      <c r="Y127" s="354"/>
      <c r="Z127" s="354"/>
    </row>
    <row r="128" customFormat="false" ht="15" hidden="false" customHeight="true" outlineLevel="0" collapsed="false">
      <c r="A128" s="354"/>
      <c r="B128" s="354"/>
      <c r="C128" s="354"/>
      <c r="D128" s="354"/>
      <c r="E128" s="354"/>
      <c r="F128" s="354"/>
      <c r="G128" s="354"/>
      <c r="H128" s="354"/>
      <c r="I128" s="354"/>
      <c r="J128" s="354"/>
      <c r="K128" s="354"/>
      <c r="L128" s="354"/>
      <c r="M128" s="354"/>
      <c r="N128" s="354"/>
      <c r="O128" s="354"/>
      <c r="P128" s="354"/>
      <c r="Q128" s="354"/>
      <c r="R128" s="354"/>
      <c r="S128" s="354"/>
      <c r="T128" s="354"/>
      <c r="U128" s="354"/>
      <c r="V128" s="354"/>
      <c r="W128" s="354"/>
      <c r="X128" s="354"/>
      <c r="Y128" s="354"/>
      <c r="Z128" s="354"/>
    </row>
    <row r="129" customFormat="false" ht="15" hidden="false" customHeight="true" outlineLevel="0" collapsed="false">
      <c r="A129" s="354"/>
      <c r="B129" s="354"/>
      <c r="C129" s="354"/>
      <c r="D129" s="354"/>
      <c r="E129" s="354"/>
      <c r="F129" s="354"/>
      <c r="G129" s="354"/>
      <c r="H129" s="354"/>
      <c r="I129" s="354"/>
      <c r="J129" s="354"/>
      <c r="K129" s="354"/>
      <c r="L129" s="354"/>
      <c r="M129" s="354"/>
      <c r="N129" s="354"/>
      <c r="O129" s="354"/>
      <c r="P129" s="354"/>
      <c r="Q129" s="354"/>
      <c r="R129" s="354"/>
      <c r="S129" s="354"/>
      <c r="T129" s="354"/>
      <c r="U129" s="354"/>
      <c r="V129" s="354"/>
      <c r="W129" s="354"/>
      <c r="X129" s="354"/>
      <c r="Y129" s="354"/>
      <c r="Z129" s="354"/>
    </row>
    <row r="130" customFormat="false" ht="15" hidden="false" customHeight="true" outlineLevel="0" collapsed="false">
      <c r="A130" s="354"/>
      <c r="B130" s="354"/>
      <c r="C130" s="354"/>
      <c r="D130" s="354"/>
      <c r="E130" s="354"/>
      <c r="F130" s="354"/>
      <c r="G130" s="354"/>
      <c r="H130" s="354"/>
      <c r="I130" s="354"/>
      <c r="J130" s="354"/>
      <c r="K130" s="354"/>
      <c r="L130" s="354"/>
      <c r="M130" s="354"/>
      <c r="N130" s="354"/>
      <c r="O130" s="354"/>
      <c r="P130" s="354"/>
      <c r="Q130" s="354"/>
      <c r="R130" s="354"/>
      <c r="S130" s="354"/>
      <c r="T130" s="354"/>
      <c r="U130" s="354"/>
      <c r="V130" s="354"/>
      <c r="W130" s="354"/>
      <c r="X130" s="354"/>
      <c r="Y130" s="354"/>
      <c r="Z130" s="354"/>
    </row>
    <row r="131" customFormat="false" ht="15" hidden="false" customHeight="true" outlineLevel="0" collapsed="false">
      <c r="A131" s="354"/>
      <c r="B131" s="354"/>
      <c r="C131" s="354"/>
      <c r="D131" s="354"/>
      <c r="E131" s="354"/>
      <c r="F131" s="354"/>
      <c r="G131" s="354"/>
      <c r="H131" s="354"/>
      <c r="I131" s="354"/>
      <c r="J131" s="354"/>
      <c r="K131" s="354"/>
      <c r="L131" s="354"/>
      <c r="M131" s="354"/>
      <c r="N131" s="354"/>
      <c r="O131" s="354"/>
      <c r="P131" s="354"/>
      <c r="Q131" s="354"/>
      <c r="R131" s="354"/>
      <c r="S131" s="354"/>
      <c r="T131" s="354"/>
      <c r="U131" s="354"/>
      <c r="V131" s="354"/>
      <c r="W131" s="354"/>
      <c r="X131" s="354"/>
      <c r="Y131" s="354"/>
      <c r="Z131" s="354"/>
    </row>
    <row r="132" customFormat="false" ht="15" hidden="false" customHeight="true" outlineLevel="0" collapsed="false">
      <c r="A132" s="354"/>
      <c r="B132" s="354"/>
      <c r="C132" s="354"/>
      <c r="D132" s="354"/>
      <c r="E132" s="354"/>
      <c r="F132" s="354"/>
      <c r="G132" s="354"/>
      <c r="H132" s="354"/>
      <c r="I132" s="354"/>
      <c r="J132" s="354"/>
      <c r="K132" s="354"/>
      <c r="L132" s="354"/>
      <c r="M132" s="354"/>
      <c r="N132" s="354"/>
      <c r="O132" s="354"/>
      <c r="P132" s="354"/>
      <c r="Q132" s="354"/>
      <c r="R132" s="354"/>
      <c r="S132" s="354"/>
      <c r="T132" s="354"/>
      <c r="U132" s="354"/>
      <c r="V132" s="354"/>
      <c r="W132" s="354"/>
      <c r="X132" s="354"/>
      <c r="Y132" s="354"/>
      <c r="Z132" s="354"/>
    </row>
    <row r="133" customFormat="false" ht="15" hidden="false" customHeight="true" outlineLevel="0" collapsed="false">
      <c r="A133" s="354"/>
      <c r="B133" s="354"/>
      <c r="C133" s="354"/>
      <c r="D133" s="354"/>
      <c r="E133" s="354"/>
      <c r="F133" s="354"/>
      <c r="G133" s="354"/>
      <c r="H133" s="354"/>
      <c r="I133" s="354"/>
      <c r="J133" s="354"/>
      <c r="K133" s="354"/>
      <c r="L133" s="354"/>
      <c r="M133" s="354"/>
      <c r="N133" s="354"/>
      <c r="O133" s="354"/>
      <c r="P133" s="354"/>
      <c r="Q133" s="354"/>
      <c r="R133" s="354"/>
      <c r="S133" s="354"/>
      <c r="T133" s="354"/>
      <c r="U133" s="354"/>
      <c r="V133" s="354"/>
      <c r="W133" s="354"/>
      <c r="X133" s="354"/>
      <c r="Y133" s="354"/>
      <c r="Z133" s="354"/>
    </row>
    <row r="134" customFormat="false" ht="15" hidden="false" customHeight="true" outlineLevel="0" collapsed="false">
      <c r="A134" s="354"/>
      <c r="B134" s="354"/>
      <c r="C134" s="354"/>
      <c r="D134" s="354"/>
      <c r="E134" s="354"/>
      <c r="F134" s="354"/>
      <c r="G134" s="354"/>
      <c r="H134" s="354"/>
      <c r="I134" s="354"/>
      <c r="J134" s="354"/>
      <c r="K134" s="354"/>
      <c r="L134" s="354"/>
      <c r="M134" s="354"/>
      <c r="N134" s="354"/>
      <c r="O134" s="354"/>
      <c r="P134" s="354"/>
      <c r="Q134" s="354"/>
      <c r="R134" s="354"/>
      <c r="S134" s="354"/>
      <c r="T134" s="354"/>
      <c r="U134" s="354"/>
      <c r="V134" s="354"/>
      <c r="W134" s="354"/>
      <c r="X134" s="354"/>
      <c r="Y134" s="354"/>
      <c r="Z134" s="354"/>
    </row>
    <row r="135" customFormat="false" ht="15" hidden="false" customHeight="true" outlineLevel="0" collapsed="false">
      <c r="A135" s="354"/>
      <c r="B135" s="354"/>
      <c r="C135" s="354"/>
      <c r="D135" s="354"/>
      <c r="E135" s="354"/>
      <c r="F135" s="354"/>
      <c r="G135" s="354"/>
      <c r="H135" s="354"/>
      <c r="I135" s="354"/>
      <c r="J135" s="354"/>
      <c r="K135" s="354"/>
      <c r="L135" s="354"/>
      <c r="M135" s="354"/>
      <c r="N135" s="354"/>
      <c r="O135" s="354"/>
      <c r="P135" s="354"/>
      <c r="Q135" s="354"/>
      <c r="R135" s="354"/>
      <c r="S135" s="354"/>
      <c r="T135" s="354"/>
      <c r="U135" s="354"/>
      <c r="V135" s="354"/>
      <c r="W135" s="354"/>
      <c r="X135" s="354"/>
      <c r="Y135" s="354"/>
      <c r="Z135" s="354"/>
    </row>
    <row r="136" customFormat="false" ht="15" hidden="false" customHeight="true" outlineLevel="0" collapsed="false">
      <c r="A136" s="354"/>
      <c r="B136" s="354"/>
      <c r="C136" s="354"/>
      <c r="D136" s="354"/>
      <c r="E136" s="354"/>
      <c r="F136" s="354"/>
      <c r="G136" s="354"/>
      <c r="H136" s="354"/>
      <c r="I136" s="354"/>
      <c r="J136" s="354"/>
      <c r="K136" s="354"/>
      <c r="L136" s="354"/>
      <c r="M136" s="354"/>
      <c r="N136" s="354"/>
      <c r="O136" s="354"/>
      <c r="P136" s="354"/>
      <c r="Q136" s="354"/>
      <c r="R136" s="354"/>
      <c r="S136" s="354"/>
      <c r="T136" s="354"/>
      <c r="U136" s="354"/>
      <c r="V136" s="354"/>
      <c r="W136" s="354"/>
      <c r="X136" s="354"/>
      <c r="Y136" s="354"/>
      <c r="Z136" s="354"/>
    </row>
    <row r="137" customFormat="false" ht="15" hidden="false" customHeight="true" outlineLevel="0" collapsed="false">
      <c r="A137" s="354"/>
      <c r="B137" s="354"/>
      <c r="C137" s="354"/>
      <c r="D137" s="354"/>
      <c r="E137" s="354"/>
      <c r="F137" s="354"/>
      <c r="G137" s="354"/>
      <c r="H137" s="354"/>
      <c r="I137" s="354"/>
      <c r="J137" s="354"/>
      <c r="K137" s="354"/>
      <c r="L137" s="354"/>
      <c r="M137" s="354"/>
      <c r="N137" s="354"/>
      <c r="O137" s="354"/>
      <c r="P137" s="354"/>
      <c r="Q137" s="354"/>
      <c r="R137" s="354"/>
      <c r="S137" s="354"/>
      <c r="T137" s="354"/>
      <c r="U137" s="354"/>
      <c r="V137" s="354"/>
      <c r="W137" s="354"/>
      <c r="X137" s="354"/>
      <c r="Y137" s="354"/>
      <c r="Z137" s="354"/>
    </row>
    <row r="138" customFormat="false" ht="15" hidden="false" customHeight="true" outlineLevel="0" collapsed="false">
      <c r="A138" s="354"/>
      <c r="B138" s="354"/>
      <c r="C138" s="354"/>
      <c r="D138" s="354"/>
      <c r="E138" s="354"/>
      <c r="F138" s="354"/>
      <c r="G138" s="354"/>
      <c r="H138" s="354"/>
      <c r="I138" s="354"/>
      <c r="J138" s="354"/>
      <c r="K138" s="354"/>
      <c r="L138" s="354"/>
      <c r="M138" s="354"/>
      <c r="N138" s="354"/>
      <c r="O138" s="354"/>
      <c r="P138" s="354"/>
      <c r="Q138" s="354"/>
      <c r="R138" s="354"/>
      <c r="S138" s="354"/>
      <c r="T138" s="354"/>
      <c r="U138" s="354"/>
      <c r="V138" s="354"/>
      <c r="W138" s="354"/>
      <c r="X138" s="354"/>
      <c r="Y138" s="354"/>
      <c r="Z138" s="354"/>
    </row>
    <row r="139" customFormat="false" ht="15" hidden="false" customHeight="true" outlineLevel="0" collapsed="false">
      <c r="A139" s="354"/>
      <c r="B139" s="354"/>
      <c r="C139" s="354"/>
      <c r="D139" s="354"/>
      <c r="E139" s="354"/>
      <c r="F139" s="354"/>
      <c r="G139" s="354"/>
      <c r="H139" s="354"/>
      <c r="I139" s="354"/>
      <c r="J139" s="354"/>
      <c r="K139" s="354"/>
      <c r="L139" s="354"/>
      <c r="M139" s="354"/>
      <c r="N139" s="354"/>
      <c r="O139" s="354"/>
      <c r="P139" s="354"/>
      <c r="Q139" s="354"/>
      <c r="R139" s="354"/>
      <c r="S139" s="354"/>
      <c r="T139" s="354"/>
      <c r="U139" s="354"/>
      <c r="V139" s="354"/>
      <c r="W139" s="354"/>
      <c r="X139" s="354"/>
      <c r="Y139" s="354"/>
      <c r="Z139" s="354"/>
    </row>
    <row r="140" customFormat="false" ht="15" hidden="false" customHeight="true" outlineLevel="0" collapsed="false">
      <c r="A140" s="354"/>
      <c r="B140" s="354"/>
      <c r="C140" s="354"/>
      <c r="D140" s="354"/>
      <c r="E140" s="354"/>
      <c r="F140" s="354"/>
      <c r="G140" s="354"/>
      <c r="H140" s="354"/>
      <c r="I140" s="354"/>
      <c r="J140" s="354"/>
      <c r="K140" s="354"/>
      <c r="L140" s="354"/>
      <c r="M140" s="354"/>
      <c r="N140" s="354"/>
      <c r="O140" s="354"/>
      <c r="P140" s="354"/>
      <c r="Q140" s="354"/>
      <c r="R140" s="354"/>
      <c r="S140" s="354"/>
      <c r="T140" s="354"/>
      <c r="U140" s="354"/>
      <c r="V140" s="354"/>
      <c r="W140" s="354"/>
      <c r="X140" s="354"/>
      <c r="Y140" s="354"/>
      <c r="Z140" s="354"/>
    </row>
    <row r="141" customFormat="false" ht="15" hidden="false" customHeight="true" outlineLevel="0" collapsed="false">
      <c r="A141" s="354"/>
      <c r="B141" s="354"/>
      <c r="C141" s="354"/>
      <c r="D141" s="354"/>
      <c r="E141" s="354"/>
      <c r="F141" s="354"/>
      <c r="G141" s="354"/>
      <c r="H141" s="354"/>
      <c r="I141" s="354"/>
      <c r="J141" s="354"/>
      <c r="K141" s="354"/>
      <c r="L141" s="354"/>
      <c r="M141" s="354"/>
      <c r="N141" s="354"/>
      <c r="O141" s="354"/>
      <c r="P141" s="354"/>
      <c r="Q141" s="354"/>
      <c r="R141" s="354"/>
      <c r="S141" s="354"/>
      <c r="T141" s="354"/>
      <c r="U141" s="354"/>
      <c r="V141" s="354"/>
      <c r="W141" s="354"/>
      <c r="X141" s="354"/>
      <c r="Y141" s="354"/>
      <c r="Z141" s="354"/>
    </row>
    <row r="142" customFormat="false" ht="15" hidden="false" customHeight="true" outlineLevel="0" collapsed="false">
      <c r="A142" s="354"/>
      <c r="B142" s="354"/>
      <c r="C142" s="354"/>
      <c r="D142" s="354"/>
      <c r="E142" s="354"/>
      <c r="F142" s="354"/>
      <c r="G142" s="354"/>
      <c r="H142" s="354"/>
      <c r="I142" s="354"/>
      <c r="J142" s="354"/>
      <c r="K142" s="354"/>
      <c r="L142" s="354"/>
      <c r="M142" s="354"/>
      <c r="N142" s="354"/>
      <c r="O142" s="354"/>
      <c r="P142" s="354"/>
      <c r="Q142" s="354"/>
      <c r="R142" s="354"/>
      <c r="S142" s="354"/>
      <c r="T142" s="354"/>
      <c r="U142" s="354"/>
      <c r="V142" s="354"/>
      <c r="W142" s="354"/>
      <c r="X142" s="354"/>
      <c r="Y142" s="354"/>
      <c r="Z142" s="354"/>
    </row>
    <row r="143" customFormat="false" ht="15" hidden="false" customHeight="true" outlineLevel="0" collapsed="false">
      <c r="A143" s="354"/>
      <c r="B143" s="354"/>
      <c r="C143" s="354"/>
      <c r="D143" s="354"/>
      <c r="E143" s="354"/>
      <c r="F143" s="354"/>
      <c r="G143" s="354"/>
      <c r="H143" s="354"/>
      <c r="I143" s="354"/>
      <c r="J143" s="354"/>
      <c r="K143" s="354"/>
      <c r="L143" s="354"/>
      <c r="M143" s="354"/>
      <c r="N143" s="354"/>
      <c r="O143" s="354"/>
      <c r="P143" s="354"/>
      <c r="Q143" s="354"/>
      <c r="R143" s="354"/>
      <c r="S143" s="354"/>
      <c r="T143" s="354"/>
      <c r="U143" s="354"/>
      <c r="V143" s="354"/>
      <c r="W143" s="354"/>
      <c r="X143" s="354"/>
      <c r="Y143" s="354"/>
      <c r="Z143" s="354"/>
    </row>
    <row r="144" customFormat="false" ht="15" hidden="false" customHeight="true" outlineLevel="0" collapsed="false">
      <c r="A144" s="354"/>
      <c r="B144" s="354"/>
      <c r="C144" s="354"/>
      <c r="D144" s="354"/>
      <c r="E144" s="354"/>
      <c r="F144" s="354"/>
      <c r="G144" s="354"/>
      <c r="H144" s="354"/>
      <c r="I144" s="354"/>
      <c r="J144" s="354"/>
      <c r="K144" s="354"/>
      <c r="L144" s="354"/>
      <c r="M144" s="354"/>
      <c r="N144" s="354"/>
      <c r="O144" s="354"/>
      <c r="P144" s="354"/>
      <c r="Q144" s="354"/>
      <c r="R144" s="354"/>
      <c r="S144" s="354"/>
      <c r="T144" s="354"/>
      <c r="U144" s="354"/>
      <c r="V144" s="354"/>
      <c r="W144" s="354"/>
      <c r="X144" s="354"/>
      <c r="Y144" s="354"/>
      <c r="Z144" s="354"/>
    </row>
    <row r="145" customFormat="false" ht="15" hidden="false" customHeight="true" outlineLevel="0" collapsed="false">
      <c r="A145" s="354"/>
      <c r="B145" s="354"/>
      <c r="C145" s="354"/>
      <c r="D145" s="354"/>
      <c r="E145" s="354"/>
      <c r="F145" s="354"/>
      <c r="G145" s="354"/>
      <c r="H145" s="354"/>
      <c r="I145" s="354"/>
      <c r="J145" s="354"/>
      <c r="K145" s="354"/>
      <c r="L145" s="354"/>
      <c r="M145" s="354"/>
      <c r="N145" s="354"/>
      <c r="O145" s="354"/>
      <c r="P145" s="354"/>
      <c r="Q145" s="354"/>
      <c r="R145" s="354"/>
      <c r="S145" s="354"/>
      <c r="T145" s="354"/>
      <c r="U145" s="354"/>
      <c r="V145" s="354"/>
      <c r="W145" s="354"/>
      <c r="X145" s="354"/>
      <c r="Y145" s="354"/>
      <c r="Z145" s="354"/>
    </row>
    <row r="146" customFormat="false" ht="15" hidden="false" customHeight="true" outlineLevel="0" collapsed="false">
      <c r="A146" s="354"/>
      <c r="B146" s="354"/>
      <c r="C146" s="354"/>
      <c r="D146" s="354"/>
      <c r="E146" s="354"/>
      <c r="F146" s="354"/>
      <c r="G146" s="354"/>
      <c r="H146" s="354"/>
      <c r="I146" s="354"/>
      <c r="J146" s="354"/>
      <c r="K146" s="354"/>
      <c r="L146" s="354"/>
      <c r="M146" s="354"/>
      <c r="N146" s="354"/>
      <c r="O146" s="354"/>
      <c r="P146" s="354"/>
      <c r="Q146" s="354"/>
      <c r="R146" s="354"/>
      <c r="S146" s="354"/>
      <c r="T146" s="354"/>
      <c r="U146" s="354"/>
      <c r="V146" s="354"/>
      <c r="W146" s="354"/>
      <c r="X146" s="354"/>
      <c r="Y146" s="354"/>
      <c r="Z146" s="354"/>
    </row>
    <row r="147" customFormat="false" ht="15" hidden="false" customHeight="true" outlineLevel="0" collapsed="false">
      <c r="A147" s="354"/>
      <c r="B147" s="354"/>
      <c r="C147" s="354"/>
      <c r="D147" s="354"/>
      <c r="E147" s="354"/>
      <c r="F147" s="354"/>
      <c r="G147" s="354"/>
      <c r="H147" s="354"/>
      <c r="I147" s="354"/>
      <c r="J147" s="354"/>
      <c r="K147" s="354"/>
      <c r="L147" s="354"/>
      <c r="M147" s="354"/>
      <c r="N147" s="354"/>
      <c r="O147" s="354"/>
      <c r="P147" s="354"/>
      <c r="Q147" s="354"/>
      <c r="R147" s="354"/>
      <c r="S147" s="354"/>
      <c r="T147" s="354"/>
      <c r="U147" s="354"/>
      <c r="V147" s="354"/>
      <c r="W147" s="354"/>
      <c r="X147" s="354"/>
      <c r="Y147" s="354"/>
      <c r="Z147" s="354"/>
    </row>
    <row r="148" customFormat="false" ht="15" hidden="false" customHeight="true" outlineLevel="0" collapsed="false">
      <c r="A148" s="354"/>
      <c r="B148" s="354"/>
      <c r="C148" s="354"/>
      <c r="D148" s="354"/>
      <c r="E148" s="354"/>
      <c r="F148" s="354"/>
      <c r="G148" s="354"/>
      <c r="H148" s="354"/>
      <c r="I148" s="354"/>
      <c r="J148" s="354"/>
      <c r="K148" s="354"/>
      <c r="L148" s="354"/>
      <c r="M148" s="354"/>
      <c r="N148" s="354"/>
      <c r="O148" s="354"/>
      <c r="P148" s="354"/>
      <c r="Q148" s="354"/>
      <c r="R148" s="354"/>
      <c r="S148" s="354"/>
      <c r="T148" s="354"/>
      <c r="U148" s="354"/>
      <c r="V148" s="354"/>
      <c r="W148" s="354"/>
      <c r="X148" s="354"/>
      <c r="Y148" s="354"/>
      <c r="Z148" s="354"/>
    </row>
    <row r="149" customFormat="false" ht="15" hidden="false" customHeight="true" outlineLevel="0" collapsed="false">
      <c r="A149" s="354"/>
      <c r="B149" s="354"/>
      <c r="C149" s="354"/>
      <c r="D149" s="354"/>
      <c r="E149" s="354"/>
      <c r="F149" s="354"/>
      <c r="G149" s="354"/>
      <c r="H149" s="354"/>
      <c r="I149" s="354"/>
      <c r="J149" s="354"/>
      <c r="K149" s="354"/>
      <c r="L149" s="354"/>
      <c r="M149" s="354"/>
      <c r="N149" s="354"/>
      <c r="O149" s="354"/>
      <c r="P149" s="354"/>
      <c r="Q149" s="354"/>
      <c r="R149" s="354"/>
      <c r="S149" s="354"/>
      <c r="T149" s="354"/>
      <c r="U149" s="354"/>
      <c r="V149" s="354"/>
      <c r="W149" s="354"/>
      <c r="X149" s="354"/>
      <c r="Y149" s="354"/>
      <c r="Z149" s="354"/>
    </row>
    <row r="150" customFormat="false" ht="15" hidden="false" customHeight="true" outlineLevel="0" collapsed="false">
      <c r="A150" s="354"/>
      <c r="B150" s="354"/>
      <c r="C150" s="354"/>
      <c r="D150" s="354"/>
      <c r="E150" s="354"/>
      <c r="F150" s="354"/>
      <c r="G150" s="354"/>
      <c r="H150" s="354"/>
      <c r="I150" s="354"/>
      <c r="J150" s="354"/>
      <c r="K150" s="354"/>
      <c r="L150" s="354"/>
      <c r="M150" s="354"/>
      <c r="N150" s="354"/>
      <c r="O150" s="354"/>
      <c r="P150" s="354"/>
      <c r="Q150" s="354"/>
      <c r="R150" s="354"/>
      <c r="S150" s="354"/>
      <c r="T150" s="354"/>
      <c r="U150" s="354"/>
      <c r="V150" s="354"/>
      <c r="W150" s="354"/>
      <c r="X150" s="354"/>
      <c r="Y150" s="354"/>
      <c r="Z150" s="354"/>
    </row>
    <row r="151" customFormat="false" ht="15" hidden="false" customHeight="true" outlineLevel="0" collapsed="false">
      <c r="A151" s="354"/>
      <c r="B151" s="354"/>
      <c r="C151" s="354"/>
      <c r="D151" s="354"/>
      <c r="E151" s="354"/>
      <c r="F151" s="354"/>
      <c r="G151" s="354"/>
      <c r="H151" s="354"/>
      <c r="I151" s="354"/>
      <c r="J151" s="354"/>
      <c r="K151" s="354"/>
      <c r="L151" s="354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</row>
    <row r="152" customFormat="false" ht="15" hidden="false" customHeight="true" outlineLevel="0" collapsed="false">
      <c r="A152" s="354"/>
      <c r="B152" s="354"/>
      <c r="C152" s="354"/>
      <c r="D152" s="354"/>
      <c r="E152" s="354"/>
      <c r="F152" s="354"/>
      <c r="G152" s="354"/>
      <c r="H152" s="354"/>
      <c r="I152" s="354"/>
      <c r="J152" s="354"/>
      <c r="K152" s="354"/>
      <c r="L152" s="354"/>
      <c r="M152" s="354"/>
      <c r="N152" s="354"/>
      <c r="O152" s="354"/>
      <c r="P152" s="354"/>
      <c r="Q152" s="354"/>
      <c r="R152" s="354"/>
      <c r="S152" s="354"/>
      <c r="T152" s="354"/>
      <c r="U152" s="354"/>
      <c r="V152" s="354"/>
      <c r="W152" s="354"/>
      <c r="X152" s="354"/>
      <c r="Y152" s="354"/>
      <c r="Z152" s="354"/>
    </row>
    <row r="153" customFormat="false" ht="15" hidden="false" customHeight="true" outlineLevel="0" collapsed="false">
      <c r="A153" s="354"/>
      <c r="B153" s="354"/>
      <c r="C153" s="354"/>
      <c r="D153" s="354"/>
      <c r="E153" s="354"/>
      <c r="F153" s="354"/>
      <c r="G153" s="354"/>
      <c r="H153" s="354"/>
      <c r="I153" s="354"/>
      <c r="J153" s="354"/>
      <c r="K153" s="354"/>
      <c r="L153" s="354"/>
      <c r="M153" s="354"/>
      <c r="N153" s="354"/>
      <c r="O153" s="354"/>
      <c r="P153" s="354"/>
      <c r="Q153" s="354"/>
      <c r="R153" s="354"/>
      <c r="S153" s="354"/>
      <c r="T153" s="354"/>
      <c r="U153" s="354"/>
      <c r="V153" s="354"/>
      <c r="W153" s="354"/>
      <c r="X153" s="354"/>
      <c r="Y153" s="354"/>
      <c r="Z153" s="354"/>
    </row>
    <row r="154" customFormat="false" ht="15" hidden="false" customHeight="true" outlineLevel="0" collapsed="false">
      <c r="A154" s="354"/>
      <c r="B154" s="354"/>
      <c r="C154" s="354"/>
      <c r="D154" s="354"/>
      <c r="E154" s="354"/>
      <c r="F154" s="354"/>
      <c r="G154" s="354"/>
      <c r="H154" s="354"/>
      <c r="I154" s="354"/>
      <c r="J154" s="354"/>
      <c r="K154" s="354"/>
      <c r="L154" s="354"/>
      <c r="M154" s="354"/>
      <c r="N154" s="354"/>
      <c r="O154" s="354"/>
      <c r="P154" s="354"/>
      <c r="Q154" s="354"/>
      <c r="R154" s="354"/>
      <c r="S154" s="354"/>
      <c r="T154" s="354"/>
      <c r="U154" s="354"/>
      <c r="V154" s="354"/>
      <c r="W154" s="354"/>
      <c r="X154" s="354"/>
      <c r="Y154" s="354"/>
      <c r="Z154" s="354"/>
    </row>
    <row r="155" customFormat="false" ht="15" hidden="false" customHeight="true" outlineLevel="0" collapsed="false">
      <c r="A155" s="354"/>
      <c r="B155" s="354"/>
      <c r="C155" s="354"/>
      <c r="D155" s="354"/>
      <c r="E155" s="354"/>
      <c r="F155" s="354"/>
      <c r="G155" s="354"/>
      <c r="H155" s="354"/>
      <c r="I155" s="354"/>
      <c r="J155" s="354"/>
      <c r="K155" s="354"/>
      <c r="L155" s="354"/>
      <c r="M155" s="354"/>
      <c r="N155" s="354"/>
      <c r="O155" s="354"/>
      <c r="P155" s="354"/>
      <c r="Q155" s="354"/>
      <c r="R155" s="354"/>
      <c r="S155" s="354"/>
      <c r="T155" s="354"/>
      <c r="U155" s="354"/>
      <c r="V155" s="354"/>
      <c r="W155" s="354"/>
      <c r="X155" s="354"/>
      <c r="Y155" s="354"/>
      <c r="Z155" s="354"/>
    </row>
    <row r="156" customFormat="false" ht="15" hidden="false" customHeight="true" outlineLevel="0" collapsed="false">
      <c r="A156" s="354"/>
      <c r="B156" s="354"/>
      <c r="C156" s="354"/>
      <c r="D156" s="354"/>
      <c r="E156" s="354"/>
      <c r="F156" s="354"/>
      <c r="G156" s="354"/>
      <c r="H156" s="354"/>
      <c r="I156" s="354"/>
      <c r="J156" s="354"/>
      <c r="K156" s="354"/>
      <c r="L156" s="354"/>
      <c r="M156" s="354"/>
      <c r="N156" s="354"/>
      <c r="O156" s="354"/>
      <c r="P156" s="354"/>
      <c r="Q156" s="354"/>
      <c r="R156" s="354"/>
      <c r="S156" s="354"/>
      <c r="T156" s="354"/>
      <c r="U156" s="354"/>
      <c r="V156" s="354"/>
      <c r="W156" s="354"/>
      <c r="X156" s="354"/>
      <c r="Y156" s="354"/>
      <c r="Z156" s="354"/>
    </row>
    <row r="157" customFormat="false" ht="15" hidden="false" customHeight="true" outlineLevel="0" collapsed="false">
      <c r="A157" s="354"/>
      <c r="B157" s="354"/>
      <c r="C157" s="354"/>
      <c r="D157" s="354"/>
      <c r="E157" s="354"/>
      <c r="F157" s="354"/>
      <c r="G157" s="354"/>
      <c r="H157" s="354"/>
      <c r="I157" s="354"/>
      <c r="J157" s="354"/>
      <c r="K157" s="354"/>
      <c r="L157" s="354"/>
      <c r="M157" s="354"/>
      <c r="N157" s="354"/>
      <c r="O157" s="354"/>
      <c r="P157" s="354"/>
      <c r="Q157" s="354"/>
      <c r="R157" s="354"/>
      <c r="S157" s="354"/>
      <c r="T157" s="354"/>
      <c r="U157" s="354"/>
      <c r="V157" s="354"/>
      <c r="W157" s="354"/>
      <c r="X157" s="354"/>
      <c r="Y157" s="354"/>
      <c r="Z157" s="354"/>
    </row>
    <row r="158" customFormat="false" ht="15" hidden="false" customHeight="true" outlineLevel="0" collapsed="false">
      <c r="A158" s="354"/>
      <c r="B158" s="354"/>
      <c r="C158" s="354"/>
      <c r="D158" s="354"/>
      <c r="E158" s="354"/>
      <c r="F158" s="354"/>
      <c r="G158" s="354"/>
      <c r="H158" s="354"/>
      <c r="I158" s="354"/>
      <c r="J158" s="354"/>
      <c r="K158" s="354"/>
      <c r="L158" s="354"/>
      <c r="M158" s="354"/>
      <c r="N158" s="354"/>
      <c r="O158" s="354"/>
      <c r="P158" s="354"/>
      <c r="Q158" s="354"/>
      <c r="R158" s="354"/>
      <c r="S158" s="354"/>
      <c r="T158" s="354"/>
      <c r="U158" s="354"/>
      <c r="V158" s="354"/>
      <c r="W158" s="354"/>
      <c r="X158" s="354"/>
      <c r="Y158" s="354"/>
      <c r="Z158" s="354"/>
    </row>
    <row r="159" customFormat="false" ht="15" hidden="false" customHeight="true" outlineLevel="0" collapsed="false">
      <c r="A159" s="354"/>
      <c r="B159" s="354"/>
      <c r="C159" s="354"/>
      <c r="D159" s="354"/>
      <c r="E159" s="354"/>
      <c r="F159" s="354"/>
      <c r="G159" s="354"/>
      <c r="H159" s="354"/>
      <c r="I159" s="354"/>
      <c r="J159" s="354"/>
      <c r="K159" s="354"/>
      <c r="L159" s="354"/>
      <c r="M159" s="354"/>
      <c r="N159" s="354"/>
      <c r="O159" s="354"/>
      <c r="P159" s="354"/>
      <c r="Q159" s="354"/>
      <c r="R159" s="354"/>
      <c r="S159" s="354"/>
      <c r="T159" s="354"/>
      <c r="U159" s="354"/>
      <c r="V159" s="354"/>
      <c r="W159" s="354"/>
      <c r="X159" s="354"/>
      <c r="Y159" s="354"/>
      <c r="Z159" s="354"/>
    </row>
    <row r="160" customFormat="false" ht="15" hidden="false" customHeight="true" outlineLevel="0" collapsed="false">
      <c r="A160" s="354"/>
      <c r="B160" s="354"/>
      <c r="C160" s="354"/>
      <c r="D160" s="354"/>
      <c r="E160" s="354"/>
      <c r="F160" s="354"/>
      <c r="G160" s="354"/>
      <c r="H160" s="354"/>
      <c r="I160" s="354"/>
      <c r="J160" s="354"/>
      <c r="K160" s="354"/>
      <c r="L160" s="354"/>
      <c r="M160" s="354"/>
      <c r="N160" s="354"/>
      <c r="O160" s="354"/>
      <c r="P160" s="354"/>
      <c r="Q160" s="354"/>
      <c r="R160" s="354"/>
      <c r="S160" s="354"/>
      <c r="T160" s="354"/>
      <c r="U160" s="354"/>
      <c r="V160" s="354"/>
      <c r="W160" s="354"/>
      <c r="X160" s="354"/>
      <c r="Y160" s="354"/>
      <c r="Z160" s="354"/>
    </row>
    <row r="161" customFormat="false" ht="15" hidden="false" customHeight="true" outlineLevel="0" collapsed="false">
      <c r="A161" s="354"/>
      <c r="B161" s="354"/>
      <c r="C161" s="354"/>
      <c r="D161" s="354"/>
      <c r="E161" s="354"/>
      <c r="F161" s="354"/>
      <c r="G161" s="354"/>
      <c r="H161" s="354"/>
      <c r="I161" s="354"/>
      <c r="J161" s="354"/>
      <c r="K161" s="354"/>
      <c r="L161" s="354"/>
      <c r="M161" s="354"/>
      <c r="N161" s="354"/>
      <c r="O161" s="354"/>
      <c r="P161" s="354"/>
      <c r="Q161" s="354"/>
      <c r="R161" s="354"/>
      <c r="S161" s="354"/>
      <c r="T161" s="354"/>
      <c r="U161" s="354"/>
      <c r="V161" s="354"/>
      <c r="W161" s="354"/>
      <c r="X161" s="354"/>
      <c r="Y161" s="354"/>
      <c r="Z161" s="354"/>
    </row>
    <row r="162" customFormat="false" ht="15" hidden="false" customHeight="true" outlineLevel="0" collapsed="false">
      <c r="A162" s="354"/>
      <c r="B162" s="354"/>
      <c r="C162" s="354"/>
      <c r="D162" s="354"/>
      <c r="E162" s="354"/>
      <c r="F162" s="354"/>
      <c r="G162" s="354"/>
      <c r="H162" s="354"/>
      <c r="I162" s="354"/>
      <c r="J162" s="354"/>
      <c r="K162" s="354"/>
      <c r="L162" s="354"/>
      <c r="M162" s="354"/>
      <c r="N162" s="354"/>
      <c r="O162" s="354"/>
      <c r="P162" s="354"/>
      <c r="Q162" s="354"/>
      <c r="R162" s="354"/>
      <c r="S162" s="354"/>
      <c r="T162" s="354"/>
      <c r="U162" s="354"/>
      <c r="V162" s="354"/>
      <c r="W162" s="354"/>
      <c r="X162" s="354"/>
      <c r="Y162" s="354"/>
      <c r="Z162" s="354"/>
    </row>
    <row r="163" customFormat="false" ht="15" hidden="false" customHeight="true" outlineLevel="0" collapsed="false">
      <c r="A163" s="354"/>
      <c r="B163" s="354"/>
      <c r="C163" s="354"/>
      <c r="D163" s="354"/>
      <c r="E163" s="354"/>
      <c r="F163" s="354"/>
      <c r="G163" s="354"/>
      <c r="H163" s="354"/>
      <c r="I163" s="354"/>
      <c r="J163" s="354"/>
      <c r="K163" s="354"/>
      <c r="L163" s="354"/>
      <c r="M163" s="354"/>
      <c r="N163" s="354"/>
      <c r="O163" s="354"/>
      <c r="P163" s="354"/>
      <c r="Q163" s="354"/>
      <c r="R163" s="354"/>
      <c r="S163" s="354"/>
      <c r="T163" s="354"/>
      <c r="U163" s="354"/>
      <c r="V163" s="354"/>
      <c r="W163" s="354"/>
      <c r="X163" s="354"/>
      <c r="Y163" s="354"/>
      <c r="Z163" s="354"/>
    </row>
    <row r="164" customFormat="false" ht="15" hidden="false" customHeight="true" outlineLevel="0" collapsed="false">
      <c r="A164" s="354"/>
      <c r="B164" s="354"/>
      <c r="C164" s="354"/>
      <c r="D164" s="354"/>
      <c r="E164" s="354"/>
      <c r="F164" s="354"/>
      <c r="G164" s="354"/>
      <c r="H164" s="354"/>
      <c r="I164" s="354"/>
      <c r="J164" s="354"/>
      <c r="K164" s="354"/>
      <c r="L164" s="354"/>
      <c r="M164" s="354"/>
      <c r="N164" s="354"/>
      <c r="O164" s="354"/>
      <c r="P164" s="354"/>
      <c r="Q164" s="354"/>
      <c r="R164" s="354"/>
      <c r="S164" s="354"/>
      <c r="T164" s="354"/>
      <c r="U164" s="354"/>
      <c r="V164" s="354"/>
      <c r="W164" s="354"/>
      <c r="X164" s="354"/>
      <c r="Y164" s="354"/>
      <c r="Z164" s="354"/>
    </row>
    <row r="165" customFormat="false" ht="15" hidden="false" customHeight="true" outlineLevel="0" collapsed="false">
      <c r="A165" s="354"/>
      <c r="B165" s="354"/>
      <c r="C165" s="354"/>
      <c r="D165" s="354"/>
      <c r="E165" s="354"/>
      <c r="F165" s="354"/>
      <c r="G165" s="354"/>
      <c r="H165" s="354"/>
      <c r="I165" s="354"/>
      <c r="J165" s="354"/>
      <c r="K165" s="354"/>
      <c r="L165" s="354"/>
      <c r="M165" s="354"/>
      <c r="N165" s="354"/>
      <c r="O165" s="354"/>
      <c r="P165" s="354"/>
      <c r="Q165" s="354"/>
      <c r="R165" s="354"/>
      <c r="S165" s="354"/>
      <c r="T165" s="354"/>
      <c r="U165" s="354"/>
      <c r="V165" s="354"/>
      <c r="W165" s="354"/>
      <c r="X165" s="354"/>
      <c r="Y165" s="354"/>
      <c r="Z165" s="354"/>
    </row>
    <row r="166" customFormat="false" ht="15" hidden="false" customHeight="true" outlineLevel="0" collapsed="false">
      <c r="A166" s="354"/>
      <c r="B166" s="354"/>
      <c r="C166" s="354"/>
      <c r="D166" s="354"/>
      <c r="E166" s="354"/>
      <c r="F166" s="354"/>
      <c r="G166" s="354"/>
      <c r="H166" s="354"/>
      <c r="I166" s="354"/>
      <c r="J166" s="354"/>
      <c r="K166" s="354"/>
      <c r="L166" s="354"/>
      <c r="M166" s="354"/>
      <c r="N166" s="354"/>
      <c r="O166" s="354"/>
      <c r="P166" s="354"/>
      <c r="Q166" s="354"/>
      <c r="R166" s="354"/>
      <c r="S166" s="354"/>
      <c r="T166" s="354"/>
      <c r="U166" s="354"/>
      <c r="V166" s="354"/>
      <c r="W166" s="354"/>
      <c r="X166" s="354"/>
      <c r="Y166" s="354"/>
      <c r="Z166" s="354"/>
    </row>
    <row r="167" customFormat="false" ht="15" hidden="false" customHeight="true" outlineLevel="0" collapsed="false">
      <c r="A167" s="354"/>
      <c r="B167" s="354"/>
      <c r="C167" s="354"/>
      <c r="D167" s="354"/>
      <c r="E167" s="354"/>
      <c r="F167" s="354"/>
      <c r="G167" s="354"/>
      <c r="H167" s="354"/>
      <c r="I167" s="354"/>
      <c r="J167" s="354"/>
      <c r="K167" s="354"/>
      <c r="L167" s="354"/>
      <c r="M167" s="354"/>
      <c r="N167" s="354"/>
      <c r="O167" s="354"/>
      <c r="P167" s="354"/>
      <c r="Q167" s="354"/>
      <c r="R167" s="354"/>
      <c r="S167" s="354"/>
      <c r="T167" s="354"/>
      <c r="U167" s="354"/>
      <c r="V167" s="354"/>
      <c r="W167" s="354"/>
      <c r="X167" s="354"/>
      <c r="Y167" s="354"/>
      <c r="Z167" s="354"/>
    </row>
    <row r="168" customFormat="false" ht="15" hidden="false" customHeight="true" outlineLevel="0" collapsed="false">
      <c r="A168" s="354"/>
      <c r="B168" s="354"/>
      <c r="C168" s="354"/>
      <c r="D168" s="354"/>
      <c r="E168" s="354"/>
      <c r="F168" s="354"/>
      <c r="G168" s="354"/>
      <c r="H168" s="354"/>
      <c r="I168" s="354"/>
      <c r="J168" s="354"/>
      <c r="K168" s="354"/>
      <c r="L168" s="354"/>
      <c r="M168" s="354"/>
      <c r="N168" s="354"/>
      <c r="O168" s="354"/>
      <c r="P168" s="354"/>
      <c r="Q168" s="354"/>
      <c r="R168" s="354"/>
      <c r="S168" s="354"/>
      <c r="T168" s="354"/>
      <c r="U168" s="354"/>
      <c r="V168" s="354"/>
      <c r="W168" s="354"/>
      <c r="X168" s="354"/>
      <c r="Y168" s="354"/>
      <c r="Z168" s="354"/>
    </row>
    <row r="169" customFormat="false" ht="15" hidden="false" customHeight="true" outlineLevel="0" collapsed="false">
      <c r="A169" s="354"/>
      <c r="B169" s="354"/>
      <c r="C169" s="354"/>
      <c r="D169" s="354"/>
      <c r="E169" s="354"/>
      <c r="F169" s="354"/>
      <c r="G169" s="354"/>
      <c r="H169" s="354"/>
      <c r="I169" s="354"/>
      <c r="J169" s="354"/>
      <c r="K169" s="354"/>
      <c r="L169" s="354"/>
      <c r="M169" s="354"/>
      <c r="N169" s="354"/>
      <c r="O169" s="354"/>
      <c r="P169" s="354"/>
      <c r="Q169" s="354"/>
      <c r="R169" s="354"/>
      <c r="S169" s="354"/>
      <c r="T169" s="354"/>
      <c r="U169" s="354"/>
      <c r="V169" s="354"/>
      <c r="W169" s="354"/>
      <c r="X169" s="354"/>
      <c r="Y169" s="354"/>
      <c r="Z169" s="354"/>
    </row>
    <row r="170" customFormat="false" ht="15" hidden="false" customHeight="true" outlineLevel="0" collapsed="false">
      <c r="A170" s="354"/>
      <c r="B170" s="354"/>
      <c r="C170" s="354"/>
      <c r="D170" s="354"/>
      <c r="E170" s="354"/>
      <c r="F170" s="354"/>
      <c r="G170" s="354"/>
      <c r="H170" s="354"/>
      <c r="I170" s="354"/>
      <c r="J170" s="354"/>
      <c r="K170" s="354"/>
      <c r="L170" s="354"/>
      <c r="M170" s="354"/>
      <c r="N170" s="354"/>
      <c r="O170" s="354"/>
      <c r="P170" s="354"/>
      <c r="Q170" s="354"/>
      <c r="R170" s="354"/>
      <c r="S170" s="354"/>
      <c r="T170" s="354"/>
      <c r="U170" s="354"/>
      <c r="V170" s="354"/>
      <c r="W170" s="354"/>
      <c r="X170" s="354"/>
      <c r="Y170" s="354"/>
      <c r="Z170" s="354"/>
    </row>
    <row r="171" customFormat="false" ht="15" hidden="false" customHeight="true" outlineLevel="0" collapsed="false">
      <c r="A171" s="354"/>
      <c r="B171" s="354"/>
      <c r="C171" s="354"/>
      <c r="D171" s="354"/>
      <c r="E171" s="354"/>
      <c r="F171" s="354"/>
      <c r="G171" s="354"/>
      <c r="H171" s="354"/>
      <c r="I171" s="354"/>
      <c r="J171" s="354"/>
      <c r="K171" s="354"/>
      <c r="L171" s="354"/>
      <c r="M171" s="354"/>
      <c r="N171" s="354"/>
      <c r="O171" s="354"/>
      <c r="P171" s="354"/>
      <c r="Q171" s="354"/>
      <c r="R171" s="354"/>
      <c r="S171" s="354"/>
      <c r="T171" s="354"/>
      <c r="U171" s="354"/>
      <c r="V171" s="354"/>
      <c r="W171" s="354"/>
      <c r="X171" s="354"/>
      <c r="Y171" s="354"/>
      <c r="Z171" s="354"/>
    </row>
    <row r="172" customFormat="false" ht="15" hidden="false" customHeight="true" outlineLevel="0" collapsed="false">
      <c r="A172" s="354"/>
      <c r="B172" s="354"/>
      <c r="C172" s="354"/>
      <c r="D172" s="354"/>
      <c r="E172" s="354"/>
      <c r="F172" s="354"/>
      <c r="G172" s="354"/>
      <c r="H172" s="354"/>
      <c r="I172" s="354"/>
      <c r="J172" s="354"/>
      <c r="K172" s="354"/>
      <c r="L172" s="354"/>
      <c r="M172" s="354"/>
      <c r="N172" s="354"/>
      <c r="O172" s="354"/>
      <c r="P172" s="354"/>
      <c r="Q172" s="354"/>
      <c r="R172" s="354"/>
      <c r="S172" s="354"/>
      <c r="T172" s="354"/>
      <c r="U172" s="354"/>
      <c r="V172" s="354"/>
      <c r="W172" s="354"/>
      <c r="X172" s="354"/>
      <c r="Y172" s="354"/>
      <c r="Z172" s="354"/>
    </row>
    <row r="173" customFormat="false" ht="15" hidden="false" customHeight="true" outlineLevel="0" collapsed="false">
      <c r="A173" s="354"/>
      <c r="B173" s="354"/>
      <c r="C173" s="354"/>
      <c r="D173" s="354"/>
      <c r="E173" s="354"/>
      <c r="F173" s="354"/>
      <c r="G173" s="354"/>
      <c r="H173" s="354"/>
      <c r="I173" s="354"/>
      <c r="J173" s="354"/>
      <c r="K173" s="354"/>
      <c r="L173" s="354"/>
      <c r="M173" s="354"/>
      <c r="N173" s="354"/>
      <c r="O173" s="354"/>
      <c r="P173" s="354"/>
      <c r="Q173" s="354"/>
      <c r="R173" s="354"/>
      <c r="S173" s="354"/>
      <c r="T173" s="354"/>
      <c r="U173" s="354"/>
      <c r="V173" s="354"/>
      <c r="W173" s="354"/>
      <c r="X173" s="354"/>
      <c r="Y173" s="354"/>
      <c r="Z173" s="354"/>
    </row>
    <row r="174" customFormat="false" ht="15" hidden="false" customHeight="true" outlineLevel="0" collapsed="false">
      <c r="A174" s="354"/>
      <c r="B174" s="354"/>
      <c r="C174" s="354"/>
      <c r="D174" s="354"/>
      <c r="E174" s="354"/>
      <c r="F174" s="354"/>
      <c r="G174" s="354"/>
      <c r="H174" s="354"/>
      <c r="I174" s="354"/>
      <c r="J174" s="354"/>
      <c r="K174" s="354"/>
      <c r="L174" s="354"/>
      <c r="M174" s="354"/>
      <c r="N174" s="354"/>
      <c r="O174" s="354"/>
      <c r="P174" s="354"/>
      <c r="Q174" s="354"/>
      <c r="R174" s="354"/>
      <c r="S174" s="354"/>
      <c r="T174" s="354"/>
      <c r="U174" s="354"/>
      <c r="V174" s="354"/>
      <c r="W174" s="354"/>
      <c r="X174" s="354"/>
      <c r="Y174" s="354"/>
      <c r="Z174" s="354"/>
    </row>
    <row r="175" customFormat="false" ht="15" hidden="false" customHeight="true" outlineLevel="0" collapsed="false">
      <c r="A175" s="354"/>
      <c r="B175" s="354"/>
      <c r="C175" s="354"/>
      <c r="D175" s="354"/>
      <c r="E175" s="354"/>
      <c r="F175" s="354"/>
      <c r="G175" s="354"/>
      <c r="H175" s="354"/>
      <c r="I175" s="354"/>
      <c r="J175" s="354"/>
      <c r="K175" s="354"/>
      <c r="L175" s="354"/>
      <c r="M175" s="354"/>
      <c r="N175" s="354"/>
      <c r="O175" s="354"/>
      <c r="P175" s="354"/>
      <c r="Q175" s="354"/>
      <c r="R175" s="354"/>
      <c r="S175" s="354"/>
      <c r="T175" s="354"/>
      <c r="U175" s="354"/>
      <c r="V175" s="354"/>
      <c r="W175" s="354"/>
      <c r="X175" s="354"/>
      <c r="Y175" s="354"/>
      <c r="Z175" s="354"/>
    </row>
    <row r="176" customFormat="false" ht="15" hidden="false" customHeight="true" outlineLevel="0" collapsed="false">
      <c r="A176" s="354"/>
      <c r="B176" s="354"/>
      <c r="C176" s="354"/>
      <c r="D176" s="354"/>
      <c r="E176" s="354"/>
      <c r="F176" s="354"/>
      <c r="G176" s="354"/>
      <c r="H176" s="354"/>
      <c r="I176" s="354"/>
      <c r="J176" s="354"/>
      <c r="K176" s="354"/>
      <c r="L176" s="354"/>
      <c r="M176" s="354"/>
      <c r="N176" s="354"/>
      <c r="O176" s="354"/>
      <c r="P176" s="354"/>
      <c r="Q176" s="354"/>
      <c r="R176" s="354"/>
      <c r="S176" s="354"/>
      <c r="T176" s="354"/>
      <c r="U176" s="354"/>
      <c r="V176" s="354"/>
      <c r="W176" s="354"/>
      <c r="X176" s="354"/>
      <c r="Y176" s="354"/>
      <c r="Z176" s="354"/>
    </row>
    <row r="177" customFormat="false" ht="15" hidden="false" customHeight="true" outlineLevel="0" collapsed="false">
      <c r="A177" s="354"/>
      <c r="B177" s="354"/>
      <c r="C177" s="354"/>
      <c r="D177" s="354"/>
      <c r="E177" s="354"/>
      <c r="F177" s="354"/>
      <c r="G177" s="354"/>
      <c r="H177" s="354"/>
      <c r="I177" s="354"/>
      <c r="J177" s="354"/>
      <c r="K177" s="354"/>
      <c r="L177" s="354"/>
      <c r="M177" s="354"/>
      <c r="N177" s="354"/>
      <c r="O177" s="354"/>
      <c r="P177" s="354"/>
      <c r="Q177" s="354"/>
      <c r="R177" s="354"/>
      <c r="S177" s="354"/>
      <c r="T177" s="354"/>
      <c r="U177" s="354"/>
      <c r="V177" s="354"/>
      <c r="W177" s="354"/>
      <c r="X177" s="354"/>
      <c r="Y177" s="354"/>
      <c r="Z177" s="354"/>
    </row>
    <row r="178" customFormat="false" ht="15" hidden="false" customHeight="true" outlineLevel="0" collapsed="false">
      <c r="A178" s="354"/>
      <c r="B178" s="354"/>
      <c r="C178" s="354"/>
      <c r="D178" s="354"/>
      <c r="E178" s="354"/>
      <c r="F178" s="354"/>
      <c r="G178" s="354"/>
      <c r="H178" s="354"/>
      <c r="I178" s="354"/>
      <c r="J178" s="354"/>
      <c r="K178" s="354"/>
      <c r="L178" s="354"/>
      <c r="M178" s="354"/>
      <c r="N178" s="354"/>
      <c r="O178" s="354"/>
      <c r="P178" s="354"/>
      <c r="Q178" s="354"/>
      <c r="R178" s="354"/>
      <c r="S178" s="354"/>
      <c r="T178" s="354"/>
      <c r="U178" s="354"/>
      <c r="V178" s="354"/>
      <c r="W178" s="354"/>
      <c r="X178" s="354"/>
      <c r="Y178" s="354"/>
      <c r="Z178" s="354"/>
    </row>
    <row r="179" customFormat="false" ht="15" hidden="false" customHeight="true" outlineLevel="0" collapsed="false">
      <c r="A179" s="354"/>
      <c r="B179" s="354"/>
      <c r="C179" s="354"/>
      <c r="D179" s="354"/>
      <c r="E179" s="354"/>
      <c r="F179" s="354"/>
      <c r="G179" s="354"/>
      <c r="H179" s="354"/>
      <c r="I179" s="354"/>
      <c r="J179" s="354"/>
      <c r="K179" s="354"/>
      <c r="L179" s="354"/>
      <c r="M179" s="354"/>
      <c r="N179" s="354"/>
      <c r="O179" s="354"/>
      <c r="P179" s="354"/>
      <c r="Q179" s="354"/>
      <c r="R179" s="354"/>
      <c r="S179" s="354"/>
      <c r="T179" s="354"/>
      <c r="U179" s="354"/>
      <c r="V179" s="354"/>
      <c r="W179" s="354"/>
      <c r="X179" s="354"/>
      <c r="Y179" s="354"/>
      <c r="Z179" s="354"/>
    </row>
    <row r="180" customFormat="false" ht="15" hidden="false" customHeight="true" outlineLevel="0" collapsed="false">
      <c r="A180" s="354"/>
      <c r="B180" s="354"/>
      <c r="C180" s="354"/>
      <c r="D180" s="354"/>
      <c r="E180" s="354"/>
      <c r="F180" s="354"/>
      <c r="G180" s="354"/>
      <c r="H180" s="354"/>
      <c r="I180" s="354"/>
      <c r="J180" s="354"/>
      <c r="K180" s="354"/>
      <c r="L180" s="354"/>
      <c r="M180" s="354"/>
      <c r="N180" s="354"/>
      <c r="O180" s="354"/>
      <c r="P180" s="354"/>
      <c r="Q180" s="354"/>
      <c r="R180" s="354"/>
      <c r="S180" s="354"/>
      <c r="T180" s="354"/>
      <c r="U180" s="354"/>
      <c r="V180" s="354"/>
      <c r="W180" s="354"/>
      <c r="X180" s="354"/>
      <c r="Y180" s="354"/>
      <c r="Z180" s="354"/>
    </row>
    <row r="181" customFormat="false" ht="15" hidden="false" customHeight="true" outlineLevel="0" collapsed="false">
      <c r="A181" s="354"/>
      <c r="B181" s="354"/>
      <c r="C181" s="354"/>
      <c r="D181" s="354"/>
      <c r="E181" s="354"/>
      <c r="F181" s="354"/>
      <c r="G181" s="354"/>
      <c r="H181" s="354"/>
      <c r="I181" s="354"/>
      <c r="J181" s="354"/>
      <c r="K181" s="354"/>
      <c r="L181" s="354"/>
      <c r="M181" s="354"/>
      <c r="N181" s="354"/>
      <c r="O181" s="354"/>
      <c r="P181" s="354"/>
      <c r="Q181" s="354"/>
      <c r="R181" s="354"/>
      <c r="S181" s="354"/>
      <c r="T181" s="354"/>
      <c r="U181" s="354"/>
      <c r="V181" s="354"/>
      <c r="W181" s="354"/>
      <c r="X181" s="354"/>
      <c r="Y181" s="354"/>
      <c r="Z181" s="354"/>
    </row>
    <row r="182" customFormat="false" ht="15" hidden="false" customHeight="true" outlineLevel="0" collapsed="false">
      <c r="A182" s="354"/>
      <c r="B182" s="354"/>
      <c r="C182" s="354"/>
      <c r="D182" s="354"/>
      <c r="E182" s="354"/>
      <c r="F182" s="354"/>
      <c r="G182" s="354"/>
      <c r="H182" s="354"/>
      <c r="I182" s="354"/>
      <c r="J182" s="354"/>
      <c r="K182" s="354"/>
      <c r="L182" s="354"/>
      <c r="M182" s="354"/>
      <c r="N182" s="354"/>
      <c r="O182" s="354"/>
      <c r="P182" s="354"/>
      <c r="Q182" s="354"/>
      <c r="R182" s="354"/>
      <c r="S182" s="354"/>
      <c r="T182" s="354"/>
      <c r="U182" s="354"/>
      <c r="V182" s="354"/>
      <c r="W182" s="354"/>
      <c r="X182" s="354"/>
      <c r="Y182" s="354"/>
      <c r="Z182" s="354"/>
    </row>
    <row r="183" customFormat="false" ht="15" hidden="false" customHeight="true" outlineLevel="0" collapsed="false">
      <c r="A183" s="354"/>
      <c r="B183" s="354"/>
      <c r="C183" s="354"/>
      <c r="D183" s="354"/>
      <c r="E183" s="354"/>
      <c r="F183" s="354"/>
      <c r="G183" s="354"/>
      <c r="H183" s="354"/>
      <c r="I183" s="354"/>
      <c r="J183" s="354"/>
      <c r="K183" s="354"/>
      <c r="L183" s="354"/>
      <c r="M183" s="354"/>
      <c r="N183" s="354"/>
      <c r="O183" s="354"/>
      <c r="P183" s="354"/>
      <c r="Q183" s="354"/>
      <c r="R183" s="354"/>
      <c r="S183" s="354"/>
      <c r="T183" s="354"/>
      <c r="U183" s="354"/>
      <c r="V183" s="354"/>
      <c r="W183" s="354"/>
      <c r="X183" s="354"/>
      <c r="Y183" s="354"/>
      <c r="Z183" s="354"/>
    </row>
    <row r="184" customFormat="false" ht="15" hidden="false" customHeight="true" outlineLevel="0" collapsed="false">
      <c r="A184" s="354"/>
      <c r="B184" s="354"/>
      <c r="C184" s="354"/>
      <c r="D184" s="354"/>
      <c r="E184" s="354"/>
      <c r="F184" s="354"/>
      <c r="G184" s="354"/>
      <c r="H184" s="354"/>
      <c r="I184" s="354"/>
      <c r="J184" s="354"/>
      <c r="K184" s="354"/>
      <c r="L184" s="354"/>
      <c r="M184" s="354"/>
      <c r="N184" s="354"/>
      <c r="O184" s="354"/>
      <c r="P184" s="354"/>
      <c r="Q184" s="354"/>
      <c r="R184" s="354"/>
      <c r="S184" s="354"/>
      <c r="T184" s="354"/>
      <c r="U184" s="354"/>
      <c r="V184" s="354"/>
      <c r="W184" s="354"/>
      <c r="X184" s="354"/>
      <c r="Y184" s="354"/>
      <c r="Z184" s="354"/>
    </row>
    <row r="185" customFormat="false" ht="15" hidden="false" customHeight="true" outlineLevel="0" collapsed="false">
      <c r="A185" s="354"/>
      <c r="B185" s="354"/>
      <c r="C185" s="354"/>
      <c r="D185" s="354"/>
      <c r="E185" s="354"/>
      <c r="F185" s="354"/>
      <c r="G185" s="354"/>
      <c r="H185" s="354"/>
      <c r="I185" s="354"/>
      <c r="J185" s="354"/>
      <c r="K185" s="354"/>
      <c r="L185" s="354"/>
      <c r="M185" s="354"/>
      <c r="N185" s="354"/>
      <c r="O185" s="354"/>
      <c r="P185" s="354"/>
      <c r="Q185" s="354"/>
      <c r="R185" s="354"/>
      <c r="S185" s="354"/>
      <c r="T185" s="354"/>
      <c r="U185" s="354"/>
      <c r="V185" s="354"/>
      <c r="W185" s="354"/>
      <c r="X185" s="354"/>
      <c r="Y185" s="354"/>
      <c r="Z185" s="354"/>
    </row>
    <row r="186" customFormat="false" ht="15" hidden="false" customHeight="true" outlineLevel="0" collapsed="false">
      <c r="A186" s="354"/>
      <c r="B186" s="354"/>
      <c r="C186" s="354"/>
      <c r="D186" s="354"/>
      <c r="E186" s="354"/>
      <c r="F186" s="354"/>
      <c r="G186" s="354"/>
      <c r="H186" s="354"/>
      <c r="I186" s="354"/>
      <c r="J186" s="354"/>
      <c r="K186" s="354"/>
      <c r="L186" s="354"/>
      <c r="M186" s="354"/>
      <c r="N186" s="354"/>
      <c r="O186" s="354"/>
      <c r="P186" s="354"/>
      <c r="Q186" s="354"/>
      <c r="R186" s="354"/>
      <c r="S186" s="354"/>
      <c r="T186" s="354"/>
      <c r="U186" s="354"/>
      <c r="V186" s="354"/>
      <c r="W186" s="354"/>
      <c r="X186" s="354"/>
      <c r="Y186" s="354"/>
      <c r="Z186" s="354"/>
    </row>
    <row r="187" customFormat="false" ht="15" hidden="false" customHeight="true" outlineLevel="0" collapsed="false">
      <c r="A187" s="354"/>
      <c r="B187" s="354"/>
      <c r="C187" s="354"/>
      <c r="D187" s="354"/>
      <c r="E187" s="354"/>
      <c r="F187" s="354"/>
      <c r="G187" s="354"/>
      <c r="H187" s="354"/>
      <c r="I187" s="354"/>
      <c r="J187" s="354"/>
      <c r="K187" s="354"/>
      <c r="L187" s="354"/>
      <c r="M187" s="354"/>
      <c r="N187" s="354"/>
      <c r="O187" s="354"/>
      <c r="P187" s="354"/>
      <c r="Q187" s="354"/>
      <c r="R187" s="354"/>
      <c r="S187" s="354"/>
      <c r="T187" s="354"/>
      <c r="U187" s="354"/>
      <c r="V187" s="354"/>
      <c r="W187" s="354"/>
      <c r="X187" s="354"/>
      <c r="Y187" s="354"/>
      <c r="Z187" s="354"/>
    </row>
    <row r="188" customFormat="false" ht="15" hidden="false" customHeight="true" outlineLevel="0" collapsed="false">
      <c r="A188" s="354"/>
      <c r="B188" s="354"/>
      <c r="C188" s="354"/>
      <c r="D188" s="354"/>
      <c r="E188" s="354"/>
      <c r="F188" s="354"/>
      <c r="G188" s="354"/>
      <c r="H188" s="354"/>
      <c r="I188" s="354"/>
      <c r="J188" s="354"/>
      <c r="K188" s="354"/>
      <c r="L188" s="354"/>
      <c r="M188" s="354"/>
      <c r="N188" s="354"/>
      <c r="O188" s="354"/>
      <c r="P188" s="354"/>
      <c r="Q188" s="354"/>
      <c r="R188" s="354"/>
      <c r="S188" s="354"/>
      <c r="T188" s="354"/>
      <c r="U188" s="354"/>
      <c r="V188" s="354"/>
      <c r="W188" s="354"/>
      <c r="X188" s="354"/>
      <c r="Y188" s="354"/>
      <c r="Z188" s="354"/>
    </row>
    <row r="189" customFormat="false" ht="15" hidden="false" customHeight="true" outlineLevel="0" collapsed="false">
      <c r="A189" s="354"/>
      <c r="B189" s="354"/>
      <c r="C189" s="354"/>
      <c r="D189" s="354"/>
      <c r="E189" s="354"/>
      <c r="F189" s="354"/>
      <c r="G189" s="354"/>
      <c r="H189" s="354"/>
      <c r="I189" s="354"/>
      <c r="J189" s="354"/>
      <c r="K189" s="354"/>
      <c r="L189" s="354"/>
      <c r="M189" s="354"/>
      <c r="N189" s="354"/>
      <c r="O189" s="354"/>
      <c r="P189" s="354"/>
      <c r="Q189" s="354"/>
      <c r="R189" s="354"/>
      <c r="S189" s="354"/>
      <c r="T189" s="354"/>
      <c r="U189" s="354"/>
      <c r="V189" s="354"/>
      <c r="W189" s="354"/>
      <c r="X189" s="354"/>
      <c r="Y189" s="354"/>
      <c r="Z189" s="354"/>
    </row>
    <row r="190" customFormat="false" ht="15" hidden="false" customHeight="true" outlineLevel="0" collapsed="false">
      <c r="A190" s="354"/>
      <c r="B190" s="354"/>
      <c r="C190" s="354"/>
      <c r="D190" s="354"/>
      <c r="E190" s="354"/>
      <c r="F190" s="354"/>
      <c r="G190" s="354"/>
      <c r="H190" s="354"/>
      <c r="I190" s="354"/>
      <c r="J190" s="354"/>
      <c r="K190" s="354"/>
      <c r="L190" s="354"/>
      <c r="M190" s="354"/>
      <c r="N190" s="354"/>
      <c r="O190" s="354"/>
      <c r="P190" s="354"/>
      <c r="Q190" s="354"/>
      <c r="R190" s="354"/>
      <c r="S190" s="354"/>
      <c r="T190" s="354"/>
      <c r="U190" s="354"/>
      <c r="V190" s="354"/>
      <c r="W190" s="354"/>
      <c r="X190" s="354"/>
      <c r="Y190" s="354"/>
      <c r="Z190" s="354"/>
    </row>
    <row r="191" customFormat="false" ht="15" hidden="false" customHeight="true" outlineLevel="0" collapsed="false">
      <c r="A191" s="354"/>
      <c r="B191" s="354"/>
      <c r="C191" s="354"/>
      <c r="D191" s="354"/>
      <c r="E191" s="354"/>
      <c r="F191" s="354"/>
      <c r="G191" s="354"/>
      <c r="H191" s="354"/>
      <c r="I191" s="354"/>
      <c r="J191" s="354"/>
      <c r="K191" s="354"/>
      <c r="L191" s="354"/>
      <c r="M191" s="354"/>
      <c r="N191" s="354"/>
      <c r="O191" s="354"/>
      <c r="P191" s="354"/>
      <c r="Q191" s="354"/>
      <c r="R191" s="354"/>
      <c r="S191" s="354"/>
      <c r="T191" s="354"/>
      <c r="U191" s="354"/>
      <c r="V191" s="354"/>
      <c r="W191" s="354"/>
      <c r="X191" s="354"/>
      <c r="Y191" s="354"/>
      <c r="Z191" s="354"/>
    </row>
    <row r="192" customFormat="false" ht="15" hidden="false" customHeight="true" outlineLevel="0" collapsed="false">
      <c r="A192" s="354"/>
      <c r="B192" s="354"/>
      <c r="C192" s="354"/>
      <c r="D192" s="354"/>
      <c r="E192" s="354"/>
      <c r="F192" s="354"/>
      <c r="G192" s="354"/>
      <c r="H192" s="354"/>
      <c r="I192" s="354"/>
      <c r="J192" s="354"/>
      <c r="K192" s="354"/>
      <c r="L192" s="354"/>
      <c r="M192" s="354"/>
      <c r="N192" s="354"/>
      <c r="O192" s="354"/>
      <c r="P192" s="354"/>
      <c r="Q192" s="354"/>
      <c r="R192" s="354"/>
      <c r="S192" s="354"/>
      <c r="T192" s="354"/>
      <c r="U192" s="354"/>
      <c r="V192" s="354"/>
      <c r="W192" s="354"/>
      <c r="X192" s="354"/>
      <c r="Y192" s="354"/>
      <c r="Z192" s="354"/>
    </row>
    <row r="193" customFormat="false" ht="15" hidden="false" customHeight="true" outlineLevel="0" collapsed="false">
      <c r="A193" s="354"/>
      <c r="B193" s="354"/>
      <c r="C193" s="354"/>
      <c r="D193" s="354"/>
      <c r="E193" s="354"/>
      <c r="F193" s="354"/>
      <c r="G193" s="354"/>
      <c r="H193" s="354"/>
      <c r="I193" s="354"/>
      <c r="J193" s="354"/>
      <c r="K193" s="354"/>
      <c r="L193" s="354"/>
      <c r="M193" s="354"/>
      <c r="N193" s="354"/>
      <c r="O193" s="354"/>
      <c r="P193" s="354"/>
      <c r="Q193" s="354"/>
      <c r="R193" s="354"/>
      <c r="S193" s="354"/>
      <c r="T193" s="354"/>
      <c r="U193" s="354"/>
      <c r="V193" s="354"/>
      <c r="W193" s="354"/>
      <c r="X193" s="354"/>
      <c r="Y193" s="354"/>
      <c r="Z193" s="354"/>
    </row>
    <row r="194" customFormat="false" ht="15" hidden="false" customHeight="true" outlineLevel="0" collapsed="false">
      <c r="A194" s="354"/>
      <c r="B194" s="354"/>
      <c r="C194" s="354"/>
      <c r="D194" s="354"/>
      <c r="E194" s="354"/>
      <c r="F194" s="354"/>
      <c r="G194" s="354"/>
      <c r="H194" s="354"/>
      <c r="I194" s="354"/>
      <c r="J194" s="354"/>
      <c r="K194" s="354"/>
      <c r="L194" s="354"/>
      <c r="M194" s="354"/>
      <c r="N194" s="354"/>
      <c r="O194" s="354"/>
      <c r="P194" s="354"/>
      <c r="Q194" s="354"/>
      <c r="R194" s="354"/>
      <c r="S194" s="354"/>
      <c r="T194" s="354"/>
      <c r="U194" s="354"/>
      <c r="V194" s="354"/>
      <c r="W194" s="354"/>
      <c r="X194" s="354"/>
      <c r="Y194" s="354"/>
      <c r="Z194" s="354"/>
    </row>
    <row r="195" customFormat="false" ht="15" hidden="false" customHeight="true" outlineLevel="0" collapsed="false">
      <c r="A195" s="354"/>
      <c r="B195" s="354"/>
      <c r="C195" s="354"/>
      <c r="D195" s="354"/>
      <c r="E195" s="354"/>
      <c r="F195" s="354"/>
      <c r="G195" s="354"/>
      <c r="H195" s="354"/>
      <c r="I195" s="354"/>
      <c r="J195" s="354"/>
      <c r="K195" s="354"/>
      <c r="L195" s="354"/>
      <c r="M195" s="354"/>
      <c r="N195" s="354"/>
      <c r="O195" s="354"/>
      <c r="P195" s="354"/>
      <c r="Q195" s="354"/>
      <c r="R195" s="354"/>
      <c r="S195" s="354"/>
      <c r="T195" s="354"/>
      <c r="U195" s="354"/>
      <c r="V195" s="354"/>
      <c r="W195" s="354"/>
      <c r="X195" s="354"/>
      <c r="Y195" s="354"/>
      <c r="Z195" s="354"/>
    </row>
    <row r="196" customFormat="false" ht="15" hidden="false" customHeight="true" outlineLevel="0" collapsed="false">
      <c r="A196" s="354"/>
      <c r="B196" s="354"/>
      <c r="C196" s="354"/>
      <c r="D196" s="354"/>
      <c r="E196" s="354"/>
      <c r="F196" s="354"/>
      <c r="G196" s="354"/>
      <c r="H196" s="354"/>
      <c r="I196" s="354"/>
      <c r="J196" s="354"/>
      <c r="K196" s="354"/>
      <c r="L196" s="354"/>
      <c r="M196" s="354"/>
      <c r="N196" s="354"/>
      <c r="O196" s="354"/>
      <c r="P196" s="354"/>
      <c r="Q196" s="354"/>
      <c r="R196" s="354"/>
      <c r="S196" s="354"/>
      <c r="T196" s="354"/>
      <c r="U196" s="354"/>
      <c r="V196" s="354"/>
      <c r="W196" s="354"/>
      <c r="X196" s="354"/>
      <c r="Y196" s="354"/>
      <c r="Z196" s="354"/>
    </row>
    <row r="197" customFormat="false" ht="15" hidden="false" customHeight="true" outlineLevel="0" collapsed="false">
      <c r="A197" s="354"/>
      <c r="B197" s="354"/>
      <c r="C197" s="354"/>
      <c r="D197" s="354"/>
      <c r="E197" s="354"/>
      <c r="F197" s="354"/>
      <c r="G197" s="354"/>
      <c r="H197" s="354"/>
      <c r="I197" s="354"/>
      <c r="J197" s="354"/>
      <c r="K197" s="354"/>
      <c r="L197" s="354"/>
      <c r="M197" s="354"/>
      <c r="N197" s="354"/>
      <c r="O197" s="354"/>
      <c r="P197" s="354"/>
      <c r="Q197" s="354"/>
      <c r="R197" s="354"/>
      <c r="S197" s="354"/>
      <c r="T197" s="354"/>
      <c r="U197" s="354"/>
      <c r="V197" s="354"/>
      <c r="W197" s="354"/>
      <c r="X197" s="354"/>
      <c r="Y197" s="354"/>
      <c r="Z197" s="354"/>
    </row>
    <row r="198" customFormat="false" ht="15" hidden="false" customHeight="true" outlineLevel="0" collapsed="false">
      <c r="A198" s="354"/>
      <c r="B198" s="354"/>
      <c r="C198" s="354"/>
      <c r="D198" s="354"/>
      <c r="E198" s="354"/>
      <c r="F198" s="354"/>
      <c r="G198" s="354"/>
      <c r="H198" s="354"/>
      <c r="I198" s="354"/>
      <c r="J198" s="354"/>
      <c r="K198" s="354"/>
      <c r="L198" s="354"/>
      <c r="M198" s="354"/>
      <c r="N198" s="354"/>
      <c r="O198" s="354"/>
      <c r="P198" s="354"/>
      <c r="Q198" s="354"/>
      <c r="R198" s="354"/>
      <c r="S198" s="354"/>
      <c r="T198" s="354"/>
      <c r="U198" s="354"/>
      <c r="V198" s="354"/>
      <c r="W198" s="354"/>
      <c r="X198" s="354"/>
      <c r="Y198" s="354"/>
      <c r="Z198" s="354"/>
    </row>
    <row r="199" customFormat="false" ht="15" hidden="false" customHeight="true" outlineLevel="0" collapsed="false">
      <c r="A199" s="354"/>
      <c r="B199" s="354"/>
      <c r="C199" s="354"/>
      <c r="D199" s="354"/>
      <c r="E199" s="354"/>
      <c r="F199" s="354"/>
      <c r="G199" s="354"/>
      <c r="H199" s="354"/>
      <c r="I199" s="354"/>
      <c r="J199" s="354"/>
      <c r="K199" s="354"/>
      <c r="L199" s="354"/>
      <c r="M199" s="354"/>
      <c r="N199" s="354"/>
      <c r="O199" s="354"/>
      <c r="P199" s="354"/>
      <c r="Q199" s="354"/>
      <c r="R199" s="354"/>
      <c r="S199" s="354"/>
      <c r="T199" s="354"/>
      <c r="U199" s="354"/>
      <c r="V199" s="354"/>
      <c r="W199" s="354"/>
      <c r="X199" s="354"/>
      <c r="Y199" s="354"/>
      <c r="Z199" s="354"/>
    </row>
    <row r="200" customFormat="false" ht="15" hidden="false" customHeight="true" outlineLevel="0" collapsed="false">
      <c r="A200" s="354"/>
      <c r="B200" s="354"/>
      <c r="C200" s="354"/>
      <c r="D200" s="354"/>
      <c r="E200" s="354"/>
      <c r="F200" s="354"/>
      <c r="G200" s="354"/>
      <c r="H200" s="354"/>
      <c r="I200" s="354"/>
      <c r="J200" s="354"/>
      <c r="K200" s="354"/>
      <c r="L200" s="354"/>
      <c r="M200" s="354"/>
      <c r="N200" s="354"/>
      <c r="O200" s="354"/>
      <c r="P200" s="354"/>
      <c r="Q200" s="354"/>
      <c r="R200" s="354"/>
      <c r="S200" s="354"/>
      <c r="T200" s="354"/>
      <c r="U200" s="354"/>
      <c r="V200" s="354"/>
      <c r="W200" s="354"/>
      <c r="X200" s="354"/>
      <c r="Y200" s="354"/>
      <c r="Z200" s="354"/>
    </row>
    <row r="201" customFormat="false" ht="15" hidden="false" customHeight="true" outlineLevel="0" collapsed="false">
      <c r="A201" s="354"/>
      <c r="B201" s="354"/>
      <c r="C201" s="354"/>
      <c r="D201" s="354"/>
      <c r="E201" s="354"/>
      <c r="F201" s="354"/>
      <c r="G201" s="354"/>
      <c r="H201" s="354"/>
      <c r="I201" s="354"/>
      <c r="J201" s="354"/>
      <c r="K201" s="354"/>
      <c r="L201" s="354"/>
      <c r="M201" s="354"/>
      <c r="N201" s="354"/>
      <c r="O201" s="354"/>
      <c r="P201" s="354"/>
      <c r="Q201" s="354"/>
      <c r="R201" s="354"/>
      <c r="S201" s="354"/>
      <c r="T201" s="354"/>
      <c r="U201" s="354"/>
      <c r="V201" s="354"/>
      <c r="W201" s="354"/>
      <c r="X201" s="354"/>
      <c r="Y201" s="354"/>
      <c r="Z201" s="354"/>
    </row>
    <row r="202" customFormat="false" ht="15" hidden="false" customHeight="true" outlineLevel="0" collapsed="false">
      <c r="A202" s="354"/>
      <c r="B202" s="354"/>
      <c r="C202" s="354"/>
      <c r="D202" s="354"/>
      <c r="E202" s="354"/>
      <c r="F202" s="354"/>
      <c r="G202" s="354"/>
      <c r="H202" s="354"/>
      <c r="I202" s="354"/>
      <c r="J202" s="354"/>
      <c r="K202" s="354"/>
      <c r="L202" s="354"/>
      <c r="M202" s="354"/>
      <c r="N202" s="354"/>
      <c r="O202" s="354"/>
      <c r="P202" s="354"/>
      <c r="Q202" s="354"/>
      <c r="R202" s="354"/>
      <c r="S202" s="354"/>
      <c r="T202" s="354"/>
      <c r="U202" s="354"/>
      <c r="V202" s="354"/>
      <c r="W202" s="354"/>
      <c r="X202" s="354"/>
      <c r="Y202" s="354"/>
      <c r="Z202" s="354"/>
    </row>
    <row r="203" customFormat="false" ht="15" hidden="false" customHeight="true" outlineLevel="0" collapsed="false">
      <c r="A203" s="354"/>
      <c r="B203" s="354"/>
      <c r="C203" s="354"/>
      <c r="D203" s="354"/>
      <c r="E203" s="354"/>
      <c r="F203" s="354"/>
      <c r="G203" s="354"/>
      <c r="H203" s="354"/>
      <c r="I203" s="354"/>
      <c r="J203" s="354"/>
      <c r="K203" s="354"/>
      <c r="L203" s="354"/>
      <c r="M203" s="354"/>
      <c r="N203" s="354"/>
      <c r="O203" s="354"/>
      <c r="P203" s="354"/>
      <c r="Q203" s="354"/>
      <c r="R203" s="354"/>
      <c r="S203" s="354"/>
      <c r="T203" s="354"/>
      <c r="U203" s="354"/>
      <c r="V203" s="354"/>
      <c r="W203" s="354"/>
      <c r="X203" s="354"/>
      <c r="Y203" s="354"/>
      <c r="Z203" s="354"/>
    </row>
    <row r="204" customFormat="false" ht="15" hidden="false" customHeight="true" outlineLevel="0" collapsed="false">
      <c r="A204" s="354"/>
      <c r="B204" s="354"/>
      <c r="C204" s="354"/>
      <c r="D204" s="354"/>
      <c r="E204" s="354"/>
      <c r="F204" s="354"/>
      <c r="G204" s="354"/>
      <c r="H204" s="354"/>
      <c r="I204" s="354"/>
      <c r="J204" s="354"/>
      <c r="K204" s="354"/>
      <c r="L204" s="354"/>
      <c r="M204" s="354"/>
      <c r="N204" s="354"/>
      <c r="O204" s="354"/>
      <c r="P204" s="354"/>
      <c r="Q204" s="354"/>
      <c r="R204" s="354"/>
      <c r="S204" s="354"/>
      <c r="T204" s="354"/>
      <c r="U204" s="354"/>
      <c r="V204" s="354"/>
      <c r="W204" s="354"/>
      <c r="X204" s="354"/>
      <c r="Y204" s="354"/>
      <c r="Z204" s="354"/>
    </row>
    <row r="205" customFormat="false" ht="15" hidden="false" customHeight="true" outlineLevel="0" collapsed="false">
      <c r="A205" s="354"/>
      <c r="B205" s="354"/>
      <c r="C205" s="354"/>
      <c r="D205" s="354"/>
      <c r="E205" s="354"/>
      <c r="F205" s="354"/>
      <c r="G205" s="354"/>
      <c r="H205" s="354"/>
      <c r="I205" s="354"/>
      <c r="J205" s="354"/>
      <c r="K205" s="354"/>
      <c r="L205" s="354"/>
      <c r="M205" s="354"/>
      <c r="N205" s="354"/>
      <c r="O205" s="354"/>
      <c r="P205" s="354"/>
      <c r="Q205" s="354"/>
      <c r="R205" s="354"/>
      <c r="S205" s="354"/>
      <c r="T205" s="354"/>
      <c r="U205" s="354"/>
      <c r="V205" s="354"/>
      <c r="W205" s="354"/>
      <c r="X205" s="354"/>
      <c r="Y205" s="354"/>
      <c r="Z205" s="354"/>
    </row>
    <row r="206" customFormat="false" ht="15" hidden="false" customHeight="true" outlineLevel="0" collapsed="false">
      <c r="A206" s="354"/>
      <c r="B206" s="354"/>
      <c r="C206" s="354"/>
      <c r="D206" s="354"/>
      <c r="E206" s="354"/>
      <c r="F206" s="354"/>
      <c r="G206" s="354"/>
      <c r="H206" s="354"/>
      <c r="I206" s="354"/>
      <c r="J206" s="354"/>
      <c r="K206" s="354"/>
      <c r="L206" s="354"/>
      <c r="M206" s="354"/>
      <c r="N206" s="354"/>
      <c r="O206" s="354"/>
      <c r="P206" s="354"/>
      <c r="Q206" s="354"/>
      <c r="R206" s="354"/>
      <c r="S206" s="354"/>
      <c r="T206" s="354"/>
      <c r="U206" s="354"/>
      <c r="V206" s="354"/>
      <c r="W206" s="354"/>
      <c r="X206" s="354"/>
      <c r="Y206" s="354"/>
      <c r="Z206" s="354"/>
    </row>
    <row r="207" customFormat="false" ht="15" hidden="false" customHeight="true" outlineLevel="0" collapsed="false">
      <c r="A207" s="354"/>
      <c r="B207" s="354"/>
      <c r="C207" s="354"/>
      <c r="D207" s="354"/>
      <c r="E207" s="354"/>
      <c r="F207" s="354"/>
      <c r="G207" s="354"/>
      <c r="H207" s="354"/>
      <c r="I207" s="354"/>
      <c r="J207" s="354"/>
      <c r="K207" s="354"/>
      <c r="L207" s="354"/>
      <c r="M207" s="354"/>
      <c r="N207" s="354"/>
      <c r="O207" s="354"/>
      <c r="P207" s="354"/>
      <c r="Q207" s="354"/>
      <c r="R207" s="354"/>
      <c r="S207" s="354"/>
      <c r="T207" s="354"/>
      <c r="U207" s="354"/>
      <c r="V207" s="354"/>
      <c r="W207" s="354"/>
      <c r="X207" s="354"/>
      <c r="Y207" s="354"/>
      <c r="Z207" s="354"/>
    </row>
    <row r="208" customFormat="false" ht="15" hidden="false" customHeight="true" outlineLevel="0" collapsed="false">
      <c r="A208" s="354"/>
      <c r="B208" s="354"/>
      <c r="C208" s="354"/>
      <c r="D208" s="354"/>
      <c r="E208" s="354"/>
      <c r="F208" s="354"/>
      <c r="G208" s="354"/>
      <c r="H208" s="354"/>
      <c r="I208" s="354"/>
      <c r="J208" s="354"/>
      <c r="K208" s="354"/>
      <c r="L208" s="354"/>
      <c r="M208" s="354"/>
      <c r="N208" s="354"/>
      <c r="O208" s="354"/>
      <c r="P208" s="354"/>
      <c r="Q208" s="354"/>
      <c r="R208" s="354"/>
      <c r="S208" s="354"/>
      <c r="T208" s="354"/>
      <c r="U208" s="354"/>
      <c r="V208" s="354"/>
      <c r="W208" s="354"/>
      <c r="X208" s="354"/>
      <c r="Y208" s="354"/>
      <c r="Z208" s="354"/>
    </row>
    <row r="209" customFormat="false" ht="15" hidden="false" customHeight="true" outlineLevel="0" collapsed="false">
      <c r="A209" s="354"/>
      <c r="B209" s="354"/>
      <c r="C209" s="354"/>
      <c r="D209" s="354"/>
      <c r="E209" s="354"/>
      <c r="F209" s="354"/>
      <c r="G209" s="354"/>
      <c r="H209" s="354"/>
      <c r="I209" s="354"/>
      <c r="J209" s="354"/>
      <c r="K209" s="354"/>
      <c r="L209" s="354"/>
      <c r="M209" s="354"/>
      <c r="N209" s="354"/>
      <c r="O209" s="354"/>
      <c r="P209" s="354"/>
      <c r="Q209" s="354"/>
      <c r="R209" s="354"/>
      <c r="S209" s="354"/>
      <c r="T209" s="354"/>
      <c r="U209" s="354"/>
      <c r="V209" s="354"/>
      <c r="W209" s="354"/>
      <c r="X209" s="354"/>
      <c r="Y209" s="354"/>
      <c r="Z209" s="354"/>
    </row>
    <row r="210" customFormat="false" ht="15" hidden="false" customHeight="true" outlineLevel="0" collapsed="false">
      <c r="A210" s="354"/>
      <c r="B210" s="354"/>
      <c r="C210" s="354"/>
      <c r="D210" s="354"/>
      <c r="E210" s="354"/>
      <c r="F210" s="354"/>
      <c r="G210" s="354"/>
      <c r="H210" s="354"/>
      <c r="I210" s="354"/>
      <c r="J210" s="354"/>
      <c r="K210" s="354"/>
      <c r="L210" s="354"/>
      <c r="M210" s="354"/>
      <c r="N210" s="354"/>
      <c r="O210" s="354"/>
      <c r="P210" s="354"/>
      <c r="Q210" s="354"/>
      <c r="R210" s="354"/>
      <c r="S210" s="354"/>
      <c r="T210" s="354"/>
      <c r="U210" s="354"/>
      <c r="V210" s="354"/>
      <c r="W210" s="354"/>
      <c r="X210" s="354"/>
      <c r="Y210" s="354"/>
      <c r="Z210" s="354"/>
    </row>
    <row r="211" customFormat="false" ht="15" hidden="false" customHeight="true" outlineLevel="0" collapsed="false">
      <c r="A211" s="354"/>
      <c r="B211" s="354"/>
      <c r="C211" s="354"/>
      <c r="D211" s="354"/>
      <c r="E211" s="354"/>
      <c r="F211" s="354"/>
      <c r="G211" s="354"/>
      <c r="H211" s="354"/>
      <c r="I211" s="354"/>
      <c r="J211" s="354"/>
      <c r="K211" s="354"/>
      <c r="L211" s="354"/>
      <c r="M211" s="354"/>
      <c r="N211" s="354"/>
      <c r="O211" s="354"/>
      <c r="P211" s="354"/>
      <c r="Q211" s="354"/>
      <c r="R211" s="354"/>
      <c r="S211" s="354"/>
      <c r="T211" s="354"/>
      <c r="U211" s="354"/>
      <c r="V211" s="354"/>
      <c r="W211" s="354"/>
      <c r="X211" s="354"/>
      <c r="Y211" s="354"/>
      <c r="Z211" s="354"/>
    </row>
    <row r="212" customFormat="false" ht="15" hidden="false" customHeight="true" outlineLevel="0" collapsed="false">
      <c r="A212" s="354"/>
      <c r="B212" s="354"/>
      <c r="C212" s="354"/>
      <c r="D212" s="354"/>
      <c r="E212" s="354"/>
      <c r="F212" s="354"/>
      <c r="G212" s="354"/>
      <c r="H212" s="354"/>
      <c r="I212" s="354"/>
      <c r="J212" s="354"/>
      <c r="K212" s="354"/>
      <c r="L212" s="354"/>
      <c r="M212" s="354"/>
      <c r="N212" s="354"/>
      <c r="O212" s="354"/>
      <c r="P212" s="354"/>
      <c r="Q212" s="354"/>
      <c r="R212" s="354"/>
      <c r="S212" s="354"/>
      <c r="T212" s="354"/>
      <c r="U212" s="354"/>
      <c r="V212" s="354"/>
      <c r="W212" s="354"/>
      <c r="X212" s="354"/>
      <c r="Y212" s="354"/>
      <c r="Z212" s="354"/>
    </row>
    <row r="213" customFormat="false" ht="15" hidden="false" customHeight="true" outlineLevel="0" collapsed="false">
      <c r="A213" s="354"/>
      <c r="B213" s="354"/>
      <c r="C213" s="354"/>
      <c r="D213" s="354"/>
      <c r="E213" s="354"/>
      <c r="F213" s="354"/>
      <c r="G213" s="354"/>
      <c r="H213" s="354"/>
      <c r="I213" s="354"/>
      <c r="J213" s="354"/>
      <c r="K213" s="354"/>
      <c r="L213" s="354"/>
      <c r="M213" s="354"/>
      <c r="N213" s="354"/>
      <c r="O213" s="354"/>
      <c r="P213" s="354"/>
      <c r="Q213" s="354"/>
      <c r="R213" s="354"/>
      <c r="S213" s="354"/>
      <c r="T213" s="354"/>
      <c r="U213" s="354"/>
      <c r="V213" s="354"/>
      <c r="W213" s="354"/>
      <c r="X213" s="354"/>
      <c r="Y213" s="354"/>
      <c r="Z213" s="354"/>
    </row>
    <row r="214" customFormat="false" ht="15" hidden="false" customHeight="true" outlineLevel="0" collapsed="false">
      <c r="A214" s="354"/>
      <c r="B214" s="354"/>
      <c r="C214" s="354"/>
      <c r="D214" s="354"/>
      <c r="E214" s="354"/>
      <c r="F214" s="354"/>
      <c r="G214" s="354"/>
      <c r="H214" s="354"/>
      <c r="I214" s="354"/>
      <c r="J214" s="354"/>
      <c r="K214" s="354"/>
      <c r="L214" s="354"/>
      <c r="M214" s="354"/>
      <c r="N214" s="354"/>
      <c r="O214" s="354"/>
      <c r="P214" s="354"/>
      <c r="Q214" s="354"/>
      <c r="R214" s="354"/>
      <c r="S214" s="354"/>
      <c r="T214" s="354"/>
      <c r="U214" s="354"/>
      <c r="V214" s="354"/>
      <c r="W214" s="354"/>
      <c r="X214" s="354"/>
      <c r="Y214" s="354"/>
      <c r="Z214" s="354"/>
    </row>
    <row r="215" customFormat="false" ht="15" hidden="false" customHeight="true" outlineLevel="0" collapsed="false">
      <c r="A215" s="354"/>
      <c r="B215" s="354"/>
      <c r="C215" s="354"/>
      <c r="D215" s="354"/>
      <c r="E215" s="354"/>
      <c r="F215" s="354"/>
      <c r="G215" s="354"/>
      <c r="H215" s="354"/>
      <c r="I215" s="354"/>
      <c r="J215" s="354"/>
      <c r="K215" s="354"/>
      <c r="L215" s="354"/>
      <c r="M215" s="354"/>
      <c r="N215" s="354"/>
      <c r="O215" s="354"/>
      <c r="P215" s="354"/>
      <c r="Q215" s="354"/>
      <c r="R215" s="354"/>
      <c r="S215" s="354"/>
      <c r="T215" s="354"/>
      <c r="U215" s="354"/>
      <c r="V215" s="354"/>
      <c r="W215" s="354"/>
      <c r="X215" s="354"/>
      <c r="Y215" s="354"/>
      <c r="Z215" s="354"/>
    </row>
    <row r="216" customFormat="false" ht="15" hidden="false" customHeight="true" outlineLevel="0" collapsed="false">
      <c r="A216" s="354"/>
      <c r="B216" s="354"/>
      <c r="C216" s="354"/>
      <c r="D216" s="354"/>
      <c r="E216" s="354"/>
      <c r="F216" s="354"/>
      <c r="G216" s="354"/>
      <c r="H216" s="354"/>
      <c r="I216" s="354"/>
      <c r="J216" s="354"/>
      <c r="K216" s="354"/>
      <c r="L216" s="354"/>
      <c r="M216" s="354"/>
      <c r="N216" s="354"/>
      <c r="O216" s="354"/>
      <c r="P216" s="354"/>
      <c r="Q216" s="354"/>
      <c r="R216" s="354"/>
      <c r="S216" s="354"/>
      <c r="T216" s="354"/>
      <c r="U216" s="354"/>
      <c r="V216" s="354"/>
      <c r="W216" s="354"/>
      <c r="X216" s="354"/>
      <c r="Y216" s="354"/>
      <c r="Z216" s="354"/>
    </row>
    <row r="217" customFormat="false" ht="15" hidden="false" customHeight="true" outlineLevel="0" collapsed="false">
      <c r="A217" s="354"/>
      <c r="B217" s="354"/>
      <c r="C217" s="354"/>
      <c r="D217" s="354"/>
      <c r="E217" s="354"/>
      <c r="F217" s="354"/>
      <c r="G217" s="354"/>
      <c r="H217" s="354"/>
      <c r="I217" s="354"/>
      <c r="J217" s="354"/>
      <c r="K217" s="354"/>
      <c r="L217" s="354"/>
      <c r="M217" s="354"/>
      <c r="N217" s="354"/>
      <c r="O217" s="354"/>
      <c r="P217" s="354"/>
      <c r="Q217" s="354"/>
      <c r="R217" s="354"/>
      <c r="S217" s="354"/>
      <c r="T217" s="354"/>
      <c r="U217" s="354"/>
      <c r="V217" s="354"/>
      <c r="W217" s="354"/>
      <c r="X217" s="354"/>
      <c r="Y217" s="354"/>
      <c r="Z217" s="354"/>
    </row>
    <row r="218" customFormat="false" ht="15" hidden="false" customHeight="true" outlineLevel="0" collapsed="false">
      <c r="A218" s="354"/>
      <c r="B218" s="354"/>
      <c r="C218" s="354"/>
      <c r="D218" s="354"/>
      <c r="E218" s="354"/>
      <c r="F218" s="354"/>
      <c r="G218" s="354"/>
      <c r="H218" s="354"/>
      <c r="I218" s="354"/>
      <c r="J218" s="354"/>
      <c r="K218" s="354"/>
      <c r="L218" s="354"/>
      <c r="M218" s="354"/>
      <c r="N218" s="354"/>
      <c r="O218" s="354"/>
      <c r="P218" s="354"/>
      <c r="Q218" s="354"/>
      <c r="R218" s="354"/>
      <c r="S218" s="354"/>
      <c r="T218" s="354"/>
      <c r="U218" s="354"/>
      <c r="V218" s="354"/>
      <c r="W218" s="354"/>
      <c r="X218" s="354"/>
      <c r="Y218" s="354"/>
      <c r="Z218" s="354"/>
    </row>
    <row r="219" customFormat="false" ht="15" hidden="false" customHeight="true" outlineLevel="0" collapsed="false">
      <c r="A219" s="354"/>
      <c r="B219" s="354"/>
      <c r="C219" s="354"/>
      <c r="D219" s="354"/>
      <c r="E219" s="354"/>
      <c r="F219" s="354"/>
      <c r="G219" s="354"/>
      <c r="H219" s="354"/>
      <c r="I219" s="354"/>
      <c r="J219" s="354"/>
      <c r="K219" s="354"/>
      <c r="L219" s="354"/>
      <c r="M219" s="354"/>
      <c r="N219" s="354"/>
      <c r="O219" s="354"/>
      <c r="P219" s="354"/>
      <c r="Q219" s="354"/>
      <c r="R219" s="354"/>
      <c r="S219" s="354"/>
      <c r="T219" s="354"/>
      <c r="U219" s="354"/>
      <c r="V219" s="354"/>
      <c r="W219" s="354"/>
      <c r="X219" s="354"/>
      <c r="Y219" s="354"/>
      <c r="Z219" s="354"/>
    </row>
    <row r="220" customFormat="false" ht="15" hidden="false" customHeight="true" outlineLevel="0" collapsed="false">
      <c r="A220" s="354"/>
      <c r="B220" s="354"/>
      <c r="C220" s="354"/>
      <c r="D220" s="354"/>
      <c r="E220" s="354"/>
      <c r="F220" s="354"/>
      <c r="G220" s="354"/>
      <c r="H220" s="354"/>
      <c r="I220" s="354"/>
      <c r="J220" s="354"/>
      <c r="K220" s="354"/>
      <c r="L220" s="354"/>
      <c r="M220" s="354"/>
      <c r="N220" s="354"/>
      <c r="O220" s="354"/>
      <c r="P220" s="354"/>
      <c r="Q220" s="354"/>
      <c r="R220" s="354"/>
      <c r="S220" s="354"/>
      <c r="T220" s="354"/>
      <c r="U220" s="354"/>
      <c r="V220" s="354"/>
      <c r="W220" s="354"/>
      <c r="X220" s="354"/>
      <c r="Y220" s="354"/>
      <c r="Z220" s="354"/>
    </row>
    <row r="221" customFormat="false" ht="15" hidden="false" customHeight="true" outlineLevel="0" collapsed="false">
      <c r="A221" s="354"/>
      <c r="B221" s="354"/>
      <c r="C221" s="354"/>
      <c r="D221" s="354"/>
      <c r="E221" s="354"/>
      <c r="F221" s="354"/>
      <c r="G221" s="354"/>
      <c r="H221" s="354"/>
      <c r="I221" s="354"/>
      <c r="J221" s="354"/>
      <c r="K221" s="354"/>
      <c r="L221" s="354"/>
      <c r="M221" s="354"/>
      <c r="N221" s="354"/>
      <c r="O221" s="354"/>
      <c r="P221" s="354"/>
      <c r="Q221" s="354"/>
      <c r="R221" s="354"/>
      <c r="S221" s="354"/>
      <c r="T221" s="354"/>
      <c r="U221" s="354"/>
      <c r="V221" s="354"/>
      <c r="W221" s="354"/>
      <c r="X221" s="354"/>
      <c r="Y221" s="354"/>
      <c r="Z221" s="354"/>
    </row>
    <row r="222" customFormat="false" ht="15" hidden="false" customHeight="true" outlineLevel="0" collapsed="false">
      <c r="A222" s="354"/>
      <c r="B222" s="354"/>
      <c r="C222" s="354"/>
      <c r="D222" s="354"/>
      <c r="E222" s="354"/>
      <c r="F222" s="354"/>
      <c r="G222" s="354"/>
      <c r="H222" s="354"/>
      <c r="I222" s="354"/>
      <c r="J222" s="354"/>
      <c r="K222" s="354"/>
      <c r="L222" s="354"/>
      <c r="M222" s="354"/>
      <c r="N222" s="354"/>
      <c r="O222" s="354"/>
      <c r="P222" s="354"/>
      <c r="Q222" s="354"/>
      <c r="R222" s="354"/>
      <c r="S222" s="354"/>
      <c r="T222" s="354"/>
      <c r="U222" s="354"/>
      <c r="V222" s="354"/>
      <c r="W222" s="354"/>
      <c r="X222" s="354"/>
      <c r="Y222" s="354"/>
      <c r="Z222" s="354"/>
    </row>
    <row r="223" customFormat="false" ht="15" hidden="false" customHeight="true" outlineLevel="0" collapsed="false">
      <c r="A223" s="354"/>
      <c r="B223" s="354"/>
      <c r="C223" s="354"/>
      <c r="D223" s="354"/>
      <c r="E223" s="354"/>
      <c r="F223" s="354"/>
      <c r="G223" s="354"/>
      <c r="H223" s="354"/>
      <c r="I223" s="354"/>
      <c r="J223" s="354"/>
      <c r="K223" s="354"/>
      <c r="L223" s="354"/>
      <c r="M223" s="354"/>
      <c r="N223" s="354"/>
      <c r="O223" s="354"/>
      <c r="P223" s="354"/>
      <c r="Q223" s="354"/>
      <c r="R223" s="354"/>
      <c r="S223" s="354"/>
      <c r="T223" s="354"/>
      <c r="U223" s="354"/>
      <c r="V223" s="354"/>
      <c r="W223" s="354"/>
      <c r="X223" s="354"/>
      <c r="Y223" s="354"/>
      <c r="Z223" s="354"/>
    </row>
    <row r="224" customFormat="false" ht="15" hidden="false" customHeight="true" outlineLevel="0" collapsed="false">
      <c r="A224" s="354"/>
      <c r="B224" s="354"/>
      <c r="C224" s="354"/>
      <c r="D224" s="354"/>
      <c r="E224" s="354"/>
      <c r="F224" s="354"/>
      <c r="G224" s="354"/>
      <c r="H224" s="354"/>
      <c r="I224" s="354"/>
      <c r="J224" s="354"/>
      <c r="K224" s="354"/>
      <c r="L224" s="354"/>
      <c r="M224" s="354"/>
      <c r="N224" s="354"/>
      <c r="O224" s="354"/>
      <c r="P224" s="354"/>
      <c r="Q224" s="354"/>
      <c r="R224" s="354"/>
      <c r="S224" s="354"/>
      <c r="T224" s="354"/>
      <c r="U224" s="354"/>
      <c r="V224" s="354"/>
      <c r="W224" s="354"/>
      <c r="X224" s="354"/>
      <c r="Y224" s="354"/>
      <c r="Z224" s="354"/>
    </row>
    <row r="225" customFormat="false" ht="15" hidden="false" customHeight="true" outlineLevel="0" collapsed="false">
      <c r="A225" s="354"/>
      <c r="B225" s="354"/>
      <c r="C225" s="354"/>
      <c r="D225" s="354"/>
      <c r="E225" s="354"/>
      <c r="F225" s="354"/>
      <c r="G225" s="354"/>
      <c r="H225" s="354"/>
      <c r="I225" s="354"/>
      <c r="J225" s="354"/>
      <c r="K225" s="354"/>
      <c r="L225" s="354"/>
      <c r="M225" s="354"/>
      <c r="N225" s="354"/>
      <c r="O225" s="354"/>
      <c r="P225" s="354"/>
      <c r="Q225" s="354"/>
      <c r="R225" s="354"/>
      <c r="S225" s="354"/>
      <c r="T225" s="354"/>
      <c r="U225" s="354"/>
      <c r="V225" s="354"/>
      <c r="W225" s="354"/>
      <c r="X225" s="354"/>
      <c r="Y225" s="354"/>
      <c r="Z225" s="354"/>
    </row>
    <row r="226" customFormat="false" ht="15" hidden="false" customHeight="true" outlineLevel="0" collapsed="false">
      <c r="A226" s="354"/>
      <c r="B226" s="354"/>
      <c r="C226" s="354"/>
      <c r="D226" s="354"/>
      <c r="E226" s="354"/>
      <c r="F226" s="354"/>
      <c r="G226" s="354"/>
      <c r="H226" s="354"/>
      <c r="I226" s="354"/>
      <c r="J226" s="354"/>
      <c r="K226" s="354"/>
      <c r="L226" s="354"/>
      <c r="M226" s="354"/>
      <c r="N226" s="354"/>
      <c r="O226" s="354"/>
      <c r="P226" s="354"/>
      <c r="Q226" s="354"/>
      <c r="R226" s="354"/>
      <c r="S226" s="354"/>
      <c r="T226" s="354"/>
      <c r="U226" s="354"/>
      <c r="V226" s="354"/>
      <c r="W226" s="354"/>
      <c r="X226" s="354"/>
      <c r="Y226" s="354"/>
      <c r="Z226" s="354"/>
    </row>
    <row r="227" customFormat="false" ht="15" hidden="false" customHeight="true" outlineLevel="0" collapsed="false">
      <c r="A227" s="354"/>
      <c r="B227" s="354"/>
      <c r="C227" s="354"/>
      <c r="D227" s="354"/>
      <c r="E227" s="354"/>
      <c r="F227" s="354"/>
      <c r="G227" s="354"/>
      <c r="H227" s="354"/>
      <c r="I227" s="354"/>
      <c r="J227" s="354"/>
      <c r="K227" s="354"/>
      <c r="L227" s="354"/>
      <c r="M227" s="354"/>
      <c r="N227" s="354"/>
      <c r="O227" s="354"/>
      <c r="P227" s="354"/>
      <c r="Q227" s="354"/>
      <c r="R227" s="354"/>
      <c r="S227" s="354"/>
      <c r="T227" s="354"/>
      <c r="U227" s="354"/>
      <c r="V227" s="354"/>
      <c r="W227" s="354"/>
      <c r="X227" s="354"/>
      <c r="Y227" s="354"/>
      <c r="Z227" s="354"/>
    </row>
    <row r="228" customFormat="false" ht="15" hidden="false" customHeight="true" outlineLevel="0" collapsed="false">
      <c r="A228" s="354"/>
      <c r="B228" s="354"/>
      <c r="C228" s="354"/>
      <c r="D228" s="354"/>
      <c r="E228" s="354"/>
      <c r="F228" s="354"/>
      <c r="G228" s="354"/>
      <c r="H228" s="354"/>
      <c r="I228" s="354"/>
      <c r="J228" s="354"/>
      <c r="K228" s="354"/>
      <c r="L228" s="354"/>
      <c r="M228" s="354"/>
      <c r="N228" s="354"/>
      <c r="O228" s="354"/>
      <c r="P228" s="354"/>
      <c r="Q228" s="354"/>
      <c r="R228" s="354"/>
      <c r="S228" s="354"/>
      <c r="T228" s="354"/>
      <c r="U228" s="354"/>
      <c r="V228" s="354"/>
      <c r="W228" s="354"/>
      <c r="X228" s="354"/>
      <c r="Y228" s="354"/>
      <c r="Z228" s="354"/>
    </row>
    <row r="229" customFormat="false" ht="15" hidden="false" customHeight="true" outlineLevel="0" collapsed="false">
      <c r="A229" s="354"/>
      <c r="B229" s="354"/>
      <c r="C229" s="354"/>
      <c r="D229" s="354"/>
      <c r="E229" s="354"/>
      <c r="F229" s="354"/>
      <c r="G229" s="354"/>
      <c r="H229" s="354"/>
      <c r="I229" s="354"/>
      <c r="J229" s="354"/>
      <c r="K229" s="354"/>
      <c r="L229" s="354"/>
      <c r="M229" s="354"/>
      <c r="N229" s="354"/>
      <c r="O229" s="354"/>
      <c r="P229" s="354"/>
      <c r="Q229" s="354"/>
      <c r="R229" s="354"/>
      <c r="S229" s="354"/>
      <c r="T229" s="354"/>
      <c r="U229" s="354"/>
      <c r="V229" s="354"/>
      <c r="W229" s="354"/>
      <c r="X229" s="354"/>
      <c r="Y229" s="354"/>
      <c r="Z229" s="354"/>
    </row>
    <row r="230" customFormat="false" ht="15" hidden="false" customHeight="true" outlineLevel="0" collapsed="false">
      <c r="A230" s="354"/>
      <c r="B230" s="354"/>
      <c r="C230" s="354"/>
      <c r="D230" s="354"/>
      <c r="E230" s="354"/>
      <c r="F230" s="354"/>
      <c r="G230" s="354"/>
      <c r="H230" s="354"/>
      <c r="I230" s="354"/>
      <c r="J230" s="354"/>
      <c r="K230" s="354"/>
      <c r="L230" s="354"/>
      <c r="M230" s="354"/>
      <c r="N230" s="354"/>
      <c r="O230" s="354"/>
      <c r="P230" s="354"/>
      <c r="Q230" s="354"/>
      <c r="R230" s="354"/>
      <c r="S230" s="354"/>
      <c r="T230" s="354"/>
      <c r="U230" s="354"/>
      <c r="V230" s="354"/>
      <c r="W230" s="354"/>
      <c r="X230" s="354"/>
      <c r="Y230" s="354"/>
      <c r="Z230" s="354"/>
    </row>
    <row r="231" customFormat="false" ht="15" hidden="false" customHeight="true" outlineLevel="0" collapsed="false">
      <c r="A231" s="354"/>
      <c r="B231" s="354"/>
      <c r="C231" s="354"/>
      <c r="D231" s="354"/>
      <c r="E231" s="354"/>
      <c r="F231" s="354"/>
      <c r="G231" s="354"/>
      <c r="H231" s="354"/>
      <c r="I231" s="354"/>
      <c r="J231" s="354"/>
      <c r="K231" s="354"/>
      <c r="L231" s="354"/>
      <c r="M231" s="354"/>
      <c r="N231" s="354"/>
      <c r="O231" s="354"/>
      <c r="P231" s="354"/>
      <c r="Q231" s="354"/>
      <c r="R231" s="354"/>
      <c r="S231" s="354"/>
      <c r="T231" s="354"/>
      <c r="U231" s="354"/>
      <c r="V231" s="354"/>
      <c r="W231" s="354"/>
      <c r="X231" s="354"/>
      <c r="Y231" s="354"/>
      <c r="Z231" s="354"/>
    </row>
    <row r="232" customFormat="false" ht="15" hidden="false" customHeight="true" outlineLevel="0" collapsed="false">
      <c r="A232" s="354"/>
      <c r="B232" s="354"/>
      <c r="C232" s="354"/>
      <c r="D232" s="354"/>
      <c r="E232" s="354"/>
      <c r="F232" s="354"/>
      <c r="G232" s="354"/>
      <c r="H232" s="354"/>
      <c r="I232" s="354"/>
      <c r="J232" s="354"/>
      <c r="K232" s="354"/>
      <c r="L232" s="354"/>
      <c r="M232" s="354"/>
      <c r="N232" s="354"/>
      <c r="O232" s="354"/>
      <c r="P232" s="354"/>
      <c r="Q232" s="354"/>
      <c r="R232" s="354"/>
      <c r="S232" s="354"/>
      <c r="T232" s="354"/>
      <c r="U232" s="354"/>
      <c r="V232" s="354"/>
      <c r="W232" s="354"/>
      <c r="X232" s="354"/>
      <c r="Y232" s="354"/>
      <c r="Z232" s="354"/>
    </row>
    <row r="233" customFormat="false" ht="15" hidden="false" customHeight="true" outlineLevel="0" collapsed="false">
      <c r="A233" s="354"/>
      <c r="B233" s="354"/>
      <c r="C233" s="354"/>
      <c r="D233" s="354"/>
      <c r="E233" s="354"/>
      <c r="F233" s="354"/>
      <c r="G233" s="354"/>
      <c r="H233" s="354"/>
      <c r="I233" s="354"/>
      <c r="J233" s="354"/>
      <c r="K233" s="354"/>
      <c r="L233" s="354"/>
      <c r="M233" s="354"/>
      <c r="N233" s="354"/>
      <c r="O233" s="354"/>
      <c r="P233" s="354"/>
      <c r="Q233" s="354"/>
      <c r="R233" s="354"/>
      <c r="S233" s="354"/>
      <c r="T233" s="354"/>
      <c r="U233" s="354"/>
      <c r="V233" s="354"/>
      <c r="W233" s="354"/>
      <c r="X233" s="354"/>
      <c r="Y233" s="354"/>
      <c r="Z233" s="354"/>
    </row>
    <row r="234" customFormat="false" ht="15" hidden="false" customHeight="true" outlineLevel="0" collapsed="false">
      <c r="A234" s="354"/>
      <c r="B234" s="354"/>
      <c r="C234" s="354"/>
      <c r="D234" s="354"/>
      <c r="E234" s="354"/>
      <c r="F234" s="354"/>
      <c r="G234" s="354"/>
      <c r="H234" s="354"/>
      <c r="I234" s="354"/>
      <c r="J234" s="354"/>
      <c r="K234" s="354"/>
      <c r="L234" s="354"/>
      <c r="M234" s="354"/>
      <c r="N234" s="354"/>
      <c r="O234" s="354"/>
      <c r="P234" s="354"/>
      <c r="Q234" s="354"/>
      <c r="R234" s="354"/>
      <c r="S234" s="354"/>
      <c r="T234" s="354"/>
      <c r="U234" s="354"/>
      <c r="V234" s="354"/>
      <c r="W234" s="354"/>
      <c r="X234" s="354"/>
      <c r="Y234" s="354"/>
      <c r="Z234" s="354"/>
    </row>
    <row r="235" customFormat="false" ht="15" hidden="false" customHeight="true" outlineLevel="0" collapsed="false">
      <c r="A235" s="354"/>
      <c r="B235" s="354"/>
      <c r="C235" s="354"/>
      <c r="D235" s="354"/>
      <c r="E235" s="354"/>
      <c r="F235" s="354"/>
      <c r="G235" s="354"/>
      <c r="H235" s="354"/>
      <c r="I235" s="354"/>
      <c r="J235" s="354"/>
      <c r="K235" s="354"/>
      <c r="L235" s="354"/>
      <c r="M235" s="354"/>
      <c r="N235" s="354"/>
      <c r="O235" s="354"/>
      <c r="P235" s="354"/>
      <c r="Q235" s="354"/>
      <c r="R235" s="354"/>
      <c r="S235" s="354"/>
      <c r="T235" s="354"/>
      <c r="U235" s="354"/>
      <c r="V235" s="354"/>
      <c r="W235" s="354"/>
      <c r="X235" s="354"/>
      <c r="Y235" s="354"/>
      <c r="Z235" s="354"/>
    </row>
    <row r="236" customFormat="false" ht="15" hidden="false" customHeight="true" outlineLevel="0" collapsed="false">
      <c r="A236" s="354"/>
      <c r="B236" s="354"/>
      <c r="C236" s="354"/>
      <c r="D236" s="354"/>
      <c r="E236" s="354"/>
      <c r="F236" s="354"/>
      <c r="G236" s="354"/>
      <c r="H236" s="354"/>
      <c r="I236" s="354"/>
      <c r="J236" s="354"/>
      <c r="K236" s="354"/>
      <c r="L236" s="354"/>
      <c r="M236" s="354"/>
      <c r="N236" s="354"/>
      <c r="O236" s="354"/>
      <c r="P236" s="354"/>
      <c r="Q236" s="354"/>
      <c r="R236" s="354"/>
      <c r="S236" s="354"/>
      <c r="T236" s="354"/>
      <c r="U236" s="354"/>
      <c r="V236" s="354"/>
      <c r="W236" s="354"/>
      <c r="X236" s="354"/>
      <c r="Y236" s="354"/>
      <c r="Z236" s="354"/>
    </row>
    <row r="237" customFormat="false" ht="15" hidden="false" customHeight="true" outlineLevel="0" collapsed="false">
      <c r="A237" s="354"/>
      <c r="B237" s="354"/>
      <c r="C237" s="354"/>
      <c r="D237" s="354"/>
      <c r="E237" s="354"/>
      <c r="F237" s="354"/>
      <c r="G237" s="354"/>
      <c r="H237" s="354"/>
      <c r="I237" s="354"/>
      <c r="J237" s="354"/>
      <c r="K237" s="354"/>
      <c r="L237" s="354"/>
      <c r="M237" s="354"/>
      <c r="N237" s="354"/>
      <c r="O237" s="354"/>
      <c r="P237" s="354"/>
      <c r="Q237" s="354"/>
      <c r="R237" s="354"/>
      <c r="S237" s="354"/>
      <c r="T237" s="354"/>
      <c r="U237" s="354"/>
      <c r="V237" s="354"/>
      <c r="W237" s="354"/>
      <c r="X237" s="354"/>
      <c r="Y237" s="354"/>
      <c r="Z237" s="354"/>
    </row>
    <row r="238" customFormat="false" ht="15" hidden="false" customHeight="true" outlineLevel="0" collapsed="false">
      <c r="A238" s="354"/>
      <c r="B238" s="354"/>
      <c r="C238" s="354"/>
      <c r="D238" s="354"/>
      <c r="E238" s="354"/>
      <c r="F238" s="354"/>
      <c r="G238" s="354"/>
      <c r="H238" s="354"/>
      <c r="I238" s="354"/>
      <c r="J238" s="354"/>
      <c r="K238" s="354"/>
      <c r="L238" s="354"/>
      <c r="M238" s="354"/>
      <c r="N238" s="354"/>
      <c r="O238" s="354"/>
      <c r="P238" s="354"/>
      <c r="Q238" s="354"/>
      <c r="R238" s="354"/>
      <c r="S238" s="354"/>
      <c r="T238" s="354"/>
      <c r="U238" s="354"/>
      <c r="V238" s="354"/>
      <c r="W238" s="354"/>
      <c r="X238" s="354"/>
      <c r="Y238" s="354"/>
      <c r="Z238" s="354"/>
    </row>
    <row r="239" customFormat="false" ht="15" hidden="false" customHeight="true" outlineLevel="0" collapsed="false">
      <c r="A239" s="354"/>
      <c r="B239" s="354"/>
      <c r="C239" s="354"/>
      <c r="D239" s="354"/>
      <c r="E239" s="354"/>
      <c r="F239" s="354"/>
      <c r="G239" s="354"/>
      <c r="H239" s="354"/>
      <c r="I239" s="354"/>
      <c r="J239" s="354"/>
      <c r="K239" s="354"/>
      <c r="L239" s="354"/>
      <c r="M239" s="354"/>
      <c r="N239" s="354"/>
      <c r="O239" s="354"/>
      <c r="P239" s="354"/>
      <c r="Q239" s="354"/>
      <c r="R239" s="354"/>
      <c r="S239" s="354"/>
      <c r="T239" s="354"/>
      <c r="U239" s="354"/>
      <c r="V239" s="354"/>
      <c r="W239" s="354"/>
      <c r="X239" s="354"/>
      <c r="Y239" s="354"/>
      <c r="Z239" s="354"/>
    </row>
    <row r="240" customFormat="false" ht="15" hidden="false" customHeight="true" outlineLevel="0" collapsed="false">
      <c r="A240" s="354"/>
      <c r="B240" s="354"/>
      <c r="C240" s="354"/>
      <c r="D240" s="354"/>
      <c r="E240" s="354"/>
      <c r="F240" s="354"/>
      <c r="G240" s="354"/>
      <c r="H240" s="354"/>
      <c r="I240" s="354"/>
      <c r="J240" s="354"/>
      <c r="K240" s="354"/>
      <c r="L240" s="354"/>
      <c r="M240" s="354"/>
      <c r="N240" s="354"/>
      <c r="O240" s="354"/>
      <c r="P240" s="354"/>
      <c r="Q240" s="354"/>
      <c r="R240" s="354"/>
      <c r="S240" s="354"/>
      <c r="T240" s="354"/>
      <c r="U240" s="354"/>
      <c r="V240" s="354"/>
      <c r="W240" s="354"/>
      <c r="X240" s="354"/>
      <c r="Y240" s="354"/>
      <c r="Z240" s="354"/>
    </row>
    <row r="241" customFormat="false" ht="15" hidden="false" customHeight="true" outlineLevel="0" collapsed="false">
      <c r="A241" s="354"/>
      <c r="B241" s="354"/>
      <c r="C241" s="354"/>
      <c r="D241" s="354"/>
      <c r="E241" s="354"/>
      <c r="F241" s="354"/>
      <c r="G241" s="354"/>
      <c r="H241" s="354"/>
      <c r="I241" s="354"/>
      <c r="J241" s="354"/>
      <c r="K241" s="354"/>
      <c r="L241" s="354"/>
      <c r="M241" s="354"/>
      <c r="N241" s="354"/>
      <c r="O241" s="354"/>
      <c r="P241" s="354"/>
      <c r="Q241" s="354"/>
      <c r="R241" s="354"/>
      <c r="S241" s="354"/>
      <c r="T241" s="354"/>
      <c r="U241" s="354"/>
      <c r="V241" s="354"/>
      <c r="W241" s="354"/>
      <c r="X241" s="354"/>
      <c r="Y241" s="354"/>
      <c r="Z241" s="354"/>
    </row>
    <row r="242" customFormat="false" ht="15" hidden="false" customHeight="true" outlineLevel="0" collapsed="false">
      <c r="A242" s="354"/>
      <c r="B242" s="354"/>
      <c r="C242" s="354"/>
      <c r="D242" s="354"/>
      <c r="E242" s="354"/>
      <c r="F242" s="354"/>
      <c r="G242" s="354"/>
      <c r="H242" s="354"/>
      <c r="I242" s="354"/>
      <c r="J242" s="354"/>
      <c r="K242" s="354"/>
      <c r="L242" s="354"/>
      <c r="M242" s="354"/>
      <c r="N242" s="354"/>
      <c r="O242" s="354"/>
      <c r="P242" s="354"/>
      <c r="Q242" s="354"/>
      <c r="R242" s="354"/>
      <c r="S242" s="354"/>
      <c r="T242" s="354"/>
      <c r="U242" s="354"/>
      <c r="V242" s="354"/>
      <c r="W242" s="354"/>
      <c r="X242" s="354"/>
      <c r="Y242" s="354"/>
      <c r="Z242" s="354"/>
    </row>
    <row r="243" customFormat="false" ht="15" hidden="false" customHeight="true" outlineLevel="0" collapsed="false">
      <c r="A243" s="354"/>
      <c r="B243" s="354"/>
      <c r="C243" s="354"/>
      <c r="D243" s="354"/>
      <c r="E243" s="354"/>
      <c r="F243" s="354"/>
      <c r="G243" s="354"/>
      <c r="H243" s="354"/>
      <c r="I243" s="354"/>
      <c r="J243" s="354"/>
      <c r="K243" s="354"/>
      <c r="L243" s="354"/>
      <c r="M243" s="354"/>
      <c r="N243" s="354"/>
      <c r="O243" s="354"/>
      <c r="P243" s="354"/>
      <c r="Q243" s="354"/>
      <c r="R243" s="354"/>
      <c r="S243" s="354"/>
      <c r="T243" s="354"/>
      <c r="U243" s="354"/>
      <c r="V243" s="354"/>
      <c r="W243" s="354"/>
      <c r="X243" s="354"/>
      <c r="Y243" s="354"/>
      <c r="Z243" s="354"/>
    </row>
    <row r="244" customFormat="false" ht="15" hidden="false" customHeight="true" outlineLevel="0" collapsed="false">
      <c r="A244" s="354"/>
      <c r="B244" s="354"/>
      <c r="C244" s="354"/>
      <c r="D244" s="354"/>
      <c r="E244" s="354"/>
      <c r="F244" s="354"/>
      <c r="G244" s="354"/>
      <c r="H244" s="354"/>
      <c r="I244" s="354"/>
      <c r="J244" s="354"/>
      <c r="K244" s="354"/>
      <c r="L244" s="354"/>
      <c r="M244" s="354"/>
      <c r="N244" s="354"/>
      <c r="O244" s="354"/>
      <c r="P244" s="354"/>
      <c r="Q244" s="354"/>
      <c r="R244" s="354"/>
      <c r="S244" s="354"/>
      <c r="T244" s="354"/>
      <c r="U244" s="354"/>
      <c r="V244" s="354"/>
      <c r="W244" s="354"/>
      <c r="X244" s="354"/>
      <c r="Y244" s="354"/>
      <c r="Z244" s="354"/>
    </row>
    <row r="245" customFormat="false" ht="15" hidden="false" customHeight="true" outlineLevel="0" collapsed="false">
      <c r="A245" s="354"/>
      <c r="B245" s="354"/>
      <c r="C245" s="354"/>
      <c r="D245" s="354"/>
      <c r="E245" s="354"/>
      <c r="F245" s="354"/>
      <c r="G245" s="354"/>
      <c r="H245" s="354"/>
      <c r="I245" s="354"/>
      <c r="J245" s="354"/>
      <c r="K245" s="354"/>
      <c r="L245" s="354"/>
      <c r="M245" s="354"/>
      <c r="N245" s="354"/>
      <c r="O245" s="354"/>
      <c r="P245" s="354"/>
      <c r="Q245" s="354"/>
      <c r="R245" s="354"/>
      <c r="S245" s="354"/>
      <c r="T245" s="354"/>
      <c r="U245" s="354"/>
      <c r="V245" s="354"/>
      <c r="W245" s="354"/>
      <c r="X245" s="354"/>
      <c r="Y245" s="354"/>
      <c r="Z245" s="354"/>
    </row>
    <row r="246" customFormat="false" ht="15" hidden="false" customHeight="true" outlineLevel="0" collapsed="false">
      <c r="A246" s="354"/>
      <c r="B246" s="354"/>
      <c r="C246" s="354"/>
      <c r="D246" s="354"/>
      <c r="E246" s="354"/>
      <c r="F246" s="354"/>
      <c r="G246" s="354"/>
      <c r="H246" s="354"/>
      <c r="I246" s="354"/>
      <c r="J246" s="354"/>
      <c r="K246" s="354"/>
      <c r="L246" s="354"/>
      <c r="M246" s="354"/>
      <c r="N246" s="354"/>
      <c r="O246" s="354"/>
      <c r="P246" s="354"/>
      <c r="Q246" s="354"/>
      <c r="R246" s="354"/>
      <c r="S246" s="354"/>
      <c r="T246" s="354"/>
      <c r="U246" s="354"/>
      <c r="V246" s="354"/>
      <c r="W246" s="354"/>
      <c r="X246" s="354"/>
      <c r="Y246" s="354"/>
      <c r="Z246" s="354"/>
    </row>
    <row r="247" customFormat="false" ht="15" hidden="false" customHeight="true" outlineLevel="0" collapsed="false">
      <c r="A247" s="354"/>
      <c r="B247" s="354"/>
      <c r="C247" s="354"/>
      <c r="D247" s="354"/>
      <c r="E247" s="354"/>
      <c r="F247" s="354"/>
      <c r="G247" s="354"/>
      <c r="H247" s="354"/>
      <c r="I247" s="354"/>
      <c r="J247" s="354"/>
      <c r="K247" s="354"/>
      <c r="L247" s="354"/>
      <c r="M247" s="354"/>
      <c r="N247" s="354"/>
      <c r="O247" s="354"/>
      <c r="P247" s="354"/>
      <c r="Q247" s="354"/>
      <c r="R247" s="354"/>
      <c r="S247" s="354"/>
      <c r="T247" s="354"/>
      <c r="U247" s="354"/>
      <c r="V247" s="354"/>
      <c r="W247" s="354"/>
      <c r="X247" s="354"/>
      <c r="Y247" s="354"/>
      <c r="Z247" s="354"/>
    </row>
    <row r="248" customFormat="false" ht="15" hidden="false" customHeight="true" outlineLevel="0" collapsed="false">
      <c r="A248" s="354"/>
      <c r="B248" s="354"/>
      <c r="C248" s="354"/>
      <c r="D248" s="354"/>
      <c r="E248" s="354"/>
      <c r="F248" s="354"/>
      <c r="G248" s="354"/>
      <c r="H248" s="354"/>
      <c r="I248" s="354"/>
      <c r="J248" s="354"/>
      <c r="K248" s="354"/>
      <c r="L248" s="354"/>
      <c r="M248" s="354"/>
      <c r="N248" s="354"/>
      <c r="O248" s="354"/>
      <c r="P248" s="354"/>
      <c r="Q248" s="354"/>
      <c r="R248" s="354"/>
      <c r="S248" s="354"/>
      <c r="T248" s="354"/>
      <c r="U248" s="354"/>
      <c r="V248" s="354"/>
      <c r="W248" s="354"/>
      <c r="X248" s="354"/>
      <c r="Y248" s="354"/>
      <c r="Z248" s="354"/>
    </row>
    <row r="249" customFormat="false" ht="15" hidden="false" customHeight="true" outlineLevel="0" collapsed="false">
      <c r="A249" s="354"/>
      <c r="B249" s="354"/>
      <c r="C249" s="354"/>
      <c r="D249" s="354"/>
      <c r="E249" s="354"/>
      <c r="F249" s="354"/>
      <c r="G249" s="354"/>
      <c r="H249" s="354"/>
      <c r="I249" s="354"/>
      <c r="J249" s="354"/>
      <c r="K249" s="354"/>
      <c r="L249" s="354"/>
      <c r="M249" s="354"/>
      <c r="N249" s="354"/>
      <c r="O249" s="354"/>
      <c r="P249" s="354"/>
      <c r="Q249" s="354"/>
      <c r="R249" s="354"/>
      <c r="S249" s="354"/>
      <c r="T249" s="354"/>
      <c r="U249" s="354"/>
      <c r="V249" s="354"/>
      <c r="W249" s="354"/>
      <c r="X249" s="354"/>
      <c r="Y249" s="354"/>
      <c r="Z249" s="354"/>
    </row>
    <row r="250" customFormat="false" ht="15" hidden="false" customHeight="true" outlineLevel="0" collapsed="false">
      <c r="A250" s="354"/>
      <c r="B250" s="354"/>
      <c r="C250" s="354"/>
      <c r="D250" s="354"/>
      <c r="E250" s="354"/>
      <c r="F250" s="354"/>
      <c r="G250" s="354"/>
      <c r="H250" s="354"/>
      <c r="I250" s="354"/>
      <c r="J250" s="354"/>
      <c r="K250" s="354"/>
      <c r="L250" s="354"/>
      <c r="M250" s="354"/>
      <c r="N250" s="354"/>
      <c r="O250" s="354"/>
      <c r="P250" s="354"/>
      <c r="Q250" s="354"/>
      <c r="R250" s="354"/>
      <c r="S250" s="354"/>
      <c r="T250" s="354"/>
      <c r="U250" s="354"/>
      <c r="V250" s="354"/>
      <c r="W250" s="354"/>
      <c r="X250" s="354"/>
      <c r="Y250" s="354"/>
      <c r="Z250" s="354"/>
    </row>
    <row r="251" customFormat="false" ht="15" hidden="false" customHeight="true" outlineLevel="0" collapsed="false">
      <c r="A251" s="354"/>
      <c r="B251" s="354"/>
      <c r="C251" s="354"/>
      <c r="D251" s="354"/>
      <c r="E251" s="354"/>
      <c r="F251" s="354"/>
      <c r="G251" s="354"/>
      <c r="H251" s="354"/>
      <c r="I251" s="354"/>
      <c r="J251" s="354"/>
      <c r="K251" s="354"/>
      <c r="L251" s="354"/>
      <c r="M251" s="354"/>
      <c r="N251" s="354"/>
      <c r="O251" s="354"/>
      <c r="P251" s="354"/>
      <c r="Q251" s="354"/>
      <c r="R251" s="354"/>
      <c r="S251" s="354"/>
      <c r="T251" s="354"/>
      <c r="U251" s="354"/>
      <c r="V251" s="354"/>
      <c r="W251" s="354"/>
      <c r="X251" s="354"/>
      <c r="Y251" s="354"/>
      <c r="Z251" s="354"/>
    </row>
    <row r="252" customFormat="false" ht="15" hidden="false" customHeight="true" outlineLevel="0" collapsed="false">
      <c r="A252" s="354"/>
      <c r="B252" s="354"/>
      <c r="C252" s="354"/>
      <c r="D252" s="354"/>
      <c r="E252" s="354"/>
      <c r="F252" s="354"/>
      <c r="G252" s="354"/>
      <c r="H252" s="354"/>
      <c r="I252" s="354"/>
      <c r="J252" s="354"/>
      <c r="K252" s="354"/>
      <c r="L252" s="354"/>
      <c r="M252" s="354"/>
      <c r="N252" s="354"/>
      <c r="O252" s="354"/>
      <c r="P252" s="354"/>
      <c r="Q252" s="354"/>
      <c r="R252" s="354"/>
      <c r="S252" s="354"/>
      <c r="T252" s="354"/>
      <c r="U252" s="354"/>
      <c r="V252" s="354"/>
      <c r="W252" s="354"/>
      <c r="X252" s="354"/>
      <c r="Y252" s="354"/>
      <c r="Z252" s="354"/>
    </row>
    <row r="253" customFormat="false" ht="15" hidden="false" customHeight="true" outlineLevel="0" collapsed="false">
      <c r="A253" s="354"/>
      <c r="B253" s="354"/>
      <c r="C253" s="354"/>
      <c r="D253" s="354"/>
      <c r="E253" s="354"/>
      <c r="F253" s="354"/>
      <c r="G253" s="354"/>
      <c r="H253" s="354"/>
      <c r="I253" s="354"/>
      <c r="J253" s="354"/>
      <c r="K253" s="354"/>
      <c r="L253" s="354"/>
      <c r="M253" s="354"/>
      <c r="N253" s="354"/>
      <c r="O253" s="354"/>
      <c r="P253" s="354"/>
      <c r="Q253" s="354"/>
      <c r="R253" s="354"/>
      <c r="S253" s="354"/>
      <c r="T253" s="354"/>
      <c r="U253" s="354"/>
      <c r="V253" s="354"/>
      <c r="W253" s="354"/>
      <c r="X253" s="354"/>
      <c r="Y253" s="354"/>
      <c r="Z253" s="354"/>
    </row>
    <row r="254" customFormat="false" ht="15" hidden="false" customHeight="true" outlineLevel="0" collapsed="false">
      <c r="A254" s="354"/>
      <c r="B254" s="354"/>
      <c r="C254" s="354"/>
      <c r="D254" s="354"/>
      <c r="E254" s="354"/>
      <c r="F254" s="354"/>
      <c r="G254" s="354"/>
      <c r="H254" s="354"/>
      <c r="I254" s="354"/>
      <c r="J254" s="354"/>
      <c r="K254" s="354"/>
      <c r="L254" s="354"/>
      <c r="M254" s="354"/>
      <c r="N254" s="354"/>
      <c r="O254" s="354"/>
      <c r="P254" s="354"/>
      <c r="Q254" s="354"/>
      <c r="R254" s="354"/>
      <c r="S254" s="354"/>
      <c r="T254" s="354"/>
      <c r="U254" s="354"/>
      <c r="V254" s="354"/>
      <c r="W254" s="354"/>
      <c r="X254" s="354"/>
      <c r="Y254" s="354"/>
      <c r="Z254" s="354"/>
    </row>
    <row r="255" customFormat="false" ht="15" hidden="false" customHeight="true" outlineLevel="0" collapsed="false">
      <c r="A255" s="354"/>
      <c r="B255" s="354"/>
      <c r="C255" s="354"/>
      <c r="D255" s="354"/>
      <c r="E255" s="354"/>
      <c r="F255" s="354"/>
      <c r="G255" s="354"/>
      <c r="H255" s="354"/>
      <c r="I255" s="354"/>
      <c r="J255" s="354"/>
      <c r="K255" s="354"/>
      <c r="L255" s="354"/>
      <c r="M255" s="354"/>
      <c r="N255" s="354"/>
      <c r="O255" s="354"/>
      <c r="P255" s="354"/>
      <c r="Q255" s="354"/>
      <c r="R255" s="354"/>
      <c r="S255" s="354"/>
      <c r="T255" s="354"/>
      <c r="U255" s="354"/>
      <c r="V255" s="354"/>
      <c r="W255" s="354"/>
      <c r="X255" s="354"/>
      <c r="Y255" s="354"/>
      <c r="Z255" s="354"/>
    </row>
    <row r="256" customFormat="false" ht="15" hidden="false" customHeight="true" outlineLevel="0" collapsed="false">
      <c r="A256" s="354"/>
      <c r="B256" s="354"/>
      <c r="C256" s="354"/>
      <c r="D256" s="354"/>
      <c r="E256" s="354"/>
      <c r="F256" s="354"/>
      <c r="G256" s="354"/>
      <c r="H256" s="354"/>
      <c r="I256" s="354"/>
      <c r="J256" s="354"/>
      <c r="K256" s="354"/>
      <c r="L256" s="354"/>
      <c r="M256" s="354"/>
      <c r="N256" s="354"/>
      <c r="O256" s="354"/>
      <c r="P256" s="354"/>
      <c r="Q256" s="354"/>
      <c r="R256" s="354"/>
      <c r="S256" s="354"/>
      <c r="T256" s="354"/>
      <c r="U256" s="354"/>
      <c r="V256" s="354"/>
      <c r="W256" s="354"/>
      <c r="X256" s="354"/>
      <c r="Y256" s="354"/>
      <c r="Z256" s="354"/>
    </row>
    <row r="257" customFormat="false" ht="15" hidden="false" customHeight="true" outlineLevel="0" collapsed="false">
      <c r="A257" s="354"/>
      <c r="B257" s="354"/>
      <c r="C257" s="354"/>
      <c r="D257" s="354"/>
      <c r="E257" s="354"/>
      <c r="F257" s="354"/>
      <c r="G257" s="354"/>
      <c r="H257" s="354"/>
      <c r="I257" s="354"/>
      <c r="J257" s="354"/>
      <c r="K257" s="354"/>
      <c r="L257" s="354"/>
      <c r="M257" s="354"/>
      <c r="N257" s="354"/>
      <c r="O257" s="354"/>
      <c r="P257" s="354"/>
      <c r="Q257" s="354"/>
      <c r="R257" s="354"/>
      <c r="S257" s="354"/>
      <c r="T257" s="354"/>
      <c r="U257" s="354"/>
      <c r="V257" s="354"/>
      <c r="W257" s="354"/>
      <c r="X257" s="354"/>
      <c r="Y257" s="354"/>
      <c r="Z257" s="354"/>
    </row>
    <row r="258" customFormat="false" ht="15" hidden="false" customHeight="true" outlineLevel="0" collapsed="false">
      <c r="A258" s="354"/>
      <c r="B258" s="354"/>
      <c r="C258" s="354"/>
      <c r="D258" s="354"/>
      <c r="E258" s="354"/>
      <c r="F258" s="354"/>
      <c r="G258" s="354"/>
      <c r="H258" s="354"/>
      <c r="I258" s="354"/>
      <c r="J258" s="354"/>
      <c r="K258" s="354"/>
      <c r="L258" s="354"/>
      <c r="M258" s="354"/>
      <c r="N258" s="354"/>
      <c r="O258" s="354"/>
      <c r="P258" s="354"/>
      <c r="Q258" s="354"/>
      <c r="R258" s="354"/>
      <c r="S258" s="354"/>
      <c r="T258" s="354"/>
      <c r="U258" s="354"/>
      <c r="V258" s="354"/>
      <c r="W258" s="354"/>
      <c r="X258" s="354"/>
      <c r="Y258" s="354"/>
      <c r="Z258" s="354"/>
    </row>
    <row r="259" customFormat="false" ht="15" hidden="false" customHeight="true" outlineLevel="0" collapsed="false">
      <c r="A259" s="354"/>
      <c r="B259" s="354"/>
      <c r="C259" s="354"/>
      <c r="D259" s="354"/>
      <c r="E259" s="354"/>
      <c r="F259" s="354"/>
      <c r="G259" s="354"/>
      <c r="H259" s="354"/>
      <c r="I259" s="354"/>
      <c r="J259" s="354"/>
      <c r="K259" s="354"/>
      <c r="L259" s="354"/>
      <c r="M259" s="354"/>
      <c r="N259" s="354"/>
      <c r="O259" s="354"/>
      <c r="P259" s="354"/>
      <c r="Q259" s="354"/>
      <c r="R259" s="354"/>
      <c r="S259" s="354"/>
      <c r="T259" s="354"/>
      <c r="U259" s="354"/>
      <c r="V259" s="354"/>
      <c r="W259" s="354"/>
      <c r="X259" s="354"/>
      <c r="Y259" s="354"/>
      <c r="Z259" s="354"/>
    </row>
    <row r="260" customFormat="false" ht="15" hidden="false" customHeight="true" outlineLevel="0" collapsed="false">
      <c r="A260" s="354"/>
      <c r="B260" s="354"/>
      <c r="C260" s="354"/>
      <c r="D260" s="354"/>
      <c r="E260" s="354"/>
      <c r="F260" s="354"/>
      <c r="G260" s="354"/>
      <c r="H260" s="354"/>
      <c r="I260" s="354"/>
      <c r="J260" s="354"/>
      <c r="K260" s="354"/>
      <c r="L260" s="354"/>
      <c r="M260" s="354"/>
      <c r="N260" s="354"/>
      <c r="O260" s="354"/>
      <c r="P260" s="354"/>
      <c r="Q260" s="354"/>
      <c r="R260" s="354"/>
      <c r="S260" s="354"/>
      <c r="T260" s="354"/>
      <c r="U260" s="354"/>
      <c r="V260" s="354"/>
      <c r="W260" s="354"/>
      <c r="X260" s="354"/>
      <c r="Y260" s="354"/>
      <c r="Z260" s="354"/>
    </row>
    <row r="261" customFormat="false" ht="15" hidden="false" customHeight="true" outlineLevel="0" collapsed="false">
      <c r="A261" s="354"/>
      <c r="B261" s="354"/>
      <c r="C261" s="354"/>
      <c r="D261" s="354"/>
      <c r="E261" s="354"/>
      <c r="F261" s="354"/>
      <c r="G261" s="354"/>
      <c r="H261" s="354"/>
      <c r="I261" s="354"/>
      <c r="J261" s="354"/>
      <c r="K261" s="354"/>
      <c r="L261" s="354"/>
      <c r="M261" s="354"/>
      <c r="N261" s="354"/>
      <c r="O261" s="354"/>
      <c r="P261" s="354"/>
      <c r="Q261" s="354"/>
      <c r="R261" s="354"/>
      <c r="S261" s="354"/>
      <c r="T261" s="354"/>
      <c r="U261" s="354"/>
      <c r="V261" s="354"/>
      <c r="W261" s="354"/>
      <c r="X261" s="354"/>
      <c r="Y261" s="354"/>
      <c r="Z261" s="354"/>
    </row>
    <row r="262" customFormat="false" ht="15" hidden="false" customHeight="true" outlineLevel="0" collapsed="false">
      <c r="A262" s="354"/>
      <c r="B262" s="354"/>
      <c r="C262" s="354"/>
      <c r="D262" s="354"/>
      <c r="E262" s="354"/>
      <c r="F262" s="354"/>
      <c r="G262" s="354"/>
      <c r="H262" s="354"/>
      <c r="I262" s="354"/>
      <c r="J262" s="354"/>
      <c r="K262" s="354"/>
      <c r="L262" s="354"/>
      <c r="M262" s="354"/>
      <c r="N262" s="354"/>
      <c r="O262" s="354"/>
      <c r="P262" s="354"/>
      <c r="Q262" s="354"/>
      <c r="R262" s="354"/>
      <c r="S262" s="354"/>
      <c r="T262" s="354"/>
      <c r="U262" s="354"/>
      <c r="V262" s="354"/>
      <c r="W262" s="354"/>
      <c r="X262" s="354"/>
      <c r="Y262" s="354"/>
      <c r="Z262" s="354"/>
    </row>
    <row r="263" customFormat="false" ht="15" hidden="false" customHeight="true" outlineLevel="0" collapsed="false">
      <c r="A263" s="354"/>
      <c r="B263" s="354"/>
      <c r="C263" s="354"/>
      <c r="D263" s="354"/>
      <c r="E263" s="354"/>
      <c r="F263" s="354"/>
      <c r="G263" s="354"/>
      <c r="H263" s="354"/>
      <c r="I263" s="354"/>
      <c r="J263" s="354"/>
      <c r="K263" s="354"/>
      <c r="L263" s="354"/>
      <c r="M263" s="354"/>
      <c r="N263" s="354"/>
      <c r="O263" s="354"/>
      <c r="P263" s="354"/>
      <c r="Q263" s="354"/>
      <c r="R263" s="354"/>
      <c r="S263" s="354"/>
      <c r="T263" s="354"/>
      <c r="U263" s="354"/>
      <c r="V263" s="354"/>
      <c r="W263" s="354"/>
      <c r="X263" s="354"/>
      <c r="Y263" s="354"/>
      <c r="Z263" s="354"/>
    </row>
    <row r="264" customFormat="false" ht="15" hidden="false" customHeight="true" outlineLevel="0" collapsed="false">
      <c r="A264" s="354"/>
      <c r="B264" s="354"/>
      <c r="C264" s="354"/>
      <c r="D264" s="354"/>
      <c r="E264" s="354"/>
      <c r="F264" s="354"/>
      <c r="G264" s="354"/>
      <c r="H264" s="354"/>
      <c r="I264" s="354"/>
      <c r="J264" s="354"/>
      <c r="K264" s="354"/>
      <c r="L264" s="354"/>
      <c r="M264" s="354"/>
      <c r="N264" s="354"/>
      <c r="O264" s="354"/>
      <c r="P264" s="354"/>
      <c r="Q264" s="354"/>
      <c r="R264" s="354"/>
      <c r="S264" s="354"/>
      <c r="T264" s="354"/>
      <c r="U264" s="354"/>
      <c r="V264" s="354"/>
      <c r="W264" s="354"/>
      <c r="X264" s="354"/>
      <c r="Y264" s="354"/>
      <c r="Z264" s="354"/>
    </row>
    <row r="265" customFormat="false" ht="15" hidden="false" customHeight="true" outlineLevel="0" collapsed="false">
      <c r="A265" s="354"/>
      <c r="B265" s="354"/>
      <c r="C265" s="354"/>
      <c r="D265" s="354"/>
      <c r="E265" s="354"/>
      <c r="F265" s="354"/>
      <c r="G265" s="354"/>
      <c r="H265" s="354"/>
      <c r="I265" s="354"/>
      <c r="J265" s="354"/>
      <c r="K265" s="354"/>
      <c r="L265" s="354"/>
      <c r="M265" s="354"/>
      <c r="N265" s="354"/>
      <c r="O265" s="354"/>
      <c r="P265" s="354"/>
      <c r="Q265" s="354"/>
      <c r="R265" s="354"/>
      <c r="S265" s="354"/>
      <c r="T265" s="354"/>
      <c r="U265" s="354"/>
      <c r="V265" s="354"/>
      <c r="W265" s="354"/>
      <c r="X265" s="354"/>
      <c r="Y265" s="354"/>
      <c r="Z265" s="354"/>
    </row>
    <row r="266" customFormat="false" ht="15" hidden="false" customHeight="true" outlineLevel="0" collapsed="false">
      <c r="A266" s="354"/>
      <c r="B266" s="354"/>
      <c r="C266" s="354"/>
      <c r="D266" s="354"/>
      <c r="E266" s="354"/>
      <c r="F266" s="354"/>
      <c r="G266" s="354"/>
      <c r="H266" s="354"/>
      <c r="I266" s="354"/>
      <c r="J266" s="354"/>
      <c r="K266" s="354"/>
      <c r="L266" s="354"/>
      <c r="M266" s="354"/>
      <c r="N266" s="354"/>
      <c r="O266" s="354"/>
      <c r="P266" s="354"/>
      <c r="Q266" s="354"/>
      <c r="R266" s="354"/>
      <c r="S266" s="354"/>
      <c r="T266" s="354"/>
      <c r="U266" s="354"/>
      <c r="V266" s="354"/>
      <c r="W266" s="354"/>
      <c r="X266" s="354"/>
      <c r="Y266" s="354"/>
      <c r="Z266" s="354"/>
    </row>
    <row r="267" customFormat="false" ht="15" hidden="false" customHeight="true" outlineLevel="0" collapsed="false">
      <c r="A267" s="354"/>
      <c r="B267" s="354"/>
      <c r="C267" s="354"/>
      <c r="D267" s="354"/>
      <c r="E267" s="354"/>
      <c r="F267" s="354"/>
      <c r="G267" s="354"/>
      <c r="H267" s="354"/>
      <c r="I267" s="354"/>
      <c r="J267" s="354"/>
      <c r="K267" s="354"/>
      <c r="L267" s="354"/>
      <c r="M267" s="354"/>
      <c r="N267" s="354"/>
      <c r="O267" s="354"/>
      <c r="P267" s="354"/>
      <c r="Q267" s="354"/>
      <c r="R267" s="354"/>
      <c r="S267" s="354"/>
      <c r="T267" s="354"/>
      <c r="U267" s="354"/>
      <c r="V267" s="354"/>
      <c r="W267" s="354"/>
      <c r="X267" s="354"/>
      <c r="Y267" s="354"/>
      <c r="Z267" s="354"/>
    </row>
    <row r="268" customFormat="false" ht="15" hidden="false" customHeight="true" outlineLevel="0" collapsed="false">
      <c r="A268" s="354"/>
      <c r="B268" s="354"/>
      <c r="C268" s="354"/>
      <c r="D268" s="354"/>
      <c r="E268" s="354"/>
      <c r="F268" s="354"/>
      <c r="G268" s="354"/>
      <c r="H268" s="354"/>
      <c r="I268" s="354"/>
      <c r="J268" s="354"/>
      <c r="K268" s="354"/>
      <c r="L268" s="354"/>
      <c r="M268" s="354"/>
      <c r="N268" s="354"/>
      <c r="O268" s="354"/>
      <c r="P268" s="354"/>
      <c r="Q268" s="354"/>
      <c r="R268" s="354"/>
      <c r="S268" s="354"/>
      <c r="T268" s="354"/>
      <c r="U268" s="354"/>
      <c r="V268" s="354"/>
      <c r="W268" s="354"/>
      <c r="X268" s="354"/>
      <c r="Y268" s="354"/>
      <c r="Z268" s="354"/>
    </row>
    <row r="269" customFormat="false" ht="15" hidden="false" customHeight="true" outlineLevel="0" collapsed="false">
      <c r="A269" s="354"/>
      <c r="B269" s="354"/>
      <c r="C269" s="354"/>
      <c r="D269" s="354"/>
      <c r="E269" s="354"/>
      <c r="F269" s="354"/>
      <c r="G269" s="354"/>
      <c r="H269" s="354"/>
      <c r="I269" s="354"/>
      <c r="J269" s="354"/>
      <c r="K269" s="354"/>
      <c r="L269" s="354"/>
      <c r="M269" s="354"/>
      <c r="N269" s="354"/>
      <c r="O269" s="354"/>
      <c r="P269" s="354"/>
      <c r="Q269" s="354"/>
      <c r="R269" s="354"/>
      <c r="S269" s="354"/>
      <c r="T269" s="354"/>
      <c r="U269" s="354"/>
      <c r="V269" s="354"/>
      <c r="W269" s="354"/>
      <c r="X269" s="354"/>
      <c r="Y269" s="354"/>
      <c r="Z269" s="354"/>
    </row>
    <row r="270" customFormat="false" ht="15" hidden="false" customHeight="true" outlineLevel="0" collapsed="false">
      <c r="A270" s="354"/>
      <c r="B270" s="354"/>
      <c r="C270" s="354"/>
      <c r="D270" s="354"/>
      <c r="E270" s="354"/>
      <c r="F270" s="354"/>
      <c r="G270" s="354"/>
      <c r="H270" s="354"/>
      <c r="I270" s="354"/>
      <c r="J270" s="354"/>
      <c r="K270" s="354"/>
      <c r="L270" s="354"/>
      <c r="M270" s="354"/>
      <c r="N270" s="354"/>
      <c r="O270" s="354"/>
      <c r="P270" s="354"/>
      <c r="Q270" s="354"/>
      <c r="R270" s="354"/>
      <c r="S270" s="354"/>
      <c r="T270" s="354"/>
      <c r="U270" s="354"/>
      <c r="V270" s="354"/>
      <c r="W270" s="354"/>
      <c r="X270" s="354"/>
      <c r="Y270" s="354"/>
      <c r="Z270" s="354"/>
    </row>
    <row r="271" customFormat="false" ht="15" hidden="false" customHeight="true" outlineLevel="0" collapsed="false">
      <c r="A271" s="354"/>
      <c r="B271" s="354"/>
      <c r="C271" s="354"/>
      <c r="D271" s="354"/>
      <c r="E271" s="354"/>
      <c r="F271" s="354"/>
      <c r="G271" s="354"/>
      <c r="H271" s="354"/>
      <c r="I271" s="354"/>
      <c r="J271" s="354"/>
      <c r="K271" s="354"/>
      <c r="L271" s="354"/>
      <c r="M271" s="354"/>
      <c r="N271" s="354"/>
      <c r="O271" s="354"/>
      <c r="P271" s="354"/>
      <c r="Q271" s="354"/>
      <c r="R271" s="354"/>
      <c r="S271" s="354"/>
      <c r="T271" s="354"/>
      <c r="U271" s="354"/>
      <c r="V271" s="354"/>
      <c r="W271" s="354"/>
      <c r="X271" s="354"/>
      <c r="Y271" s="354"/>
      <c r="Z271" s="354"/>
    </row>
    <row r="272" customFormat="false" ht="15" hidden="false" customHeight="true" outlineLevel="0" collapsed="false">
      <c r="A272" s="354"/>
      <c r="B272" s="354"/>
      <c r="C272" s="354"/>
      <c r="D272" s="354"/>
      <c r="E272" s="354"/>
      <c r="F272" s="354"/>
      <c r="G272" s="354"/>
      <c r="H272" s="354"/>
      <c r="I272" s="354"/>
      <c r="J272" s="354"/>
      <c r="K272" s="354"/>
      <c r="L272" s="354"/>
      <c r="M272" s="354"/>
      <c r="N272" s="354"/>
      <c r="O272" s="354"/>
      <c r="P272" s="354"/>
      <c r="Q272" s="354"/>
      <c r="R272" s="354"/>
      <c r="S272" s="354"/>
      <c r="T272" s="354"/>
      <c r="U272" s="354"/>
      <c r="V272" s="354"/>
      <c r="W272" s="354"/>
      <c r="X272" s="354"/>
      <c r="Y272" s="354"/>
      <c r="Z272" s="354"/>
    </row>
    <row r="273" customFormat="false" ht="15" hidden="false" customHeight="true" outlineLevel="0" collapsed="false">
      <c r="A273" s="354"/>
      <c r="B273" s="354"/>
      <c r="C273" s="354"/>
      <c r="D273" s="354"/>
      <c r="E273" s="354"/>
      <c r="F273" s="354"/>
      <c r="G273" s="354"/>
      <c r="H273" s="354"/>
      <c r="I273" s="354"/>
      <c r="J273" s="354"/>
      <c r="K273" s="354"/>
      <c r="L273" s="354"/>
      <c r="M273" s="354"/>
      <c r="N273" s="354"/>
      <c r="O273" s="354"/>
      <c r="P273" s="354"/>
      <c r="Q273" s="354"/>
      <c r="R273" s="354"/>
      <c r="S273" s="354"/>
      <c r="T273" s="354"/>
      <c r="U273" s="354"/>
      <c r="V273" s="354"/>
      <c r="W273" s="354"/>
      <c r="X273" s="354"/>
      <c r="Y273" s="354"/>
      <c r="Z273" s="354"/>
    </row>
    <row r="274" customFormat="false" ht="15" hidden="false" customHeight="true" outlineLevel="0" collapsed="false">
      <c r="A274" s="354"/>
      <c r="B274" s="354"/>
      <c r="C274" s="354"/>
      <c r="D274" s="354"/>
      <c r="E274" s="354"/>
      <c r="F274" s="354"/>
      <c r="G274" s="354"/>
      <c r="H274" s="354"/>
      <c r="I274" s="354"/>
      <c r="J274" s="354"/>
      <c r="K274" s="354"/>
      <c r="L274" s="354"/>
      <c r="M274" s="354"/>
      <c r="N274" s="354"/>
      <c r="O274" s="354"/>
      <c r="P274" s="354"/>
      <c r="Q274" s="354"/>
      <c r="R274" s="354"/>
      <c r="S274" s="354"/>
      <c r="T274" s="354"/>
      <c r="U274" s="354"/>
      <c r="V274" s="354"/>
      <c r="W274" s="354"/>
      <c r="X274" s="354"/>
      <c r="Y274" s="354"/>
      <c r="Z274" s="354"/>
    </row>
    <row r="275" customFormat="false" ht="15" hidden="false" customHeight="true" outlineLevel="0" collapsed="false">
      <c r="A275" s="354"/>
      <c r="B275" s="354"/>
      <c r="C275" s="354"/>
      <c r="D275" s="354"/>
      <c r="E275" s="354"/>
      <c r="F275" s="354"/>
      <c r="G275" s="354"/>
      <c r="H275" s="354"/>
      <c r="I275" s="354"/>
      <c r="J275" s="354"/>
      <c r="K275" s="354"/>
      <c r="L275" s="354"/>
      <c r="M275" s="354"/>
      <c r="N275" s="354"/>
      <c r="O275" s="354"/>
      <c r="P275" s="354"/>
      <c r="Q275" s="354"/>
      <c r="R275" s="354"/>
      <c r="S275" s="354"/>
      <c r="T275" s="354"/>
      <c r="U275" s="354"/>
      <c r="V275" s="354"/>
      <c r="W275" s="354"/>
      <c r="X275" s="354"/>
      <c r="Y275" s="354"/>
      <c r="Z275" s="354"/>
    </row>
    <row r="276" customFormat="false" ht="15" hidden="false" customHeight="true" outlineLevel="0" collapsed="false">
      <c r="A276" s="354"/>
      <c r="B276" s="354"/>
      <c r="C276" s="354"/>
      <c r="D276" s="354"/>
      <c r="E276" s="354"/>
      <c r="F276" s="354"/>
      <c r="G276" s="354"/>
      <c r="H276" s="354"/>
      <c r="I276" s="354"/>
      <c r="J276" s="354"/>
      <c r="K276" s="354"/>
      <c r="L276" s="354"/>
      <c r="M276" s="354"/>
      <c r="N276" s="354"/>
      <c r="O276" s="354"/>
      <c r="P276" s="354"/>
      <c r="Q276" s="354"/>
      <c r="R276" s="354"/>
      <c r="S276" s="354"/>
      <c r="T276" s="354"/>
      <c r="U276" s="354"/>
      <c r="V276" s="354"/>
      <c r="W276" s="354"/>
      <c r="X276" s="354"/>
      <c r="Y276" s="354"/>
      <c r="Z276" s="354"/>
    </row>
    <row r="277" customFormat="false" ht="15" hidden="false" customHeight="true" outlineLevel="0" collapsed="false">
      <c r="A277" s="354"/>
      <c r="B277" s="354"/>
      <c r="C277" s="354"/>
      <c r="D277" s="354"/>
      <c r="E277" s="354"/>
      <c r="F277" s="354"/>
      <c r="G277" s="354"/>
      <c r="H277" s="354"/>
      <c r="I277" s="354"/>
      <c r="J277" s="354"/>
      <c r="K277" s="354"/>
      <c r="L277" s="354"/>
      <c r="M277" s="354"/>
      <c r="N277" s="354"/>
      <c r="O277" s="354"/>
      <c r="P277" s="354"/>
      <c r="Q277" s="354"/>
      <c r="R277" s="354"/>
      <c r="S277" s="354"/>
      <c r="T277" s="354"/>
      <c r="U277" s="354"/>
      <c r="V277" s="354"/>
      <c r="W277" s="354"/>
      <c r="X277" s="354"/>
      <c r="Y277" s="354"/>
      <c r="Z277" s="354"/>
    </row>
    <row r="278" customFormat="false" ht="15" hidden="false" customHeight="true" outlineLevel="0" collapsed="false">
      <c r="A278" s="354"/>
      <c r="B278" s="354"/>
      <c r="C278" s="354"/>
      <c r="D278" s="354"/>
      <c r="E278" s="354"/>
      <c r="F278" s="354"/>
      <c r="G278" s="354"/>
      <c r="H278" s="354"/>
      <c r="I278" s="354"/>
      <c r="J278" s="354"/>
      <c r="K278" s="354"/>
      <c r="L278" s="354"/>
      <c r="M278" s="354"/>
      <c r="N278" s="354"/>
      <c r="O278" s="354"/>
      <c r="P278" s="354"/>
      <c r="Q278" s="354"/>
      <c r="R278" s="354"/>
      <c r="S278" s="354"/>
      <c r="T278" s="354"/>
      <c r="U278" s="354"/>
      <c r="V278" s="354"/>
      <c r="W278" s="354"/>
      <c r="X278" s="354"/>
      <c r="Y278" s="354"/>
      <c r="Z278" s="354"/>
    </row>
    <row r="279" customFormat="false" ht="15" hidden="false" customHeight="true" outlineLevel="0" collapsed="false">
      <c r="A279" s="354"/>
      <c r="B279" s="354"/>
      <c r="C279" s="354"/>
      <c r="D279" s="354"/>
      <c r="E279" s="354"/>
      <c r="F279" s="354"/>
      <c r="G279" s="354"/>
      <c r="H279" s="354"/>
      <c r="I279" s="354"/>
      <c r="J279" s="354"/>
      <c r="K279" s="354"/>
      <c r="L279" s="354"/>
      <c r="M279" s="354"/>
      <c r="N279" s="354"/>
      <c r="O279" s="354"/>
      <c r="P279" s="354"/>
      <c r="Q279" s="354"/>
      <c r="R279" s="354"/>
      <c r="S279" s="354"/>
      <c r="T279" s="354"/>
      <c r="U279" s="354"/>
      <c r="V279" s="354"/>
      <c r="W279" s="354"/>
      <c r="X279" s="354"/>
      <c r="Y279" s="354"/>
      <c r="Z279" s="354"/>
    </row>
    <row r="280" customFormat="false" ht="15" hidden="false" customHeight="true" outlineLevel="0" collapsed="false">
      <c r="A280" s="354"/>
      <c r="B280" s="354"/>
      <c r="C280" s="354"/>
      <c r="D280" s="354"/>
      <c r="E280" s="354"/>
      <c r="F280" s="354"/>
      <c r="G280" s="354"/>
      <c r="H280" s="354"/>
      <c r="I280" s="354"/>
      <c r="J280" s="354"/>
      <c r="K280" s="354"/>
      <c r="L280" s="354"/>
      <c r="M280" s="354"/>
      <c r="N280" s="354"/>
      <c r="O280" s="354"/>
      <c r="P280" s="354"/>
      <c r="Q280" s="354"/>
      <c r="R280" s="354"/>
      <c r="S280" s="354"/>
      <c r="T280" s="354"/>
      <c r="U280" s="354"/>
      <c r="V280" s="354"/>
      <c r="W280" s="354"/>
      <c r="X280" s="354"/>
      <c r="Y280" s="354"/>
      <c r="Z280" s="354"/>
    </row>
    <row r="281" customFormat="false" ht="15" hidden="false" customHeight="true" outlineLevel="0" collapsed="false">
      <c r="A281" s="354"/>
      <c r="B281" s="354"/>
      <c r="C281" s="354"/>
      <c r="D281" s="354"/>
      <c r="E281" s="354"/>
      <c r="F281" s="354"/>
      <c r="G281" s="354"/>
      <c r="H281" s="354"/>
      <c r="I281" s="354"/>
      <c r="J281" s="354"/>
      <c r="K281" s="354"/>
      <c r="L281" s="354"/>
      <c r="M281" s="354"/>
      <c r="N281" s="354"/>
      <c r="O281" s="354"/>
      <c r="P281" s="354"/>
      <c r="Q281" s="354"/>
      <c r="R281" s="354"/>
      <c r="S281" s="354"/>
      <c r="T281" s="354"/>
      <c r="U281" s="354"/>
      <c r="V281" s="354"/>
      <c r="W281" s="354"/>
      <c r="X281" s="354"/>
      <c r="Y281" s="354"/>
      <c r="Z281" s="354"/>
    </row>
    <row r="282" customFormat="false" ht="15" hidden="false" customHeight="true" outlineLevel="0" collapsed="false">
      <c r="A282" s="354"/>
      <c r="B282" s="354"/>
      <c r="C282" s="354"/>
      <c r="D282" s="354"/>
      <c r="E282" s="354"/>
      <c r="F282" s="354"/>
      <c r="G282" s="354"/>
      <c r="H282" s="354"/>
      <c r="I282" s="354"/>
      <c r="J282" s="354"/>
      <c r="K282" s="354"/>
      <c r="L282" s="354"/>
      <c r="M282" s="354"/>
      <c r="N282" s="354"/>
      <c r="O282" s="354"/>
      <c r="P282" s="354"/>
      <c r="Q282" s="354"/>
      <c r="R282" s="354"/>
      <c r="S282" s="354"/>
      <c r="T282" s="354"/>
      <c r="U282" s="354"/>
      <c r="V282" s="354"/>
      <c r="W282" s="354"/>
      <c r="X282" s="354"/>
      <c r="Y282" s="354"/>
      <c r="Z282" s="354"/>
    </row>
    <row r="283" customFormat="false" ht="15" hidden="false" customHeight="true" outlineLevel="0" collapsed="false">
      <c r="A283" s="354"/>
      <c r="B283" s="354"/>
      <c r="C283" s="354"/>
      <c r="D283" s="354"/>
      <c r="E283" s="354"/>
      <c r="F283" s="354"/>
      <c r="G283" s="354"/>
      <c r="H283" s="354"/>
      <c r="I283" s="354"/>
      <c r="J283" s="354"/>
      <c r="K283" s="354"/>
      <c r="L283" s="354"/>
      <c r="M283" s="354"/>
      <c r="N283" s="354"/>
      <c r="O283" s="354"/>
      <c r="P283" s="354"/>
      <c r="Q283" s="354"/>
      <c r="R283" s="354"/>
      <c r="S283" s="354"/>
      <c r="T283" s="354"/>
      <c r="U283" s="354"/>
      <c r="V283" s="354"/>
      <c r="W283" s="354"/>
      <c r="X283" s="354"/>
      <c r="Y283" s="354"/>
      <c r="Z283" s="354"/>
    </row>
    <row r="284" customFormat="false" ht="15" hidden="false" customHeight="true" outlineLevel="0" collapsed="false">
      <c r="A284" s="354"/>
      <c r="B284" s="354"/>
      <c r="C284" s="354"/>
      <c r="D284" s="354"/>
      <c r="E284" s="354"/>
      <c r="F284" s="354"/>
      <c r="G284" s="354"/>
      <c r="H284" s="354"/>
      <c r="I284" s="354"/>
      <c r="J284" s="354"/>
      <c r="K284" s="354"/>
      <c r="L284" s="354"/>
      <c r="M284" s="354"/>
      <c r="N284" s="354"/>
      <c r="O284" s="354"/>
      <c r="P284" s="354"/>
      <c r="Q284" s="354"/>
      <c r="R284" s="354"/>
      <c r="S284" s="354"/>
      <c r="T284" s="354"/>
      <c r="U284" s="354"/>
      <c r="V284" s="354"/>
      <c r="W284" s="354"/>
      <c r="X284" s="354"/>
      <c r="Y284" s="354"/>
      <c r="Z284" s="354"/>
    </row>
    <row r="285" customFormat="false" ht="15" hidden="false" customHeight="true" outlineLevel="0" collapsed="false">
      <c r="A285" s="354"/>
      <c r="B285" s="354"/>
      <c r="C285" s="354"/>
      <c r="D285" s="354"/>
      <c r="E285" s="354"/>
      <c r="F285" s="354"/>
      <c r="G285" s="354"/>
      <c r="H285" s="354"/>
      <c r="I285" s="354"/>
      <c r="J285" s="354"/>
      <c r="K285" s="354"/>
      <c r="L285" s="354"/>
      <c r="M285" s="354"/>
      <c r="N285" s="354"/>
      <c r="O285" s="354"/>
      <c r="P285" s="354"/>
      <c r="Q285" s="354"/>
      <c r="R285" s="354"/>
      <c r="S285" s="354"/>
      <c r="T285" s="354"/>
      <c r="U285" s="354"/>
      <c r="V285" s="354"/>
      <c r="W285" s="354"/>
      <c r="X285" s="354"/>
      <c r="Y285" s="354"/>
      <c r="Z285" s="354"/>
    </row>
    <row r="286" customFormat="false" ht="15" hidden="false" customHeight="true" outlineLevel="0" collapsed="false">
      <c r="A286" s="354"/>
      <c r="B286" s="354"/>
      <c r="C286" s="354"/>
      <c r="D286" s="354"/>
      <c r="E286" s="354"/>
      <c r="F286" s="354"/>
      <c r="G286" s="354"/>
      <c r="H286" s="354"/>
      <c r="I286" s="354"/>
      <c r="J286" s="354"/>
      <c r="K286" s="354"/>
      <c r="L286" s="354"/>
      <c r="M286" s="354"/>
      <c r="N286" s="354"/>
      <c r="O286" s="354"/>
      <c r="P286" s="354"/>
      <c r="Q286" s="354"/>
      <c r="R286" s="354"/>
      <c r="S286" s="354"/>
      <c r="T286" s="354"/>
      <c r="U286" s="354"/>
      <c r="V286" s="354"/>
      <c r="W286" s="354"/>
      <c r="X286" s="354"/>
      <c r="Y286" s="354"/>
      <c r="Z286" s="354"/>
    </row>
    <row r="287" customFormat="false" ht="15" hidden="false" customHeight="true" outlineLevel="0" collapsed="false">
      <c r="A287" s="354"/>
      <c r="B287" s="354"/>
      <c r="C287" s="354"/>
      <c r="D287" s="354"/>
      <c r="E287" s="354"/>
      <c r="F287" s="354"/>
      <c r="G287" s="354"/>
      <c r="H287" s="354"/>
      <c r="I287" s="354"/>
      <c r="J287" s="354"/>
      <c r="K287" s="354"/>
      <c r="L287" s="354"/>
      <c r="M287" s="354"/>
      <c r="N287" s="354"/>
      <c r="O287" s="354"/>
      <c r="P287" s="354"/>
      <c r="Q287" s="354"/>
      <c r="R287" s="354"/>
      <c r="S287" s="354"/>
      <c r="T287" s="354"/>
      <c r="U287" s="354"/>
      <c r="V287" s="354"/>
      <c r="W287" s="354"/>
      <c r="X287" s="354"/>
      <c r="Y287" s="354"/>
      <c r="Z287" s="354"/>
    </row>
    <row r="288" customFormat="false" ht="15" hidden="false" customHeight="true" outlineLevel="0" collapsed="false">
      <c r="A288" s="354"/>
      <c r="B288" s="354"/>
      <c r="C288" s="354"/>
      <c r="D288" s="354"/>
      <c r="E288" s="354"/>
      <c r="F288" s="354"/>
      <c r="G288" s="354"/>
      <c r="H288" s="354"/>
      <c r="I288" s="354"/>
      <c r="J288" s="354"/>
      <c r="K288" s="354"/>
      <c r="L288" s="354"/>
      <c r="M288" s="354"/>
      <c r="N288" s="354"/>
      <c r="O288" s="354"/>
      <c r="P288" s="354"/>
      <c r="Q288" s="354"/>
      <c r="R288" s="354"/>
      <c r="S288" s="354"/>
      <c r="T288" s="354"/>
      <c r="U288" s="354"/>
      <c r="V288" s="354"/>
      <c r="W288" s="354"/>
      <c r="X288" s="354"/>
      <c r="Y288" s="354"/>
      <c r="Z288" s="354"/>
    </row>
    <row r="289" customFormat="false" ht="15" hidden="false" customHeight="true" outlineLevel="0" collapsed="false">
      <c r="A289" s="354"/>
      <c r="B289" s="354"/>
      <c r="C289" s="354"/>
      <c r="D289" s="354"/>
      <c r="E289" s="354"/>
      <c r="F289" s="354"/>
      <c r="G289" s="354"/>
      <c r="H289" s="354"/>
      <c r="I289" s="354"/>
      <c r="J289" s="354"/>
      <c r="K289" s="354"/>
      <c r="L289" s="354"/>
      <c r="M289" s="354"/>
      <c r="N289" s="354"/>
      <c r="O289" s="354"/>
      <c r="P289" s="354"/>
      <c r="Q289" s="354"/>
      <c r="R289" s="354"/>
      <c r="S289" s="354"/>
      <c r="T289" s="354"/>
      <c r="U289" s="354"/>
      <c r="V289" s="354"/>
      <c r="W289" s="354"/>
      <c r="X289" s="354"/>
      <c r="Y289" s="354"/>
      <c r="Z289" s="354"/>
    </row>
    <row r="290" customFormat="false" ht="15" hidden="false" customHeight="true" outlineLevel="0" collapsed="false">
      <c r="A290" s="354"/>
      <c r="B290" s="354"/>
      <c r="C290" s="354"/>
      <c r="D290" s="354"/>
      <c r="E290" s="354"/>
      <c r="F290" s="354"/>
      <c r="G290" s="354"/>
      <c r="H290" s="354"/>
      <c r="I290" s="354"/>
      <c r="J290" s="354"/>
      <c r="K290" s="354"/>
      <c r="L290" s="354"/>
      <c r="M290" s="354"/>
      <c r="N290" s="354"/>
      <c r="O290" s="354"/>
      <c r="P290" s="354"/>
      <c r="Q290" s="354"/>
      <c r="R290" s="354"/>
      <c r="S290" s="354"/>
      <c r="T290" s="354"/>
      <c r="U290" s="354"/>
      <c r="V290" s="354"/>
      <c r="W290" s="354"/>
      <c r="X290" s="354"/>
      <c r="Y290" s="354"/>
      <c r="Z290" s="354"/>
    </row>
    <row r="291" customFormat="false" ht="15" hidden="false" customHeight="true" outlineLevel="0" collapsed="false">
      <c r="A291" s="354"/>
      <c r="B291" s="354"/>
      <c r="C291" s="354"/>
      <c r="D291" s="354"/>
      <c r="E291" s="354"/>
      <c r="F291" s="354"/>
      <c r="G291" s="354"/>
      <c r="H291" s="354"/>
      <c r="I291" s="354"/>
      <c r="J291" s="354"/>
      <c r="K291" s="354"/>
      <c r="L291" s="354"/>
      <c r="M291" s="354"/>
      <c r="N291" s="354"/>
      <c r="O291" s="354"/>
      <c r="P291" s="354"/>
      <c r="Q291" s="354"/>
      <c r="R291" s="354"/>
      <c r="S291" s="354"/>
      <c r="T291" s="354"/>
      <c r="U291" s="354"/>
      <c r="V291" s="354"/>
      <c r="W291" s="354"/>
      <c r="X291" s="354"/>
      <c r="Y291" s="354"/>
      <c r="Z291" s="354"/>
    </row>
    <row r="292" customFormat="false" ht="15" hidden="false" customHeight="true" outlineLevel="0" collapsed="false">
      <c r="A292" s="354"/>
      <c r="B292" s="354"/>
      <c r="C292" s="354"/>
      <c r="D292" s="354"/>
      <c r="E292" s="354"/>
      <c r="F292" s="354"/>
      <c r="G292" s="354"/>
      <c r="H292" s="354"/>
      <c r="I292" s="354"/>
      <c r="J292" s="354"/>
      <c r="K292" s="354"/>
      <c r="L292" s="354"/>
      <c r="M292" s="354"/>
      <c r="N292" s="354"/>
      <c r="O292" s="354"/>
      <c r="P292" s="354"/>
      <c r="Q292" s="354"/>
      <c r="R292" s="354"/>
      <c r="S292" s="354"/>
      <c r="T292" s="354"/>
      <c r="U292" s="354"/>
      <c r="V292" s="354"/>
      <c r="W292" s="354"/>
      <c r="X292" s="354"/>
      <c r="Y292" s="354"/>
      <c r="Z292" s="354"/>
    </row>
    <row r="293" customFormat="false" ht="15" hidden="false" customHeight="true" outlineLevel="0" collapsed="false">
      <c r="A293" s="354"/>
      <c r="B293" s="354"/>
      <c r="C293" s="354"/>
      <c r="D293" s="354"/>
      <c r="E293" s="354"/>
      <c r="F293" s="354"/>
      <c r="G293" s="354"/>
      <c r="H293" s="354"/>
      <c r="I293" s="354"/>
      <c r="J293" s="354"/>
      <c r="K293" s="354"/>
      <c r="L293" s="354"/>
      <c r="M293" s="354"/>
      <c r="N293" s="354"/>
      <c r="O293" s="354"/>
      <c r="P293" s="354"/>
      <c r="Q293" s="354"/>
      <c r="R293" s="354"/>
      <c r="S293" s="354"/>
      <c r="T293" s="354"/>
      <c r="U293" s="354"/>
      <c r="V293" s="354"/>
      <c r="W293" s="354"/>
      <c r="X293" s="354"/>
      <c r="Y293" s="354"/>
      <c r="Z293" s="354"/>
    </row>
    <row r="294" customFormat="false" ht="15" hidden="false" customHeight="true" outlineLevel="0" collapsed="false">
      <c r="A294" s="354"/>
      <c r="B294" s="354"/>
      <c r="C294" s="354"/>
      <c r="D294" s="354"/>
      <c r="E294" s="354"/>
      <c r="F294" s="354"/>
      <c r="G294" s="354"/>
      <c r="H294" s="354"/>
      <c r="I294" s="354"/>
      <c r="J294" s="354"/>
      <c r="K294" s="354"/>
      <c r="L294" s="354"/>
      <c r="M294" s="354"/>
      <c r="N294" s="354"/>
      <c r="O294" s="354"/>
      <c r="P294" s="354"/>
      <c r="Q294" s="354"/>
      <c r="R294" s="354"/>
      <c r="S294" s="354"/>
      <c r="T294" s="354"/>
      <c r="U294" s="354"/>
      <c r="V294" s="354"/>
      <c r="W294" s="354"/>
      <c r="X294" s="354"/>
      <c r="Y294" s="354"/>
      <c r="Z294" s="354"/>
    </row>
    <row r="295" customFormat="false" ht="15" hidden="false" customHeight="true" outlineLevel="0" collapsed="false">
      <c r="A295" s="354"/>
      <c r="B295" s="354"/>
      <c r="C295" s="354"/>
      <c r="D295" s="354"/>
      <c r="E295" s="354"/>
      <c r="F295" s="354"/>
      <c r="G295" s="354"/>
      <c r="H295" s="354"/>
      <c r="I295" s="354"/>
      <c r="J295" s="354"/>
      <c r="K295" s="354"/>
      <c r="L295" s="354"/>
      <c r="M295" s="354"/>
      <c r="N295" s="354"/>
      <c r="O295" s="354"/>
      <c r="P295" s="354"/>
      <c r="Q295" s="354"/>
      <c r="R295" s="354"/>
      <c r="S295" s="354"/>
      <c r="T295" s="354"/>
      <c r="U295" s="354"/>
      <c r="V295" s="354"/>
      <c r="W295" s="354"/>
      <c r="X295" s="354"/>
      <c r="Y295" s="354"/>
      <c r="Z295" s="354"/>
    </row>
    <row r="296" customFormat="false" ht="15" hidden="false" customHeight="true" outlineLevel="0" collapsed="false">
      <c r="A296" s="354"/>
      <c r="B296" s="354"/>
      <c r="C296" s="354"/>
      <c r="D296" s="354"/>
      <c r="E296" s="354"/>
      <c r="F296" s="354"/>
      <c r="G296" s="354"/>
      <c r="H296" s="354"/>
      <c r="I296" s="354"/>
      <c r="J296" s="354"/>
      <c r="K296" s="354"/>
      <c r="L296" s="354"/>
      <c r="M296" s="354"/>
      <c r="N296" s="354"/>
      <c r="O296" s="354"/>
      <c r="P296" s="354"/>
      <c r="Q296" s="354"/>
      <c r="R296" s="354"/>
      <c r="S296" s="354"/>
      <c r="T296" s="354"/>
      <c r="U296" s="354"/>
      <c r="V296" s="354"/>
      <c r="W296" s="354"/>
      <c r="X296" s="354"/>
      <c r="Y296" s="354"/>
      <c r="Z296" s="354"/>
    </row>
    <row r="297" customFormat="false" ht="15" hidden="false" customHeight="true" outlineLevel="0" collapsed="false">
      <c r="A297" s="354"/>
      <c r="B297" s="354"/>
      <c r="C297" s="354"/>
      <c r="D297" s="354"/>
      <c r="E297" s="354"/>
      <c r="F297" s="354"/>
      <c r="G297" s="354"/>
      <c r="H297" s="354"/>
      <c r="I297" s="354"/>
      <c r="J297" s="354"/>
      <c r="K297" s="354"/>
      <c r="L297" s="354"/>
      <c r="M297" s="354"/>
      <c r="N297" s="354"/>
      <c r="O297" s="354"/>
      <c r="P297" s="354"/>
      <c r="Q297" s="354"/>
      <c r="R297" s="354"/>
      <c r="S297" s="354"/>
      <c r="T297" s="354"/>
      <c r="U297" s="354"/>
      <c r="V297" s="354"/>
      <c r="W297" s="354"/>
      <c r="X297" s="354"/>
      <c r="Y297" s="354"/>
      <c r="Z297" s="354"/>
    </row>
    <row r="298" customFormat="false" ht="15" hidden="false" customHeight="true" outlineLevel="0" collapsed="false">
      <c r="A298" s="354"/>
      <c r="B298" s="354"/>
      <c r="C298" s="354"/>
      <c r="D298" s="354"/>
      <c r="E298" s="354"/>
      <c r="F298" s="354"/>
      <c r="G298" s="354"/>
      <c r="H298" s="354"/>
      <c r="I298" s="354"/>
      <c r="J298" s="354"/>
      <c r="K298" s="354"/>
      <c r="L298" s="354"/>
      <c r="M298" s="354"/>
      <c r="N298" s="354"/>
      <c r="O298" s="354"/>
      <c r="P298" s="354"/>
      <c r="Q298" s="354"/>
      <c r="R298" s="354"/>
      <c r="S298" s="354"/>
      <c r="T298" s="354"/>
      <c r="U298" s="354"/>
      <c r="V298" s="354"/>
      <c r="W298" s="354"/>
      <c r="X298" s="354"/>
      <c r="Y298" s="354"/>
      <c r="Z298" s="354"/>
    </row>
    <row r="299" customFormat="false" ht="15" hidden="false" customHeight="true" outlineLevel="0" collapsed="false">
      <c r="A299" s="354"/>
      <c r="B299" s="354"/>
      <c r="C299" s="354"/>
      <c r="D299" s="354"/>
      <c r="E299" s="354"/>
      <c r="F299" s="354"/>
      <c r="G299" s="354"/>
      <c r="H299" s="354"/>
      <c r="I299" s="354"/>
      <c r="J299" s="354"/>
      <c r="K299" s="354"/>
      <c r="L299" s="354"/>
      <c r="M299" s="354"/>
      <c r="N299" s="354"/>
      <c r="O299" s="354"/>
      <c r="P299" s="354"/>
      <c r="Q299" s="354"/>
      <c r="R299" s="354"/>
      <c r="S299" s="354"/>
      <c r="T299" s="354"/>
      <c r="U299" s="354"/>
      <c r="V299" s="354"/>
      <c r="W299" s="354"/>
      <c r="X299" s="354"/>
      <c r="Y299" s="354"/>
      <c r="Z299" s="354"/>
    </row>
    <row r="300" customFormat="false" ht="15" hidden="false" customHeight="true" outlineLevel="0" collapsed="false">
      <c r="A300" s="354"/>
      <c r="B300" s="354"/>
      <c r="C300" s="354"/>
      <c r="D300" s="354"/>
      <c r="E300" s="354"/>
      <c r="F300" s="354"/>
      <c r="G300" s="354"/>
      <c r="H300" s="354"/>
      <c r="I300" s="354"/>
      <c r="J300" s="354"/>
      <c r="K300" s="354"/>
      <c r="L300" s="354"/>
      <c r="M300" s="354"/>
      <c r="N300" s="354"/>
      <c r="O300" s="354"/>
      <c r="P300" s="354"/>
      <c r="Q300" s="354"/>
      <c r="R300" s="354"/>
      <c r="S300" s="354"/>
      <c r="T300" s="354"/>
      <c r="U300" s="354"/>
      <c r="V300" s="354"/>
      <c r="W300" s="354"/>
      <c r="X300" s="354"/>
      <c r="Y300" s="354"/>
      <c r="Z300" s="354"/>
    </row>
    <row r="301" customFormat="false" ht="15" hidden="false" customHeight="true" outlineLevel="0" collapsed="false">
      <c r="A301" s="354"/>
      <c r="B301" s="354"/>
      <c r="C301" s="354"/>
      <c r="D301" s="354"/>
      <c r="E301" s="354"/>
      <c r="F301" s="354"/>
      <c r="G301" s="354"/>
      <c r="H301" s="354"/>
      <c r="I301" s="354"/>
      <c r="J301" s="354"/>
      <c r="K301" s="354"/>
      <c r="L301" s="354"/>
      <c r="M301" s="354"/>
      <c r="N301" s="354"/>
      <c r="O301" s="354"/>
      <c r="P301" s="354"/>
      <c r="Q301" s="354"/>
      <c r="R301" s="354"/>
      <c r="S301" s="354"/>
      <c r="T301" s="354"/>
      <c r="U301" s="354"/>
      <c r="V301" s="354"/>
      <c r="W301" s="354"/>
      <c r="X301" s="354"/>
      <c r="Y301" s="354"/>
      <c r="Z301" s="354"/>
    </row>
    <row r="302" customFormat="false" ht="15" hidden="false" customHeight="true" outlineLevel="0" collapsed="false">
      <c r="A302" s="354"/>
      <c r="B302" s="354"/>
      <c r="C302" s="354"/>
      <c r="D302" s="354"/>
      <c r="E302" s="354"/>
      <c r="F302" s="354"/>
      <c r="G302" s="354"/>
      <c r="H302" s="354"/>
      <c r="I302" s="354"/>
      <c r="J302" s="354"/>
      <c r="K302" s="354"/>
      <c r="L302" s="354"/>
      <c r="M302" s="354"/>
      <c r="N302" s="354"/>
      <c r="O302" s="354"/>
      <c r="P302" s="354"/>
      <c r="Q302" s="354"/>
      <c r="R302" s="354"/>
      <c r="S302" s="354"/>
      <c r="T302" s="354"/>
      <c r="U302" s="354"/>
      <c r="V302" s="354"/>
      <c r="W302" s="354"/>
      <c r="X302" s="354"/>
      <c r="Y302" s="354"/>
      <c r="Z302" s="354"/>
    </row>
    <row r="303" customFormat="false" ht="15" hidden="false" customHeight="true" outlineLevel="0" collapsed="false">
      <c r="A303" s="354"/>
      <c r="B303" s="354"/>
      <c r="C303" s="354"/>
      <c r="D303" s="354"/>
      <c r="E303" s="354"/>
      <c r="F303" s="354"/>
      <c r="G303" s="354"/>
      <c r="H303" s="354"/>
      <c r="I303" s="354"/>
      <c r="J303" s="354"/>
      <c r="K303" s="354"/>
      <c r="L303" s="354"/>
      <c r="M303" s="354"/>
      <c r="N303" s="354"/>
      <c r="O303" s="354"/>
      <c r="P303" s="354"/>
      <c r="Q303" s="354"/>
      <c r="R303" s="354"/>
      <c r="S303" s="354"/>
      <c r="T303" s="354"/>
      <c r="U303" s="354"/>
      <c r="V303" s="354"/>
      <c r="W303" s="354"/>
      <c r="X303" s="354"/>
      <c r="Y303" s="354"/>
      <c r="Z303" s="354"/>
    </row>
    <row r="304" customFormat="false" ht="15" hidden="false" customHeight="true" outlineLevel="0" collapsed="false">
      <c r="A304" s="354"/>
      <c r="B304" s="354"/>
      <c r="C304" s="354"/>
      <c r="D304" s="354"/>
      <c r="E304" s="354"/>
      <c r="F304" s="354"/>
      <c r="G304" s="354"/>
      <c r="H304" s="354"/>
      <c r="I304" s="354"/>
      <c r="J304" s="354"/>
      <c r="K304" s="354"/>
      <c r="L304" s="354"/>
      <c r="M304" s="354"/>
      <c r="N304" s="354"/>
      <c r="O304" s="354"/>
      <c r="P304" s="354"/>
      <c r="Q304" s="354"/>
      <c r="R304" s="354"/>
      <c r="S304" s="354"/>
      <c r="T304" s="354"/>
      <c r="U304" s="354"/>
      <c r="V304" s="354"/>
      <c r="W304" s="354"/>
      <c r="X304" s="354"/>
      <c r="Y304" s="354"/>
      <c r="Z304" s="354"/>
    </row>
    <row r="305" customFormat="false" ht="15" hidden="false" customHeight="true" outlineLevel="0" collapsed="false">
      <c r="A305" s="354"/>
      <c r="B305" s="354"/>
      <c r="C305" s="354"/>
      <c r="D305" s="354"/>
      <c r="E305" s="354"/>
      <c r="F305" s="354"/>
      <c r="G305" s="354"/>
      <c r="H305" s="354"/>
      <c r="I305" s="354"/>
      <c r="J305" s="354"/>
      <c r="K305" s="354"/>
      <c r="L305" s="354"/>
      <c r="M305" s="354"/>
      <c r="N305" s="354"/>
      <c r="O305" s="354"/>
      <c r="P305" s="354"/>
      <c r="Q305" s="354"/>
      <c r="R305" s="354"/>
      <c r="S305" s="354"/>
      <c r="T305" s="354"/>
      <c r="U305" s="354"/>
      <c r="V305" s="354"/>
      <c r="W305" s="354"/>
      <c r="X305" s="354"/>
      <c r="Y305" s="354"/>
      <c r="Z305" s="354"/>
    </row>
    <row r="306" customFormat="false" ht="15" hidden="false" customHeight="true" outlineLevel="0" collapsed="false">
      <c r="A306" s="354"/>
      <c r="B306" s="354"/>
      <c r="C306" s="354"/>
      <c r="D306" s="354"/>
      <c r="E306" s="354"/>
      <c r="F306" s="354"/>
      <c r="G306" s="354"/>
      <c r="H306" s="354"/>
      <c r="I306" s="354"/>
      <c r="J306" s="354"/>
      <c r="K306" s="354"/>
      <c r="L306" s="354"/>
      <c r="M306" s="354"/>
      <c r="N306" s="354"/>
      <c r="O306" s="354"/>
      <c r="P306" s="354"/>
      <c r="Q306" s="354"/>
      <c r="R306" s="354"/>
      <c r="S306" s="354"/>
      <c r="T306" s="354"/>
      <c r="U306" s="354"/>
      <c r="V306" s="354"/>
      <c r="W306" s="354"/>
      <c r="X306" s="354"/>
      <c r="Y306" s="354"/>
      <c r="Z306" s="354"/>
    </row>
    <row r="307" customFormat="false" ht="15" hidden="false" customHeight="true" outlineLevel="0" collapsed="false">
      <c r="A307" s="354"/>
      <c r="B307" s="354"/>
      <c r="C307" s="354"/>
      <c r="D307" s="354"/>
      <c r="E307" s="354"/>
      <c r="F307" s="354"/>
      <c r="G307" s="354"/>
      <c r="H307" s="354"/>
      <c r="I307" s="354"/>
      <c r="J307" s="354"/>
      <c r="K307" s="354"/>
      <c r="L307" s="354"/>
      <c r="M307" s="354"/>
      <c r="N307" s="354"/>
      <c r="O307" s="354"/>
      <c r="P307" s="354"/>
      <c r="Q307" s="354"/>
      <c r="R307" s="354"/>
      <c r="S307" s="354"/>
      <c r="T307" s="354"/>
      <c r="U307" s="354"/>
      <c r="V307" s="354"/>
      <c r="W307" s="354"/>
      <c r="X307" s="354"/>
      <c r="Y307" s="354"/>
      <c r="Z307" s="354"/>
    </row>
    <row r="308" customFormat="false" ht="15" hidden="false" customHeight="true" outlineLevel="0" collapsed="false">
      <c r="A308" s="354"/>
      <c r="B308" s="354"/>
      <c r="C308" s="354"/>
      <c r="D308" s="354"/>
      <c r="E308" s="354"/>
      <c r="F308" s="354"/>
      <c r="G308" s="354"/>
      <c r="H308" s="354"/>
      <c r="I308" s="354"/>
      <c r="J308" s="354"/>
      <c r="K308" s="354"/>
      <c r="L308" s="354"/>
      <c r="M308" s="354"/>
      <c r="N308" s="354"/>
      <c r="O308" s="354"/>
      <c r="P308" s="354"/>
      <c r="Q308" s="354"/>
      <c r="R308" s="354"/>
      <c r="S308" s="354"/>
      <c r="T308" s="354"/>
      <c r="U308" s="354"/>
      <c r="V308" s="354"/>
      <c r="W308" s="354"/>
      <c r="X308" s="354"/>
      <c r="Y308" s="354"/>
      <c r="Z308" s="354"/>
    </row>
    <row r="309" customFormat="false" ht="15" hidden="false" customHeight="true" outlineLevel="0" collapsed="false">
      <c r="A309" s="354"/>
      <c r="B309" s="354"/>
      <c r="C309" s="354"/>
      <c r="D309" s="354"/>
      <c r="E309" s="354"/>
      <c r="F309" s="354"/>
      <c r="G309" s="354"/>
      <c r="H309" s="354"/>
      <c r="I309" s="354"/>
      <c r="J309" s="354"/>
      <c r="K309" s="354"/>
      <c r="L309" s="354"/>
      <c r="M309" s="354"/>
      <c r="N309" s="354"/>
      <c r="O309" s="354"/>
      <c r="P309" s="354"/>
      <c r="Q309" s="354"/>
      <c r="R309" s="354"/>
      <c r="S309" s="354"/>
      <c r="T309" s="354"/>
      <c r="U309" s="354"/>
      <c r="V309" s="354"/>
      <c r="W309" s="354"/>
      <c r="X309" s="354"/>
      <c r="Y309" s="354"/>
      <c r="Z309" s="354"/>
    </row>
    <row r="310" customFormat="false" ht="15" hidden="false" customHeight="true" outlineLevel="0" collapsed="false">
      <c r="A310" s="354"/>
      <c r="B310" s="354"/>
      <c r="C310" s="354"/>
      <c r="D310" s="354"/>
      <c r="E310" s="354"/>
      <c r="F310" s="354"/>
      <c r="G310" s="354"/>
      <c r="H310" s="354"/>
      <c r="I310" s="354"/>
      <c r="J310" s="354"/>
      <c r="K310" s="354"/>
      <c r="L310" s="354"/>
      <c r="M310" s="354"/>
      <c r="N310" s="354"/>
      <c r="O310" s="354"/>
      <c r="P310" s="354"/>
      <c r="Q310" s="354"/>
      <c r="R310" s="354"/>
      <c r="S310" s="354"/>
      <c r="T310" s="354"/>
      <c r="U310" s="354"/>
      <c r="V310" s="354"/>
      <c r="W310" s="354"/>
      <c r="X310" s="354"/>
      <c r="Y310" s="354"/>
      <c r="Z310" s="354"/>
    </row>
    <row r="311" customFormat="false" ht="15" hidden="false" customHeight="true" outlineLevel="0" collapsed="false">
      <c r="A311" s="354"/>
      <c r="B311" s="354"/>
      <c r="C311" s="354"/>
      <c r="D311" s="354"/>
      <c r="E311" s="354"/>
      <c r="F311" s="354"/>
      <c r="G311" s="354"/>
      <c r="H311" s="354"/>
      <c r="I311" s="354"/>
      <c r="J311" s="354"/>
      <c r="K311" s="354"/>
      <c r="L311" s="354"/>
      <c r="M311" s="354"/>
      <c r="N311" s="354"/>
      <c r="O311" s="354"/>
      <c r="P311" s="354"/>
      <c r="Q311" s="354"/>
      <c r="R311" s="354"/>
      <c r="S311" s="354"/>
      <c r="T311" s="354"/>
      <c r="U311" s="354"/>
      <c r="V311" s="354"/>
      <c r="W311" s="354"/>
      <c r="X311" s="354"/>
      <c r="Y311" s="354"/>
      <c r="Z311" s="354"/>
    </row>
    <row r="312" customFormat="false" ht="15" hidden="false" customHeight="true" outlineLevel="0" collapsed="false">
      <c r="A312" s="354"/>
      <c r="B312" s="354"/>
      <c r="C312" s="354"/>
      <c r="D312" s="354"/>
      <c r="E312" s="354"/>
      <c r="F312" s="354"/>
      <c r="G312" s="354"/>
      <c r="H312" s="354"/>
      <c r="I312" s="354"/>
      <c r="J312" s="354"/>
      <c r="K312" s="354"/>
      <c r="L312" s="354"/>
      <c r="M312" s="354"/>
      <c r="N312" s="354"/>
      <c r="O312" s="354"/>
      <c r="P312" s="354"/>
      <c r="Q312" s="354"/>
      <c r="R312" s="354"/>
      <c r="S312" s="354"/>
      <c r="T312" s="354"/>
      <c r="U312" s="354"/>
      <c r="V312" s="354"/>
      <c r="W312" s="354"/>
      <c r="X312" s="354"/>
      <c r="Y312" s="354"/>
      <c r="Z312" s="354"/>
    </row>
    <row r="313" customFormat="false" ht="15" hidden="false" customHeight="true" outlineLevel="0" collapsed="false">
      <c r="A313" s="354"/>
      <c r="B313" s="354"/>
      <c r="C313" s="354"/>
      <c r="D313" s="354"/>
      <c r="E313" s="354"/>
      <c r="F313" s="354"/>
      <c r="G313" s="354"/>
      <c r="H313" s="354"/>
      <c r="I313" s="354"/>
      <c r="J313" s="354"/>
      <c r="K313" s="354"/>
      <c r="L313" s="354"/>
      <c r="M313" s="354"/>
      <c r="N313" s="354"/>
      <c r="O313" s="354"/>
      <c r="P313" s="354"/>
      <c r="Q313" s="354"/>
      <c r="R313" s="354"/>
      <c r="S313" s="354"/>
      <c r="T313" s="354"/>
      <c r="U313" s="354"/>
      <c r="V313" s="354"/>
      <c r="W313" s="354"/>
      <c r="X313" s="354"/>
      <c r="Y313" s="354"/>
      <c r="Z313" s="354"/>
    </row>
    <row r="314" customFormat="false" ht="15" hidden="false" customHeight="true" outlineLevel="0" collapsed="false">
      <c r="A314" s="354"/>
      <c r="B314" s="354"/>
      <c r="C314" s="354"/>
      <c r="D314" s="354"/>
      <c r="E314" s="354"/>
      <c r="F314" s="354"/>
      <c r="G314" s="354"/>
      <c r="H314" s="354"/>
      <c r="I314" s="354"/>
      <c r="J314" s="354"/>
      <c r="K314" s="354"/>
      <c r="L314" s="354"/>
      <c r="M314" s="354"/>
      <c r="N314" s="354"/>
      <c r="O314" s="354"/>
      <c r="P314" s="354"/>
      <c r="Q314" s="354"/>
      <c r="R314" s="354"/>
      <c r="S314" s="354"/>
      <c r="T314" s="354"/>
      <c r="U314" s="354"/>
      <c r="V314" s="354"/>
      <c r="W314" s="354"/>
      <c r="X314" s="354"/>
      <c r="Y314" s="354"/>
      <c r="Z314" s="354"/>
    </row>
    <row r="315" customFormat="false" ht="15" hidden="false" customHeight="true" outlineLevel="0" collapsed="false">
      <c r="A315" s="354"/>
      <c r="B315" s="354"/>
      <c r="C315" s="354"/>
      <c r="D315" s="354"/>
      <c r="E315" s="354"/>
      <c r="F315" s="354"/>
      <c r="G315" s="354"/>
      <c r="H315" s="354"/>
      <c r="I315" s="354"/>
      <c r="J315" s="354"/>
      <c r="K315" s="354"/>
      <c r="L315" s="354"/>
      <c r="M315" s="354"/>
      <c r="N315" s="354"/>
      <c r="O315" s="354"/>
      <c r="P315" s="354"/>
      <c r="Q315" s="354"/>
      <c r="R315" s="354"/>
      <c r="S315" s="354"/>
      <c r="T315" s="354"/>
      <c r="U315" s="354"/>
      <c r="V315" s="354"/>
      <c r="W315" s="354"/>
      <c r="X315" s="354"/>
      <c r="Y315" s="354"/>
      <c r="Z315" s="354"/>
    </row>
    <row r="316" customFormat="false" ht="15" hidden="false" customHeight="true" outlineLevel="0" collapsed="false">
      <c r="A316" s="354"/>
      <c r="B316" s="354"/>
      <c r="C316" s="354"/>
      <c r="D316" s="354"/>
      <c r="E316" s="354"/>
      <c r="F316" s="354"/>
      <c r="G316" s="354"/>
      <c r="H316" s="354"/>
      <c r="I316" s="354"/>
      <c r="J316" s="354"/>
      <c r="K316" s="354"/>
      <c r="L316" s="354"/>
      <c r="M316" s="354"/>
      <c r="N316" s="354"/>
      <c r="O316" s="354"/>
      <c r="P316" s="354"/>
      <c r="Q316" s="354"/>
      <c r="R316" s="354"/>
      <c r="S316" s="354"/>
      <c r="T316" s="354"/>
      <c r="U316" s="354"/>
      <c r="V316" s="354"/>
      <c r="W316" s="354"/>
      <c r="X316" s="354"/>
      <c r="Y316" s="354"/>
      <c r="Z316" s="354"/>
    </row>
    <row r="317" customFormat="false" ht="15" hidden="false" customHeight="true" outlineLevel="0" collapsed="false">
      <c r="A317" s="354"/>
      <c r="B317" s="354"/>
      <c r="C317" s="354"/>
      <c r="D317" s="354"/>
      <c r="E317" s="354"/>
      <c r="F317" s="354"/>
      <c r="G317" s="354"/>
      <c r="H317" s="354"/>
      <c r="I317" s="354"/>
      <c r="J317" s="354"/>
      <c r="K317" s="354"/>
      <c r="L317" s="354"/>
      <c r="M317" s="354"/>
      <c r="N317" s="354"/>
      <c r="O317" s="354"/>
      <c r="P317" s="354"/>
      <c r="Q317" s="354"/>
      <c r="R317" s="354"/>
      <c r="S317" s="354"/>
      <c r="T317" s="354"/>
      <c r="U317" s="354"/>
      <c r="V317" s="354"/>
      <c r="W317" s="354"/>
      <c r="X317" s="354"/>
      <c r="Y317" s="354"/>
      <c r="Z317" s="354"/>
    </row>
    <row r="318" customFormat="false" ht="15" hidden="false" customHeight="true" outlineLevel="0" collapsed="false">
      <c r="A318" s="354"/>
      <c r="B318" s="354"/>
      <c r="C318" s="354"/>
      <c r="D318" s="354"/>
      <c r="E318" s="354"/>
      <c r="F318" s="354"/>
      <c r="G318" s="354"/>
      <c r="H318" s="354"/>
      <c r="I318" s="354"/>
      <c r="J318" s="354"/>
      <c r="K318" s="354"/>
      <c r="L318" s="354"/>
      <c r="M318" s="354"/>
      <c r="N318" s="354"/>
      <c r="O318" s="354"/>
      <c r="P318" s="354"/>
      <c r="Q318" s="354"/>
      <c r="R318" s="354"/>
      <c r="S318" s="354"/>
      <c r="T318" s="354"/>
      <c r="U318" s="354"/>
      <c r="V318" s="354"/>
      <c r="W318" s="354"/>
      <c r="X318" s="354"/>
      <c r="Y318" s="354"/>
      <c r="Z318" s="354"/>
    </row>
    <row r="319" customFormat="false" ht="15" hidden="false" customHeight="true" outlineLevel="0" collapsed="false">
      <c r="A319" s="354"/>
      <c r="B319" s="354"/>
      <c r="C319" s="354"/>
      <c r="D319" s="354"/>
      <c r="E319" s="354"/>
      <c r="F319" s="354"/>
      <c r="G319" s="354"/>
      <c r="H319" s="354"/>
      <c r="I319" s="354"/>
      <c r="J319" s="354"/>
      <c r="K319" s="354"/>
      <c r="L319" s="354"/>
      <c r="M319" s="354"/>
      <c r="N319" s="354"/>
      <c r="O319" s="354"/>
      <c r="P319" s="354"/>
      <c r="Q319" s="354"/>
      <c r="R319" s="354"/>
      <c r="S319" s="354"/>
      <c r="T319" s="354"/>
      <c r="U319" s="354"/>
      <c r="V319" s="354"/>
      <c r="W319" s="354"/>
      <c r="X319" s="354"/>
      <c r="Y319" s="354"/>
      <c r="Z319" s="354"/>
    </row>
    <row r="320" customFormat="false" ht="15" hidden="false" customHeight="true" outlineLevel="0" collapsed="false">
      <c r="A320" s="354"/>
      <c r="B320" s="354"/>
      <c r="C320" s="354"/>
      <c r="D320" s="354"/>
      <c r="E320" s="354"/>
      <c r="F320" s="354"/>
      <c r="G320" s="354"/>
      <c r="H320" s="354"/>
      <c r="I320" s="354"/>
      <c r="J320" s="354"/>
      <c r="K320" s="354"/>
      <c r="L320" s="354"/>
      <c r="M320" s="354"/>
      <c r="N320" s="354"/>
      <c r="O320" s="354"/>
      <c r="P320" s="354"/>
      <c r="Q320" s="354"/>
      <c r="R320" s="354"/>
      <c r="S320" s="354"/>
      <c r="T320" s="354"/>
      <c r="U320" s="354"/>
      <c r="V320" s="354"/>
      <c r="W320" s="354"/>
      <c r="X320" s="354"/>
      <c r="Y320" s="354"/>
      <c r="Z320" s="354"/>
    </row>
    <row r="321" customFormat="false" ht="15" hidden="false" customHeight="true" outlineLevel="0" collapsed="false">
      <c r="A321" s="354"/>
      <c r="B321" s="354"/>
      <c r="C321" s="354"/>
      <c r="D321" s="354"/>
      <c r="E321" s="354"/>
      <c r="F321" s="354"/>
      <c r="G321" s="354"/>
      <c r="H321" s="354"/>
      <c r="I321" s="354"/>
      <c r="J321" s="354"/>
      <c r="K321" s="354"/>
      <c r="L321" s="354"/>
      <c r="M321" s="354"/>
      <c r="N321" s="354"/>
      <c r="O321" s="354"/>
      <c r="P321" s="354"/>
      <c r="Q321" s="354"/>
      <c r="R321" s="354"/>
      <c r="S321" s="354"/>
      <c r="T321" s="354"/>
      <c r="U321" s="354"/>
      <c r="V321" s="354"/>
      <c r="W321" s="354"/>
      <c r="X321" s="354"/>
      <c r="Y321" s="354"/>
      <c r="Z321" s="354"/>
    </row>
    <row r="322" customFormat="false" ht="15" hidden="false" customHeight="true" outlineLevel="0" collapsed="false">
      <c r="A322" s="354"/>
      <c r="B322" s="354"/>
      <c r="C322" s="354"/>
      <c r="D322" s="354"/>
      <c r="E322" s="354"/>
      <c r="F322" s="354"/>
      <c r="G322" s="354"/>
      <c r="H322" s="354"/>
      <c r="I322" s="354"/>
      <c r="J322" s="354"/>
      <c r="K322" s="354"/>
      <c r="L322" s="354"/>
      <c r="M322" s="354"/>
      <c r="N322" s="354"/>
      <c r="O322" s="354"/>
      <c r="P322" s="354"/>
      <c r="Q322" s="354"/>
      <c r="R322" s="354"/>
      <c r="S322" s="354"/>
      <c r="T322" s="354"/>
      <c r="U322" s="354"/>
      <c r="V322" s="354"/>
      <c r="W322" s="354"/>
      <c r="X322" s="354"/>
      <c r="Y322" s="354"/>
      <c r="Z322" s="354"/>
    </row>
    <row r="323" customFormat="false" ht="15" hidden="false" customHeight="true" outlineLevel="0" collapsed="false">
      <c r="A323" s="354"/>
      <c r="B323" s="354"/>
      <c r="C323" s="354"/>
      <c r="D323" s="354"/>
      <c r="E323" s="354"/>
      <c r="F323" s="354"/>
      <c r="G323" s="354"/>
      <c r="H323" s="354"/>
      <c r="I323" s="354"/>
      <c r="J323" s="354"/>
      <c r="K323" s="354"/>
      <c r="L323" s="354"/>
      <c r="M323" s="354"/>
      <c r="N323" s="354"/>
      <c r="O323" s="354"/>
      <c r="P323" s="354"/>
      <c r="Q323" s="354"/>
      <c r="R323" s="354"/>
      <c r="S323" s="354"/>
      <c r="T323" s="354"/>
      <c r="U323" s="354"/>
      <c r="V323" s="354"/>
      <c r="W323" s="354"/>
      <c r="X323" s="354"/>
      <c r="Y323" s="354"/>
      <c r="Z323" s="354"/>
    </row>
    <row r="324" customFormat="false" ht="15" hidden="false" customHeight="true" outlineLevel="0" collapsed="false">
      <c r="A324" s="354"/>
      <c r="B324" s="354"/>
      <c r="C324" s="354"/>
      <c r="D324" s="354"/>
      <c r="E324" s="354"/>
      <c r="F324" s="354"/>
      <c r="G324" s="354"/>
      <c r="H324" s="354"/>
      <c r="I324" s="354"/>
      <c r="J324" s="354"/>
      <c r="K324" s="354"/>
      <c r="L324" s="354"/>
      <c r="M324" s="354"/>
      <c r="N324" s="354"/>
      <c r="O324" s="354"/>
      <c r="P324" s="354"/>
      <c r="Q324" s="354"/>
      <c r="R324" s="354"/>
      <c r="S324" s="354"/>
      <c r="T324" s="354"/>
      <c r="U324" s="354"/>
      <c r="V324" s="354"/>
      <c r="W324" s="354"/>
      <c r="X324" s="354"/>
      <c r="Y324" s="354"/>
      <c r="Z324" s="354"/>
    </row>
    <row r="325" customFormat="false" ht="15" hidden="false" customHeight="true" outlineLevel="0" collapsed="false">
      <c r="A325" s="354"/>
      <c r="B325" s="354"/>
      <c r="C325" s="354"/>
      <c r="D325" s="354"/>
      <c r="E325" s="354"/>
      <c r="F325" s="354"/>
      <c r="G325" s="354"/>
      <c r="H325" s="354"/>
      <c r="I325" s="354"/>
      <c r="J325" s="354"/>
      <c r="K325" s="354"/>
      <c r="L325" s="354"/>
      <c r="M325" s="354"/>
      <c r="N325" s="354"/>
      <c r="O325" s="354"/>
      <c r="P325" s="354"/>
      <c r="Q325" s="354"/>
      <c r="R325" s="354"/>
      <c r="S325" s="354"/>
      <c r="T325" s="354"/>
      <c r="U325" s="354"/>
      <c r="V325" s="354"/>
      <c r="W325" s="354"/>
      <c r="X325" s="354"/>
      <c r="Y325" s="354"/>
      <c r="Z325" s="354"/>
    </row>
    <row r="326" customFormat="false" ht="15" hidden="false" customHeight="true" outlineLevel="0" collapsed="false">
      <c r="A326" s="354"/>
      <c r="B326" s="354"/>
      <c r="C326" s="354"/>
      <c r="D326" s="354"/>
      <c r="E326" s="354"/>
      <c r="F326" s="354"/>
      <c r="G326" s="354"/>
      <c r="H326" s="354"/>
      <c r="I326" s="354"/>
      <c r="J326" s="354"/>
      <c r="K326" s="354"/>
      <c r="L326" s="354"/>
      <c r="M326" s="354"/>
      <c r="N326" s="354"/>
      <c r="O326" s="354"/>
      <c r="P326" s="354"/>
      <c r="Q326" s="354"/>
      <c r="R326" s="354"/>
      <c r="S326" s="354"/>
      <c r="T326" s="354"/>
      <c r="U326" s="354"/>
      <c r="V326" s="354"/>
      <c r="W326" s="354"/>
      <c r="X326" s="354"/>
      <c r="Y326" s="354"/>
      <c r="Z326" s="354"/>
    </row>
    <row r="327" customFormat="false" ht="15" hidden="false" customHeight="true" outlineLevel="0" collapsed="false">
      <c r="A327" s="354"/>
      <c r="B327" s="354"/>
      <c r="C327" s="354"/>
      <c r="D327" s="354"/>
      <c r="E327" s="354"/>
      <c r="F327" s="354"/>
      <c r="G327" s="354"/>
      <c r="H327" s="354"/>
      <c r="I327" s="354"/>
      <c r="J327" s="354"/>
      <c r="K327" s="354"/>
      <c r="L327" s="354"/>
      <c r="M327" s="354"/>
      <c r="N327" s="354"/>
      <c r="O327" s="354"/>
      <c r="P327" s="354"/>
      <c r="Q327" s="354"/>
      <c r="R327" s="354"/>
      <c r="S327" s="354"/>
      <c r="T327" s="354"/>
      <c r="U327" s="354"/>
      <c r="V327" s="354"/>
      <c r="W327" s="354"/>
      <c r="X327" s="354"/>
      <c r="Y327" s="354"/>
      <c r="Z327" s="354"/>
    </row>
    <row r="328" customFormat="false" ht="15" hidden="false" customHeight="true" outlineLevel="0" collapsed="false">
      <c r="A328" s="354"/>
      <c r="B328" s="354"/>
      <c r="C328" s="354"/>
      <c r="D328" s="354"/>
      <c r="E328" s="354"/>
      <c r="F328" s="354"/>
      <c r="G328" s="354"/>
      <c r="H328" s="354"/>
      <c r="I328" s="354"/>
      <c r="J328" s="354"/>
      <c r="K328" s="354"/>
      <c r="L328" s="354"/>
      <c r="M328" s="354"/>
      <c r="N328" s="354"/>
      <c r="O328" s="354"/>
      <c r="P328" s="354"/>
      <c r="Q328" s="354"/>
      <c r="R328" s="354"/>
      <c r="S328" s="354"/>
      <c r="T328" s="354"/>
      <c r="U328" s="354"/>
      <c r="V328" s="354"/>
      <c r="W328" s="354"/>
      <c r="X328" s="354"/>
      <c r="Y328" s="354"/>
      <c r="Z328" s="354"/>
    </row>
    <row r="329" customFormat="false" ht="15" hidden="false" customHeight="true" outlineLevel="0" collapsed="false">
      <c r="A329" s="354"/>
      <c r="B329" s="354"/>
      <c r="C329" s="354"/>
      <c r="D329" s="354"/>
      <c r="E329" s="354"/>
      <c r="F329" s="354"/>
      <c r="G329" s="354"/>
      <c r="H329" s="354"/>
      <c r="I329" s="354"/>
      <c r="J329" s="354"/>
      <c r="K329" s="354"/>
      <c r="L329" s="354"/>
      <c r="M329" s="354"/>
      <c r="N329" s="354"/>
      <c r="O329" s="354"/>
      <c r="P329" s="354"/>
      <c r="Q329" s="354"/>
      <c r="R329" s="354"/>
      <c r="S329" s="354"/>
      <c r="T329" s="354"/>
      <c r="U329" s="354"/>
      <c r="V329" s="354"/>
      <c r="W329" s="354"/>
      <c r="X329" s="354"/>
      <c r="Y329" s="354"/>
      <c r="Z329" s="354"/>
    </row>
    <row r="330" customFormat="false" ht="15" hidden="false" customHeight="true" outlineLevel="0" collapsed="false">
      <c r="A330" s="354"/>
      <c r="B330" s="354"/>
      <c r="C330" s="354"/>
      <c r="D330" s="354"/>
      <c r="E330" s="354"/>
      <c r="F330" s="354"/>
      <c r="G330" s="354"/>
      <c r="H330" s="354"/>
      <c r="I330" s="354"/>
      <c r="J330" s="354"/>
      <c r="K330" s="354"/>
      <c r="L330" s="354"/>
      <c r="M330" s="354"/>
      <c r="N330" s="354"/>
      <c r="O330" s="354"/>
      <c r="P330" s="354"/>
      <c r="Q330" s="354"/>
      <c r="R330" s="354"/>
      <c r="S330" s="354"/>
      <c r="T330" s="354"/>
      <c r="U330" s="354"/>
      <c r="V330" s="354"/>
      <c r="W330" s="354"/>
      <c r="X330" s="354"/>
      <c r="Y330" s="354"/>
      <c r="Z330" s="354"/>
    </row>
    <row r="331" customFormat="false" ht="15" hidden="false" customHeight="true" outlineLevel="0" collapsed="false">
      <c r="A331" s="354"/>
      <c r="B331" s="354"/>
      <c r="C331" s="354"/>
      <c r="D331" s="354"/>
      <c r="E331" s="354"/>
      <c r="F331" s="354"/>
      <c r="G331" s="354"/>
      <c r="H331" s="354"/>
      <c r="I331" s="354"/>
      <c r="J331" s="354"/>
      <c r="K331" s="354"/>
      <c r="L331" s="354"/>
      <c r="M331" s="354"/>
      <c r="N331" s="354"/>
      <c r="O331" s="354"/>
      <c r="P331" s="354"/>
      <c r="Q331" s="354"/>
      <c r="R331" s="354"/>
      <c r="S331" s="354"/>
      <c r="T331" s="354"/>
      <c r="U331" s="354"/>
      <c r="V331" s="354"/>
      <c r="W331" s="354"/>
      <c r="X331" s="354"/>
      <c r="Y331" s="354"/>
      <c r="Z331" s="354"/>
    </row>
    <row r="332" customFormat="false" ht="15" hidden="false" customHeight="true" outlineLevel="0" collapsed="false">
      <c r="A332" s="354"/>
      <c r="B332" s="354"/>
      <c r="C332" s="354"/>
      <c r="D332" s="354"/>
      <c r="E332" s="354"/>
      <c r="F332" s="354"/>
      <c r="G332" s="354"/>
      <c r="H332" s="354"/>
      <c r="I332" s="354"/>
      <c r="J332" s="354"/>
      <c r="K332" s="354"/>
      <c r="L332" s="354"/>
      <c r="M332" s="354"/>
      <c r="N332" s="354"/>
      <c r="O332" s="354"/>
      <c r="P332" s="354"/>
      <c r="Q332" s="354"/>
      <c r="R332" s="354"/>
      <c r="S332" s="354"/>
      <c r="T332" s="354"/>
      <c r="U332" s="354"/>
      <c r="V332" s="354"/>
      <c r="W332" s="354"/>
      <c r="X332" s="354"/>
      <c r="Y332" s="354"/>
      <c r="Z332" s="354"/>
    </row>
    <row r="333" customFormat="false" ht="15" hidden="false" customHeight="true" outlineLevel="0" collapsed="false">
      <c r="A333" s="354"/>
      <c r="B333" s="354"/>
      <c r="C333" s="354"/>
      <c r="D333" s="354"/>
      <c r="E333" s="354"/>
      <c r="F333" s="354"/>
      <c r="G333" s="354"/>
      <c r="H333" s="354"/>
      <c r="I333" s="354"/>
      <c r="J333" s="354"/>
      <c r="K333" s="354"/>
      <c r="L333" s="354"/>
      <c r="M333" s="354"/>
      <c r="N333" s="354"/>
      <c r="O333" s="354"/>
      <c r="P333" s="354"/>
      <c r="Q333" s="354"/>
      <c r="R333" s="354"/>
      <c r="S333" s="354"/>
      <c r="T333" s="354"/>
      <c r="U333" s="354"/>
      <c r="V333" s="354"/>
      <c r="W333" s="354"/>
      <c r="X333" s="354"/>
      <c r="Y333" s="354"/>
      <c r="Z333" s="354"/>
    </row>
    <row r="334" customFormat="false" ht="15" hidden="false" customHeight="true" outlineLevel="0" collapsed="false">
      <c r="A334" s="354"/>
      <c r="B334" s="354"/>
      <c r="C334" s="354"/>
      <c r="D334" s="354"/>
      <c r="E334" s="354"/>
      <c r="F334" s="354"/>
      <c r="G334" s="354"/>
      <c r="H334" s="354"/>
      <c r="I334" s="354"/>
      <c r="J334" s="354"/>
      <c r="K334" s="354"/>
      <c r="L334" s="354"/>
      <c r="M334" s="354"/>
      <c r="N334" s="354"/>
      <c r="O334" s="354"/>
      <c r="P334" s="354"/>
      <c r="Q334" s="354"/>
      <c r="R334" s="354"/>
      <c r="S334" s="354"/>
      <c r="T334" s="354"/>
      <c r="U334" s="354"/>
      <c r="V334" s="354"/>
      <c r="W334" s="354"/>
      <c r="X334" s="354"/>
      <c r="Y334" s="354"/>
      <c r="Z334" s="354"/>
    </row>
    <row r="335" customFormat="false" ht="15" hidden="false" customHeight="true" outlineLevel="0" collapsed="false">
      <c r="A335" s="354"/>
      <c r="B335" s="354"/>
      <c r="C335" s="354"/>
      <c r="D335" s="354"/>
      <c r="E335" s="354"/>
      <c r="F335" s="354"/>
      <c r="G335" s="354"/>
      <c r="H335" s="354"/>
      <c r="I335" s="354"/>
      <c r="J335" s="354"/>
      <c r="K335" s="354"/>
      <c r="L335" s="354"/>
      <c r="M335" s="354"/>
      <c r="N335" s="354"/>
      <c r="O335" s="354"/>
      <c r="P335" s="354"/>
      <c r="Q335" s="354"/>
      <c r="R335" s="354"/>
      <c r="S335" s="354"/>
      <c r="T335" s="354"/>
      <c r="U335" s="354"/>
      <c r="V335" s="354"/>
      <c r="W335" s="354"/>
      <c r="X335" s="354"/>
      <c r="Y335" s="354"/>
      <c r="Z335" s="354"/>
    </row>
    <row r="336" customFormat="false" ht="15" hidden="false" customHeight="true" outlineLevel="0" collapsed="false">
      <c r="A336" s="354"/>
      <c r="B336" s="354"/>
      <c r="C336" s="354"/>
      <c r="D336" s="354"/>
      <c r="E336" s="354"/>
      <c r="F336" s="354"/>
      <c r="G336" s="354"/>
      <c r="H336" s="354"/>
      <c r="I336" s="354"/>
      <c r="J336" s="354"/>
      <c r="K336" s="354"/>
      <c r="L336" s="354"/>
      <c r="M336" s="354"/>
      <c r="N336" s="354"/>
      <c r="O336" s="354"/>
      <c r="P336" s="354"/>
      <c r="Q336" s="354"/>
      <c r="R336" s="354"/>
      <c r="S336" s="354"/>
      <c r="T336" s="354"/>
      <c r="U336" s="354"/>
      <c r="V336" s="354"/>
      <c r="W336" s="354"/>
      <c r="X336" s="354"/>
      <c r="Y336" s="354"/>
      <c r="Z336" s="354"/>
    </row>
    <row r="337" customFormat="false" ht="15" hidden="false" customHeight="true" outlineLevel="0" collapsed="false">
      <c r="A337" s="354"/>
      <c r="B337" s="354"/>
      <c r="C337" s="354"/>
      <c r="D337" s="354"/>
      <c r="E337" s="354"/>
      <c r="F337" s="354"/>
      <c r="G337" s="354"/>
      <c r="H337" s="354"/>
      <c r="I337" s="354"/>
      <c r="J337" s="354"/>
      <c r="K337" s="354"/>
      <c r="L337" s="354"/>
      <c r="M337" s="354"/>
      <c r="N337" s="354"/>
      <c r="O337" s="354"/>
      <c r="P337" s="354"/>
      <c r="Q337" s="354"/>
      <c r="R337" s="354"/>
      <c r="S337" s="354"/>
      <c r="T337" s="354"/>
      <c r="U337" s="354"/>
      <c r="V337" s="354"/>
      <c r="W337" s="354"/>
      <c r="X337" s="354"/>
      <c r="Y337" s="354"/>
      <c r="Z337" s="354"/>
    </row>
    <row r="338" customFormat="false" ht="15" hidden="false" customHeight="true" outlineLevel="0" collapsed="false">
      <c r="A338" s="354"/>
      <c r="B338" s="354"/>
      <c r="C338" s="354"/>
      <c r="D338" s="354"/>
      <c r="E338" s="354"/>
      <c r="F338" s="354"/>
      <c r="G338" s="354"/>
      <c r="H338" s="354"/>
      <c r="I338" s="354"/>
      <c r="J338" s="354"/>
      <c r="K338" s="354"/>
      <c r="L338" s="354"/>
      <c r="M338" s="354"/>
      <c r="N338" s="354"/>
      <c r="O338" s="354"/>
      <c r="P338" s="354"/>
      <c r="Q338" s="354"/>
      <c r="R338" s="354"/>
      <c r="S338" s="354"/>
      <c r="T338" s="354"/>
      <c r="U338" s="354"/>
      <c r="V338" s="354"/>
      <c r="W338" s="354"/>
      <c r="X338" s="354"/>
      <c r="Y338" s="354"/>
      <c r="Z338" s="354"/>
    </row>
    <row r="339" customFormat="false" ht="15" hidden="false" customHeight="true" outlineLevel="0" collapsed="false">
      <c r="A339" s="354"/>
      <c r="B339" s="354"/>
      <c r="C339" s="354"/>
      <c r="D339" s="354"/>
      <c r="E339" s="354"/>
      <c r="F339" s="354"/>
      <c r="G339" s="354"/>
      <c r="H339" s="354"/>
      <c r="I339" s="354"/>
      <c r="J339" s="354"/>
      <c r="K339" s="354"/>
      <c r="L339" s="354"/>
      <c r="M339" s="354"/>
      <c r="N339" s="354"/>
      <c r="O339" s="354"/>
      <c r="P339" s="354"/>
      <c r="Q339" s="354"/>
      <c r="R339" s="354"/>
      <c r="S339" s="354"/>
      <c r="T339" s="354"/>
      <c r="U339" s="354"/>
      <c r="V339" s="354"/>
      <c r="W339" s="354"/>
      <c r="X339" s="354"/>
      <c r="Y339" s="354"/>
      <c r="Z339" s="354"/>
    </row>
    <row r="340" customFormat="false" ht="15" hidden="false" customHeight="true" outlineLevel="0" collapsed="false">
      <c r="A340" s="354"/>
      <c r="B340" s="354"/>
      <c r="C340" s="354"/>
      <c r="D340" s="354"/>
      <c r="E340" s="354"/>
      <c r="F340" s="354"/>
      <c r="G340" s="354"/>
      <c r="H340" s="354"/>
      <c r="I340" s="354"/>
      <c r="J340" s="354"/>
      <c r="K340" s="354"/>
      <c r="L340" s="354"/>
      <c r="M340" s="354"/>
      <c r="N340" s="354"/>
      <c r="O340" s="354"/>
      <c r="P340" s="354"/>
      <c r="Q340" s="354"/>
      <c r="R340" s="354"/>
      <c r="S340" s="354"/>
      <c r="T340" s="354"/>
      <c r="U340" s="354"/>
      <c r="V340" s="354"/>
      <c r="W340" s="354"/>
      <c r="X340" s="354"/>
      <c r="Y340" s="354"/>
      <c r="Z340" s="354"/>
    </row>
    <row r="341" customFormat="false" ht="15" hidden="false" customHeight="true" outlineLevel="0" collapsed="false">
      <c r="A341" s="354"/>
      <c r="B341" s="354"/>
      <c r="C341" s="354"/>
      <c r="D341" s="354"/>
      <c r="E341" s="354"/>
      <c r="F341" s="354"/>
      <c r="G341" s="354"/>
      <c r="H341" s="354"/>
      <c r="I341" s="354"/>
      <c r="J341" s="354"/>
      <c r="K341" s="354"/>
      <c r="L341" s="354"/>
      <c r="M341" s="354"/>
      <c r="N341" s="354"/>
      <c r="O341" s="354"/>
      <c r="P341" s="354"/>
      <c r="Q341" s="354"/>
      <c r="R341" s="354"/>
      <c r="S341" s="354"/>
      <c r="T341" s="354"/>
      <c r="U341" s="354"/>
      <c r="V341" s="354"/>
      <c r="W341" s="354"/>
      <c r="X341" s="354"/>
      <c r="Y341" s="354"/>
      <c r="Z341" s="354"/>
    </row>
    <row r="342" customFormat="false" ht="15" hidden="false" customHeight="true" outlineLevel="0" collapsed="false">
      <c r="A342" s="354"/>
      <c r="B342" s="354"/>
      <c r="C342" s="354"/>
      <c r="D342" s="354"/>
      <c r="E342" s="354"/>
      <c r="F342" s="354"/>
      <c r="G342" s="354"/>
      <c r="H342" s="354"/>
      <c r="I342" s="354"/>
      <c r="J342" s="354"/>
      <c r="K342" s="354"/>
      <c r="L342" s="354"/>
      <c r="M342" s="354"/>
      <c r="N342" s="354"/>
      <c r="O342" s="354"/>
      <c r="P342" s="354"/>
      <c r="Q342" s="354"/>
      <c r="R342" s="354"/>
      <c r="S342" s="354"/>
      <c r="T342" s="354"/>
      <c r="U342" s="354"/>
      <c r="V342" s="354"/>
      <c r="W342" s="354"/>
      <c r="X342" s="354"/>
      <c r="Y342" s="354"/>
      <c r="Z342" s="354"/>
    </row>
    <row r="343" customFormat="false" ht="15" hidden="false" customHeight="true" outlineLevel="0" collapsed="false">
      <c r="A343" s="354"/>
      <c r="B343" s="354"/>
      <c r="C343" s="354"/>
      <c r="D343" s="354"/>
      <c r="E343" s="354"/>
      <c r="F343" s="354"/>
      <c r="G343" s="354"/>
      <c r="H343" s="354"/>
      <c r="I343" s="354"/>
      <c r="J343" s="354"/>
      <c r="K343" s="354"/>
      <c r="L343" s="354"/>
      <c r="M343" s="354"/>
      <c r="N343" s="354"/>
      <c r="O343" s="354"/>
      <c r="P343" s="354"/>
      <c r="Q343" s="354"/>
      <c r="R343" s="354"/>
      <c r="S343" s="354"/>
      <c r="T343" s="354"/>
      <c r="U343" s="354"/>
      <c r="V343" s="354"/>
      <c r="W343" s="354"/>
      <c r="X343" s="354"/>
      <c r="Y343" s="354"/>
      <c r="Z343" s="354"/>
    </row>
    <row r="344" customFormat="false" ht="15" hidden="false" customHeight="true" outlineLevel="0" collapsed="false">
      <c r="A344" s="354"/>
      <c r="B344" s="354"/>
      <c r="C344" s="354"/>
      <c r="D344" s="354"/>
      <c r="E344" s="354"/>
      <c r="F344" s="354"/>
      <c r="G344" s="354"/>
      <c r="H344" s="354"/>
      <c r="I344" s="354"/>
      <c r="J344" s="354"/>
      <c r="K344" s="354"/>
      <c r="L344" s="354"/>
      <c r="M344" s="354"/>
      <c r="N344" s="354"/>
      <c r="O344" s="354"/>
      <c r="P344" s="354"/>
      <c r="Q344" s="354"/>
      <c r="R344" s="354"/>
      <c r="S344" s="354"/>
      <c r="T344" s="354"/>
      <c r="U344" s="354"/>
      <c r="V344" s="354"/>
      <c r="W344" s="354"/>
      <c r="X344" s="354"/>
      <c r="Y344" s="354"/>
      <c r="Z344" s="354"/>
    </row>
    <row r="345" customFormat="false" ht="15" hidden="false" customHeight="true" outlineLevel="0" collapsed="false">
      <c r="A345" s="354"/>
      <c r="B345" s="354"/>
      <c r="C345" s="354"/>
      <c r="D345" s="354"/>
      <c r="E345" s="354"/>
      <c r="F345" s="354"/>
      <c r="G345" s="354"/>
      <c r="H345" s="354"/>
      <c r="I345" s="354"/>
      <c r="J345" s="354"/>
      <c r="K345" s="354"/>
      <c r="L345" s="354"/>
      <c r="M345" s="354"/>
      <c r="N345" s="354"/>
      <c r="O345" s="354"/>
      <c r="P345" s="354"/>
      <c r="Q345" s="354"/>
      <c r="R345" s="354"/>
      <c r="S345" s="354"/>
      <c r="T345" s="354"/>
      <c r="U345" s="354"/>
      <c r="V345" s="354"/>
      <c r="W345" s="354"/>
      <c r="X345" s="354"/>
      <c r="Y345" s="354"/>
      <c r="Z345" s="354"/>
    </row>
    <row r="346" customFormat="false" ht="15" hidden="false" customHeight="true" outlineLevel="0" collapsed="false">
      <c r="A346" s="354"/>
      <c r="B346" s="354"/>
      <c r="C346" s="354"/>
      <c r="D346" s="354"/>
      <c r="E346" s="354"/>
      <c r="F346" s="354"/>
      <c r="G346" s="354"/>
      <c r="H346" s="354"/>
      <c r="I346" s="354"/>
      <c r="J346" s="354"/>
      <c r="K346" s="354"/>
      <c r="L346" s="354"/>
      <c r="M346" s="354"/>
      <c r="N346" s="354"/>
      <c r="O346" s="354"/>
      <c r="P346" s="354"/>
      <c r="Q346" s="354"/>
      <c r="R346" s="354"/>
      <c r="S346" s="354"/>
      <c r="T346" s="354"/>
      <c r="U346" s="354"/>
      <c r="V346" s="354"/>
      <c r="W346" s="354"/>
      <c r="X346" s="354"/>
      <c r="Y346" s="354"/>
      <c r="Z346" s="354"/>
    </row>
    <row r="347" customFormat="false" ht="15" hidden="false" customHeight="true" outlineLevel="0" collapsed="false">
      <c r="A347" s="354"/>
      <c r="B347" s="354"/>
      <c r="C347" s="354"/>
      <c r="D347" s="354"/>
      <c r="E347" s="354"/>
      <c r="F347" s="354"/>
      <c r="G347" s="354"/>
      <c r="H347" s="354"/>
      <c r="I347" s="354"/>
      <c r="J347" s="354"/>
      <c r="K347" s="354"/>
      <c r="L347" s="354"/>
      <c r="M347" s="354"/>
      <c r="N347" s="354"/>
      <c r="O347" s="354"/>
      <c r="P347" s="354"/>
      <c r="Q347" s="354"/>
      <c r="R347" s="354"/>
      <c r="S347" s="354"/>
      <c r="T347" s="354"/>
      <c r="U347" s="354"/>
      <c r="V347" s="354"/>
      <c r="W347" s="354"/>
      <c r="X347" s="354"/>
      <c r="Y347" s="354"/>
      <c r="Z347" s="354"/>
    </row>
    <row r="348" customFormat="false" ht="15" hidden="false" customHeight="true" outlineLevel="0" collapsed="false">
      <c r="A348" s="354"/>
      <c r="B348" s="354"/>
      <c r="C348" s="354"/>
      <c r="D348" s="354"/>
      <c r="E348" s="354"/>
      <c r="F348" s="354"/>
      <c r="G348" s="354"/>
      <c r="H348" s="354"/>
      <c r="I348" s="354"/>
      <c r="J348" s="354"/>
      <c r="K348" s="354"/>
      <c r="L348" s="354"/>
      <c r="M348" s="354"/>
      <c r="N348" s="354"/>
      <c r="O348" s="354"/>
      <c r="P348" s="354"/>
      <c r="Q348" s="354"/>
      <c r="R348" s="354"/>
      <c r="S348" s="354"/>
      <c r="T348" s="354"/>
      <c r="U348" s="354"/>
      <c r="V348" s="354"/>
      <c r="W348" s="354"/>
      <c r="X348" s="354"/>
      <c r="Y348" s="354"/>
      <c r="Z348" s="354"/>
    </row>
    <row r="349" customFormat="false" ht="15" hidden="false" customHeight="true" outlineLevel="0" collapsed="false">
      <c r="A349" s="354"/>
      <c r="B349" s="354"/>
      <c r="C349" s="354"/>
      <c r="D349" s="354"/>
      <c r="E349" s="354"/>
      <c r="F349" s="354"/>
      <c r="G349" s="354"/>
      <c r="H349" s="354"/>
      <c r="I349" s="354"/>
      <c r="J349" s="354"/>
      <c r="K349" s="354"/>
      <c r="L349" s="354"/>
      <c r="M349" s="354"/>
      <c r="N349" s="354"/>
      <c r="O349" s="354"/>
      <c r="P349" s="354"/>
      <c r="Q349" s="354"/>
      <c r="R349" s="354"/>
      <c r="S349" s="354"/>
      <c r="T349" s="354"/>
      <c r="U349" s="354"/>
      <c r="V349" s="354"/>
      <c r="W349" s="354"/>
      <c r="X349" s="354"/>
      <c r="Y349" s="354"/>
      <c r="Z349" s="354"/>
    </row>
    <row r="350" customFormat="false" ht="15" hidden="false" customHeight="true" outlineLevel="0" collapsed="false">
      <c r="A350" s="354"/>
      <c r="B350" s="354"/>
      <c r="C350" s="354"/>
      <c r="D350" s="354"/>
      <c r="E350" s="354"/>
      <c r="F350" s="354"/>
      <c r="G350" s="354"/>
      <c r="H350" s="354"/>
      <c r="I350" s="354"/>
      <c r="J350" s="354"/>
      <c r="K350" s="354"/>
      <c r="L350" s="354"/>
      <c r="M350" s="354"/>
      <c r="N350" s="354"/>
      <c r="O350" s="354"/>
      <c r="P350" s="354"/>
      <c r="Q350" s="354"/>
      <c r="R350" s="354"/>
      <c r="S350" s="354"/>
      <c r="T350" s="354"/>
      <c r="U350" s="354"/>
      <c r="V350" s="354"/>
      <c r="W350" s="354"/>
      <c r="X350" s="354"/>
      <c r="Y350" s="354"/>
      <c r="Z350" s="354"/>
    </row>
    <row r="351" customFormat="false" ht="15" hidden="false" customHeight="true" outlineLevel="0" collapsed="false">
      <c r="A351" s="354"/>
      <c r="B351" s="354"/>
      <c r="C351" s="354"/>
      <c r="D351" s="354"/>
      <c r="E351" s="354"/>
      <c r="F351" s="354"/>
      <c r="G351" s="354"/>
      <c r="H351" s="354"/>
      <c r="I351" s="354"/>
      <c r="J351" s="354"/>
      <c r="K351" s="354"/>
      <c r="L351" s="354"/>
      <c r="M351" s="354"/>
      <c r="N351" s="354"/>
      <c r="O351" s="354"/>
      <c r="P351" s="354"/>
      <c r="Q351" s="354"/>
      <c r="R351" s="354"/>
      <c r="S351" s="354"/>
      <c r="T351" s="354"/>
      <c r="U351" s="354"/>
      <c r="V351" s="354"/>
      <c r="W351" s="354"/>
      <c r="X351" s="354"/>
      <c r="Y351" s="354"/>
      <c r="Z351" s="354"/>
    </row>
    <row r="352" customFormat="false" ht="15" hidden="false" customHeight="true" outlineLevel="0" collapsed="false">
      <c r="A352" s="354"/>
      <c r="B352" s="354"/>
      <c r="C352" s="354"/>
      <c r="D352" s="354"/>
      <c r="E352" s="354"/>
      <c r="F352" s="354"/>
      <c r="G352" s="354"/>
      <c r="H352" s="354"/>
      <c r="I352" s="354"/>
      <c r="J352" s="354"/>
      <c r="K352" s="354"/>
      <c r="L352" s="354"/>
      <c r="M352" s="354"/>
      <c r="N352" s="354"/>
      <c r="O352" s="354"/>
      <c r="P352" s="354"/>
      <c r="Q352" s="354"/>
      <c r="R352" s="354"/>
      <c r="S352" s="354"/>
      <c r="T352" s="354"/>
      <c r="U352" s="354"/>
      <c r="V352" s="354"/>
      <c r="W352" s="354"/>
      <c r="X352" s="354"/>
      <c r="Y352" s="354"/>
      <c r="Z352" s="354"/>
    </row>
    <row r="353" customFormat="false" ht="15" hidden="false" customHeight="true" outlineLevel="0" collapsed="false">
      <c r="A353" s="354"/>
      <c r="B353" s="354"/>
      <c r="C353" s="354"/>
      <c r="D353" s="354"/>
      <c r="E353" s="354"/>
      <c r="F353" s="354"/>
      <c r="G353" s="354"/>
      <c r="H353" s="354"/>
      <c r="I353" s="354"/>
      <c r="J353" s="354"/>
      <c r="K353" s="354"/>
      <c r="L353" s="354"/>
      <c r="M353" s="354"/>
      <c r="N353" s="354"/>
      <c r="O353" s="354"/>
      <c r="P353" s="354"/>
      <c r="Q353" s="354"/>
      <c r="R353" s="354"/>
      <c r="S353" s="354"/>
      <c r="T353" s="354"/>
      <c r="U353" s="354"/>
      <c r="V353" s="354"/>
      <c r="W353" s="354"/>
      <c r="X353" s="354"/>
      <c r="Y353" s="354"/>
      <c r="Z353" s="354"/>
    </row>
    <row r="354" customFormat="false" ht="15" hidden="false" customHeight="true" outlineLevel="0" collapsed="false">
      <c r="A354" s="354"/>
      <c r="B354" s="354"/>
      <c r="C354" s="354"/>
      <c r="D354" s="354"/>
      <c r="E354" s="354"/>
      <c r="F354" s="354"/>
      <c r="G354" s="354"/>
      <c r="H354" s="354"/>
      <c r="I354" s="354"/>
      <c r="J354" s="354"/>
      <c r="K354" s="354"/>
      <c r="L354" s="354"/>
      <c r="M354" s="354"/>
      <c r="N354" s="354"/>
      <c r="O354" s="354"/>
      <c r="P354" s="354"/>
      <c r="Q354" s="354"/>
      <c r="R354" s="354"/>
      <c r="S354" s="354"/>
      <c r="T354" s="354"/>
      <c r="U354" s="354"/>
      <c r="V354" s="354"/>
      <c r="W354" s="354"/>
      <c r="X354" s="354"/>
      <c r="Y354" s="354"/>
      <c r="Z354" s="354"/>
    </row>
    <row r="355" customFormat="false" ht="15" hidden="false" customHeight="true" outlineLevel="0" collapsed="false">
      <c r="A355" s="354"/>
      <c r="B355" s="354"/>
      <c r="C355" s="354"/>
      <c r="D355" s="354"/>
      <c r="E355" s="354"/>
      <c r="F355" s="354"/>
      <c r="G355" s="354"/>
      <c r="H355" s="354"/>
      <c r="I355" s="354"/>
      <c r="J355" s="354"/>
      <c r="K355" s="354"/>
      <c r="L355" s="354"/>
      <c r="M355" s="354"/>
      <c r="N355" s="354"/>
      <c r="O355" s="354"/>
      <c r="P355" s="354"/>
      <c r="Q355" s="354"/>
      <c r="R355" s="354"/>
      <c r="S355" s="354"/>
      <c r="T355" s="354"/>
      <c r="U355" s="354"/>
      <c r="V355" s="354"/>
      <c r="W355" s="354"/>
      <c r="X355" s="354"/>
      <c r="Y355" s="354"/>
      <c r="Z355" s="354"/>
    </row>
    <row r="356" customFormat="false" ht="15" hidden="false" customHeight="true" outlineLevel="0" collapsed="false">
      <c r="A356" s="354"/>
      <c r="B356" s="354"/>
      <c r="C356" s="354"/>
      <c r="D356" s="354"/>
      <c r="E356" s="354"/>
      <c r="F356" s="354"/>
      <c r="G356" s="354"/>
      <c r="H356" s="354"/>
      <c r="I356" s="354"/>
      <c r="J356" s="354"/>
      <c r="K356" s="354"/>
      <c r="L356" s="354"/>
      <c r="M356" s="354"/>
      <c r="N356" s="354"/>
      <c r="O356" s="354"/>
      <c r="P356" s="354"/>
      <c r="Q356" s="354"/>
      <c r="R356" s="354"/>
      <c r="S356" s="354"/>
      <c r="T356" s="354"/>
      <c r="U356" s="354"/>
      <c r="V356" s="354"/>
      <c r="W356" s="354"/>
      <c r="X356" s="354"/>
      <c r="Y356" s="354"/>
      <c r="Z356" s="354"/>
    </row>
    <row r="357" customFormat="false" ht="15" hidden="false" customHeight="true" outlineLevel="0" collapsed="false">
      <c r="A357" s="354"/>
      <c r="B357" s="354"/>
      <c r="C357" s="354"/>
      <c r="D357" s="354"/>
      <c r="E357" s="354"/>
      <c r="F357" s="354"/>
      <c r="G357" s="354"/>
      <c r="H357" s="354"/>
      <c r="I357" s="354"/>
      <c r="J357" s="354"/>
      <c r="K357" s="354"/>
      <c r="L357" s="354"/>
      <c r="M357" s="354"/>
      <c r="N357" s="354"/>
      <c r="O357" s="354"/>
      <c r="P357" s="354"/>
      <c r="Q357" s="354"/>
      <c r="R357" s="354"/>
      <c r="S357" s="354"/>
      <c r="T357" s="354"/>
      <c r="U357" s="354"/>
      <c r="V357" s="354"/>
      <c r="W357" s="354"/>
      <c r="X357" s="354"/>
      <c r="Y357" s="354"/>
      <c r="Z357" s="354"/>
    </row>
    <row r="358" customFormat="false" ht="15" hidden="false" customHeight="true" outlineLevel="0" collapsed="false">
      <c r="A358" s="354"/>
      <c r="B358" s="354"/>
      <c r="C358" s="354"/>
      <c r="D358" s="354"/>
      <c r="E358" s="354"/>
      <c r="F358" s="354"/>
      <c r="G358" s="354"/>
      <c r="H358" s="354"/>
      <c r="I358" s="354"/>
      <c r="J358" s="354"/>
      <c r="K358" s="354"/>
      <c r="L358" s="354"/>
      <c r="M358" s="354"/>
      <c r="N358" s="354"/>
      <c r="O358" s="354"/>
      <c r="P358" s="354"/>
      <c r="Q358" s="354"/>
      <c r="R358" s="354"/>
      <c r="S358" s="354"/>
      <c r="T358" s="354"/>
      <c r="U358" s="354"/>
      <c r="V358" s="354"/>
      <c r="W358" s="354"/>
      <c r="X358" s="354"/>
      <c r="Y358" s="354"/>
      <c r="Z358" s="354"/>
    </row>
    <row r="359" customFormat="false" ht="15" hidden="false" customHeight="true" outlineLevel="0" collapsed="false">
      <c r="A359" s="354"/>
      <c r="B359" s="354"/>
      <c r="C359" s="354"/>
      <c r="D359" s="354"/>
      <c r="E359" s="354"/>
      <c r="F359" s="354"/>
      <c r="G359" s="354"/>
      <c r="H359" s="354"/>
      <c r="I359" s="354"/>
      <c r="J359" s="354"/>
      <c r="K359" s="354"/>
      <c r="L359" s="354"/>
      <c r="M359" s="354"/>
      <c r="N359" s="354"/>
      <c r="O359" s="354"/>
      <c r="P359" s="354"/>
      <c r="Q359" s="354"/>
      <c r="R359" s="354"/>
      <c r="S359" s="354"/>
      <c r="T359" s="354"/>
      <c r="U359" s="354"/>
      <c r="V359" s="354"/>
      <c r="W359" s="354"/>
      <c r="X359" s="354"/>
      <c r="Y359" s="354"/>
      <c r="Z359" s="354"/>
    </row>
    <row r="360" customFormat="false" ht="15" hidden="false" customHeight="true" outlineLevel="0" collapsed="false">
      <c r="A360" s="354"/>
      <c r="B360" s="354"/>
      <c r="C360" s="354"/>
      <c r="D360" s="354"/>
      <c r="E360" s="354"/>
      <c r="F360" s="354"/>
      <c r="G360" s="354"/>
      <c r="H360" s="354"/>
      <c r="I360" s="354"/>
      <c r="J360" s="354"/>
      <c r="K360" s="354"/>
      <c r="L360" s="354"/>
      <c r="M360" s="354"/>
      <c r="N360" s="354"/>
      <c r="O360" s="354"/>
      <c r="P360" s="354"/>
      <c r="Q360" s="354"/>
      <c r="R360" s="354"/>
      <c r="S360" s="354"/>
      <c r="T360" s="354"/>
      <c r="U360" s="354"/>
      <c r="V360" s="354"/>
      <c r="W360" s="354"/>
      <c r="X360" s="354"/>
      <c r="Y360" s="354"/>
      <c r="Z360" s="354"/>
    </row>
    <row r="361" customFormat="false" ht="15" hidden="false" customHeight="true" outlineLevel="0" collapsed="false">
      <c r="A361" s="354"/>
      <c r="B361" s="354"/>
      <c r="C361" s="354"/>
      <c r="D361" s="354"/>
      <c r="E361" s="354"/>
      <c r="F361" s="354"/>
      <c r="G361" s="354"/>
      <c r="H361" s="354"/>
      <c r="I361" s="354"/>
      <c r="J361" s="354"/>
      <c r="K361" s="354"/>
      <c r="L361" s="354"/>
      <c r="M361" s="354"/>
      <c r="N361" s="354"/>
      <c r="O361" s="354"/>
      <c r="P361" s="354"/>
      <c r="Q361" s="354"/>
      <c r="R361" s="354"/>
      <c r="S361" s="354"/>
      <c r="T361" s="354"/>
      <c r="U361" s="354"/>
      <c r="V361" s="354"/>
      <c r="W361" s="354"/>
      <c r="X361" s="354"/>
      <c r="Y361" s="354"/>
      <c r="Z361" s="354"/>
    </row>
    <row r="362" customFormat="false" ht="15" hidden="false" customHeight="true" outlineLevel="0" collapsed="false">
      <c r="A362" s="354"/>
      <c r="B362" s="354"/>
      <c r="C362" s="354"/>
      <c r="D362" s="354"/>
      <c r="E362" s="354"/>
      <c r="F362" s="354"/>
      <c r="G362" s="354"/>
      <c r="H362" s="354"/>
      <c r="I362" s="354"/>
      <c r="J362" s="354"/>
      <c r="K362" s="354"/>
      <c r="L362" s="354"/>
      <c r="M362" s="354"/>
      <c r="N362" s="354"/>
      <c r="O362" s="354"/>
      <c r="P362" s="354"/>
      <c r="Q362" s="354"/>
      <c r="R362" s="354"/>
      <c r="S362" s="354"/>
      <c r="T362" s="354"/>
      <c r="U362" s="354"/>
      <c r="V362" s="354"/>
      <c r="W362" s="354"/>
      <c r="X362" s="354"/>
      <c r="Y362" s="354"/>
      <c r="Z362" s="354"/>
    </row>
    <row r="363" customFormat="false" ht="15" hidden="false" customHeight="true" outlineLevel="0" collapsed="false">
      <c r="A363" s="354"/>
      <c r="B363" s="354"/>
      <c r="C363" s="354"/>
      <c r="D363" s="354"/>
      <c r="E363" s="354"/>
      <c r="F363" s="354"/>
      <c r="G363" s="354"/>
      <c r="H363" s="354"/>
      <c r="I363" s="354"/>
      <c r="J363" s="354"/>
      <c r="K363" s="354"/>
      <c r="L363" s="354"/>
      <c r="M363" s="354"/>
      <c r="N363" s="354"/>
      <c r="O363" s="354"/>
      <c r="P363" s="354"/>
      <c r="Q363" s="354"/>
      <c r="R363" s="354"/>
      <c r="S363" s="354"/>
      <c r="T363" s="354"/>
      <c r="U363" s="354"/>
      <c r="V363" s="354"/>
      <c r="W363" s="354"/>
      <c r="X363" s="354"/>
      <c r="Y363" s="354"/>
      <c r="Z363" s="354"/>
    </row>
    <row r="364" customFormat="false" ht="15" hidden="false" customHeight="true" outlineLevel="0" collapsed="false">
      <c r="A364" s="354"/>
      <c r="B364" s="354"/>
      <c r="C364" s="354"/>
      <c r="D364" s="354"/>
      <c r="E364" s="354"/>
      <c r="F364" s="354"/>
      <c r="G364" s="354"/>
      <c r="H364" s="354"/>
      <c r="I364" s="354"/>
      <c r="J364" s="354"/>
      <c r="K364" s="354"/>
      <c r="L364" s="354"/>
      <c r="M364" s="354"/>
      <c r="N364" s="354"/>
      <c r="O364" s="354"/>
      <c r="P364" s="354"/>
      <c r="Q364" s="354"/>
      <c r="R364" s="354"/>
      <c r="S364" s="354"/>
      <c r="T364" s="354"/>
      <c r="U364" s="354"/>
      <c r="V364" s="354"/>
      <c r="W364" s="354"/>
      <c r="X364" s="354"/>
      <c r="Y364" s="354"/>
      <c r="Z364" s="354"/>
    </row>
    <row r="365" customFormat="false" ht="15" hidden="false" customHeight="true" outlineLevel="0" collapsed="false">
      <c r="A365" s="354"/>
      <c r="B365" s="354"/>
      <c r="C365" s="354"/>
      <c r="D365" s="354"/>
      <c r="E365" s="354"/>
      <c r="F365" s="354"/>
      <c r="G365" s="354"/>
      <c r="H365" s="354"/>
      <c r="I365" s="354"/>
      <c r="J365" s="354"/>
      <c r="K365" s="354"/>
      <c r="L365" s="354"/>
      <c r="M365" s="354"/>
      <c r="N365" s="354"/>
      <c r="O365" s="354"/>
      <c r="P365" s="354"/>
      <c r="Q365" s="354"/>
      <c r="R365" s="354"/>
      <c r="S365" s="354"/>
      <c r="T365" s="354"/>
      <c r="U365" s="354"/>
      <c r="V365" s="354"/>
      <c r="W365" s="354"/>
      <c r="X365" s="354"/>
      <c r="Y365" s="354"/>
      <c r="Z365" s="354"/>
    </row>
    <row r="366" customFormat="false" ht="15" hidden="false" customHeight="true" outlineLevel="0" collapsed="false">
      <c r="A366" s="354"/>
      <c r="B366" s="354"/>
      <c r="C366" s="354"/>
      <c r="D366" s="354"/>
      <c r="E366" s="354"/>
      <c r="F366" s="354"/>
      <c r="G366" s="354"/>
      <c r="H366" s="354"/>
      <c r="I366" s="354"/>
      <c r="J366" s="354"/>
      <c r="K366" s="354"/>
      <c r="L366" s="354"/>
      <c r="M366" s="354"/>
      <c r="N366" s="354"/>
      <c r="O366" s="354"/>
      <c r="P366" s="354"/>
      <c r="Q366" s="354"/>
      <c r="R366" s="354"/>
      <c r="S366" s="354"/>
      <c r="T366" s="354"/>
      <c r="U366" s="354"/>
      <c r="V366" s="354"/>
      <c r="W366" s="354"/>
      <c r="X366" s="354"/>
      <c r="Y366" s="354"/>
      <c r="Z366" s="354"/>
    </row>
    <row r="367" customFormat="false" ht="15" hidden="false" customHeight="true" outlineLevel="0" collapsed="false">
      <c r="A367" s="354"/>
      <c r="B367" s="354"/>
      <c r="C367" s="354"/>
      <c r="D367" s="354"/>
      <c r="E367" s="354"/>
      <c r="F367" s="354"/>
      <c r="G367" s="354"/>
      <c r="H367" s="354"/>
      <c r="I367" s="354"/>
      <c r="J367" s="354"/>
      <c r="K367" s="354"/>
      <c r="L367" s="354"/>
      <c r="M367" s="354"/>
      <c r="N367" s="354"/>
      <c r="O367" s="354"/>
      <c r="P367" s="354"/>
      <c r="Q367" s="354"/>
      <c r="R367" s="354"/>
      <c r="S367" s="354"/>
      <c r="T367" s="354"/>
      <c r="U367" s="354"/>
      <c r="V367" s="354"/>
      <c r="W367" s="354"/>
      <c r="X367" s="354"/>
      <c r="Y367" s="354"/>
      <c r="Z367" s="354"/>
    </row>
    <row r="368" customFormat="false" ht="15" hidden="false" customHeight="true" outlineLevel="0" collapsed="false">
      <c r="A368" s="354"/>
      <c r="B368" s="354"/>
      <c r="C368" s="354"/>
      <c r="D368" s="354"/>
      <c r="E368" s="354"/>
      <c r="F368" s="354"/>
      <c r="G368" s="354"/>
      <c r="H368" s="354"/>
      <c r="I368" s="354"/>
      <c r="J368" s="354"/>
      <c r="K368" s="354"/>
      <c r="L368" s="354"/>
      <c r="M368" s="354"/>
      <c r="N368" s="354"/>
      <c r="O368" s="354"/>
      <c r="P368" s="354"/>
      <c r="Q368" s="354"/>
      <c r="R368" s="354"/>
      <c r="S368" s="354"/>
      <c r="T368" s="354"/>
      <c r="U368" s="354"/>
      <c r="V368" s="354"/>
      <c r="W368" s="354"/>
      <c r="X368" s="354"/>
      <c r="Y368" s="354"/>
      <c r="Z368" s="354"/>
    </row>
    <row r="369" customFormat="false" ht="15" hidden="false" customHeight="true" outlineLevel="0" collapsed="false">
      <c r="A369" s="354"/>
      <c r="B369" s="354"/>
      <c r="C369" s="354"/>
      <c r="D369" s="354"/>
      <c r="E369" s="354"/>
      <c r="F369" s="354"/>
      <c r="G369" s="354"/>
      <c r="H369" s="354"/>
      <c r="I369" s="354"/>
      <c r="J369" s="354"/>
      <c r="K369" s="354"/>
      <c r="L369" s="354"/>
      <c r="M369" s="354"/>
      <c r="N369" s="354"/>
      <c r="O369" s="354"/>
      <c r="P369" s="354"/>
      <c r="Q369" s="354"/>
      <c r="R369" s="354"/>
      <c r="S369" s="354"/>
      <c r="T369" s="354"/>
      <c r="U369" s="354"/>
      <c r="V369" s="354"/>
      <c r="W369" s="354"/>
      <c r="X369" s="354"/>
      <c r="Y369" s="354"/>
      <c r="Z369" s="354"/>
    </row>
    <row r="370" customFormat="false" ht="15" hidden="false" customHeight="true" outlineLevel="0" collapsed="false">
      <c r="A370" s="354"/>
      <c r="B370" s="354"/>
      <c r="C370" s="354"/>
      <c r="D370" s="354"/>
      <c r="E370" s="354"/>
      <c r="F370" s="354"/>
      <c r="G370" s="354"/>
      <c r="H370" s="354"/>
      <c r="I370" s="354"/>
      <c r="J370" s="354"/>
      <c r="K370" s="354"/>
      <c r="L370" s="354"/>
      <c r="M370" s="354"/>
      <c r="N370" s="354"/>
      <c r="O370" s="354"/>
      <c r="P370" s="354"/>
      <c r="Q370" s="354"/>
      <c r="R370" s="354"/>
      <c r="S370" s="354"/>
      <c r="T370" s="354"/>
      <c r="U370" s="354"/>
      <c r="V370" s="354"/>
      <c r="W370" s="354"/>
      <c r="X370" s="354"/>
      <c r="Y370" s="354"/>
      <c r="Z370" s="354"/>
    </row>
    <row r="371" customFormat="false" ht="15" hidden="false" customHeight="true" outlineLevel="0" collapsed="false">
      <c r="A371" s="354"/>
      <c r="B371" s="354"/>
      <c r="C371" s="354"/>
      <c r="D371" s="354"/>
      <c r="E371" s="354"/>
      <c r="F371" s="354"/>
      <c r="G371" s="354"/>
      <c r="H371" s="354"/>
      <c r="I371" s="354"/>
      <c r="J371" s="354"/>
      <c r="K371" s="354"/>
      <c r="L371" s="354"/>
      <c r="M371" s="354"/>
      <c r="N371" s="354"/>
      <c r="O371" s="354"/>
      <c r="P371" s="354"/>
      <c r="Q371" s="354"/>
      <c r="R371" s="354"/>
      <c r="S371" s="354"/>
      <c r="T371" s="354"/>
      <c r="U371" s="354"/>
      <c r="V371" s="354"/>
      <c r="W371" s="354"/>
      <c r="X371" s="354"/>
      <c r="Y371" s="354"/>
      <c r="Z371" s="354"/>
    </row>
    <row r="372" customFormat="false" ht="15" hidden="false" customHeight="true" outlineLevel="0" collapsed="false">
      <c r="A372" s="354"/>
      <c r="B372" s="354"/>
      <c r="C372" s="354"/>
      <c r="D372" s="354"/>
      <c r="E372" s="354"/>
      <c r="F372" s="354"/>
      <c r="G372" s="354"/>
      <c r="H372" s="354"/>
      <c r="I372" s="354"/>
      <c r="J372" s="354"/>
      <c r="K372" s="354"/>
      <c r="L372" s="354"/>
      <c r="M372" s="354"/>
      <c r="N372" s="354"/>
      <c r="O372" s="354"/>
      <c r="P372" s="354"/>
      <c r="Q372" s="354"/>
      <c r="R372" s="354"/>
      <c r="S372" s="354"/>
      <c r="T372" s="354"/>
      <c r="U372" s="354"/>
      <c r="V372" s="354"/>
      <c r="W372" s="354"/>
      <c r="X372" s="354"/>
      <c r="Y372" s="354"/>
      <c r="Z372" s="354"/>
    </row>
    <row r="373" customFormat="false" ht="15" hidden="false" customHeight="true" outlineLevel="0" collapsed="false">
      <c r="A373" s="354"/>
      <c r="B373" s="354"/>
      <c r="C373" s="354"/>
      <c r="D373" s="354"/>
      <c r="E373" s="354"/>
      <c r="F373" s="354"/>
      <c r="G373" s="354"/>
      <c r="H373" s="354"/>
      <c r="I373" s="354"/>
      <c r="J373" s="354"/>
      <c r="K373" s="354"/>
      <c r="L373" s="354"/>
      <c r="M373" s="354"/>
      <c r="N373" s="354"/>
      <c r="O373" s="354"/>
      <c r="P373" s="354"/>
      <c r="Q373" s="354"/>
      <c r="R373" s="354"/>
      <c r="S373" s="354"/>
      <c r="T373" s="354"/>
      <c r="U373" s="354"/>
      <c r="V373" s="354"/>
      <c r="W373" s="354"/>
      <c r="X373" s="354"/>
      <c r="Y373" s="354"/>
      <c r="Z373" s="354"/>
    </row>
    <row r="374" customFormat="false" ht="15" hidden="false" customHeight="true" outlineLevel="0" collapsed="false">
      <c r="A374" s="354"/>
      <c r="B374" s="354"/>
      <c r="C374" s="354"/>
      <c r="D374" s="354"/>
      <c r="E374" s="354"/>
      <c r="F374" s="354"/>
      <c r="G374" s="354"/>
      <c r="H374" s="354"/>
      <c r="I374" s="354"/>
      <c r="J374" s="354"/>
      <c r="K374" s="354"/>
      <c r="L374" s="354"/>
      <c r="M374" s="354"/>
      <c r="N374" s="354"/>
      <c r="O374" s="354"/>
      <c r="P374" s="354"/>
      <c r="Q374" s="354"/>
      <c r="R374" s="354"/>
      <c r="S374" s="354"/>
      <c r="T374" s="354"/>
      <c r="U374" s="354"/>
      <c r="V374" s="354"/>
      <c r="W374" s="354"/>
      <c r="X374" s="354"/>
      <c r="Y374" s="354"/>
      <c r="Z374" s="354"/>
    </row>
    <row r="375" customFormat="false" ht="15" hidden="false" customHeight="true" outlineLevel="0" collapsed="false">
      <c r="A375" s="354"/>
      <c r="B375" s="354"/>
      <c r="C375" s="354"/>
      <c r="D375" s="354"/>
      <c r="E375" s="354"/>
      <c r="F375" s="354"/>
      <c r="G375" s="354"/>
      <c r="H375" s="354"/>
      <c r="I375" s="354"/>
      <c r="J375" s="354"/>
      <c r="K375" s="354"/>
      <c r="L375" s="354"/>
      <c r="M375" s="354"/>
      <c r="N375" s="354"/>
      <c r="O375" s="354"/>
      <c r="P375" s="354"/>
      <c r="Q375" s="354"/>
      <c r="R375" s="354"/>
      <c r="S375" s="354"/>
      <c r="T375" s="354"/>
      <c r="U375" s="354"/>
      <c r="V375" s="354"/>
      <c r="W375" s="354"/>
      <c r="X375" s="354"/>
      <c r="Y375" s="354"/>
      <c r="Z375" s="354"/>
    </row>
    <row r="376" customFormat="false" ht="15" hidden="false" customHeight="true" outlineLevel="0" collapsed="false">
      <c r="A376" s="354"/>
      <c r="B376" s="354"/>
      <c r="C376" s="354"/>
      <c r="D376" s="354"/>
      <c r="E376" s="354"/>
      <c r="F376" s="354"/>
      <c r="G376" s="354"/>
      <c r="H376" s="354"/>
      <c r="I376" s="354"/>
      <c r="J376" s="354"/>
      <c r="K376" s="354"/>
      <c r="L376" s="354"/>
      <c r="M376" s="354"/>
      <c r="N376" s="354"/>
      <c r="O376" s="354"/>
      <c r="P376" s="354"/>
      <c r="Q376" s="354"/>
      <c r="R376" s="354"/>
      <c r="S376" s="354"/>
      <c r="T376" s="354"/>
      <c r="U376" s="354"/>
      <c r="V376" s="354"/>
      <c r="W376" s="354"/>
      <c r="X376" s="354"/>
      <c r="Y376" s="354"/>
      <c r="Z376" s="354"/>
    </row>
    <row r="377" customFormat="false" ht="15" hidden="false" customHeight="true" outlineLevel="0" collapsed="false">
      <c r="A377" s="354"/>
      <c r="B377" s="354"/>
      <c r="C377" s="354"/>
      <c r="D377" s="354"/>
      <c r="E377" s="354"/>
      <c r="F377" s="354"/>
      <c r="G377" s="354"/>
      <c r="H377" s="354"/>
      <c r="I377" s="354"/>
      <c r="J377" s="354"/>
      <c r="K377" s="354"/>
      <c r="L377" s="354"/>
      <c r="M377" s="354"/>
      <c r="N377" s="354"/>
      <c r="O377" s="354"/>
      <c r="P377" s="354"/>
      <c r="Q377" s="354"/>
      <c r="R377" s="354"/>
      <c r="S377" s="354"/>
      <c r="T377" s="354"/>
      <c r="U377" s="354"/>
      <c r="V377" s="354"/>
      <c r="W377" s="354"/>
      <c r="X377" s="354"/>
      <c r="Y377" s="354"/>
      <c r="Z377" s="354"/>
    </row>
    <row r="378" customFormat="false" ht="15" hidden="false" customHeight="true" outlineLevel="0" collapsed="false">
      <c r="A378" s="354"/>
      <c r="B378" s="354"/>
      <c r="C378" s="354"/>
      <c r="D378" s="354"/>
      <c r="E378" s="354"/>
      <c r="F378" s="354"/>
      <c r="G378" s="354"/>
      <c r="H378" s="354"/>
      <c r="I378" s="354"/>
      <c r="J378" s="354"/>
      <c r="K378" s="354"/>
      <c r="L378" s="354"/>
      <c r="M378" s="354"/>
      <c r="N378" s="354"/>
      <c r="O378" s="354"/>
      <c r="P378" s="354"/>
      <c r="Q378" s="354"/>
      <c r="R378" s="354"/>
      <c r="S378" s="354"/>
      <c r="T378" s="354"/>
      <c r="U378" s="354"/>
      <c r="V378" s="354"/>
      <c r="W378" s="354"/>
      <c r="X378" s="354"/>
      <c r="Y378" s="354"/>
      <c r="Z378" s="354"/>
    </row>
    <row r="379" customFormat="false" ht="15" hidden="false" customHeight="true" outlineLevel="0" collapsed="false">
      <c r="A379" s="354"/>
      <c r="B379" s="354"/>
      <c r="C379" s="354"/>
      <c r="D379" s="354"/>
      <c r="E379" s="354"/>
      <c r="F379" s="354"/>
      <c r="G379" s="354"/>
      <c r="H379" s="354"/>
      <c r="I379" s="354"/>
      <c r="J379" s="354"/>
      <c r="K379" s="354"/>
      <c r="L379" s="354"/>
      <c r="M379" s="354"/>
      <c r="N379" s="354"/>
      <c r="O379" s="354"/>
      <c r="P379" s="354"/>
      <c r="Q379" s="354"/>
      <c r="R379" s="354"/>
      <c r="S379" s="354"/>
      <c r="T379" s="354"/>
      <c r="U379" s="354"/>
      <c r="V379" s="354"/>
      <c r="W379" s="354"/>
      <c r="X379" s="354"/>
      <c r="Y379" s="354"/>
      <c r="Z379" s="354"/>
    </row>
    <row r="380" customFormat="false" ht="15" hidden="false" customHeight="true" outlineLevel="0" collapsed="false">
      <c r="A380" s="354"/>
      <c r="B380" s="354"/>
      <c r="C380" s="354"/>
      <c r="D380" s="354"/>
      <c r="E380" s="354"/>
      <c r="F380" s="354"/>
      <c r="G380" s="354"/>
      <c r="H380" s="354"/>
      <c r="I380" s="354"/>
      <c r="J380" s="354"/>
      <c r="K380" s="354"/>
      <c r="L380" s="354"/>
      <c r="M380" s="354"/>
      <c r="N380" s="354"/>
      <c r="O380" s="354"/>
      <c r="P380" s="354"/>
      <c r="Q380" s="354"/>
      <c r="R380" s="354"/>
      <c r="S380" s="354"/>
      <c r="T380" s="354"/>
      <c r="U380" s="354"/>
      <c r="V380" s="354"/>
      <c r="W380" s="354"/>
      <c r="X380" s="354"/>
      <c r="Y380" s="354"/>
      <c r="Z380" s="354"/>
    </row>
    <row r="381" customFormat="false" ht="15" hidden="false" customHeight="true" outlineLevel="0" collapsed="false">
      <c r="A381" s="354"/>
      <c r="B381" s="354"/>
      <c r="C381" s="354"/>
      <c r="D381" s="354"/>
      <c r="E381" s="354"/>
      <c r="F381" s="354"/>
      <c r="G381" s="354"/>
      <c r="H381" s="354"/>
      <c r="I381" s="354"/>
      <c r="J381" s="354"/>
      <c r="K381" s="354"/>
      <c r="L381" s="354"/>
      <c r="M381" s="354"/>
      <c r="N381" s="354"/>
      <c r="O381" s="354"/>
      <c r="P381" s="354"/>
      <c r="Q381" s="354"/>
      <c r="R381" s="354"/>
      <c r="S381" s="354"/>
      <c r="T381" s="354"/>
      <c r="U381" s="354"/>
      <c r="V381" s="354"/>
      <c r="W381" s="354"/>
      <c r="X381" s="354"/>
      <c r="Y381" s="354"/>
      <c r="Z381" s="354"/>
    </row>
    <row r="382" customFormat="false" ht="15" hidden="false" customHeight="true" outlineLevel="0" collapsed="false">
      <c r="A382" s="354"/>
      <c r="B382" s="354"/>
      <c r="C382" s="354"/>
      <c r="D382" s="354"/>
      <c r="E382" s="354"/>
      <c r="F382" s="354"/>
      <c r="G382" s="354"/>
      <c r="H382" s="354"/>
      <c r="I382" s="354"/>
      <c r="J382" s="354"/>
      <c r="K382" s="354"/>
      <c r="L382" s="354"/>
      <c r="M382" s="354"/>
      <c r="N382" s="354"/>
      <c r="O382" s="354"/>
      <c r="P382" s="354"/>
      <c r="Q382" s="354"/>
      <c r="R382" s="354"/>
      <c r="S382" s="354"/>
      <c r="T382" s="354"/>
      <c r="U382" s="354"/>
      <c r="V382" s="354"/>
      <c r="W382" s="354"/>
      <c r="X382" s="354"/>
      <c r="Y382" s="354"/>
      <c r="Z382" s="354"/>
    </row>
    <row r="383" customFormat="false" ht="15" hidden="false" customHeight="true" outlineLevel="0" collapsed="false">
      <c r="A383" s="354"/>
      <c r="B383" s="354"/>
      <c r="C383" s="354"/>
      <c r="D383" s="354"/>
      <c r="E383" s="354"/>
      <c r="F383" s="354"/>
      <c r="G383" s="354"/>
      <c r="H383" s="354"/>
      <c r="I383" s="354"/>
      <c r="J383" s="354"/>
      <c r="K383" s="354"/>
      <c r="L383" s="354"/>
      <c r="M383" s="354"/>
      <c r="N383" s="354"/>
      <c r="O383" s="354"/>
      <c r="P383" s="354"/>
      <c r="Q383" s="354"/>
      <c r="R383" s="354"/>
      <c r="S383" s="354"/>
      <c r="T383" s="354"/>
      <c r="U383" s="354"/>
      <c r="V383" s="354"/>
      <c r="W383" s="354"/>
      <c r="X383" s="354"/>
      <c r="Y383" s="354"/>
      <c r="Z383" s="354"/>
    </row>
    <row r="384" customFormat="false" ht="15" hidden="false" customHeight="true" outlineLevel="0" collapsed="false">
      <c r="A384" s="354"/>
      <c r="B384" s="354"/>
      <c r="C384" s="354"/>
      <c r="D384" s="354"/>
      <c r="E384" s="354"/>
      <c r="F384" s="354"/>
      <c r="G384" s="354"/>
      <c r="H384" s="354"/>
      <c r="I384" s="354"/>
      <c r="J384" s="354"/>
      <c r="K384" s="354"/>
      <c r="L384" s="354"/>
      <c r="M384" s="354"/>
      <c r="N384" s="354"/>
      <c r="O384" s="354"/>
      <c r="P384" s="354"/>
      <c r="Q384" s="354"/>
      <c r="R384" s="354"/>
      <c r="S384" s="354"/>
      <c r="T384" s="354"/>
      <c r="U384" s="354"/>
      <c r="V384" s="354"/>
      <c r="W384" s="354"/>
      <c r="X384" s="354"/>
      <c r="Y384" s="354"/>
      <c r="Z384" s="354"/>
    </row>
    <row r="385" customFormat="false" ht="15" hidden="false" customHeight="true" outlineLevel="0" collapsed="false">
      <c r="A385" s="354"/>
      <c r="B385" s="354"/>
      <c r="C385" s="354"/>
      <c r="D385" s="354"/>
      <c r="E385" s="354"/>
      <c r="F385" s="354"/>
      <c r="G385" s="354"/>
      <c r="H385" s="354"/>
      <c r="I385" s="354"/>
      <c r="J385" s="354"/>
      <c r="K385" s="354"/>
      <c r="L385" s="354"/>
      <c r="M385" s="354"/>
      <c r="N385" s="354"/>
      <c r="O385" s="354"/>
      <c r="P385" s="354"/>
      <c r="Q385" s="354"/>
      <c r="R385" s="354"/>
      <c r="S385" s="354"/>
      <c r="T385" s="354"/>
      <c r="U385" s="354"/>
      <c r="V385" s="354"/>
      <c r="W385" s="354"/>
      <c r="X385" s="354"/>
      <c r="Y385" s="354"/>
      <c r="Z385" s="354"/>
    </row>
    <row r="386" customFormat="false" ht="15" hidden="false" customHeight="true" outlineLevel="0" collapsed="false">
      <c r="A386" s="354"/>
      <c r="B386" s="354"/>
      <c r="C386" s="354"/>
      <c r="D386" s="354"/>
      <c r="E386" s="354"/>
      <c r="F386" s="354"/>
      <c r="G386" s="354"/>
      <c r="H386" s="354"/>
      <c r="I386" s="354"/>
      <c r="J386" s="354"/>
      <c r="K386" s="354"/>
      <c r="L386" s="354"/>
      <c r="M386" s="354"/>
      <c r="N386" s="354"/>
      <c r="O386" s="354"/>
      <c r="P386" s="354"/>
      <c r="Q386" s="354"/>
      <c r="R386" s="354"/>
      <c r="S386" s="354"/>
      <c r="T386" s="354"/>
      <c r="U386" s="354"/>
      <c r="V386" s="354"/>
      <c r="W386" s="354"/>
      <c r="X386" s="354"/>
      <c r="Y386" s="354"/>
      <c r="Z386" s="354"/>
    </row>
    <row r="387" customFormat="false" ht="15" hidden="false" customHeight="true" outlineLevel="0" collapsed="false">
      <c r="A387" s="354"/>
      <c r="B387" s="354"/>
      <c r="C387" s="354"/>
      <c r="D387" s="354"/>
      <c r="E387" s="354"/>
      <c r="F387" s="354"/>
      <c r="G387" s="354"/>
      <c r="H387" s="354"/>
      <c r="I387" s="354"/>
      <c r="J387" s="354"/>
      <c r="K387" s="354"/>
      <c r="L387" s="354"/>
      <c r="M387" s="354"/>
      <c r="N387" s="354"/>
      <c r="O387" s="354"/>
      <c r="P387" s="354"/>
      <c r="Q387" s="354"/>
      <c r="R387" s="354"/>
      <c r="S387" s="354"/>
      <c r="T387" s="354"/>
      <c r="U387" s="354"/>
      <c r="V387" s="354"/>
      <c r="W387" s="354"/>
      <c r="X387" s="354"/>
      <c r="Y387" s="354"/>
      <c r="Z387" s="354"/>
    </row>
    <row r="388" customFormat="false" ht="15" hidden="false" customHeight="true" outlineLevel="0" collapsed="false">
      <c r="A388" s="354"/>
      <c r="B388" s="354"/>
      <c r="C388" s="354"/>
      <c r="D388" s="354"/>
      <c r="E388" s="354"/>
      <c r="F388" s="354"/>
      <c r="G388" s="354"/>
      <c r="H388" s="354"/>
      <c r="I388" s="354"/>
      <c r="J388" s="354"/>
      <c r="K388" s="354"/>
      <c r="L388" s="354"/>
      <c r="M388" s="354"/>
      <c r="N388" s="354"/>
      <c r="O388" s="354"/>
      <c r="P388" s="354"/>
      <c r="Q388" s="354"/>
      <c r="R388" s="354"/>
      <c r="S388" s="354"/>
      <c r="T388" s="354"/>
      <c r="U388" s="354"/>
      <c r="V388" s="354"/>
      <c r="W388" s="354"/>
      <c r="X388" s="354"/>
      <c r="Y388" s="354"/>
      <c r="Z388" s="354"/>
    </row>
    <row r="389" customFormat="false" ht="15" hidden="false" customHeight="true" outlineLevel="0" collapsed="false">
      <c r="A389" s="354"/>
      <c r="B389" s="354"/>
      <c r="C389" s="354"/>
      <c r="D389" s="354"/>
      <c r="E389" s="354"/>
      <c r="F389" s="354"/>
      <c r="G389" s="354"/>
      <c r="H389" s="354"/>
      <c r="I389" s="354"/>
      <c r="J389" s="354"/>
      <c r="K389" s="354"/>
      <c r="L389" s="354"/>
      <c r="M389" s="354"/>
      <c r="N389" s="354"/>
      <c r="O389" s="354"/>
      <c r="P389" s="354"/>
      <c r="Q389" s="354"/>
      <c r="R389" s="354"/>
      <c r="S389" s="354"/>
      <c r="T389" s="354"/>
      <c r="U389" s="354"/>
      <c r="V389" s="354"/>
      <c r="W389" s="354"/>
      <c r="X389" s="354"/>
      <c r="Y389" s="354"/>
      <c r="Z389" s="354"/>
    </row>
    <row r="390" customFormat="false" ht="15" hidden="false" customHeight="true" outlineLevel="0" collapsed="false">
      <c r="A390" s="354"/>
      <c r="B390" s="354"/>
      <c r="C390" s="354"/>
      <c r="D390" s="354"/>
      <c r="E390" s="354"/>
      <c r="F390" s="354"/>
      <c r="G390" s="354"/>
      <c r="H390" s="354"/>
      <c r="I390" s="354"/>
      <c r="J390" s="354"/>
      <c r="K390" s="354"/>
      <c r="L390" s="354"/>
      <c r="M390" s="354"/>
      <c r="N390" s="354"/>
      <c r="O390" s="354"/>
      <c r="P390" s="354"/>
      <c r="Q390" s="354"/>
      <c r="R390" s="354"/>
      <c r="S390" s="354"/>
      <c r="T390" s="354"/>
      <c r="U390" s="354"/>
      <c r="V390" s="354"/>
      <c r="W390" s="354"/>
      <c r="X390" s="354"/>
      <c r="Y390" s="354"/>
      <c r="Z390" s="354"/>
    </row>
    <row r="391" customFormat="false" ht="15" hidden="false" customHeight="true" outlineLevel="0" collapsed="false">
      <c r="A391" s="354"/>
      <c r="B391" s="354"/>
      <c r="C391" s="354"/>
      <c r="D391" s="354"/>
      <c r="E391" s="354"/>
      <c r="F391" s="354"/>
      <c r="G391" s="354"/>
      <c r="H391" s="354"/>
      <c r="I391" s="354"/>
      <c r="J391" s="354"/>
      <c r="K391" s="354"/>
      <c r="L391" s="354"/>
      <c r="M391" s="354"/>
      <c r="N391" s="354"/>
      <c r="O391" s="354"/>
      <c r="P391" s="354"/>
      <c r="Q391" s="354"/>
      <c r="R391" s="354"/>
      <c r="S391" s="354"/>
      <c r="T391" s="354"/>
      <c r="U391" s="354"/>
      <c r="V391" s="354"/>
      <c r="W391" s="354"/>
      <c r="X391" s="354"/>
      <c r="Y391" s="354"/>
      <c r="Z391" s="354"/>
    </row>
    <row r="392" customFormat="false" ht="15" hidden="false" customHeight="true" outlineLevel="0" collapsed="false">
      <c r="A392" s="354"/>
      <c r="B392" s="354"/>
      <c r="C392" s="354"/>
      <c r="D392" s="354"/>
      <c r="E392" s="354"/>
      <c r="F392" s="354"/>
      <c r="G392" s="354"/>
      <c r="H392" s="354"/>
      <c r="I392" s="354"/>
      <c r="J392" s="354"/>
      <c r="K392" s="354"/>
      <c r="L392" s="354"/>
      <c r="M392" s="354"/>
      <c r="N392" s="354"/>
      <c r="O392" s="354"/>
      <c r="P392" s="354"/>
      <c r="Q392" s="354"/>
      <c r="R392" s="354"/>
      <c r="S392" s="354"/>
      <c r="T392" s="354"/>
      <c r="U392" s="354"/>
      <c r="V392" s="354"/>
      <c r="W392" s="354"/>
      <c r="X392" s="354"/>
      <c r="Y392" s="354"/>
      <c r="Z392" s="354"/>
    </row>
    <row r="393" customFormat="false" ht="15" hidden="false" customHeight="true" outlineLevel="0" collapsed="false">
      <c r="A393" s="354"/>
      <c r="B393" s="354"/>
      <c r="C393" s="354"/>
      <c r="D393" s="354"/>
      <c r="E393" s="354"/>
      <c r="F393" s="354"/>
      <c r="G393" s="354"/>
      <c r="H393" s="354"/>
      <c r="I393" s="354"/>
      <c r="J393" s="354"/>
      <c r="K393" s="354"/>
      <c r="L393" s="354"/>
      <c r="M393" s="354"/>
      <c r="N393" s="354"/>
      <c r="O393" s="354"/>
      <c r="P393" s="354"/>
      <c r="Q393" s="354"/>
      <c r="R393" s="354"/>
      <c r="S393" s="354"/>
      <c r="T393" s="354"/>
      <c r="U393" s="354"/>
      <c r="V393" s="354"/>
      <c r="W393" s="354"/>
      <c r="X393" s="354"/>
      <c r="Y393" s="354"/>
      <c r="Z393" s="354"/>
    </row>
    <row r="394" customFormat="false" ht="15" hidden="false" customHeight="true" outlineLevel="0" collapsed="false">
      <c r="A394" s="354"/>
      <c r="B394" s="354"/>
      <c r="C394" s="354"/>
      <c r="D394" s="354"/>
      <c r="E394" s="354"/>
      <c r="F394" s="354"/>
      <c r="G394" s="354"/>
      <c r="H394" s="354"/>
      <c r="I394" s="354"/>
      <c r="J394" s="354"/>
      <c r="K394" s="354"/>
      <c r="L394" s="354"/>
      <c r="M394" s="354"/>
      <c r="N394" s="354"/>
      <c r="O394" s="354"/>
      <c r="P394" s="354"/>
      <c r="Q394" s="354"/>
      <c r="R394" s="354"/>
      <c r="S394" s="354"/>
      <c r="T394" s="354"/>
      <c r="U394" s="354"/>
      <c r="V394" s="354"/>
      <c r="W394" s="354"/>
      <c r="X394" s="354"/>
      <c r="Y394" s="354"/>
      <c r="Z394" s="354"/>
    </row>
    <row r="395" customFormat="false" ht="15" hidden="false" customHeight="true" outlineLevel="0" collapsed="false">
      <c r="A395" s="354"/>
      <c r="B395" s="354"/>
      <c r="C395" s="354"/>
      <c r="D395" s="354"/>
      <c r="E395" s="354"/>
      <c r="F395" s="354"/>
      <c r="G395" s="354"/>
      <c r="H395" s="354"/>
      <c r="I395" s="354"/>
      <c r="J395" s="354"/>
      <c r="K395" s="354"/>
      <c r="L395" s="354"/>
      <c r="M395" s="354"/>
      <c r="N395" s="354"/>
      <c r="O395" s="354"/>
      <c r="P395" s="354"/>
      <c r="Q395" s="354"/>
      <c r="R395" s="354"/>
      <c r="S395" s="354"/>
      <c r="T395" s="354"/>
      <c r="U395" s="354"/>
      <c r="V395" s="354"/>
      <c r="W395" s="354"/>
      <c r="X395" s="354"/>
      <c r="Y395" s="354"/>
      <c r="Z395" s="354"/>
    </row>
    <row r="396" customFormat="false" ht="15" hidden="false" customHeight="true" outlineLevel="0" collapsed="false">
      <c r="A396" s="354"/>
      <c r="B396" s="354"/>
      <c r="C396" s="354"/>
      <c r="D396" s="354"/>
      <c r="E396" s="354"/>
      <c r="F396" s="354"/>
      <c r="G396" s="354"/>
      <c r="H396" s="354"/>
      <c r="I396" s="354"/>
      <c r="J396" s="354"/>
      <c r="K396" s="354"/>
      <c r="L396" s="354"/>
      <c r="M396" s="354"/>
      <c r="N396" s="354"/>
      <c r="O396" s="354"/>
      <c r="P396" s="354"/>
      <c r="Q396" s="354"/>
      <c r="R396" s="354"/>
      <c r="S396" s="354"/>
      <c r="T396" s="354"/>
      <c r="U396" s="354"/>
      <c r="V396" s="354"/>
      <c r="W396" s="354"/>
      <c r="X396" s="354"/>
      <c r="Y396" s="354"/>
      <c r="Z396" s="354"/>
    </row>
    <row r="397" customFormat="false" ht="15" hidden="false" customHeight="true" outlineLevel="0" collapsed="false">
      <c r="A397" s="354"/>
      <c r="B397" s="354"/>
      <c r="C397" s="354"/>
      <c r="D397" s="354"/>
      <c r="E397" s="354"/>
      <c r="F397" s="354"/>
      <c r="G397" s="354"/>
      <c r="H397" s="354"/>
      <c r="I397" s="354"/>
      <c r="J397" s="354"/>
      <c r="K397" s="354"/>
      <c r="L397" s="354"/>
      <c r="M397" s="354"/>
      <c r="N397" s="354"/>
      <c r="O397" s="354"/>
      <c r="P397" s="354"/>
      <c r="Q397" s="354"/>
      <c r="R397" s="354"/>
      <c r="S397" s="354"/>
      <c r="T397" s="354"/>
      <c r="U397" s="354"/>
      <c r="V397" s="354"/>
      <c r="W397" s="354"/>
      <c r="X397" s="354"/>
      <c r="Y397" s="354"/>
      <c r="Z397" s="354"/>
    </row>
    <row r="398" customFormat="false" ht="15" hidden="false" customHeight="true" outlineLevel="0" collapsed="false">
      <c r="A398" s="354"/>
      <c r="B398" s="354"/>
      <c r="C398" s="354"/>
      <c r="D398" s="354"/>
      <c r="E398" s="354"/>
      <c r="F398" s="354"/>
      <c r="G398" s="354"/>
      <c r="H398" s="354"/>
      <c r="I398" s="354"/>
      <c r="J398" s="354"/>
      <c r="K398" s="354"/>
      <c r="L398" s="354"/>
      <c r="M398" s="354"/>
      <c r="N398" s="354"/>
      <c r="O398" s="354"/>
      <c r="P398" s="354"/>
      <c r="Q398" s="354"/>
      <c r="R398" s="354"/>
      <c r="S398" s="354"/>
      <c r="T398" s="354"/>
      <c r="U398" s="354"/>
      <c r="V398" s="354"/>
      <c r="W398" s="354"/>
      <c r="X398" s="354"/>
      <c r="Y398" s="354"/>
      <c r="Z398" s="354"/>
    </row>
    <row r="399" customFormat="false" ht="15" hidden="false" customHeight="true" outlineLevel="0" collapsed="false">
      <c r="A399" s="354"/>
      <c r="B399" s="354"/>
      <c r="C399" s="354"/>
      <c r="D399" s="354"/>
      <c r="E399" s="354"/>
      <c r="F399" s="354"/>
      <c r="G399" s="354"/>
      <c r="H399" s="354"/>
      <c r="I399" s="354"/>
      <c r="J399" s="354"/>
      <c r="K399" s="354"/>
      <c r="L399" s="354"/>
      <c r="M399" s="354"/>
      <c r="N399" s="354"/>
      <c r="O399" s="354"/>
      <c r="P399" s="354"/>
      <c r="Q399" s="354"/>
      <c r="R399" s="354"/>
      <c r="S399" s="354"/>
      <c r="T399" s="354"/>
      <c r="U399" s="354"/>
      <c r="V399" s="354"/>
      <c r="W399" s="354"/>
      <c r="X399" s="354"/>
      <c r="Y399" s="354"/>
      <c r="Z399" s="354"/>
    </row>
    <row r="400" customFormat="false" ht="15" hidden="false" customHeight="true" outlineLevel="0" collapsed="false">
      <c r="A400" s="354"/>
      <c r="B400" s="354"/>
      <c r="C400" s="354"/>
      <c r="D400" s="354"/>
      <c r="E400" s="354"/>
      <c r="F400" s="354"/>
      <c r="G400" s="354"/>
      <c r="H400" s="354"/>
      <c r="I400" s="354"/>
      <c r="J400" s="354"/>
      <c r="K400" s="354"/>
      <c r="L400" s="354"/>
      <c r="M400" s="354"/>
      <c r="N400" s="354"/>
      <c r="O400" s="354"/>
      <c r="P400" s="354"/>
      <c r="Q400" s="354"/>
      <c r="R400" s="354"/>
      <c r="S400" s="354"/>
      <c r="T400" s="354"/>
      <c r="U400" s="354"/>
      <c r="V400" s="354"/>
      <c r="W400" s="354"/>
      <c r="X400" s="354"/>
      <c r="Y400" s="354"/>
      <c r="Z400" s="354"/>
    </row>
    <row r="401" customFormat="false" ht="15" hidden="false" customHeight="true" outlineLevel="0" collapsed="false">
      <c r="A401" s="354"/>
      <c r="B401" s="354"/>
      <c r="C401" s="354"/>
      <c r="D401" s="354"/>
      <c r="E401" s="354"/>
      <c r="F401" s="354"/>
      <c r="G401" s="354"/>
      <c r="H401" s="354"/>
      <c r="I401" s="354"/>
      <c r="J401" s="354"/>
      <c r="K401" s="354"/>
      <c r="L401" s="354"/>
      <c r="M401" s="354"/>
      <c r="N401" s="354"/>
      <c r="O401" s="354"/>
      <c r="P401" s="354"/>
      <c r="Q401" s="354"/>
      <c r="R401" s="354"/>
      <c r="S401" s="354"/>
      <c r="T401" s="354"/>
      <c r="U401" s="354"/>
      <c r="V401" s="354"/>
      <c r="W401" s="354"/>
      <c r="X401" s="354"/>
      <c r="Y401" s="354"/>
      <c r="Z401" s="354"/>
    </row>
    <row r="402" customFormat="false" ht="15" hidden="false" customHeight="true" outlineLevel="0" collapsed="false">
      <c r="A402" s="354"/>
      <c r="B402" s="354"/>
      <c r="C402" s="354"/>
      <c r="D402" s="354"/>
      <c r="E402" s="354"/>
      <c r="F402" s="354"/>
      <c r="G402" s="354"/>
      <c r="H402" s="354"/>
      <c r="I402" s="354"/>
      <c r="J402" s="354"/>
      <c r="K402" s="354"/>
      <c r="L402" s="354"/>
      <c r="M402" s="354"/>
      <c r="N402" s="354"/>
      <c r="O402" s="354"/>
      <c r="P402" s="354"/>
      <c r="Q402" s="354"/>
      <c r="R402" s="354"/>
      <c r="S402" s="354"/>
      <c r="T402" s="354"/>
      <c r="U402" s="354"/>
      <c r="V402" s="354"/>
      <c r="W402" s="354"/>
      <c r="X402" s="354"/>
      <c r="Y402" s="354"/>
      <c r="Z402" s="354"/>
    </row>
    <row r="403" customFormat="false" ht="15" hidden="false" customHeight="true" outlineLevel="0" collapsed="false">
      <c r="A403" s="354"/>
      <c r="B403" s="354"/>
      <c r="C403" s="354"/>
      <c r="D403" s="354"/>
      <c r="E403" s="354"/>
      <c r="F403" s="354"/>
      <c r="G403" s="354"/>
      <c r="H403" s="354"/>
      <c r="I403" s="354"/>
      <c r="J403" s="354"/>
      <c r="K403" s="354"/>
      <c r="L403" s="354"/>
      <c r="M403" s="354"/>
      <c r="N403" s="354"/>
      <c r="O403" s="354"/>
      <c r="P403" s="354"/>
      <c r="Q403" s="354"/>
      <c r="R403" s="354"/>
      <c r="S403" s="354"/>
      <c r="T403" s="354"/>
      <c r="U403" s="354"/>
      <c r="V403" s="354"/>
      <c r="W403" s="354"/>
      <c r="X403" s="354"/>
      <c r="Y403" s="354"/>
      <c r="Z403" s="354"/>
    </row>
    <row r="404" customFormat="false" ht="15" hidden="false" customHeight="true" outlineLevel="0" collapsed="false">
      <c r="A404" s="354"/>
      <c r="B404" s="354"/>
      <c r="C404" s="354"/>
      <c r="D404" s="354"/>
      <c r="E404" s="354"/>
      <c r="F404" s="354"/>
      <c r="G404" s="354"/>
      <c r="H404" s="354"/>
      <c r="I404" s="354"/>
      <c r="J404" s="354"/>
      <c r="K404" s="354"/>
      <c r="L404" s="354"/>
      <c r="M404" s="354"/>
      <c r="N404" s="354"/>
      <c r="O404" s="354"/>
      <c r="P404" s="354"/>
      <c r="Q404" s="354"/>
      <c r="R404" s="354"/>
      <c r="S404" s="354"/>
      <c r="T404" s="354"/>
      <c r="U404" s="354"/>
      <c r="V404" s="354"/>
      <c r="W404" s="354"/>
      <c r="X404" s="354"/>
      <c r="Y404" s="354"/>
      <c r="Z404" s="354"/>
    </row>
    <row r="405" customFormat="false" ht="15" hidden="false" customHeight="true" outlineLevel="0" collapsed="false">
      <c r="A405" s="354"/>
      <c r="B405" s="354"/>
      <c r="C405" s="354"/>
      <c r="D405" s="354"/>
      <c r="E405" s="354"/>
      <c r="F405" s="354"/>
      <c r="G405" s="354"/>
      <c r="H405" s="354"/>
      <c r="I405" s="354"/>
      <c r="J405" s="354"/>
      <c r="K405" s="354"/>
      <c r="L405" s="354"/>
      <c r="M405" s="354"/>
      <c r="N405" s="354"/>
      <c r="O405" s="354"/>
      <c r="P405" s="354"/>
      <c r="Q405" s="354"/>
      <c r="R405" s="354"/>
      <c r="S405" s="354"/>
      <c r="T405" s="354"/>
      <c r="U405" s="354"/>
      <c r="V405" s="354"/>
      <c r="W405" s="354"/>
      <c r="X405" s="354"/>
      <c r="Y405" s="354"/>
      <c r="Z405" s="354"/>
    </row>
    <row r="406" customFormat="false" ht="15" hidden="false" customHeight="true" outlineLevel="0" collapsed="false">
      <c r="A406" s="354"/>
      <c r="B406" s="354"/>
      <c r="C406" s="354"/>
      <c r="D406" s="354"/>
      <c r="E406" s="354"/>
      <c r="F406" s="354"/>
      <c r="G406" s="354"/>
      <c r="H406" s="354"/>
      <c r="I406" s="354"/>
      <c r="J406" s="354"/>
      <c r="K406" s="354"/>
      <c r="L406" s="354"/>
      <c r="M406" s="354"/>
      <c r="N406" s="354"/>
      <c r="O406" s="354"/>
      <c r="P406" s="354"/>
      <c r="Q406" s="354"/>
      <c r="R406" s="354"/>
      <c r="S406" s="354"/>
      <c r="T406" s="354"/>
      <c r="U406" s="354"/>
      <c r="V406" s="354"/>
      <c r="W406" s="354"/>
      <c r="X406" s="354"/>
      <c r="Y406" s="354"/>
      <c r="Z406" s="354"/>
    </row>
    <row r="407" customFormat="false" ht="15" hidden="false" customHeight="true" outlineLevel="0" collapsed="false">
      <c r="A407" s="354"/>
      <c r="B407" s="354"/>
      <c r="C407" s="354"/>
      <c r="D407" s="354"/>
      <c r="E407" s="354"/>
      <c r="F407" s="354"/>
      <c r="G407" s="354"/>
      <c r="H407" s="354"/>
      <c r="I407" s="354"/>
      <c r="J407" s="354"/>
      <c r="K407" s="354"/>
      <c r="L407" s="354"/>
      <c r="M407" s="354"/>
      <c r="N407" s="354"/>
      <c r="O407" s="354"/>
      <c r="P407" s="354"/>
      <c r="Q407" s="354"/>
      <c r="R407" s="354"/>
      <c r="S407" s="354"/>
      <c r="T407" s="354"/>
      <c r="U407" s="354"/>
      <c r="V407" s="354"/>
      <c r="W407" s="354"/>
      <c r="X407" s="354"/>
      <c r="Y407" s="354"/>
      <c r="Z407" s="354"/>
    </row>
    <row r="408" customFormat="false" ht="15" hidden="false" customHeight="true" outlineLevel="0" collapsed="false">
      <c r="A408" s="354"/>
      <c r="B408" s="354"/>
      <c r="C408" s="354"/>
      <c r="D408" s="354"/>
      <c r="E408" s="354"/>
      <c r="F408" s="354"/>
      <c r="G408" s="354"/>
      <c r="H408" s="354"/>
      <c r="I408" s="354"/>
      <c r="J408" s="354"/>
      <c r="K408" s="354"/>
      <c r="L408" s="354"/>
      <c r="M408" s="354"/>
      <c r="N408" s="354"/>
      <c r="O408" s="354"/>
      <c r="P408" s="354"/>
      <c r="Q408" s="354"/>
      <c r="R408" s="354"/>
      <c r="S408" s="354"/>
      <c r="T408" s="354"/>
      <c r="U408" s="354"/>
      <c r="V408" s="354"/>
      <c r="W408" s="354"/>
      <c r="X408" s="354"/>
      <c r="Y408" s="354"/>
      <c r="Z408" s="354"/>
    </row>
    <row r="409" customFormat="false" ht="15" hidden="false" customHeight="true" outlineLevel="0" collapsed="false">
      <c r="A409" s="354"/>
      <c r="B409" s="354"/>
      <c r="C409" s="354"/>
      <c r="D409" s="354"/>
      <c r="E409" s="354"/>
      <c r="F409" s="354"/>
      <c r="G409" s="354"/>
      <c r="H409" s="354"/>
      <c r="I409" s="354"/>
      <c r="J409" s="354"/>
      <c r="K409" s="354"/>
      <c r="L409" s="354"/>
      <c r="M409" s="354"/>
      <c r="N409" s="354"/>
      <c r="O409" s="354"/>
      <c r="P409" s="354"/>
      <c r="Q409" s="354"/>
      <c r="R409" s="354"/>
      <c r="S409" s="354"/>
      <c r="T409" s="354"/>
      <c r="U409" s="354"/>
      <c r="V409" s="354"/>
      <c r="W409" s="354"/>
      <c r="X409" s="354"/>
      <c r="Y409" s="354"/>
      <c r="Z409" s="354"/>
    </row>
    <row r="410" customFormat="false" ht="15" hidden="false" customHeight="true" outlineLevel="0" collapsed="false">
      <c r="A410" s="354"/>
      <c r="B410" s="354"/>
      <c r="C410" s="354"/>
      <c r="D410" s="354"/>
      <c r="E410" s="354"/>
      <c r="F410" s="354"/>
      <c r="G410" s="354"/>
      <c r="H410" s="354"/>
      <c r="I410" s="354"/>
      <c r="J410" s="354"/>
      <c r="K410" s="354"/>
      <c r="L410" s="354"/>
      <c r="M410" s="354"/>
      <c r="N410" s="354"/>
      <c r="O410" s="354"/>
      <c r="P410" s="354"/>
      <c r="Q410" s="354"/>
      <c r="R410" s="354"/>
      <c r="S410" s="354"/>
      <c r="T410" s="354"/>
      <c r="U410" s="354"/>
      <c r="V410" s="354"/>
      <c r="W410" s="354"/>
      <c r="X410" s="354"/>
      <c r="Y410" s="354"/>
      <c r="Z410" s="354"/>
    </row>
    <row r="411" customFormat="false" ht="15" hidden="false" customHeight="true" outlineLevel="0" collapsed="false">
      <c r="A411" s="354"/>
      <c r="B411" s="354"/>
      <c r="C411" s="354"/>
      <c r="D411" s="354"/>
      <c r="E411" s="354"/>
      <c r="F411" s="354"/>
      <c r="G411" s="354"/>
      <c r="H411" s="354"/>
      <c r="I411" s="354"/>
      <c r="J411" s="354"/>
      <c r="K411" s="354"/>
      <c r="L411" s="354"/>
      <c r="M411" s="354"/>
      <c r="N411" s="354"/>
      <c r="O411" s="354"/>
      <c r="P411" s="354"/>
      <c r="Q411" s="354"/>
      <c r="R411" s="354"/>
      <c r="S411" s="354"/>
      <c r="T411" s="354"/>
      <c r="U411" s="354"/>
      <c r="V411" s="354"/>
      <c r="W411" s="354"/>
      <c r="X411" s="354"/>
      <c r="Y411" s="354"/>
      <c r="Z411" s="354"/>
    </row>
    <row r="412" customFormat="false" ht="15" hidden="false" customHeight="true" outlineLevel="0" collapsed="false">
      <c r="A412" s="354"/>
      <c r="B412" s="354"/>
      <c r="C412" s="354"/>
      <c r="D412" s="354"/>
      <c r="E412" s="354"/>
      <c r="F412" s="354"/>
      <c r="G412" s="354"/>
      <c r="H412" s="354"/>
      <c r="I412" s="354"/>
      <c r="J412" s="354"/>
      <c r="K412" s="354"/>
      <c r="L412" s="354"/>
      <c r="M412" s="354"/>
      <c r="N412" s="354"/>
      <c r="O412" s="354"/>
      <c r="P412" s="354"/>
      <c r="Q412" s="354"/>
      <c r="R412" s="354"/>
      <c r="S412" s="354"/>
      <c r="T412" s="354"/>
      <c r="U412" s="354"/>
      <c r="V412" s="354"/>
      <c r="W412" s="354"/>
      <c r="X412" s="354"/>
      <c r="Y412" s="354"/>
      <c r="Z412" s="354"/>
    </row>
    <row r="413" customFormat="false" ht="15" hidden="false" customHeight="true" outlineLevel="0" collapsed="false">
      <c r="A413" s="354"/>
      <c r="B413" s="354"/>
      <c r="C413" s="354"/>
      <c r="D413" s="354"/>
      <c r="E413" s="354"/>
      <c r="F413" s="354"/>
      <c r="G413" s="354"/>
      <c r="H413" s="354"/>
      <c r="I413" s="354"/>
      <c r="J413" s="354"/>
      <c r="K413" s="354"/>
      <c r="L413" s="354"/>
      <c r="M413" s="354"/>
      <c r="N413" s="354"/>
      <c r="O413" s="354"/>
      <c r="P413" s="354"/>
      <c r="Q413" s="354"/>
      <c r="R413" s="354"/>
      <c r="S413" s="354"/>
      <c r="T413" s="354"/>
      <c r="U413" s="354"/>
      <c r="V413" s="354"/>
      <c r="W413" s="354"/>
      <c r="X413" s="354"/>
      <c r="Y413" s="354"/>
      <c r="Z413" s="354"/>
    </row>
    <row r="414" customFormat="false" ht="15" hidden="false" customHeight="true" outlineLevel="0" collapsed="false">
      <c r="A414" s="354"/>
      <c r="B414" s="354"/>
      <c r="C414" s="354"/>
      <c r="D414" s="354"/>
      <c r="E414" s="354"/>
      <c r="F414" s="354"/>
      <c r="G414" s="354"/>
      <c r="H414" s="354"/>
      <c r="I414" s="354"/>
      <c r="J414" s="354"/>
      <c r="K414" s="354"/>
      <c r="L414" s="354"/>
      <c r="M414" s="354"/>
      <c r="N414" s="354"/>
      <c r="O414" s="354"/>
      <c r="P414" s="354"/>
      <c r="Q414" s="354"/>
      <c r="R414" s="354"/>
      <c r="S414" s="354"/>
      <c r="T414" s="354"/>
      <c r="U414" s="354"/>
      <c r="V414" s="354"/>
      <c r="W414" s="354"/>
      <c r="X414" s="354"/>
      <c r="Y414" s="354"/>
      <c r="Z414" s="354"/>
    </row>
    <row r="415" customFormat="false" ht="15" hidden="false" customHeight="true" outlineLevel="0" collapsed="false">
      <c r="A415" s="354"/>
      <c r="B415" s="354"/>
      <c r="C415" s="354"/>
      <c r="D415" s="354"/>
      <c r="E415" s="354"/>
      <c r="F415" s="354"/>
      <c r="G415" s="354"/>
      <c r="H415" s="354"/>
      <c r="I415" s="354"/>
      <c r="J415" s="354"/>
      <c r="K415" s="354"/>
      <c r="L415" s="354"/>
      <c r="M415" s="354"/>
      <c r="N415" s="354"/>
      <c r="O415" s="354"/>
      <c r="P415" s="354"/>
      <c r="Q415" s="354"/>
      <c r="R415" s="354"/>
      <c r="S415" s="354"/>
      <c r="T415" s="354"/>
      <c r="U415" s="354"/>
      <c r="V415" s="354"/>
      <c r="W415" s="354"/>
      <c r="X415" s="354"/>
      <c r="Y415" s="354"/>
      <c r="Z415" s="354"/>
    </row>
    <row r="416" customFormat="false" ht="15" hidden="false" customHeight="true" outlineLevel="0" collapsed="false">
      <c r="A416" s="354"/>
      <c r="B416" s="354"/>
      <c r="C416" s="354"/>
      <c r="D416" s="354"/>
      <c r="E416" s="354"/>
      <c r="F416" s="354"/>
      <c r="G416" s="354"/>
      <c r="H416" s="354"/>
      <c r="I416" s="354"/>
      <c r="J416" s="354"/>
      <c r="K416" s="354"/>
      <c r="L416" s="354"/>
      <c r="M416" s="354"/>
      <c r="N416" s="354"/>
      <c r="O416" s="354"/>
      <c r="P416" s="354"/>
      <c r="Q416" s="354"/>
      <c r="R416" s="354"/>
      <c r="S416" s="354"/>
      <c r="T416" s="354"/>
      <c r="U416" s="354"/>
      <c r="V416" s="354"/>
      <c r="W416" s="354"/>
      <c r="X416" s="354"/>
      <c r="Y416" s="354"/>
      <c r="Z416" s="354"/>
    </row>
    <row r="417" customFormat="false" ht="15" hidden="false" customHeight="true" outlineLevel="0" collapsed="false">
      <c r="A417" s="354"/>
      <c r="B417" s="354"/>
      <c r="C417" s="354"/>
      <c r="D417" s="354"/>
      <c r="E417" s="354"/>
      <c r="F417" s="354"/>
      <c r="G417" s="354"/>
      <c r="H417" s="354"/>
      <c r="I417" s="354"/>
      <c r="J417" s="354"/>
      <c r="K417" s="354"/>
      <c r="L417" s="354"/>
      <c r="M417" s="354"/>
      <c r="N417" s="354"/>
      <c r="O417" s="354"/>
      <c r="P417" s="354"/>
      <c r="Q417" s="354"/>
      <c r="R417" s="354"/>
      <c r="S417" s="354"/>
      <c r="T417" s="354"/>
      <c r="U417" s="354"/>
      <c r="V417" s="354"/>
      <c r="W417" s="354"/>
      <c r="X417" s="354"/>
      <c r="Y417" s="354"/>
      <c r="Z417" s="354"/>
    </row>
    <row r="418" customFormat="false" ht="15" hidden="false" customHeight="true" outlineLevel="0" collapsed="false">
      <c r="A418" s="354"/>
      <c r="B418" s="354"/>
      <c r="C418" s="354"/>
      <c r="D418" s="354"/>
      <c r="E418" s="354"/>
      <c r="F418" s="354"/>
      <c r="G418" s="354"/>
      <c r="H418" s="354"/>
      <c r="I418" s="354"/>
      <c r="J418" s="354"/>
      <c r="K418" s="354"/>
      <c r="L418" s="354"/>
      <c r="M418" s="354"/>
      <c r="N418" s="354"/>
      <c r="O418" s="354"/>
      <c r="P418" s="354"/>
      <c r="Q418" s="354"/>
      <c r="R418" s="354"/>
      <c r="S418" s="354"/>
      <c r="T418" s="354"/>
      <c r="U418" s="354"/>
      <c r="V418" s="354"/>
      <c r="W418" s="354"/>
      <c r="X418" s="354"/>
      <c r="Y418" s="354"/>
      <c r="Z418" s="354"/>
    </row>
    <row r="419" customFormat="false" ht="15" hidden="false" customHeight="true" outlineLevel="0" collapsed="false">
      <c r="A419" s="354"/>
      <c r="B419" s="354"/>
      <c r="C419" s="354"/>
      <c r="D419" s="354"/>
      <c r="E419" s="354"/>
      <c r="F419" s="354"/>
      <c r="G419" s="354"/>
      <c r="H419" s="354"/>
      <c r="I419" s="354"/>
      <c r="J419" s="354"/>
      <c r="K419" s="354"/>
      <c r="L419" s="354"/>
      <c r="M419" s="354"/>
      <c r="N419" s="354"/>
      <c r="O419" s="354"/>
      <c r="P419" s="354"/>
      <c r="Q419" s="354"/>
      <c r="R419" s="354"/>
      <c r="S419" s="354"/>
      <c r="T419" s="354"/>
      <c r="U419" s="354"/>
      <c r="V419" s="354"/>
      <c r="W419" s="354"/>
      <c r="X419" s="354"/>
      <c r="Y419" s="354"/>
      <c r="Z419" s="354"/>
    </row>
    <row r="420" customFormat="false" ht="15" hidden="false" customHeight="true" outlineLevel="0" collapsed="false">
      <c r="A420" s="354"/>
      <c r="B420" s="354"/>
      <c r="C420" s="354"/>
      <c r="D420" s="354"/>
      <c r="E420" s="354"/>
      <c r="F420" s="354"/>
      <c r="G420" s="354"/>
      <c r="H420" s="354"/>
      <c r="I420" s="354"/>
      <c r="J420" s="354"/>
      <c r="K420" s="354"/>
      <c r="L420" s="354"/>
      <c r="M420" s="354"/>
      <c r="N420" s="354"/>
      <c r="O420" s="354"/>
      <c r="P420" s="354"/>
      <c r="Q420" s="354"/>
      <c r="R420" s="354"/>
      <c r="S420" s="354"/>
      <c r="T420" s="354"/>
      <c r="U420" s="354"/>
      <c r="V420" s="354"/>
      <c r="W420" s="354"/>
      <c r="X420" s="354"/>
      <c r="Y420" s="354"/>
      <c r="Z420" s="354"/>
    </row>
    <row r="421" customFormat="false" ht="15" hidden="false" customHeight="true" outlineLevel="0" collapsed="false">
      <c r="A421" s="354"/>
      <c r="B421" s="354"/>
      <c r="C421" s="354"/>
      <c r="D421" s="354"/>
      <c r="E421" s="354"/>
      <c r="F421" s="354"/>
      <c r="G421" s="354"/>
      <c r="H421" s="354"/>
      <c r="I421" s="354"/>
      <c r="J421" s="354"/>
      <c r="K421" s="354"/>
      <c r="L421" s="354"/>
      <c r="M421" s="354"/>
      <c r="N421" s="354"/>
      <c r="O421" s="354"/>
      <c r="P421" s="354"/>
      <c r="Q421" s="354"/>
      <c r="R421" s="354"/>
      <c r="S421" s="354"/>
      <c r="T421" s="354"/>
      <c r="U421" s="354"/>
      <c r="V421" s="354"/>
      <c r="W421" s="354"/>
      <c r="X421" s="354"/>
      <c r="Y421" s="354"/>
      <c r="Z421" s="354"/>
    </row>
    <row r="422" customFormat="false" ht="15" hidden="false" customHeight="true" outlineLevel="0" collapsed="false">
      <c r="A422" s="354"/>
      <c r="B422" s="354"/>
      <c r="C422" s="354"/>
      <c r="D422" s="354"/>
      <c r="E422" s="354"/>
      <c r="F422" s="354"/>
      <c r="G422" s="354"/>
      <c r="H422" s="354"/>
      <c r="I422" s="354"/>
      <c r="J422" s="354"/>
      <c r="K422" s="354"/>
      <c r="L422" s="354"/>
      <c r="M422" s="354"/>
      <c r="N422" s="354"/>
      <c r="O422" s="354"/>
      <c r="P422" s="354"/>
      <c r="Q422" s="354"/>
      <c r="R422" s="354"/>
      <c r="S422" s="354"/>
      <c r="T422" s="354"/>
      <c r="U422" s="354"/>
      <c r="V422" s="354"/>
      <c r="W422" s="354"/>
      <c r="X422" s="354"/>
      <c r="Y422" s="354"/>
      <c r="Z422" s="354"/>
    </row>
    <row r="423" customFormat="false" ht="15" hidden="false" customHeight="true" outlineLevel="0" collapsed="false">
      <c r="A423" s="354"/>
      <c r="B423" s="354"/>
      <c r="C423" s="354"/>
      <c r="D423" s="354"/>
      <c r="E423" s="354"/>
      <c r="F423" s="354"/>
      <c r="G423" s="354"/>
      <c r="H423" s="354"/>
      <c r="I423" s="354"/>
      <c r="J423" s="354"/>
      <c r="K423" s="354"/>
      <c r="L423" s="354"/>
      <c r="M423" s="354"/>
      <c r="N423" s="354"/>
      <c r="O423" s="354"/>
      <c r="P423" s="354"/>
      <c r="Q423" s="354"/>
      <c r="R423" s="354"/>
      <c r="S423" s="354"/>
      <c r="T423" s="354"/>
      <c r="U423" s="354"/>
      <c r="V423" s="354"/>
      <c r="W423" s="354"/>
      <c r="X423" s="354"/>
      <c r="Y423" s="354"/>
      <c r="Z423" s="354"/>
    </row>
    <row r="424" customFormat="false" ht="15" hidden="false" customHeight="true" outlineLevel="0" collapsed="false">
      <c r="A424" s="354"/>
      <c r="B424" s="354"/>
      <c r="C424" s="354"/>
      <c r="D424" s="354"/>
      <c r="E424" s="354"/>
      <c r="F424" s="354"/>
      <c r="G424" s="354"/>
      <c r="H424" s="354"/>
      <c r="I424" s="354"/>
      <c r="J424" s="354"/>
      <c r="K424" s="354"/>
      <c r="L424" s="354"/>
      <c r="M424" s="354"/>
      <c r="N424" s="354"/>
      <c r="O424" s="354"/>
      <c r="P424" s="354"/>
      <c r="Q424" s="354"/>
      <c r="R424" s="354"/>
      <c r="S424" s="354"/>
      <c r="T424" s="354"/>
      <c r="U424" s="354"/>
      <c r="V424" s="354"/>
      <c r="W424" s="354"/>
      <c r="X424" s="354"/>
      <c r="Y424" s="354"/>
      <c r="Z424" s="354"/>
    </row>
    <row r="425" customFormat="false" ht="15" hidden="false" customHeight="true" outlineLevel="0" collapsed="false">
      <c r="A425" s="354"/>
      <c r="B425" s="354"/>
      <c r="C425" s="354"/>
      <c r="D425" s="354"/>
      <c r="E425" s="354"/>
      <c r="F425" s="354"/>
      <c r="G425" s="354"/>
      <c r="H425" s="354"/>
      <c r="I425" s="354"/>
      <c r="J425" s="354"/>
      <c r="K425" s="354"/>
      <c r="L425" s="354"/>
      <c r="M425" s="354"/>
      <c r="N425" s="354"/>
      <c r="O425" s="354"/>
      <c r="P425" s="354"/>
      <c r="Q425" s="354"/>
      <c r="R425" s="354"/>
      <c r="S425" s="354"/>
      <c r="T425" s="354"/>
      <c r="U425" s="354"/>
      <c r="V425" s="354"/>
      <c r="W425" s="354"/>
      <c r="X425" s="354"/>
      <c r="Y425" s="354"/>
      <c r="Z425" s="354"/>
    </row>
    <row r="426" customFormat="false" ht="15" hidden="false" customHeight="true" outlineLevel="0" collapsed="false">
      <c r="A426" s="354"/>
      <c r="B426" s="354"/>
      <c r="C426" s="354"/>
      <c r="D426" s="354"/>
      <c r="E426" s="354"/>
      <c r="F426" s="354"/>
      <c r="G426" s="354"/>
      <c r="H426" s="354"/>
      <c r="I426" s="354"/>
      <c r="J426" s="354"/>
      <c r="K426" s="354"/>
      <c r="L426" s="354"/>
      <c r="M426" s="354"/>
      <c r="N426" s="354"/>
      <c r="O426" s="354"/>
      <c r="P426" s="354"/>
      <c r="Q426" s="354"/>
      <c r="R426" s="354"/>
      <c r="S426" s="354"/>
      <c r="T426" s="354"/>
      <c r="U426" s="354"/>
      <c r="V426" s="354"/>
      <c r="W426" s="354"/>
      <c r="X426" s="354"/>
      <c r="Y426" s="354"/>
      <c r="Z426" s="354"/>
    </row>
    <row r="427" customFormat="false" ht="15" hidden="false" customHeight="true" outlineLevel="0" collapsed="false">
      <c r="A427" s="354"/>
      <c r="B427" s="354"/>
      <c r="C427" s="354"/>
      <c r="D427" s="354"/>
      <c r="E427" s="354"/>
      <c r="F427" s="354"/>
      <c r="G427" s="354"/>
      <c r="H427" s="354"/>
      <c r="I427" s="354"/>
      <c r="J427" s="354"/>
      <c r="K427" s="354"/>
      <c r="L427" s="354"/>
      <c r="M427" s="354"/>
      <c r="N427" s="354"/>
      <c r="O427" s="354"/>
      <c r="P427" s="354"/>
      <c r="Q427" s="354"/>
      <c r="R427" s="354"/>
      <c r="S427" s="354"/>
      <c r="T427" s="354"/>
      <c r="U427" s="354"/>
      <c r="V427" s="354"/>
      <c r="W427" s="354"/>
      <c r="X427" s="354"/>
      <c r="Y427" s="354"/>
      <c r="Z427" s="354"/>
    </row>
    <row r="428" customFormat="false" ht="15" hidden="false" customHeight="true" outlineLevel="0" collapsed="false">
      <c r="A428" s="354"/>
      <c r="B428" s="354"/>
      <c r="C428" s="354"/>
      <c r="D428" s="354"/>
      <c r="E428" s="354"/>
      <c r="F428" s="354"/>
      <c r="G428" s="354"/>
      <c r="H428" s="354"/>
      <c r="I428" s="354"/>
      <c r="J428" s="354"/>
      <c r="K428" s="354"/>
      <c r="L428" s="354"/>
      <c r="M428" s="354"/>
      <c r="N428" s="354"/>
      <c r="O428" s="354"/>
      <c r="P428" s="354"/>
      <c r="Q428" s="354"/>
      <c r="R428" s="354"/>
      <c r="S428" s="354"/>
      <c r="T428" s="354"/>
      <c r="U428" s="354"/>
      <c r="V428" s="354"/>
      <c r="W428" s="354"/>
      <c r="X428" s="354"/>
      <c r="Y428" s="354"/>
      <c r="Z428" s="354"/>
    </row>
    <row r="429" customFormat="false" ht="15" hidden="false" customHeight="true" outlineLevel="0" collapsed="false">
      <c r="A429" s="354"/>
      <c r="B429" s="354"/>
      <c r="C429" s="354"/>
      <c r="D429" s="354"/>
      <c r="E429" s="354"/>
      <c r="F429" s="354"/>
      <c r="G429" s="354"/>
      <c r="H429" s="354"/>
      <c r="I429" s="354"/>
      <c r="J429" s="354"/>
      <c r="K429" s="354"/>
      <c r="L429" s="354"/>
      <c r="M429" s="354"/>
      <c r="N429" s="354"/>
      <c r="O429" s="354"/>
      <c r="P429" s="354"/>
      <c r="Q429" s="354"/>
      <c r="R429" s="354"/>
      <c r="S429" s="354"/>
      <c r="T429" s="354"/>
      <c r="U429" s="354"/>
      <c r="V429" s="354"/>
      <c r="W429" s="354"/>
      <c r="X429" s="354"/>
      <c r="Y429" s="354"/>
      <c r="Z429" s="354"/>
    </row>
    <row r="430" customFormat="false" ht="15" hidden="false" customHeight="true" outlineLevel="0" collapsed="false">
      <c r="A430" s="354"/>
      <c r="B430" s="354"/>
      <c r="C430" s="354"/>
      <c r="D430" s="354"/>
      <c r="E430" s="354"/>
      <c r="F430" s="354"/>
      <c r="G430" s="354"/>
      <c r="H430" s="354"/>
      <c r="I430" s="354"/>
      <c r="J430" s="354"/>
      <c r="K430" s="354"/>
      <c r="L430" s="354"/>
      <c r="M430" s="354"/>
      <c r="N430" s="354"/>
      <c r="O430" s="354"/>
      <c r="P430" s="354"/>
      <c r="Q430" s="354"/>
      <c r="R430" s="354"/>
      <c r="S430" s="354"/>
      <c r="T430" s="354"/>
      <c r="U430" s="354"/>
      <c r="V430" s="354"/>
      <c r="W430" s="354"/>
      <c r="X430" s="354"/>
      <c r="Y430" s="354"/>
      <c r="Z430" s="354"/>
    </row>
    <row r="431" customFormat="false" ht="15" hidden="false" customHeight="true" outlineLevel="0" collapsed="false">
      <c r="A431" s="354"/>
      <c r="B431" s="354"/>
      <c r="C431" s="354"/>
      <c r="D431" s="354"/>
      <c r="E431" s="354"/>
      <c r="F431" s="354"/>
      <c r="G431" s="354"/>
      <c r="H431" s="354"/>
      <c r="I431" s="354"/>
      <c r="J431" s="354"/>
      <c r="K431" s="354"/>
      <c r="L431" s="354"/>
      <c r="M431" s="354"/>
      <c r="N431" s="354"/>
      <c r="O431" s="354"/>
      <c r="P431" s="354"/>
      <c r="Q431" s="354"/>
      <c r="R431" s="354"/>
      <c r="S431" s="354"/>
      <c r="T431" s="354"/>
      <c r="U431" s="354"/>
      <c r="V431" s="354"/>
      <c r="W431" s="354"/>
      <c r="X431" s="354"/>
      <c r="Y431" s="354"/>
      <c r="Z431" s="354"/>
    </row>
    <row r="432" customFormat="false" ht="15" hidden="false" customHeight="true" outlineLevel="0" collapsed="false">
      <c r="A432" s="354"/>
      <c r="B432" s="354"/>
      <c r="C432" s="354"/>
      <c r="D432" s="354"/>
      <c r="E432" s="354"/>
      <c r="F432" s="354"/>
      <c r="G432" s="354"/>
      <c r="H432" s="354"/>
      <c r="I432" s="354"/>
      <c r="J432" s="354"/>
      <c r="K432" s="354"/>
      <c r="L432" s="354"/>
      <c r="M432" s="354"/>
      <c r="N432" s="354"/>
      <c r="O432" s="354"/>
      <c r="P432" s="354"/>
      <c r="Q432" s="354"/>
      <c r="R432" s="354"/>
      <c r="S432" s="354"/>
      <c r="T432" s="354"/>
      <c r="U432" s="354"/>
      <c r="V432" s="354"/>
      <c r="W432" s="354"/>
      <c r="X432" s="354"/>
      <c r="Y432" s="354"/>
      <c r="Z432" s="354"/>
    </row>
    <row r="433" customFormat="false" ht="15" hidden="false" customHeight="true" outlineLevel="0" collapsed="false">
      <c r="A433" s="354"/>
      <c r="B433" s="354"/>
      <c r="C433" s="354"/>
      <c r="D433" s="354"/>
      <c r="E433" s="354"/>
      <c r="F433" s="354"/>
      <c r="G433" s="354"/>
      <c r="H433" s="354"/>
      <c r="I433" s="354"/>
      <c r="J433" s="354"/>
      <c r="K433" s="354"/>
      <c r="L433" s="354"/>
      <c r="M433" s="354"/>
      <c r="N433" s="354"/>
      <c r="O433" s="354"/>
      <c r="P433" s="354"/>
      <c r="Q433" s="354"/>
      <c r="R433" s="354"/>
      <c r="S433" s="354"/>
      <c r="T433" s="354"/>
      <c r="U433" s="354"/>
      <c r="V433" s="354"/>
      <c r="W433" s="354"/>
      <c r="X433" s="354"/>
      <c r="Y433" s="354"/>
      <c r="Z433" s="354"/>
    </row>
    <row r="434" customFormat="false" ht="15" hidden="false" customHeight="true" outlineLevel="0" collapsed="false">
      <c r="A434" s="354"/>
      <c r="B434" s="354"/>
      <c r="C434" s="354"/>
      <c r="D434" s="354"/>
      <c r="E434" s="354"/>
      <c r="F434" s="354"/>
      <c r="G434" s="354"/>
      <c r="H434" s="354"/>
      <c r="I434" s="354"/>
      <c r="J434" s="354"/>
      <c r="K434" s="354"/>
      <c r="L434" s="354"/>
      <c r="M434" s="354"/>
      <c r="N434" s="354"/>
      <c r="O434" s="354"/>
      <c r="P434" s="354"/>
      <c r="Q434" s="354"/>
      <c r="R434" s="354"/>
      <c r="S434" s="354"/>
      <c r="T434" s="354"/>
      <c r="U434" s="354"/>
      <c r="V434" s="354"/>
      <c r="W434" s="354"/>
      <c r="X434" s="354"/>
      <c r="Y434" s="354"/>
      <c r="Z434" s="354"/>
    </row>
    <row r="435" customFormat="false" ht="15" hidden="false" customHeight="true" outlineLevel="0" collapsed="false">
      <c r="A435" s="354"/>
      <c r="B435" s="354"/>
      <c r="C435" s="354"/>
      <c r="D435" s="354"/>
      <c r="E435" s="354"/>
      <c r="F435" s="354"/>
      <c r="G435" s="354"/>
      <c r="H435" s="354"/>
      <c r="I435" s="354"/>
      <c r="J435" s="354"/>
      <c r="K435" s="354"/>
      <c r="L435" s="354"/>
      <c r="M435" s="354"/>
      <c r="N435" s="354"/>
      <c r="O435" s="354"/>
      <c r="P435" s="354"/>
      <c r="Q435" s="354"/>
      <c r="R435" s="354"/>
      <c r="S435" s="354"/>
      <c r="T435" s="354"/>
      <c r="U435" s="354"/>
      <c r="V435" s="354"/>
      <c r="W435" s="354"/>
      <c r="X435" s="354"/>
      <c r="Y435" s="354"/>
      <c r="Z435" s="354"/>
    </row>
    <row r="436" customFormat="false" ht="15" hidden="false" customHeight="true" outlineLevel="0" collapsed="false">
      <c r="A436" s="354"/>
      <c r="B436" s="354"/>
      <c r="C436" s="354"/>
      <c r="D436" s="354"/>
      <c r="E436" s="354"/>
      <c r="F436" s="354"/>
      <c r="G436" s="354"/>
      <c r="H436" s="354"/>
      <c r="I436" s="354"/>
      <c r="J436" s="354"/>
      <c r="K436" s="354"/>
      <c r="L436" s="354"/>
      <c r="M436" s="354"/>
      <c r="N436" s="354"/>
      <c r="O436" s="354"/>
      <c r="P436" s="354"/>
      <c r="Q436" s="354"/>
      <c r="R436" s="354"/>
      <c r="S436" s="354"/>
      <c r="T436" s="354"/>
      <c r="U436" s="354"/>
      <c r="V436" s="354"/>
      <c r="W436" s="354"/>
      <c r="X436" s="354"/>
      <c r="Y436" s="354"/>
      <c r="Z436" s="354"/>
    </row>
    <row r="437" customFormat="false" ht="15" hidden="false" customHeight="true" outlineLevel="0" collapsed="false">
      <c r="A437" s="354"/>
      <c r="B437" s="354"/>
      <c r="C437" s="354"/>
      <c r="D437" s="354"/>
      <c r="E437" s="354"/>
      <c r="F437" s="354"/>
      <c r="G437" s="354"/>
      <c r="H437" s="354"/>
      <c r="I437" s="354"/>
      <c r="J437" s="354"/>
      <c r="K437" s="354"/>
      <c r="L437" s="354"/>
      <c r="M437" s="354"/>
      <c r="N437" s="354"/>
      <c r="O437" s="354"/>
      <c r="P437" s="354"/>
      <c r="Q437" s="354"/>
      <c r="R437" s="354"/>
      <c r="S437" s="354"/>
      <c r="T437" s="354"/>
      <c r="U437" s="354"/>
      <c r="V437" s="354"/>
      <c r="W437" s="354"/>
      <c r="X437" s="354"/>
      <c r="Y437" s="354"/>
      <c r="Z437" s="354"/>
    </row>
    <row r="438" customFormat="false" ht="15" hidden="false" customHeight="true" outlineLevel="0" collapsed="false">
      <c r="A438" s="354"/>
      <c r="B438" s="354"/>
      <c r="C438" s="354"/>
      <c r="D438" s="354"/>
      <c r="E438" s="354"/>
      <c r="F438" s="354"/>
      <c r="G438" s="354"/>
      <c r="H438" s="354"/>
      <c r="I438" s="354"/>
      <c r="J438" s="354"/>
      <c r="K438" s="354"/>
      <c r="L438" s="354"/>
      <c r="M438" s="354"/>
      <c r="N438" s="354"/>
      <c r="O438" s="354"/>
      <c r="P438" s="354"/>
      <c r="Q438" s="354"/>
      <c r="R438" s="354"/>
      <c r="S438" s="354"/>
      <c r="T438" s="354"/>
      <c r="U438" s="354"/>
      <c r="V438" s="354"/>
      <c r="W438" s="354"/>
      <c r="X438" s="354"/>
      <c r="Y438" s="354"/>
      <c r="Z438" s="354"/>
    </row>
    <row r="439" customFormat="false" ht="15" hidden="false" customHeight="true" outlineLevel="0" collapsed="false">
      <c r="A439" s="354"/>
      <c r="B439" s="354"/>
      <c r="C439" s="354"/>
      <c r="D439" s="354"/>
      <c r="E439" s="354"/>
      <c r="F439" s="354"/>
      <c r="G439" s="354"/>
      <c r="H439" s="354"/>
      <c r="I439" s="354"/>
      <c r="J439" s="354"/>
      <c r="K439" s="354"/>
      <c r="L439" s="354"/>
      <c r="M439" s="354"/>
      <c r="N439" s="354"/>
      <c r="O439" s="354"/>
      <c r="P439" s="354"/>
      <c r="Q439" s="354"/>
      <c r="R439" s="354"/>
      <c r="S439" s="354"/>
      <c r="T439" s="354"/>
      <c r="U439" s="354"/>
      <c r="V439" s="354"/>
      <c r="W439" s="354"/>
      <c r="X439" s="354"/>
      <c r="Y439" s="354"/>
      <c r="Z439" s="354"/>
    </row>
    <row r="440" customFormat="false" ht="15" hidden="false" customHeight="true" outlineLevel="0" collapsed="false">
      <c r="A440" s="354"/>
      <c r="B440" s="354"/>
      <c r="C440" s="354"/>
      <c r="D440" s="354"/>
      <c r="E440" s="354"/>
      <c r="F440" s="354"/>
      <c r="G440" s="354"/>
      <c r="H440" s="354"/>
      <c r="I440" s="354"/>
      <c r="J440" s="354"/>
      <c r="K440" s="354"/>
      <c r="L440" s="354"/>
      <c r="M440" s="354"/>
      <c r="N440" s="354"/>
      <c r="O440" s="354"/>
      <c r="P440" s="354"/>
      <c r="Q440" s="354"/>
      <c r="R440" s="354"/>
      <c r="S440" s="354"/>
      <c r="T440" s="354"/>
      <c r="U440" s="354"/>
      <c r="V440" s="354"/>
      <c r="W440" s="354"/>
      <c r="X440" s="354"/>
      <c r="Y440" s="354"/>
      <c r="Z440" s="354"/>
    </row>
    <row r="441" customFormat="false" ht="15" hidden="false" customHeight="true" outlineLevel="0" collapsed="false">
      <c r="A441" s="354"/>
      <c r="B441" s="354"/>
      <c r="C441" s="354"/>
      <c r="D441" s="354"/>
      <c r="E441" s="354"/>
      <c r="F441" s="354"/>
      <c r="G441" s="354"/>
      <c r="H441" s="354"/>
      <c r="I441" s="354"/>
      <c r="J441" s="354"/>
      <c r="K441" s="354"/>
      <c r="L441" s="354"/>
      <c r="M441" s="354"/>
      <c r="N441" s="354"/>
      <c r="O441" s="354"/>
      <c r="P441" s="354"/>
      <c r="Q441" s="354"/>
      <c r="R441" s="354"/>
      <c r="S441" s="354"/>
      <c r="T441" s="354"/>
      <c r="U441" s="354"/>
      <c r="V441" s="354"/>
      <c r="W441" s="354"/>
      <c r="X441" s="354"/>
      <c r="Y441" s="354"/>
      <c r="Z441" s="354"/>
    </row>
    <row r="442" customFormat="false" ht="15" hidden="false" customHeight="true" outlineLevel="0" collapsed="false">
      <c r="A442" s="354"/>
      <c r="B442" s="354"/>
      <c r="C442" s="354"/>
      <c r="D442" s="354"/>
      <c r="E442" s="354"/>
      <c r="F442" s="354"/>
      <c r="G442" s="354"/>
      <c r="H442" s="354"/>
      <c r="I442" s="354"/>
      <c r="J442" s="354"/>
      <c r="K442" s="354"/>
      <c r="L442" s="354"/>
      <c r="M442" s="354"/>
      <c r="N442" s="354"/>
      <c r="O442" s="354"/>
      <c r="P442" s="354"/>
      <c r="Q442" s="354"/>
      <c r="R442" s="354"/>
      <c r="S442" s="354"/>
      <c r="T442" s="354"/>
      <c r="U442" s="354"/>
      <c r="V442" s="354"/>
      <c r="W442" s="354"/>
      <c r="X442" s="354"/>
      <c r="Y442" s="354"/>
      <c r="Z442" s="354"/>
    </row>
    <row r="443" customFormat="false" ht="15" hidden="false" customHeight="true" outlineLevel="0" collapsed="false">
      <c r="A443" s="354"/>
      <c r="B443" s="354"/>
      <c r="C443" s="354"/>
      <c r="D443" s="354"/>
      <c r="E443" s="354"/>
      <c r="F443" s="354"/>
      <c r="G443" s="354"/>
      <c r="H443" s="354"/>
      <c r="I443" s="354"/>
      <c r="J443" s="354"/>
      <c r="K443" s="354"/>
      <c r="L443" s="354"/>
      <c r="M443" s="354"/>
      <c r="N443" s="354"/>
      <c r="O443" s="354"/>
      <c r="P443" s="354"/>
      <c r="Q443" s="354"/>
      <c r="R443" s="354"/>
      <c r="S443" s="354"/>
      <c r="T443" s="354"/>
      <c r="U443" s="354"/>
      <c r="V443" s="354"/>
      <c r="W443" s="354"/>
      <c r="X443" s="354"/>
      <c r="Y443" s="354"/>
      <c r="Z443" s="354"/>
    </row>
    <row r="444" customFormat="false" ht="15" hidden="false" customHeight="true" outlineLevel="0" collapsed="false">
      <c r="A444" s="354"/>
      <c r="B444" s="354"/>
      <c r="C444" s="354"/>
      <c r="D444" s="354"/>
      <c r="E444" s="354"/>
      <c r="F444" s="354"/>
      <c r="G444" s="354"/>
      <c r="H444" s="354"/>
      <c r="I444" s="354"/>
      <c r="J444" s="354"/>
      <c r="K444" s="354"/>
      <c r="L444" s="354"/>
      <c r="M444" s="354"/>
      <c r="N444" s="354"/>
      <c r="O444" s="354"/>
      <c r="P444" s="354"/>
      <c r="Q444" s="354"/>
      <c r="R444" s="354"/>
      <c r="S444" s="354"/>
      <c r="T444" s="354"/>
      <c r="U444" s="354"/>
      <c r="V444" s="354"/>
      <c r="W444" s="354"/>
      <c r="X444" s="354"/>
      <c r="Y444" s="354"/>
      <c r="Z444" s="354"/>
    </row>
    <row r="445" customFormat="false" ht="15" hidden="false" customHeight="true" outlineLevel="0" collapsed="false">
      <c r="A445" s="354"/>
      <c r="B445" s="354"/>
      <c r="C445" s="354"/>
      <c r="D445" s="354"/>
      <c r="E445" s="354"/>
      <c r="F445" s="354"/>
      <c r="G445" s="354"/>
      <c r="H445" s="354"/>
      <c r="I445" s="354"/>
      <c r="J445" s="354"/>
      <c r="K445" s="354"/>
      <c r="L445" s="354"/>
      <c r="M445" s="354"/>
      <c r="N445" s="354"/>
      <c r="O445" s="354"/>
      <c r="P445" s="354"/>
      <c r="Q445" s="354"/>
      <c r="R445" s="354"/>
      <c r="S445" s="354"/>
      <c r="T445" s="354"/>
      <c r="U445" s="354"/>
      <c r="V445" s="354"/>
      <c r="W445" s="354"/>
      <c r="X445" s="354"/>
      <c r="Y445" s="354"/>
      <c r="Z445" s="354"/>
    </row>
    <row r="446" customFormat="false" ht="15" hidden="false" customHeight="true" outlineLevel="0" collapsed="false">
      <c r="A446" s="354"/>
      <c r="B446" s="354"/>
      <c r="C446" s="354"/>
      <c r="D446" s="354"/>
      <c r="E446" s="354"/>
      <c r="F446" s="354"/>
      <c r="G446" s="354"/>
      <c r="H446" s="354"/>
      <c r="I446" s="354"/>
      <c r="J446" s="354"/>
      <c r="K446" s="354"/>
      <c r="L446" s="354"/>
      <c r="M446" s="354"/>
      <c r="N446" s="354"/>
      <c r="O446" s="354"/>
      <c r="P446" s="354"/>
      <c r="Q446" s="354"/>
      <c r="R446" s="354"/>
      <c r="S446" s="354"/>
      <c r="T446" s="354"/>
      <c r="U446" s="354"/>
      <c r="V446" s="354"/>
      <c r="W446" s="354"/>
      <c r="X446" s="354"/>
      <c r="Y446" s="354"/>
      <c r="Z446" s="354"/>
    </row>
    <row r="447" customFormat="false" ht="15" hidden="false" customHeight="true" outlineLevel="0" collapsed="false">
      <c r="A447" s="354"/>
      <c r="B447" s="354"/>
      <c r="C447" s="354"/>
      <c r="D447" s="354"/>
      <c r="E447" s="354"/>
      <c r="F447" s="354"/>
      <c r="G447" s="354"/>
      <c r="H447" s="354"/>
      <c r="I447" s="354"/>
      <c r="J447" s="354"/>
      <c r="K447" s="354"/>
      <c r="L447" s="354"/>
      <c r="M447" s="354"/>
      <c r="N447" s="354"/>
      <c r="O447" s="354"/>
      <c r="P447" s="354"/>
      <c r="Q447" s="354"/>
      <c r="R447" s="354"/>
      <c r="S447" s="354"/>
      <c r="T447" s="354"/>
      <c r="U447" s="354"/>
      <c r="V447" s="354"/>
      <c r="W447" s="354"/>
      <c r="X447" s="354"/>
      <c r="Y447" s="354"/>
      <c r="Z447" s="354"/>
    </row>
    <row r="448" customFormat="false" ht="15" hidden="false" customHeight="true" outlineLevel="0" collapsed="false">
      <c r="A448" s="354"/>
      <c r="B448" s="354"/>
      <c r="C448" s="354"/>
      <c r="D448" s="354"/>
      <c r="E448" s="354"/>
      <c r="F448" s="354"/>
      <c r="G448" s="354"/>
      <c r="H448" s="354"/>
      <c r="I448" s="354"/>
      <c r="J448" s="354"/>
      <c r="K448" s="354"/>
      <c r="L448" s="354"/>
      <c r="M448" s="354"/>
      <c r="N448" s="354"/>
      <c r="O448" s="354"/>
      <c r="P448" s="354"/>
      <c r="Q448" s="354"/>
      <c r="R448" s="354"/>
      <c r="S448" s="354"/>
      <c r="T448" s="354"/>
      <c r="U448" s="354"/>
      <c r="V448" s="354"/>
      <c r="W448" s="354"/>
      <c r="X448" s="354"/>
      <c r="Y448" s="354"/>
      <c r="Z448" s="354"/>
    </row>
    <row r="449" customFormat="false" ht="15" hidden="false" customHeight="true" outlineLevel="0" collapsed="false">
      <c r="A449" s="354"/>
      <c r="B449" s="354"/>
      <c r="C449" s="354"/>
      <c r="D449" s="354"/>
      <c r="E449" s="354"/>
      <c r="F449" s="354"/>
      <c r="G449" s="354"/>
      <c r="H449" s="354"/>
      <c r="I449" s="354"/>
      <c r="J449" s="354"/>
      <c r="K449" s="354"/>
      <c r="L449" s="354"/>
      <c r="M449" s="354"/>
      <c r="N449" s="354"/>
      <c r="O449" s="354"/>
      <c r="P449" s="354"/>
      <c r="Q449" s="354"/>
      <c r="R449" s="354"/>
      <c r="S449" s="354"/>
      <c r="T449" s="354"/>
      <c r="U449" s="354"/>
      <c r="V449" s="354"/>
      <c r="W449" s="354"/>
      <c r="X449" s="354"/>
      <c r="Y449" s="354"/>
      <c r="Z449" s="354"/>
    </row>
    <row r="450" customFormat="false" ht="15" hidden="false" customHeight="true" outlineLevel="0" collapsed="false">
      <c r="A450" s="354"/>
      <c r="B450" s="354"/>
      <c r="C450" s="354"/>
      <c r="D450" s="354"/>
      <c r="E450" s="354"/>
      <c r="F450" s="354"/>
      <c r="G450" s="354"/>
      <c r="H450" s="354"/>
      <c r="I450" s="354"/>
      <c r="J450" s="354"/>
      <c r="K450" s="354"/>
      <c r="L450" s="354"/>
      <c r="M450" s="354"/>
      <c r="N450" s="354"/>
      <c r="O450" s="354"/>
      <c r="P450" s="354"/>
      <c r="Q450" s="354"/>
      <c r="R450" s="354"/>
      <c r="S450" s="354"/>
      <c r="T450" s="354"/>
      <c r="U450" s="354"/>
      <c r="V450" s="354"/>
      <c r="W450" s="354"/>
      <c r="X450" s="354"/>
      <c r="Y450" s="354"/>
      <c r="Z450" s="354"/>
    </row>
    <row r="451" customFormat="false" ht="15" hidden="false" customHeight="true" outlineLevel="0" collapsed="false">
      <c r="A451" s="354"/>
      <c r="B451" s="354"/>
      <c r="C451" s="354"/>
      <c r="D451" s="354"/>
      <c r="E451" s="354"/>
      <c r="F451" s="354"/>
      <c r="G451" s="354"/>
      <c r="H451" s="354"/>
      <c r="I451" s="354"/>
      <c r="J451" s="354"/>
      <c r="K451" s="354"/>
      <c r="L451" s="354"/>
      <c r="M451" s="354"/>
      <c r="N451" s="354"/>
      <c r="O451" s="354"/>
      <c r="P451" s="354"/>
      <c r="Q451" s="354"/>
      <c r="R451" s="354"/>
      <c r="S451" s="354"/>
      <c r="T451" s="354"/>
      <c r="U451" s="354"/>
      <c r="V451" s="354"/>
      <c r="W451" s="354"/>
      <c r="X451" s="354"/>
      <c r="Y451" s="354"/>
      <c r="Z451" s="354"/>
    </row>
    <row r="452" customFormat="false" ht="15" hidden="false" customHeight="true" outlineLevel="0" collapsed="false">
      <c r="A452" s="354"/>
      <c r="B452" s="354"/>
      <c r="C452" s="354"/>
      <c r="D452" s="354"/>
      <c r="E452" s="354"/>
      <c r="F452" s="354"/>
      <c r="G452" s="354"/>
      <c r="H452" s="354"/>
      <c r="I452" s="354"/>
      <c r="J452" s="354"/>
      <c r="K452" s="354"/>
      <c r="L452" s="354"/>
      <c r="M452" s="354"/>
      <c r="N452" s="354"/>
      <c r="O452" s="354"/>
      <c r="P452" s="354"/>
      <c r="Q452" s="354"/>
      <c r="R452" s="354"/>
      <c r="S452" s="354"/>
      <c r="T452" s="354"/>
      <c r="U452" s="354"/>
      <c r="V452" s="354"/>
      <c r="W452" s="354"/>
      <c r="X452" s="354"/>
      <c r="Y452" s="354"/>
      <c r="Z452" s="354"/>
    </row>
    <row r="453" customFormat="false" ht="15" hidden="false" customHeight="true" outlineLevel="0" collapsed="false">
      <c r="A453" s="354"/>
      <c r="B453" s="354"/>
      <c r="C453" s="354"/>
      <c r="D453" s="354"/>
      <c r="E453" s="354"/>
      <c r="F453" s="354"/>
      <c r="G453" s="354"/>
      <c r="H453" s="354"/>
      <c r="I453" s="354"/>
      <c r="J453" s="354"/>
      <c r="K453" s="354"/>
      <c r="L453" s="354"/>
      <c r="M453" s="354"/>
      <c r="N453" s="354"/>
      <c r="O453" s="354"/>
      <c r="P453" s="354"/>
      <c r="Q453" s="354"/>
      <c r="R453" s="354"/>
      <c r="S453" s="354"/>
      <c r="T453" s="354"/>
      <c r="U453" s="354"/>
      <c r="V453" s="354"/>
      <c r="W453" s="354"/>
      <c r="X453" s="354"/>
      <c r="Y453" s="354"/>
      <c r="Z453" s="354"/>
    </row>
    <row r="454" customFormat="false" ht="15" hidden="false" customHeight="true" outlineLevel="0" collapsed="false">
      <c r="A454" s="354"/>
      <c r="B454" s="354"/>
      <c r="C454" s="354"/>
      <c r="D454" s="354"/>
      <c r="E454" s="354"/>
      <c r="F454" s="354"/>
      <c r="G454" s="354"/>
      <c r="H454" s="354"/>
      <c r="I454" s="354"/>
      <c r="J454" s="354"/>
      <c r="K454" s="354"/>
      <c r="L454" s="354"/>
      <c r="M454" s="354"/>
      <c r="N454" s="354"/>
      <c r="O454" s="354"/>
      <c r="P454" s="354"/>
      <c r="Q454" s="354"/>
      <c r="R454" s="354"/>
      <c r="S454" s="354"/>
      <c r="T454" s="354"/>
      <c r="U454" s="354"/>
      <c r="V454" s="354"/>
      <c r="W454" s="354"/>
      <c r="X454" s="354"/>
      <c r="Y454" s="354"/>
      <c r="Z454" s="354"/>
    </row>
    <row r="455" customFormat="false" ht="15" hidden="false" customHeight="true" outlineLevel="0" collapsed="false">
      <c r="A455" s="354"/>
      <c r="B455" s="354"/>
      <c r="C455" s="354"/>
      <c r="D455" s="354"/>
      <c r="E455" s="354"/>
      <c r="F455" s="354"/>
      <c r="G455" s="354"/>
      <c r="H455" s="354"/>
      <c r="I455" s="354"/>
      <c r="J455" s="354"/>
      <c r="K455" s="354"/>
      <c r="L455" s="354"/>
      <c r="M455" s="354"/>
      <c r="N455" s="354"/>
      <c r="O455" s="354"/>
      <c r="P455" s="354"/>
      <c r="Q455" s="354"/>
      <c r="R455" s="354"/>
      <c r="S455" s="354"/>
      <c r="T455" s="354"/>
      <c r="U455" s="354"/>
      <c r="V455" s="354"/>
      <c r="W455" s="354"/>
      <c r="X455" s="354"/>
      <c r="Y455" s="354"/>
      <c r="Z455" s="354"/>
    </row>
    <row r="456" customFormat="false" ht="15" hidden="false" customHeight="true" outlineLevel="0" collapsed="false">
      <c r="A456" s="354"/>
      <c r="B456" s="354"/>
      <c r="C456" s="354"/>
      <c r="D456" s="354"/>
      <c r="E456" s="354"/>
      <c r="F456" s="354"/>
      <c r="G456" s="354"/>
      <c r="H456" s="354"/>
      <c r="I456" s="354"/>
      <c r="J456" s="354"/>
      <c r="K456" s="354"/>
      <c r="L456" s="354"/>
      <c r="M456" s="354"/>
      <c r="N456" s="354"/>
      <c r="O456" s="354"/>
      <c r="P456" s="354"/>
      <c r="Q456" s="354"/>
      <c r="R456" s="354"/>
      <c r="S456" s="354"/>
      <c r="T456" s="354"/>
      <c r="U456" s="354"/>
      <c r="V456" s="354"/>
      <c r="W456" s="354"/>
      <c r="X456" s="354"/>
      <c r="Y456" s="354"/>
      <c r="Z456" s="354"/>
    </row>
    <row r="457" customFormat="false" ht="15" hidden="false" customHeight="true" outlineLevel="0" collapsed="false">
      <c r="A457" s="354"/>
      <c r="B457" s="354"/>
      <c r="C457" s="354"/>
      <c r="D457" s="354"/>
      <c r="E457" s="354"/>
      <c r="F457" s="354"/>
      <c r="G457" s="354"/>
      <c r="H457" s="354"/>
      <c r="I457" s="354"/>
      <c r="J457" s="354"/>
      <c r="K457" s="354"/>
      <c r="L457" s="354"/>
      <c r="M457" s="354"/>
      <c r="N457" s="354"/>
      <c r="O457" s="354"/>
      <c r="P457" s="354"/>
      <c r="Q457" s="354"/>
      <c r="R457" s="354"/>
      <c r="S457" s="354"/>
      <c r="T457" s="354"/>
      <c r="U457" s="354"/>
      <c r="V457" s="354"/>
      <c r="W457" s="354"/>
      <c r="X457" s="354"/>
      <c r="Y457" s="354"/>
      <c r="Z457" s="354"/>
    </row>
    <row r="458" customFormat="false" ht="15" hidden="false" customHeight="true" outlineLevel="0" collapsed="false">
      <c r="A458" s="354"/>
      <c r="B458" s="354"/>
      <c r="C458" s="354"/>
      <c r="D458" s="354"/>
      <c r="E458" s="354"/>
      <c r="F458" s="354"/>
      <c r="G458" s="354"/>
      <c r="H458" s="354"/>
      <c r="I458" s="354"/>
      <c r="J458" s="354"/>
      <c r="K458" s="354"/>
      <c r="L458" s="354"/>
      <c r="M458" s="354"/>
      <c r="N458" s="354"/>
      <c r="O458" s="354"/>
      <c r="P458" s="354"/>
      <c r="Q458" s="354"/>
      <c r="R458" s="354"/>
      <c r="S458" s="354"/>
      <c r="T458" s="354"/>
      <c r="U458" s="354"/>
      <c r="V458" s="354"/>
      <c r="W458" s="354"/>
      <c r="X458" s="354"/>
      <c r="Y458" s="354"/>
      <c r="Z458" s="354"/>
    </row>
    <row r="459" customFormat="false" ht="15" hidden="false" customHeight="true" outlineLevel="0" collapsed="false">
      <c r="A459" s="354"/>
      <c r="B459" s="354"/>
      <c r="C459" s="354"/>
      <c r="D459" s="354"/>
      <c r="E459" s="354"/>
      <c r="F459" s="354"/>
      <c r="G459" s="354"/>
      <c r="H459" s="354"/>
      <c r="I459" s="354"/>
      <c r="J459" s="354"/>
      <c r="K459" s="354"/>
      <c r="L459" s="354"/>
      <c r="M459" s="354"/>
      <c r="N459" s="354"/>
      <c r="O459" s="354"/>
      <c r="P459" s="354"/>
      <c r="Q459" s="354"/>
      <c r="R459" s="354"/>
      <c r="S459" s="354"/>
      <c r="T459" s="354"/>
      <c r="U459" s="354"/>
      <c r="V459" s="354"/>
      <c r="W459" s="354"/>
      <c r="X459" s="354"/>
      <c r="Y459" s="354"/>
      <c r="Z459" s="354"/>
    </row>
    <row r="460" customFormat="false" ht="15" hidden="false" customHeight="true" outlineLevel="0" collapsed="false">
      <c r="A460" s="354"/>
      <c r="B460" s="354"/>
      <c r="C460" s="354"/>
      <c r="D460" s="354"/>
      <c r="E460" s="354"/>
      <c r="F460" s="354"/>
      <c r="G460" s="354"/>
      <c r="H460" s="354"/>
      <c r="I460" s="354"/>
      <c r="J460" s="354"/>
      <c r="K460" s="354"/>
      <c r="L460" s="354"/>
      <c r="M460" s="354"/>
      <c r="N460" s="354"/>
      <c r="O460" s="354"/>
      <c r="P460" s="354"/>
      <c r="Q460" s="354"/>
      <c r="R460" s="354"/>
      <c r="S460" s="354"/>
      <c r="T460" s="354"/>
      <c r="U460" s="354"/>
      <c r="V460" s="354"/>
      <c r="W460" s="354"/>
      <c r="X460" s="354"/>
      <c r="Y460" s="354"/>
      <c r="Z460" s="354"/>
    </row>
    <row r="461" customFormat="false" ht="15" hidden="false" customHeight="true" outlineLevel="0" collapsed="false">
      <c r="A461" s="354"/>
      <c r="B461" s="354"/>
      <c r="C461" s="354"/>
      <c r="D461" s="354"/>
      <c r="E461" s="354"/>
      <c r="F461" s="354"/>
      <c r="G461" s="354"/>
      <c r="H461" s="354"/>
      <c r="I461" s="354"/>
      <c r="J461" s="354"/>
      <c r="K461" s="354"/>
      <c r="L461" s="354"/>
      <c r="M461" s="354"/>
      <c r="N461" s="354"/>
      <c r="O461" s="354"/>
      <c r="P461" s="354"/>
      <c r="Q461" s="354"/>
      <c r="R461" s="354"/>
      <c r="S461" s="354"/>
      <c r="T461" s="354"/>
      <c r="U461" s="354"/>
      <c r="V461" s="354"/>
      <c r="W461" s="354"/>
      <c r="X461" s="354"/>
      <c r="Y461" s="354"/>
      <c r="Z461" s="354"/>
    </row>
    <row r="462" customFormat="false" ht="15" hidden="false" customHeight="true" outlineLevel="0" collapsed="false">
      <c r="A462" s="354"/>
      <c r="B462" s="354"/>
      <c r="C462" s="354"/>
      <c r="D462" s="354"/>
      <c r="E462" s="354"/>
      <c r="F462" s="354"/>
      <c r="G462" s="354"/>
      <c r="H462" s="354"/>
      <c r="I462" s="354"/>
      <c r="J462" s="354"/>
      <c r="K462" s="354"/>
      <c r="L462" s="354"/>
      <c r="M462" s="354"/>
      <c r="N462" s="354"/>
      <c r="O462" s="354"/>
      <c r="P462" s="354"/>
      <c r="Q462" s="354"/>
      <c r="R462" s="354"/>
      <c r="S462" s="354"/>
      <c r="T462" s="354"/>
      <c r="U462" s="354"/>
      <c r="V462" s="354"/>
      <c r="W462" s="354"/>
      <c r="X462" s="354"/>
      <c r="Y462" s="354"/>
      <c r="Z462" s="354"/>
    </row>
    <row r="463" customFormat="false" ht="15" hidden="false" customHeight="true" outlineLevel="0" collapsed="false">
      <c r="A463" s="354"/>
      <c r="B463" s="354"/>
      <c r="C463" s="354"/>
      <c r="D463" s="354"/>
      <c r="E463" s="354"/>
      <c r="F463" s="354"/>
      <c r="G463" s="354"/>
      <c r="H463" s="354"/>
      <c r="I463" s="354"/>
      <c r="J463" s="354"/>
      <c r="K463" s="354"/>
      <c r="L463" s="354"/>
      <c r="M463" s="354"/>
      <c r="N463" s="354"/>
      <c r="O463" s="354"/>
      <c r="P463" s="354"/>
      <c r="Q463" s="354"/>
      <c r="R463" s="354"/>
      <c r="S463" s="354"/>
      <c r="T463" s="354"/>
      <c r="U463" s="354"/>
      <c r="V463" s="354"/>
      <c r="W463" s="354"/>
      <c r="X463" s="354"/>
      <c r="Y463" s="354"/>
      <c r="Z463" s="354"/>
    </row>
    <row r="464" customFormat="false" ht="15" hidden="false" customHeight="true" outlineLevel="0" collapsed="false">
      <c r="A464" s="354"/>
      <c r="B464" s="354"/>
      <c r="C464" s="354"/>
      <c r="D464" s="354"/>
      <c r="E464" s="354"/>
      <c r="F464" s="354"/>
      <c r="G464" s="354"/>
      <c r="H464" s="354"/>
      <c r="I464" s="354"/>
      <c r="J464" s="354"/>
      <c r="K464" s="354"/>
      <c r="L464" s="354"/>
      <c r="M464" s="354"/>
      <c r="N464" s="354"/>
      <c r="O464" s="354"/>
      <c r="P464" s="354"/>
      <c r="Q464" s="354"/>
      <c r="R464" s="354"/>
      <c r="S464" s="354"/>
      <c r="T464" s="354"/>
      <c r="U464" s="354"/>
      <c r="V464" s="354"/>
      <c r="W464" s="354"/>
      <c r="X464" s="354"/>
      <c r="Y464" s="354"/>
      <c r="Z464" s="354"/>
    </row>
    <row r="465" customFormat="false" ht="15" hidden="false" customHeight="true" outlineLevel="0" collapsed="false">
      <c r="A465" s="354"/>
      <c r="B465" s="354"/>
      <c r="C465" s="354"/>
      <c r="D465" s="354"/>
      <c r="E465" s="354"/>
      <c r="F465" s="354"/>
      <c r="G465" s="354"/>
      <c r="H465" s="354"/>
      <c r="I465" s="354"/>
      <c r="J465" s="354"/>
      <c r="K465" s="354"/>
      <c r="L465" s="354"/>
      <c r="M465" s="354"/>
      <c r="N465" s="354"/>
      <c r="O465" s="354"/>
      <c r="P465" s="354"/>
      <c r="Q465" s="354"/>
      <c r="R465" s="354"/>
      <c r="S465" s="354"/>
      <c r="T465" s="354"/>
      <c r="U465" s="354"/>
      <c r="V465" s="354"/>
      <c r="W465" s="354"/>
      <c r="X465" s="354"/>
      <c r="Y465" s="354"/>
      <c r="Z465" s="354"/>
    </row>
    <row r="466" customFormat="false" ht="15" hidden="false" customHeight="true" outlineLevel="0" collapsed="false">
      <c r="A466" s="354"/>
      <c r="B466" s="354"/>
      <c r="C466" s="354"/>
      <c r="D466" s="354"/>
      <c r="E466" s="354"/>
      <c r="F466" s="354"/>
      <c r="G466" s="354"/>
      <c r="H466" s="354"/>
      <c r="I466" s="354"/>
      <c r="J466" s="354"/>
      <c r="K466" s="354"/>
      <c r="L466" s="354"/>
      <c r="M466" s="354"/>
      <c r="N466" s="354"/>
      <c r="O466" s="354"/>
      <c r="P466" s="354"/>
      <c r="Q466" s="354"/>
      <c r="R466" s="354"/>
      <c r="S466" s="354"/>
      <c r="T466" s="354"/>
      <c r="U466" s="354"/>
      <c r="V466" s="354"/>
      <c r="W466" s="354"/>
      <c r="X466" s="354"/>
      <c r="Y466" s="354"/>
      <c r="Z466" s="354"/>
    </row>
    <row r="467" customFormat="false" ht="15" hidden="false" customHeight="true" outlineLevel="0" collapsed="false">
      <c r="A467" s="354"/>
      <c r="B467" s="354"/>
      <c r="C467" s="354"/>
      <c r="D467" s="354"/>
      <c r="E467" s="354"/>
      <c r="F467" s="354"/>
      <c r="G467" s="354"/>
      <c r="H467" s="354"/>
      <c r="I467" s="354"/>
      <c r="J467" s="354"/>
      <c r="K467" s="354"/>
      <c r="L467" s="354"/>
      <c r="M467" s="354"/>
      <c r="N467" s="354"/>
      <c r="O467" s="354"/>
      <c r="P467" s="354"/>
      <c r="Q467" s="354"/>
      <c r="R467" s="354"/>
      <c r="S467" s="354"/>
      <c r="T467" s="354"/>
      <c r="U467" s="354"/>
      <c r="V467" s="354"/>
      <c r="W467" s="354"/>
      <c r="X467" s="354"/>
      <c r="Y467" s="354"/>
      <c r="Z467" s="354"/>
    </row>
    <row r="468" customFormat="false" ht="15" hidden="false" customHeight="true" outlineLevel="0" collapsed="false">
      <c r="A468" s="354"/>
      <c r="B468" s="354"/>
      <c r="C468" s="354"/>
      <c r="D468" s="354"/>
      <c r="E468" s="354"/>
      <c r="F468" s="354"/>
      <c r="G468" s="354"/>
      <c r="H468" s="354"/>
      <c r="I468" s="354"/>
      <c r="J468" s="354"/>
      <c r="K468" s="354"/>
      <c r="L468" s="354"/>
      <c r="M468" s="354"/>
      <c r="N468" s="354"/>
      <c r="O468" s="354"/>
      <c r="P468" s="354"/>
      <c r="Q468" s="354"/>
      <c r="R468" s="354"/>
      <c r="S468" s="354"/>
      <c r="T468" s="354"/>
      <c r="U468" s="354"/>
      <c r="V468" s="354"/>
      <c r="W468" s="354"/>
      <c r="X468" s="354"/>
      <c r="Y468" s="354"/>
      <c r="Z468" s="354"/>
    </row>
    <row r="469" customFormat="false" ht="15" hidden="false" customHeight="true" outlineLevel="0" collapsed="false">
      <c r="A469" s="354"/>
      <c r="B469" s="354"/>
      <c r="C469" s="354"/>
      <c r="D469" s="354"/>
      <c r="E469" s="354"/>
      <c r="F469" s="354"/>
      <c r="G469" s="354"/>
      <c r="H469" s="354"/>
      <c r="I469" s="354"/>
      <c r="J469" s="354"/>
      <c r="K469" s="354"/>
      <c r="L469" s="354"/>
      <c r="M469" s="354"/>
      <c r="N469" s="354"/>
      <c r="O469" s="354"/>
      <c r="P469" s="354"/>
      <c r="Q469" s="354"/>
      <c r="R469" s="354"/>
      <c r="S469" s="354"/>
      <c r="T469" s="354"/>
      <c r="U469" s="354"/>
      <c r="V469" s="354"/>
      <c r="W469" s="354"/>
      <c r="X469" s="354"/>
      <c r="Y469" s="354"/>
      <c r="Z469" s="354"/>
    </row>
    <row r="470" customFormat="false" ht="15" hidden="false" customHeight="true" outlineLevel="0" collapsed="false">
      <c r="A470" s="354"/>
      <c r="B470" s="354"/>
      <c r="C470" s="354"/>
      <c r="D470" s="354"/>
      <c r="E470" s="354"/>
      <c r="F470" s="354"/>
      <c r="G470" s="354"/>
      <c r="H470" s="354"/>
      <c r="I470" s="354"/>
      <c r="J470" s="354"/>
      <c r="K470" s="354"/>
      <c r="L470" s="354"/>
      <c r="M470" s="354"/>
      <c r="N470" s="354"/>
      <c r="O470" s="354"/>
      <c r="P470" s="354"/>
      <c r="Q470" s="354"/>
      <c r="R470" s="354"/>
      <c r="S470" s="354"/>
      <c r="T470" s="354"/>
      <c r="U470" s="354"/>
      <c r="V470" s="354"/>
      <c r="W470" s="354"/>
      <c r="X470" s="354"/>
      <c r="Y470" s="354"/>
      <c r="Z470" s="354"/>
    </row>
    <row r="471" customFormat="false" ht="15" hidden="false" customHeight="true" outlineLevel="0" collapsed="false">
      <c r="A471" s="354"/>
      <c r="B471" s="354"/>
      <c r="C471" s="354"/>
      <c r="D471" s="354"/>
      <c r="E471" s="354"/>
      <c r="F471" s="354"/>
      <c r="G471" s="354"/>
      <c r="H471" s="354"/>
      <c r="I471" s="354"/>
      <c r="J471" s="354"/>
      <c r="K471" s="354"/>
      <c r="L471" s="354"/>
      <c r="M471" s="354"/>
      <c r="N471" s="354"/>
      <c r="O471" s="354"/>
      <c r="P471" s="354"/>
      <c r="Q471" s="354"/>
      <c r="R471" s="354"/>
      <c r="S471" s="354"/>
      <c r="T471" s="354"/>
      <c r="U471" s="354"/>
      <c r="V471" s="354"/>
      <c r="W471" s="354"/>
      <c r="X471" s="354"/>
      <c r="Y471" s="354"/>
      <c r="Z471" s="354"/>
    </row>
    <row r="472" customFormat="false" ht="15" hidden="false" customHeight="true" outlineLevel="0" collapsed="false">
      <c r="A472" s="354"/>
      <c r="B472" s="354"/>
      <c r="C472" s="354"/>
      <c r="D472" s="354"/>
      <c r="E472" s="354"/>
      <c r="F472" s="354"/>
      <c r="G472" s="354"/>
      <c r="H472" s="354"/>
      <c r="I472" s="354"/>
      <c r="J472" s="354"/>
      <c r="K472" s="354"/>
      <c r="L472" s="354"/>
      <c r="M472" s="354"/>
      <c r="N472" s="354"/>
      <c r="O472" s="354"/>
      <c r="P472" s="354"/>
      <c r="Q472" s="354"/>
      <c r="R472" s="354"/>
      <c r="S472" s="354"/>
      <c r="T472" s="354"/>
      <c r="U472" s="354"/>
      <c r="V472" s="354"/>
      <c r="W472" s="354"/>
      <c r="X472" s="354"/>
      <c r="Y472" s="354"/>
      <c r="Z472" s="354"/>
    </row>
    <row r="473" customFormat="false" ht="15" hidden="false" customHeight="true" outlineLevel="0" collapsed="false">
      <c r="A473" s="354"/>
      <c r="B473" s="354"/>
      <c r="C473" s="354"/>
      <c r="D473" s="354"/>
      <c r="E473" s="354"/>
      <c r="F473" s="354"/>
      <c r="G473" s="354"/>
      <c r="H473" s="354"/>
      <c r="I473" s="354"/>
      <c r="J473" s="354"/>
      <c r="K473" s="354"/>
      <c r="L473" s="354"/>
      <c r="M473" s="354"/>
      <c r="N473" s="354"/>
      <c r="O473" s="354"/>
      <c r="P473" s="354"/>
      <c r="Q473" s="354"/>
      <c r="R473" s="354"/>
      <c r="S473" s="354"/>
      <c r="T473" s="354"/>
      <c r="U473" s="354"/>
      <c r="V473" s="354"/>
      <c r="W473" s="354"/>
      <c r="X473" s="354"/>
      <c r="Y473" s="354"/>
      <c r="Z473" s="354"/>
    </row>
    <row r="474" customFormat="false" ht="15" hidden="false" customHeight="true" outlineLevel="0" collapsed="false">
      <c r="A474" s="354"/>
      <c r="B474" s="354"/>
      <c r="C474" s="354"/>
      <c r="D474" s="354"/>
      <c r="E474" s="354"/>
      <c r="F474" s="354"/>
      <c r="G474" s="354"/>
      <c r="H474" s="354"/>
      <c r="I474" s="354"/>
      <c r="J474" s="354"/>
      <c r="K474" s="354"/>
      <c r="L474" s="354"/>
      <c r="M474" s="354"/>
      <c r="N474" s="354"/>
      <c r="O474" s="354"/>
      <c r="P474" s="354"/>
      <c r="Q474" s="354"/>
      <c r="R474" s="354"/>
      <c r="S474" s="354"/>
      <c r="T474" s="354"/>
      <c r="U474" s="354"/>
      <c r="V474" s="354"/>
      <c r="W474" s="354"/>
      <c r="X474" s="354"/>
      <c r="Y474" s="354"/>
      <c r="Z474" s="354"/>
    </row>
    <row r="475" customFormat="false" ht="15" hidden="false" customHeight="true" outlineLevel="0" collapsed="false">
      <c r="A475" s="354"/>
      <c r="B475" s="354"/>
      <c r="C475" s="354"/>
      <c r="D475" s="354"/>
      <c r="E475" s="354"/>
      <c r="F475" s="354"/>
      <c r="G475" s="354"/>
      <c r="H475" s="354"/>
      <c r="I475" s="354"/>
      <c r="J475" s="354"/>
      <c r="K475" s="354"/>
      <c r="L475" s="354"/>
      <c r="M475" s="354"/>
      <c r="N475" s="354"/>
      <c r="O475" s="354"/>
      <c r="P475" s="354"/>
      <c r="Q475" s="354"/>
      <c r="R475" s="354"/>
      <c r="S475" s="354"/>
      <c r="T475" s="354"/>
      <c r="U475" s="354"/>
      <c r="V475" s="354"/>
      <c r="W475" s="354"/>
      <c r="X475" s="354"/>
      <c r="Y475" s="354"/>
      <c r="Z475" s="354"/>
    </row>
    <row r="476" customFormat="false" ht="15" hidden="false" customHeight="true" outlineLevel="0" collapsed="false">
      <c r="A476" s="354"/>
      <c r="B476" s="354"/>
      <c r="C476" s="354"/>
      <c r="D476" s="354"/>
      <c r="E476" s="354"/>
      <c r="F476" s="354"/>
      <c r="G476" s="354"/>
      <c r="H476" s="354"/>
      <c r="I476" s="354"/>
      <c r="J476" s="354"/>
      <c r="K476" s="354"/>
      <c r="L476" s="354"/>
      <c r="M476" s="354"/>
      <c r="N476" s="354"/>
      <c r="O476" s="354"/>
      <c r="P476" s="354"/>
      <c r="Q476" s="354"/>
      <c r="R476" s="354"/>
      <c r="S476" s="354"/>
      <c r="T476" s="354"/>
      <c r="U476" s="354"/>
      <c r="V476" s="354"/>
      <c r="W476" s="354"/>
      <c r="X476" s="354"/>
      <c r="Y476" s="354"/>
      <c r="Z476" s="354"/>
    </row>
    <row r="477" customFormat="false" ht="15" hidden="false" customHeight="true" outlineLevel="0" collapsed="false">
      <c r="A477" s="354"/>
      <c r="B477" s="354"/>
      <c r="C477" s="354"/>
      <c r="D477" s="354"/>
      <c r="E477" s="354"/>
      <c r="F477" s="354"/>
      <c r="G477" s="354"/>
      <c r="H477" s="354"/>
      <c r="I477" s="354"/>
      <c r="J477" s="354"/>
      <c r="K477" s="354"/>
      <c r="L477" s="354"/>
      <c r="M477" s="354"/>
      <c r="N477" s="354"/>
      <c r="O477" s="354"/>
      <c r="P477" s="354"/>
      <c r="Q477" s="354"/>
      <c r="R477" s="354"/>
      <c r="S477" s="354"/>
      <c r="T477" s="354"/>
      <c r="U477" s="354"/>
      <c r="V477" s="354"/>
      <c r="W477" s="354"/>
      <c r="X477" s="354"/>
      <c r="Y477" s="354"/>
      <c r="Z477" s="354"/>
    </row>
    <row r="478" customFormat="false" ht="15" hidden="false" customHeight="true" outlineLevel="0" collapsed="false">
      <c r="A478" s="354"/>
      <c r="B478" s="354"/>
      <c r="C478" s="354"/>
      <c r="D478" s="354"/>
      <c r="E478" s="354"/>
      <c r="F478" s="354"/>
      <c r="G478" s="354"/>
      <c r="H478" s="354"/>
      <c r="I478" s="354"/>
      <c r="J478" s="354"/>
      <c r="K478" s="354"/>
      <c r="L478" s="354"/>
      <c r="M478" s="354"/>
      <c r="N478" s="354"/>
      <c r="O478" s="354"/>
      <c r="P478" s="354"/>
      <c r="Q478" s="354"/>
      <c r="R478" s="354"/>
      <c r="S478" s="354"/>
      <c r="T478" s="354"/>
      <c r="U478" s="354"/>
      <c r="V478" s="354"/>
      <c r="W478" s="354"/>
      <c r="X478" s="354"/>
      <c r="Y478" s="354"/>
      <c r="Z478" s="354"/>
    </row>
    <row r="479" customFormat="false" ht="15" hidden="false" customHeight="true" outlineLevel="0" collapsed="false">
      <c r="A479" s="354"/>
      <c r="B479" s="354"/>
      <c r="C479" s="354"/>
      <c r="D479" s="354"/>
      <c r="E479" s="354"/>
      <c r="F479" s="354"/>
      <c r="G479" s="354"/>
      <c r="H479" s="354"/>
      <c r="I479" s="354"/>
      <c r="J479" s="354"/>
      <c r="K479" s="354"/>
      <c r="L479" s="354"/>
      <c r="M479" s="354"/>
      <c r="N479" s="354"/>
      <c r="O479" s="354"/>
      <c r="P479" s="354"/>
      <c r="Q479" s="354"/>
      <c r="R479" s="354"/>
      <c r="S479" s="354"/>
      <c r="T479" s="354"/>
      <c r="U479" s="354"/>
      <c r="V479" s="354"/>
      <c r="W479" s="354"/>
      <c r="X479" s="354"/>
      <c r="Y479" s="354"/>
      <c r="Z479" s="354"/>
    </row>
    <row r="480" customFormat="false" ht="15" hidden="false" customHeight="true" outlineLevel="0" collapsed="false">
      <c r="A480" s="354"/>
      <c r="B480" s="354"/>
      <c r="C480" s="354"/>
      <c r="D480" s="354"/>
      <c r="E480" s="354"/>
      <c r="F480" s="354"/>
      <c r="G480" s="354"/>
      <c r="H480" s="354"/>
      <c r="I480" s="354"/>
      <c r="J480" s="354"/>
      <c r="K480" s="354"/>
      <c r="L480" s="354"/>
      <c r="M480" s="354"/>
      <c r="N480" s="354"/>
      <c r="O480" s="354"/>
      <c r="P480" s="354"/>
      <c r="Q480" s="354"/>
      <c r="R480" s="354"/>
      <c r="S480" s="354"/>
      <c r="T480" s="354"/>
      <c r="U480" s="354"/>
      <c r="V480" s="354"/>
      <c r="W480" s="354"/>
      <c r="X480" s="354"/>
      <c r="Y480" s="354"/>
      <c r="Z480" s="354"/>
    </row>
    <row r="481" customFormat="false" ht="15" hidden="false" customHeight="true" outlineLevel="0" collapsed="false">
      <c r="A481" s="354"/>
      <c r="B481" s="354"/>
      <c r="C481" s="354"/>
      <c r="D481" s="354"/>
      <c r="E481" s="354"/>
      <c r="F481" s="354"/>
      <c r="G481" s="354"/>
      <c r="H481" s="354"/>
      <c r="I481" s="354"/>
      <c r="J481" s="354"/>
      <c r="K481" s="354"/>
      <c r="L481" s="354"/>
      <c r="M481" s="354"/>
      <c r="N481" s="354"/>
      <c r="O481" s="354"/>
      <c r="P481" s="354"/>
      <c r="Q481" s="354"/>
      <c r="R481" s="354"/>
      <c r="S481" s="354"/>
      <c r="T481" s="354"/>
      <c r="U481" s="354"/>
      <c r="V481" s="354"/>
      <c r="W481" s="354"/>
      <c r="X481" s="354"/>
      <c r="Y481" s="354"/>
      <c r="Z481" s="354"/>
    </row>
    <row r="482" customFormat="false" ht="15" hidden="false" customHeight="true" outlineLevel="0" collapsed="false">
      <c r="A482" s="354"/>
      <c r="B482" s="354"/>
      <c r="C482" s="354"/>
      <c r="D482" s="354"/>
      <c r="E482" s="354"/>
      <c r="F482" s="354"/>
      <c r="G482" s="354"/>
      <c r="H482" s="354"/>
      <c r="I482" s="354"/>
      <c r="J482" s="354"/>
      <c r="K482" s="354"/>
      <c r="L482" s="354"/>
      <c r="M482" s="354"/>
      <c r="N482" s="354"/>
      <c r="O482" s="354"/>
      <c r="P482" s="354"/>
      <c r="Q482" s="354"/>
      <c r="R482" s="354"/>
      <c r="S482" s="354"/>
      <c r="T482" s="354"/>
      <c r="U482" s="354"/>
      <c r="V482" s="354"/>
      <c r="W482" s="354"/>
      <c r="X482" s="354"/>
      <c r="Y482" s="354"/>
      <c r="Z482" s="354"/>
    </row>
    <row r="483" customFormat="false" ht="15" hidden="false" customHeight="true" outlineLevel="0" collapsed="false">
      <c r="A483" s="354"/>
      <c r="B483" s="354"/>
      <c r="C483" s="354"/>
      <c r="D483" s="354"/>
      <c r="E483" s="354"/>
      <c r="F483" s="354"/>
      <c r="G483" s="354"/>
      <c r="H483" s="354"/>
      <c r="I483" s="354"/>
      <c r="J483" s="354"/>
      <c r="K483" s="354"/>
      <c r="L483" s="354"/>
      <c r="M483" s="354"/>
      <c r="N483" s="354"/>
      <c r="O483" s="354"/>
      <c r="P483" s="354"/>
      <c r="Q483" s="354"/>
      <c r="R483" s="354"/>
      <c r="S483" s="354"/>
      <c r="T483" s="354"/>
      <c r="U483" s="354"/>
      <c r="V483" s="354"/>
      <c r="W483" s="354"/>
      <c r="X483" s="354"/>
      <c r="Y483" s="354"/>
      <c r="Z483" s="354"/>
    </row>
    <row r="484" customFormat="false" ht="15" hidden="false" customHeight="true" outlineLevel="0" collapsed="false">
      <c r="A484" s="354"/>
      <c r="B484" s="354"/>
      <c r="C484" s="354"/>
      <c r="D484" s="354"/>
      <c r="E484" s="354"/>
      <c r="F484" s="354"/>
      <c r="G484" s="354"/>
      <c r="H484" s="354"/>
      <c r="I484" s="354"/>
      <c r="J484" s="354"/>
      <c r="K484" s="354"/>
      <c r="L484" s="354"/>
      <c r="M484" s="354"/>
      <c r="N484" s="354"/>
      <c r="O484" s="354"/>
      <c r="P484" s="354"/>
      <c r="Q484" s="354"/>
      <c r="R484" s="354"/>
      <c r="S484" s="354"/>
      <c r="T484" s="354"/>
      <c r="U484" s="354"/>
      <c r="V484" s="354"/>
      <c r="W484" s="354"/>
      <c r="X484" s="354"/>
      <c r="Y484" s="354"/>
      <c r="Z484" s="354"/>
    </row>
    <row r="485" customFormat="false" ht="15" hidden="false" customHeight="true" outlineLevel="0" collapsed="false">
      <c r="A485" s="354"/>
      <c r="B485" s="354"/>
      <c r="C485" s="354"/>
      <c r="D485" s="354"/>
      <c r="E485" s="354"/>
      <c r="F485" s="354"/>
      <c r="G485" s="354"/>
      <c r="H485" s="354"/>
      <c r="I485" s="354"/>
      <c r="J485" s="354"/>
      <c r="K485" s="354"/>
      <c r="L485" s="354"/>
      <c r="M485" s="354"/>
      <c r="N485" s="354"/>
      <c r="O485" s="354"/>
      <c r="P485" s="354"/>
      <c r="Q485" s="354"/>
      <c r="R485" s="354"/>
      <c r="S485" s="354"/>
      <c r="T485" s="354"/>
      <c r="U485" s="354"/>
      <c r="V485" s="354"/>
      <c r="W485" s="354"/>
      <c r="X485" s="354"/>
      <c r="Y485" s="354"/>
      <c r="Z485" s="354"/>
    </row>
    <row r="486" customFormat="false" ht="15" hidden="false" customHeight="true" outlineLevel="0" collapsed="false">
      <c r="A486" s="354"/>
      <c r="B486" s="354"/>
      <c r="C486" s="354"/>
      <c r="D486" s="354"/>
      <c r="E486" s="354"/>
      <c r="F486" s="354"/>
      <c r="G486" s="354"/>
      <c r="H486" s="354"/>
      <c r="I486" s="354"/>
      <c r="J486" s="354"/>
      <c r="K486" s="354"/>
      <c r="L486" s="354"/>
      <c r="M486" s="354"/>
      <c r="N486" s="354"/>
      <c r="O486" s="354"/>
      <c r="P486" s="354"/>
      <c r="Q486" s="354"/>
      <c r="R486" s="354"/>
      <c r="S486" s="354"/>
      <c r="T486" s="354"/>
      <c r="U486" s="354"/>
      <c r="V486" s="354"/>
      <c r="W486" s="354"/>
      <c r="X486" s="354"/>
      <c r="Y486" s="354"/>
      <c r="Z486" s="354"/>
    </row>
    <row r="487" customFormat="false" ht="15" hidden="false" customHeight="true" outlineLevel="0" collapsed="false">
      <c r="A487" s="354"/>
      <c r="B487" s="354"/>
      <c r="C487" s="354"/>
      <c r="D487" s="354"/>
      <c r="E487" s="354"/>
      <c r="F487" s="354"/>
      <c r="G487" s="354"/>
      <c r="H487" s="354"/>
      <c r="I487" s="354"/>
      <c r="J487" s="354"/>
      <c r="K487" s="354"/>
      <c r="L487" s="354"/>
      <c r="M487" s="354"/>
      <c r="N487" s="354"/>
      <c r="O487" s="354"/>
      <c r="P487" s="354"/>
      <c r="Q487" s="354"/>
      <c r="R487" s="354"/>
      <c r="S487" s="354"/>
      <c r="T487" s="354"/>
      <c r="U487" s="354"/>
      <c r="V487" s="354"/>
      <c r="W487" s="354"/>
      <c r="X487" s="354"/>
      <c r="Y487" s="354"/>
      <c r="Z487" s="354"/>
    </row>
    <row r="488" customFormat="false" ht="15" hidden="false" customHeight="true" outlineLevel="0" collapsed="false">
      <c r="A488" s="354"/>
      <c r="B488" s="354"/>
      <c r="C488" s="354"/>
      <c r="D488" s="354"/>
      <c r="E488" s="354"/>
      <c r="F488" s="354"/>
      <c r="G488" s="354"/>
      <c r="H488" s="354"/>
      <c r="I488" s="354"/>
      <c r="J488" s="354"/>
      <c r="K488" s="354"/>
      <c r="L488" s="354"/>
      <c r="M488" s="354"/>
      <c r="N488" s="354"/>
      <c r="O488" s="354"/>
      <c r="P488" s="354"/>
      <c r="Q488" s="354"/>
      <c r="R488" s="354"/>
      <c r="S488" s="354"/>
      <c r="T488" s="354"/>
      <c r="U488" s="354"/>
      <c r="V488" s="354"/>
      <c r="W488" s="354"/>
      <c r="X488" s="354"/>
      <c r="Y488" s="354"/>
      <c r="Z488" s="354"/>
    </row>
    <row r="489" customFormat="false" ht="15" hidden="false" customHeight="true" outlineLevel="0" collapsed="false">
      <c r="A489" s="354"/>
      <c r="B489" s="354"/>
      <c r="C489" s="354"/>
      <c r="D489" s="354"/>
      <c r="E489" s="354"/>
      <c r="F489" s="354"/>
      <c r="G489" s="354"/>
      <c r="H489" s="354"/>
      <c r="I489" s="354"/>
      <c r="J489" s="354"/>
      <c r="K489" s="354"/>
      <c r="L489" s="354"/>
      <c r="M489" s="354"/>
      <c r="N489" s="354"/>
      <c r="O489" s="354"/>
      <c r="P489" s="354"/>
      <c r="Q489" s="354"/>
      <c r="R489" s="354"/>
      <c r="S489" s="354"/>
      <c r="T489" s="354"/>
      <c r="U489" s="354"/>
      <c r="V489" s="354"/>
      <c r="W489" s="354"/>
      <c r="X489" s="354"/>
      <c r="Y489" s="354"/>
      <c r="Z489" s="354"/>
    </row>
    <row r="490" customFormat="false" ht="15" hidden="false" customHeight="true" outlineLevel="0" collapsed="false">
      <c r="A490" s="354"/>
      <c r="B490" s="354"/>
      <c r="C490" s="354"/>
      <c r="D490" s="354"/>
      <c r="E490" s="354"/>
      <c r="F490" s="354"/>
      <c r="G490" s="354"/>
      <c r="H490" s="354"/>
      <c r="I490" s="354"/>
      <c r="J490" s="354"/>
      <c r="K490" s="354"/>
      <c r="L490" s="354"/>
      <c r="M490" s="354"/>
      <c r="N490" s="354"/>
      <c r="O490" s="354"/>
      <c r="P490" s="354"/>
      <c r="Q490" s="354"/>
      <c r="R490" s="354"/>
      <c r="S490" s="354"/>
      <c r="T490" s="354"/>
      <c r="U490" s="354"/>
      <c r="V490" s="354"/>
      <c r="W490" s="354"/>
      <c r="X490" s="354"/>
      <c r="Y490" s="354"/>
      <c r="Z490" s="354"/>
    </row>
    <row r="491" customFormat="false" ht="15" hidden="false" customHeight="true" outlineLevel="0" collapsed="false">
      <c r="A491" s="354"/>
      <c r="B491" s="354"/>
      <c r="C491" s="354"/>
      <c r="D491" s="354"/>
      <c r="E491" s="354"/>
      <c r="F491" s="354"/>
      <c r="G491" s="354"/>
      <c r="H491" s="354"/>
      <c r="I491" s="354"/>
      <c r="J491" s="354"/>
      <c r="K491" s="354"/>
      <c r="L491" s="354"/>
      <c r="M491" s="354"/>
      <c r="N491" s="354"/>
      <c r="O491" s="354"/>
      <c r="P491" s="354"/>
      <c r="Q491" s="354"/>
      <c r="R491" s="354"/>
      <c r="S491" s="354"/>
      <c r="T491" s="354"/>
      <c r="U491" s="354"/>
      <c r="V491" s="354"/>
      <c r="W491" s="354"/>
      <c r="X491" s="354"/>
      <c r="Y491" s="354"/>
      <c r="Z491" s="354"/>
    </row>
    <row r="492" customFormat="false" ht="15" hidden="false" customHeight="true" outlineLevel="0" collapsed="false">
      <c r="A492" s="354"/>
      <c r="B492" s="354"/>
      <c r="C492" s="354"/>
      <c r="D492" s="354"/>
      <c r="E492" s="354"/>
      <c r="F492" s="354"/>
      <c r="G492" s="354"/>
      <c r="H492" s="354"/>
      <c r="I492" s="354"/>
      <c r="J492" s="354"/>
      <c r="K492" s="354"/>
      <c r="L492" s="354"/>
      <c r="M492" s="354"/>
      <c r="N492" s="354"/>
      <c r="O492" s="354"/>
      <c r="P492" s="354"/>
      <c r="Q492" s="354"/>
      <c r="R492" s="354"/>
      <c r="S492" s="354"/>
      <c r="T492" s="354"/>
      <c r="U492" s="354"/>
      <c r="V492" s="354"/>
      <c r="W492" s="354"/>
      <c r="X492" s="354"/>
      <c r="Y492" s="354"/>
      <c r="Z492" s="354"/>
    </row>
    <row r="493" customFormat="false" ht="15" hidden="false" customHeight="true" outlineLevel="0" collapsed="false">
      <c r="A493" s="354"/>
      <c r="B493" s="354"/>
      <c r="C493" s="354"/>
      <c r="D493" s="354"/>
      <c r="E493" s="354"/>
      <c r="F493" s="354"/>
      <c r="G493" s="354"/>
      <c r="H493" s="354"/>
      <c r="I493" s="354"/>
      <c r="J493" s="354"/>
      <c r="K493" s="354"/>
      <c r="L493" s="354"/>
      <c r="M493" s="354"/>
      <c r="N493" s="354"/>
      <c r="O493" s="354"/>
      <c r="P493" s="354"/>
      <c r="Q493" s="354"/>
      <c r="R493" s="354"/>
      <c r="S493" s="354"/>
      <c r="T493" s="354"/>
      <c r="U493" s="354"/>
      <c r="V493" s="354"/>
      <c r="W493" s="354"/>
      <c r="X493" s="354"/>
      <c r="Y493" s="354"/>
      <c r="Z493" s="354"/>
    </row>
    <row r="494" customFormat="false" ht="15" hidden="false" customHeight="true" outlineLevel="0" collapsed="false">
      <c r="A494" s="354"/>
      <c r="B494" s="354"/>
      <c r="C494" s="354"/>
      <c r="D494" s="354"/>
      <c r="E494" s="354"/>
      <c r="F494" s="354"/>
      <c r="G494" s="354"/>
      <c r="H494" s="354"/>
      <c r="I494" s="354"/>
      <c r="J494" s="354"/>
      <c r="K494" s="354"/>
      <c r="L494" s="354"/>
      <c r="M494" s="354"/>
      <c r="N494" s="354"/>
      <c r="O494" s="354"/>
      <c r="P494" s="354"/>
      <c r="Q494" s="354"/>
      <c r="R494" s="354"/>
      <c r="S494" s="354"/>
      <c r="T494" s="354"/>
      <c r="U494" s="354"/>
      <c r="V494" s="354"/>
      <c r="W494" s="354"/>
      <c r="X494" s="354"/>
      <c r="Y494" s="354"/>
      <c r="Z494" s="354"/>
    </row>
    <row r="495" customFormat="false" ht="15" hidden="false" customHeight="true" outlineLevel="0" collapsed="false">
      <c r="A495" s="354"/>
      <c r="B495" s="354"/>
      <c r="C495" s="354"/>
      <c r="D495" s="354"/>
      <c r="E495" s="354"/>
      <c r="F495" s="354"/>
      <c r="G495" s="354"/>
      <c r="H495" s="354"/>
      <c r="I495" s="354"/>
      <c r="J495" s="354"/>
      <c r="K495" s="354"/>
      <c r="L495" s="354"/>
      <c r="M495" s="354"/>
      <c r="N495" s="354"/>
      <c r="O495" s="354"/>
      <c r="P495" s="354"/>
      <c r="Q495" s="354"/>
      <c r="R495" s="354"/>
      <c r="S495" s="354"/>
      <c r="T495" s="354"/>
      <c r="U495" s="354"/>
      <c r="V495" s="354"/>
      <c r="W495" s="354"/>
      <c r="X495" s="354"/>
      <c r="Y495" s="354"/>
      <c r="Z495" s="354"/>
    </row>
    <row r="496" customFormat="false" ht="15" hidden="false" customHeight="true" outlineLevel="0" collapsed="false">
      <c r="A496" s="354"/>
      <c r="B496" s="354"/>
      <c r="C496" s="354"/>
      <c r="D496" s="354"/>
      <c r="E496" s="354"/>
      <c r="F496" s="354"/>
      <c r="G496" s="354"/>
      <c r="H496" s="354"/>
      <c r="I496" s="354"/>
      <c r="J496" s="354"/>
      <c r="K496" s="354"/>
      <c r="L496" s="354"/>
      <c r="M496" s="354"/>
      <c r="N496" s="354"/>
      <c r="O496" s="354"/>
      <c r="P496" s="354"/>
      <c r="Q496" s="354"/>
      <c r="R496" s="354"/>
      <c r="S496" s="354"/>
      <c r="T496" s="354"/>
      <c r="U496" s="354"/>
      <c r="V496" s="354"/>
      <c r="W496" s="354"/>
      <c r="X496" s="354"/>
      <c r="Y496" s="354"/>
      <c r="Z496" s="354"/>
    </row>
    <row r="497" customFormat="false" ht="15" hidden="false" customHeight="true" outlineLevel="0" collapsed="false">
      <c r="A497" s="354"/>
      <c r="B497" s="354"/>
      <c r="C497" s="354"/>
      <c r="D497" s="354"/>
      <c r="E497" s="354"/>
      <c r="F497" s="354"/>
      <c r="G497" s="354"/>
      <c r="H497" s="354"/>
      <c r="I497" s="354"/>
      <c r="J497" s="354"/>
      <c r="K497" s="354"/>
      <c r="L497" s="354"/>
      <c r="M497" s="354"/>
      <c r="N497" s="354"/>
      <c r="O497" s="354"/>
      <c r="P497" s="354"/>
      <c r="Q497" s="354"/>
      <c r="R497" s="354"/>
      <c r="S497" s="354"/>
      <c r="T497" s="354"/>
      <c r="U497" s="354"/>
      <c r="V497" s="354"/>
      <c r="W497" s="354"/>
      <c r="X497" s="354"/>
      <c r="Y497" s="354"/>
      <c r="Z497" s="354"/>
    </row>
    <row r="498" customFormat="false" ht="15" hidden="false" customHeight="true" outlineLevel="0" collapsed="false">
      <c r="A498" s="354"/>
      <c r="B498" s="354"/>
      <c r="C498" s="354"/>
      <c r="D498" s="354"/>
      <c r="E498" s="354"/>
      <c r="F498" s="354"/>
      <c r="G498" s="354"/>
      <c r="H498" s="354"/>
      <c r="I498" s="354"/>
      <c r="J498" s="354"/>
      <c r="K498" s="354"/>
      <c r="L498" s="354"/>
      <c r="M498" s="354"/>
      <c r="N498" s="354"/>
      <c r="O498" s="354"/>
      <c r="P498" s="354"/>
      <c r="Q498" s="354"/>
      <c r="R498" s="354"/>
      <c r="S498" s="354"/>
      <c r="T498" s="354"/>
      <c r="U498" s="354"/>
      <c r="V498" s="354"/>
      <c r="W498" s="354"/>
      <c r="X498" s="354"/>
      <c r="Y498" s="354"/>
      <c r="Z498" s="354"/>
    </row>
    <row r="499" customFormat="false" ht="15" hidden="false" customHeight="true" outlineLevel="0" collapsed="false">
      <c r="A499" s="354"/>
      <c r="B499" s="354"/>
      <c r="C499" s="354"/>
      <c r="D499" s="354"/>
      <c r="E499" s="354"/>
      <c r="F499" s="354"/>
      <c r="G499" s="354"/>
      <c r="H499" s="354"/>
      <c r="I499" s="354"/>
      <c r="J499" s="354"/>
      <c r="K499" s="354"/>
      <c r="L499" s="354"/>
      <c r="M499" s="354"/>
      <c r="N499" s="354"/>
      <c r="O499" s="354"/>
      <c r="P499" s="354"/>
      <c r="Q499" s="354"/>
      <c r="R499" s="354"/>
      <c r="S499" s="354"/>
      <c r="T499" s="354"/>
      <c r="U499" s="354"/>
      <c r="V499" s="354"/>
      <c r="W499" s="354"/>
      <c r="X499" s="354"/>
      <c r="Y499" s="354"/>
      <c r="Z499" s="354"/>
    </row>
    <row r="500" customFormat="false" ht="15" hidden="false" customHeight="true" outlineLevel="0" collapsed="false">
      <c r="A500" s="354"/>
      <c r="B500" s="354"/>
      <c r="C500" s="354"/>
      <c r="D500" s="354"/>
      <c r="E500" s="354"/>
      <c r="F500" s="354"/>
      <c r="G500" s="354"/>
      <c r="H500" s="354"/>
      <c r="I500" s="354"/>
      <c r="J500" s="354"/>
      <c r="K500" s="354"/>
      <c r="L500" s="354"/>
      <c r="M500" s="354"/>
      <c r="N500" s="354"/>
      <c r="O500" s="354"/>
      <c r="P500" s="354"/>
      <c r="Q500" s="354"/>
      <c r="R500" s="354"/>
      <c r="S500" s="354"/>
      <c r="T500" s="354"/>
      <c r="U500" s="354"/>
      <c r="V500" s="354"/>
      <c r="W500" s="354"/>
      <c r="X500" s="354"/>
      <c r="Y500" s="354"/>
      <c r="Z500" s="354"/>
    </row>
    <row r="501" customFormat="false" ht="15" hidden="false" customHeight="true" outlineLevel="0" collapsed="false">
      <c r="A501" s="354"/>
      <c r="B501" s="354"/>
      <c r="C501" s="354"/>
      <c r="D501" s="354"/>
      <c r="E501" s="354"/>
      <c r="F501" s="354"/>
      <c r="G501" s="354"/>
      <c r="H501" s="354"/>
      <c r="I501" s="354"/>
      <c r="J501" s="354"/>
      <c r="K501" s="354"/>
      <c r="L501" s="354"/>
      <c r="M501" s="354"/>
      <c r="N501" s="354"/>
      <c r="O501" s="354"/>
      <c r="P501" s="354"/>
      <c r="Q501" s="354"/>
      <c r="R501" s="354"/>
      <c r="S501" s="354"/>
      <c r="T501" s="354"/>
      <c r="U501" s="354"/>
      <c r="V501" s="354"/>
      <c r="W501" s="354"/>
      <c r="X501" s="354"/>
      <c r="Y501" s="354"/>
      <c r="Z501" s="354"/>
    </row>
    <row r="502" customFormat="false" ht="15" hidden="false" customHeight="true" outlineLevel="0" collapsed="false">
      <c r="A502" s="354"/>
      <c r="B502" s="354"/>
      <c r="C502" s="354"/>
      <c r="D502" s="354"/>
      <c r="E502" s="354"/>
      <c r="F502" s="354"/>
      <c r="G502" s="354"/>
      <c r="H502" s="354"/>
      <c r="I502" s="354"/>
      <c r="J502" s="354"/>
      <c r="K502" s="354"/>
      <c r="L502" s="354"/>
      <c r="M502" s="354"/>
      <c r="N502" s="354"/>
      <c r="O502" s="354"/>
      <c r="P502" s="354"/>
      <c r="Q502" s="354"/>
      <c r="R502" s="354"/>
      <c r="S502" s="354"/>
      <c r="T502" s="354"/>
      <c r="U502" s="354"/>
      <c r="V502" s="354"/>
      <c r="W502" s="354"/>
      <c r="X502" s="354"/>
      <c r="Y502" s="354"/>
      <c r="Z502" s="354"/>
    </row>
    <row r="503" customFormat="false" ht="15" hidden="false" customHeight="true" outlineLevel="0" collapsed="false">
      <c r="A503" s="354"/>
      <c r="B503" s="354"/>
      <c r="C503" s="354"/>
      <c r="D503" s="354"/>
      <c r="E503" s="354"/>
      <c r="F503" s="354"/>
      <c r="G503" s="354"/>
      <c r="H503" s="354"/>
      <c r="I503" s="354"/>
      <c r="J503" s="354"/>
      <c r="K503" s="354"/>
      <c r="L503" s="354"/>
      <c r="M503" s="354"/>
      <c r="N503" s="354"/>
      <c r="O503" s="354"/>
      <c r="P503" s="354"/>
      <c r="Q503" s="354"/>
      <c r="R503" s="354"/>
      <c r="S503" s="354"/>
      <c r="T503" s="354"/>
      <c r="U503" s="354"/>
      <c r="V503" s="354"/>
      <c r="W503" s="354"/>
      <c r="X503" s="354"/>
      <c r="Y503" s="354"/>
      <c r="Z503" s="354"/>
    </row>
    <row r="504" customFormat="false" ht="15" hidden="false" customHeight="true" outlineLevel="0" collapsed="false">
      <c r="A504" s="354"/>
      <c r="B504" s="354"/>
      <c r="C504" s="354"/>
      <c r="D504" s="354"/>
      <c r="E504" s="354"/>
      <c r="F504" s="354"/>
      <c r="G504" s="354"/>
      <c r="H504" s="354"/>
      <c r="I504" s="354"/>
      <c r="J504" s="354"/>
      <c r="K504" s="354"/>
      <c r="L504" s="354"/>
      <c r="M504" s="354"/>
      <c r="N504" s="354"/>
      <c r="O504" s="354"/>
      <c r="P504" s="354"/>
      <c r="Q504" s="354"/>
      <c r="R504" s="354"/>
      <c r="S504" s="354"/>
      <c r="T504" s="354"/>
      <c r="U504" s="354"/>
      <c r="V504" s="354"/>
      <c r="W504" s="354"/>
      <c r="X504" s="354"/>
      <c r="Y504" s="354"/>
      <c r="Z504" s="354"/>
    </row>
    <row r="505" customFormat="false" ht="15" hidden="false" customHeight="true" outlineLevel="0" collapsed="false">
      <c r="A505" s="354"/>
      <c r="B505" s="354"/>
      <c r="C505" s="354"/>
      <c r="D505" s="354"/>
      <c r="E505" s="354"/>
      <c r="F505" s="354"/>
      <c r="G505" s="354"/>
      <c r="H505" s="354"/>
      <c r="I505" s="354"/>
      <c r="J505" s="354"/>
      <c r="K505" s="354"/>
      <c r="L505" s="354"/>
      <c r="M505" s="354"/>
      <c r="N505" s="354"/>
      <c r="O505" s="354"/>
      <c r="P505" s="354"/>
      <c r="Q505" s="354"/>
      <c r="R505" s="354"/>
      <c r="S505" s="354"/>
      <c r="T505" s="354"/>
      <c r="U505" s="354"/>
      <c r="V505" s="354"/>
      <c r="W505" s="354"/>
      <c r="X505" s="354"/>
      <c r="Y505" s="354"/>
      <c r="Z505" s="354"/>
    </row>
    <row r="506" customFormat="false" ht="15" hidden="false" customHeight="true" outlineLevel="0" collapsed="false">
      <c r="A506" s="354"/>
      <c r="B506" s="354"/>
      <c r="C506" s="354"/>
      <c r="D506" s="354"/>
      <c r="E506" s="354"/>
      <c r="F506" s="354"/>
      <c r="G506" s="354"/>
      <c r="H506" s="354"/>
      <c r="I506" s="354"/>
      <c r="J506" s="354"/>
      <c r="K506" s="354"/>
      <c r="L506" s="354"/>
      <c r="M506" s="354"/>
      <c r="N506" s="354"/>
      <c r="O506" s="354"/>
      <c r="P506" s="354"/>
      <c r="Q506" s="354"/>
      <c r="R506" s="354"/>
      <c r="S506" s="354"/>
      <c r="T506" s="354"/>
      <c r="U506" s="354"/>
      <c r="V506" s="354"/>
      <c r="W506" s="354"/>
      <c r="X506" s="354"/>
      <c r="Y506" s="354"/>
      <c r="Z506" s="354"/>
    </row>
    <row r="507" customFormat="false" ht="15" hidden="false" customHeight="true" outlineLevel="0" collapsed="false">
      <c r="A507" s="354"/>
      <c r="B507" s="354"/>
      <c r="C507" s="354"/>
      <c r="D507" s="354"/>
      <c r="E507" s="354"/>
      <c r="F507" s="354"/>
      <c r="G507" s="354"/>
      <c r="H507" s="354"/>
      <c r="I507" s="354"/>
      <c r="J507" s="354"/>
      <c r="K507" s="354"/>
      <c r="L507" s="354"/>
      <c r="M507" s="354"/>
      <c r="N507" s="354"/>
      <c r="O507" s="354"/>
      <c r="P507" s="354"/>
      <c r="Q507" s="354"/>
      <c r="R507" s="354"/>
      <c r="S507" s="354"/>
      <c r="T507" s="354"/>
      <c r="U507" s="354"/>
      <c r="V507" s="354"/>
      <c r="W507" s="354"/>
      <c r="X507" s="354"/>
      <c r="Y507" s="354"/>
      <c r="Z507" s="354"/>
    </row>
    <row r="508" customFormat="false" ht="15" hidden="false" customHeight="true" outlineLevel="0" collapsed="false">
      <c r="A508" s="354"/>
      <c r="B508" s="354"/>
      <c r="C508" s="354"/>
      <c r="D508" s="354"/>
      <c r="E508" s="354"/>
      <c r="F508" s="354"/>
      <c r="G508" s="354"/>
      <c r="H508" s="354"/>
      <c r="I508" s="354"/>
      <c r="J508" s="354"/>
      <c r="K508" s="354"/>
      <c r="L508" s="354"/>
      <c r="M508" s="354"/>
      <c r="N508" s="354"/>
      <c r="O508" s="354"/>
      <c r="P508" s="354"/>
      <c r="Q508" s="354"/>
      <c r="R508" s="354"/>
      <c r="S508" s="354"/>
      <c r="T508" s="354"/>
      <c r="U508" s="354"/>
      <c r="V508" s="354"/>
      <c r="W508" s="354"/>
      <c r="X508" s="354"/>
      <c r="Y508" s="354"/>
      <c r="Z508" s="354"/>
    </row>
    <row r="509" customFormat="false" ht="15" hidden="false" customHeight="true" outlineLevel="0" collapsed="false">
      <c r="A509" s="354"/>
      <c r="B509" s="354"/>
      <c r="C509" s="354"/>
      <c r="D509" s="354"/>
      <c r="E509" s="354"/>
      <c r="F509" s="354"/>
      <c r="G509" s="354"/>
      <c r="H509" s="354"/>
      <c r="I509" s="354"/>
      <c r="J509" s="354"/>
      <c r="K509" s="354"/>
      <c r="L509" s="354"/>
      <c r="M509" s="354"/>
      <c r="N509" s="354"/>
      <c r="O509" s="354"/>
      <c r="P509" s="354"/>
      <c r="Q509" s="354"/>
      <c r="R509" s="354"/>
      <c r="S509" s="354"/>
      <c r="T509" s="354"/>
      <c r="U509" s="354"/>
      <c r="V509" s="354"/>
      <c r="W509" s="354"/>
      <c r="X509" s="354"/>
      <c r="Y509" s="354"/>
      <c r="Z509" s="354"/>
    </row>
    <row r="510" customFormat="false" ht="15" hidden="false" customHeight="true" outlineLevel="0" collapsed="false">
      <c r="A510" s="354"/>
      <c r="B510" s="354"/>
      <c r="C510" s="354"/>
      <c r="D510" s="354"/>
      <c r="E510" s="354"/>
      <c r="F510" s="354"/>
      <c r="G510" s="354"/>
      <c r="H510" s="354"/>
      <c r="I510" s="354"/>
      <c r="J510" s="354"/>
      <c r="K510" s="354"/>
      <c r="L510" s="354"/>
      <c r="M510" s="354"/>
      <c r="N510" s="354"/>
      <c r="O510" s="354"/>
      <c r="P510" s="354"/>
      <c r="Q510" s="354"/>
      <c r="R510" s="354"/>
      <c r="S510" s="354"/>
      <c r="T510" s="354"/>
      <c r="U510" s="354"/>
      <c r="V510" s="354"/>
      <c r="W510" s="354"/>
      <c r="X510" s="354"/>
      <c r="Y510" s="354"/>
      <c r="Z510" s="354"/>
    </row>
    <row r="511" customFormat="false" ht="15" hidden="false" customHeight="true" outlineLevel="0" collapsed="false">
      <c r="A511" s="354"/>
      <c r="B511" s="354"/>
      <c r="C511" s="354"/>
      <c r="D511" s="354"/>
      <c r="E511" s="354"/>
      <c r="F511" s="354"/>
      <c r="G511" s="354"/>
      <c r="H511" s="354"/>
      <c r="I511" s="354"/>
      <c r="J511" s="354"/>
      <c r="K511" s="354"/>
      <c r="L511" s="354"/>
      <c r="M511" s="354"/>
      <c r="N511" s="354"/>
      <c r="O511" s="354"/>
      <c r="P511" s="354"/>
      <c r="Q511" s="354"/>
      <c r="R511" s="354"/>
      <c r="S511" s="354"/>
      <c r="T511" s="354"/>
      <c r="U511" s="354"/>
      <c r="V511" s="354"/>
      <c r="W511" s="354"/>
      <c r="X511" s="354"/>
      <c r="Y511" s="354"/>
      <c r="Z511" s="354"/>
    </row>
    <row r="512" customFormat="false" ht="15" hidden="false" customHeight="true" outlineLevel="0" collapsed="false">
      <c r="A512" s="354"/>
      <c r="B512" s="354"/>
      <c r="C512" s="354"/>
      <c r="D512" s="354"/>
      <c r="E512" s="354"/>
      <c r="F512" s="354"/>
      <c r="G512" s="354"/>
      <c r="H512" s="354"/>
      <c r="I512" s="354"/>
      <c r="J512" s="354"/>
      <c r="K512" s="354"/>
      <c r="L512" s="354"/>
      <c r="M512" s="354"/>
      <c r="N512" s="354"/>
      <c r="O512" s="354"/>
      <c r="P512" s="354"/>
      <c r="Q512" s="354"/>
      <c r="R512" s="354"/>
      <c r="S512" s="354"/>
      <c r="T512" s="354"/>
      <c r="U512" s="354"/>
      <c r="V512" s="354"/>
      <c r="W512" s="354"/>
      <c r="X512" s="354"/>
      <c r="Y512" s="354"/>
      <c r="Z512" s="354"/>
    </row>
    <row r="513" customFormat="false" ht="15" hidden="false" customHeight="true" outlineLevel="0" collapsed="false">
      <c r="A513" s="354"/>
      <c r="B513" s="354"/>
      <c r="C513" s="354"/>
      <c r="D513" s="354"/>
      <c r="E513" s="354"/>
      <c r="F513" s="354"/>
      <c r="G513" s="354"/>
      <c r="H513" s="354"/>
      <c r="I513" s="354"/>
      <c r="J513" s="354"/>
      <c r="K513" s="354"/>
      <c r="L513" s="354"/>
      <c r="M513" s="354"/>
      <c r="N513" s="354"/>
      <c r="O513" s="354"/>
      <c r="P513" s="354"/>
      <c r="Q513" s="354"/>
      <c r="R513" s="354"/>
      <c r="S513" s="354"/>
      <c r="T513" s="354"/>
      <c r="U513" s="354"/>
      <c r="V513" s="354"/>
      <c r="W513" s="354"/>
      <c r="X513" s="354"/>
      <c r="Y513" s="354"/>
      <c r="Z513" s="354"/>
    </row>
    <row r="514" customFormat="false" ht="15" hidden="false" customHeight="true" outlineLevel="0" collapsed="false">
      <c r="A514" s="354"/>
      <c r="B514" s="354"/>
      <c r="C514" s="354"/>
      <c r="D514" s="354"/>
      <c r="E514" s="354"/>
      <c r="F514" s="354"/>
      <c r="G514" s="354"/>
      <c r="H514" s="354"/>
      <c r="I514" s="354"/>
      <c r="J514" s="354"/>
      <c r="K514" s="354"/>
      <c r="L514" s="354"/>
      <c r="M514" s="354"/>
      <c r="N514" s="354"/>
      <c r="O514" s="354"/>
      <c r="P514" s="354"/>
      <c r="Q514" s="354"/>
      <c r="R514" s="354"/>
      <c r="S514" s="354"/>
      <c r="T514" s="354"/>
      <c r="U514" s="354"/>
      <c r="V514" s="354"/>
      <c r="W514" s="354"/>
      <c r="X514" s="354"/>
      <c r="Y514" s="354"/>
      <c r="Z514" s="354"/>
    </row>
    <row r="515" customFormat="false" ht="15" hidden="false" customHeight="true" outlineLevel="0" collapsed="false">
      <c r="A515" s="354"/>
      <c r="B515" s="354"/>
      <c r="C515" s="354"/>
      <c r="D515" s="354"/>
      <c r="E515" s="354"/>
      <c r="F515" s="354"/>
      <c r="G515" s="354"/>
      <c r="H515" s="354"/>
      <c r="I515" s="354"/>
      <c r="J515" s="354"/>
      <c r="K515" s="354"/>
      <c r="L515" s="354"/>
      <c r="M515" s="354"/>
      <c r="N515" s="354"/>
      <c r="O515" s="354"/>
      <c r="P515" s="354"/>
      <c r="Q515" s="354"/>
      <c r="R515" s="354"/>
      <c r="S515" s="354"/>
      <c r="T515" s="354"/>
      <c r="U515" s="354"/>
      <c r="V515" s="354"/>
      <c r="W515" s="354"/>
      <c r="X515" s="354"/>
      <c r="Y515" s="354"/>
      <c r="Z515" s="354"/>
    </row>
    <row r="516" customFormat="false" ht="15" hidden="false" customHeight="true" outlineLevel="0" collapsed="false">
      <c r="A516" s="354"/>
      <c r="B516" s="354"/>
      <c r="C516" s="354"/>
      <c r="D516" s="354"/>
      <c r="E516" s="354"/>
      <c r="F516" s="354"/>
      <c r="G516" s="354"/>
      <c r="H516" s="354"/>
      <c r="I516" s="354"/>
      <c r="J516" s="354"/>
      <c r="K516" s="354"/>
      <c r="L516" s="354"/>
      <c r="M516" s="354"/>
      <c r="N516" s="354"/>
      <c r="O516" s="354"/>
      <c r="P516" s="354"/>
      <c r="Q516" s="354"/>
      <c r="R516" s="354"/>
      <c r="S516" s="354"/>
      <c r="T516" s="354"/>
      <c r="U516" s="354"/>
      <c r="V516" s="354"/>
      <c r="W516" s="354"/>
      <c r="X516" s="354"/>
      <c r="Y516" s="354"/>
      <c r="Z516" s="354"/>
    </row>
    <row r="517" customFormat="false" ht="15" hidden="false" customHeight="true" outlineLevel="0" collapsed="false">
      <c r="A517" s="354"/>
      <c r="B517" s="354"/>
      <c r="C517" s="354"/>
      <c r="D517" s="354"/>
      <c r="E517" s="354"/>
      <c r="F517" s="354"/>
      <c r="G517" s="354"/>
      <c r="H517" s="354"/>
      <c r="I517" s="354"/>
      <c r="J517" s="354"/>
      <c r="K517" s="354"/>
      <c r="L517" s="354"/>
      <c r="M517" s="354"/>
      <c r="N517" s="354"/>
      <c r="O517" s="354"/>
      <c r="P517" s="354"/>
      <c r="Q517" s="354"/>
      <c r="R517" s="354"/>
      <c r="S517" s="354"/>
      <c r="T517" s="354"/>
      <c r="U517" s="354"/>
      <c r="V517" s="354"/>
      <c r="W517" s="354"/>
      <c r="X517" s="354"/>
      <c r="Y517" s="354"/>
      <c r="Z517" s="354"/>
    </row>
    <row r="518" customFormat="false" ht="15" hidden="false" customHeight="true" outlineLevel="0" collapsed="false">
      <c r="A518" s="354"/>
      <c r="B518" s="354"/>
      <c r="C518" s="354"/>
      <c r="D518" s="354"/>
      <c r="E518" s="354"/>
      <c r="F518" s="354"/>
      <c r="G518" s="354"/>
      <c r="H518" s="354"/>
      <c r="I518" s="354"/>
      <c r="J518" s="354"/>
      <c r="K518" s="354"/>
      <c r="L518" s="354"/>
      <c r="M518" s="354"/>
      <c r="N518" s="354"/>
      <c r="O518" s="354"/>
      <c r="P518" s="354"/>
      <c r="Q518" s="354"/>
      <c r="R518" s="354"/>
      <c r="S518" s="354"/>
      <c r="T518" s="354"/>
      <c r="U518" s="354"/>
      <c r="V518" s="354"/>
      <c r="W518" s="354"/>
      <c r="X518" s="354"/>
      <c r="Y518" s="354"/>
      <c r="Z518" s="354"/>
    </row>
    <row r="519" customFormat="false" ht="15" hidden="false" customHeight="true" outlineLevel="0" collapsed="false">
      <c r="A519" s="354"/>
      <c r="B519" s="354"/>
      <c r="C519" s="354"/>
      <c r="D519" s="354"/>
      <c r="E519" s="354"/>
      <c r="F519" s="354"/>
      <c r="G519" s="354"/>
      <c r="H519" s="354"/>
      <c r="I519" s="354"/>
      <c r="J519" s="354"/>
      <c r="K519" s="354"/>
      <c r="L519" s="354"/>
      <c r="M519" s="354"/>
      <c r="N519" s="354"/>
      <c r="O519" s="354"/>
      <c r="P519" s="354"/>
      <c r="Q519" s="354"/>
      <c r="R519" s="354"/>
      <c r="S519" s="354"/>
      <c r="T519" s="354"/>
      <c r="U519" s="354"/>
      <c r="V519" s="354"/>
      <c r="W519" s="354"/>
      <c r="X519" s="354"/>
      <c r="Y519" s="354"/>
      <c r="Z519" s="354"/>
    </row>
    <row r="520" customFormat="false" ht="15" hidden="false" customHeight="true" outlineLevel="0" collapsed="false">
      <c r="A520" s="354"/>
      <c r="B520" s="354"/>
      <c r="C520" s="354"/>
      <c r="D520" s="354"/>
      <c r="E520" s="354"/>
      <c r="F520" s="354"/>
      <c r="G520" s="354"/>
      <c r="H520" s="354"/>
      <c r="I520" s="354"/>
      <c r="J520" s="354"/>
      <c r="K520" s="354"/>
      <c r="L520" s="354"/>
      <c r="M520" s="354"/>
      <c r="N520" s="354"/>
      <c r="O520" s="354"/>
      <c r="P520" s="354"/>
      <c r="Q520" s="354"/>
      <c r="R520" s="354"/>
      <c r="S520" s="354"/>
      <c r="T520" s="354"/>
      <c r="U520" s="354"/>
      <c r="V520" s="354"/>
      <c r="W520" s="354"/>
      <c r="X520" s="354"/>
      <c r="Y520" s="354"/>
      <c r="Z520" s="354"/>
    </row>
    <row r="521" customFormat="false" ht="15" hidden="false" customHeight="true" outlineLevel="0" collapsed="false">
      <c r="A521" s="354"/>
      <c r="B521" s="354"/>
      <c r="C521" s="354"/>
      <c r="D521" s="354"/>
      <c r="E521" s="354"/>
      <c r="F521" s="354"/>
      <c r="G521" s="354"/>
      <c r="H521" s="354"/>
      <c r="I521" s="354"/>
      <c r="J521" s="354"/>
      <c r="K521" s="354"/>
      <c r="L521" s="354"/>
      <c r="M521" s="354"/>
      <c r="N521" s="354"/>
      <c r="O521" s="354"/>
      <c r="P521" s="354"/>
      <c r="Q521" s="354"/>
      <c r="R521" s="354"/>
      <c r="S521" s="354"/>
      <c r="T521" s="354"/>
      <c r="U521" s="354"/>
      <c r="V521" s="354"/>
      <c r="W521" s="354"/>
      <c r="X521" s="354"/>
      <c r="Y521" s="354"/>
      <c r="Z521" s="354"/>
    </row>
    <row r="522" customFormat="false" ht="15" hidden="false" customHeight="true" outlineLevel="0" collapsed="false">
      <c r="A522" s="354"/>
      <c r="B522" s="354"/>
      <c r="C522" s="354"/>
      <c r="D522" s="354"/>
      <c r="E522" s="354"/>
      <c r="F522" s="354"/>
      <c r="G522" s="354"/>
      <c r="H522" s="354"/>
      <c r="I522" s="354"/>
      <c r="J522" s="354"/>
      <c r="K522" s="354"/>
      <c r="L522" s="354"/>
      <c r="M522" s="354"/>
      <c r="N522" s="354"/>
      <c r="O522" s="354"/>
      <c r="P522" s="354"/>
      <c r="Q522" s="354"/>
      <c r="R522" s="354"/>
      <c r="S522" s="354"/>
      <c r="T522" s="354"/>
      <c r="U522" s="354"/>
      <c r="V522" s="354"/>
      <c r="W522" s="354"/>
      <c r="X522" s="354"/>
      <c r="Y522" s="354"/>
      <c r="Z522" s="354"/>
    </row>
    <row r="523" customFormat="false" ht="15" hidden="false" customHeight="true" outlineLevel="0" collapsed="false">
      <c r="A523" s="354"/>
      <c r="B523" s="354"/>
      <c r="C523" s="354"/>
      <c r="D523" s="354"/>
      <c r="E523" s="354"/>
      <c r="F523" s="354"/>
      <c r="G523" s="354"/>
      <c r="H523" s="354"/>
      <c r="I523" s="354"/>
      <c r="J523" s="354"/>
      <c r="K523" s="354"/>
      <c r="L523" s="354"/>
      <c r="M523" s="354"/>
      <c r="N523" s="354"/>
      <c r="O523" s="354"/>
      <c r="P523" s="354"/>
      <c r="Q523" s="354"/>
      <c r="R523" s="354"/>
      <c r="S523" s="354"/>
      <c r="T523" s="354"/>
      <c r="U523" s="354"/>
      <c r="V523" s="354"/>
      <c r="W523" s="354"/>
      <c r="X523" s="354"/>
      <c r="Y523" s="354"/>
      <c r="Z523" s="354"/>
    </row>
    <row r="524" customFormat="false" ht="15" hidden="false" customHeight="true" outlineLevel="0" collapsed="false">
      <c r="A524" s="354"/>
      <c r="B524" s="354"/>
      <c r="C524" s="354"/>
      <c r="D524" s="354"/>
      <c r="E524" s="354"/>
      <c r="F524" s="354"/>
      <c r="G524" s="354"/>
      <c r="H524" s="354"/>
      <c r="I524" s="354"/>
      <c r="J524" s="354"/>
      <c r="K524" s="354"/>
      <c r="L524" s="354"/>
      <c r="M524" s="354"/>
      <c r="N524" s="354"/>
      <c r="O524" s="354"/>
      <c r="P524" s="354"/>
      <c r="Q524" s="354"/>
      <c r="R524" s="354"/>
      <c r="S524" s="354"/>
      <c r="T524" s="354"/>
      <c r="U524" s="354"/>
      <c r="V524" s="354"/>
      <c r="W524" s="354"/>
      <c r="X524" s="354"/>
      <c r="Y524" s="354"/>
      <c r="Z524" s="354"/>
    </row>
    <row r="525" customFormat="false" ht="15" hidden="false" customHeight="true" outlineLevel="0" collapsed="false">
      <c r="A525" s="354"/>
      <c r="B525" s="354"/>
      <c r="C525" s="354"/>
      <c r="D525" s="354"/>
      <c r="E525" s="354"/>
      <c r="F525" s="354"/>
      <c r="G525" s="354"/>
      <c r="H525" s="354"/>
      <c r="I525" s="354"/>
      <c r="J525" s="354"/>
      <c r="K525" s="354"/>
      <c r="L525" s="354"/>
      <c r="M525" s="354"/>
      <c r="N525" s="354"/>
      <c r="O525" s="354"/>
      <c r="P525" s="354"/>
      <c r="Q525" s="354"/>
      <c r="R525" s="354"/>
      <c r="S525" s="354"/>
      <c r="T525" s="354"/>
      <c r="U525" s="354"/>
      <c r="V525" s="354"/>
      <c r="W525" s="354"/>
      <c r="X525" s="354"/>
      <c r="Y525" s="354"/>
      <c r="Z525" s="354"/>
    </row>
    <row r="526" customFormat="false" ht="15" hidden="false" customHeight="true" outlineLevel="0" collapsed="false">
      <c r="A526" s="354"/>
      <c r="B526" s="354"/>
      <c r="C526" s="354"/>
      <c r="D526" s="354"/>
      <c r="E526" s="354"/>
      <c r="F526" s="354"/>
      <c r="G526" s="354"/>
      <c r="H526" s="354"/>
      <c r="I526" s="354"/>
      <c r="J526" s="354"/>
      <c r="K526" s="354"/>
      <c r="L526" s="354"/>
      <c r="M526" s="354"/>
      <c r="N526" s="354"/>
      <c r="O526" s="354"/>
      <c r="P526" s="354"/>
      <c r="Q526" s="354"/>
      <c r="R526" s="354"/>
      <c r="S526" s="354"/>
      <c r="T526" s="354"/>
      <c r="U526" s="354"/>
      <c r="V526" s="354"/>
      <c r="W526" s="354"/>
      <c r="X526" s="354"/>
      <c r="Y526" s="354"/>
      <c r="Z526" s="354"/>
    </row>
    <row r="527" customFormat="false" ht="15" hidden="false" customHeight="true" outlineLevel="0" collapsed="false">
      <c r="A527" s="354"/>
      <c r="B527" s="354"/>
      <c r="C527" s="354"/>
      <c r="D527" s="354"/>
      <c r="E527" s="354"/>
      <c r="F527" s="354"/>
      <c r="G527" s="354"/>
      <c r="H527" s="354"/>
      <c r="I527" s="354"/>
      <c r="J527" s="354"/>
      <c r="K527" s="354"/>
      <c r="L527" s="354"/>
      <c r="M527" s="354"/>
      <c r="N527" s="354"/>
      <c r="O527" s="354"/>
      <c r="P527" s="354"/>
      <c r="Q527" s="354"/>
      <c r="R527" s="354"/>
      <c r="S527" s="354"/>
      <c r="T527" s="354"/>
      <c r="U527" s="354"/>
      <c r="V527" s="354"/>
      <c r="W527" s="354"/>
      <c r="X527" s="354"/>
      <c r="Y527" s="354"/>
      <c r="Z527" s="354"/>
    </row>
    <row r="528" customFormat="false" ht="15" hidden="false" customHeight="true" outlineLevel="0" collapsed="false">
      <c r="A528" s="354"/>
      <c r="B528" s="354"/>
      <c r="C528" s="354"/>
      <c r="D528" s="354"/>
      <c r="E528" s="354"/>
      <c r="F528" s="354"/>
      <c r="G528" s="354"/>
      <c r="H528" s="354"/>
      <c r="I528" s="354"/>
      <c r="J528" s="354"/>
      <c r="K528" s="354"/>
      <c r="L528" s="354"/>
      <c r="M528" s="354"/>
      <c r="N528" s="354"/>
      <c r="O528" s="354"/>
      <c r="P528" s="354"/>
      <c r="Q528" s="354"/>
      <c r="R528" s="354"/>
      <c r="S528" s="354"/>
      <c r="T528" s="354"/>
      <c r="U528" s="354"/>
      <c r="V528" s="354"/>
      <c r="W528" s="354"/>
      <c r="X528" s="354"/>
      <c r="Y528" s="354"/>
      <c r="Z528" s="354"/>
    </row>
    <row r="529" customFormat="false" ht="15" hidden="false" customHeight="true" outlineLevel="0" collapsed="false">
      <c r="A529" s="354"/>
      <c r="B529" s="354"/>
      <c r="C529" s="354"/>
      <c r="D529" s="354"/>
      <c r="E529" s="354"/>
      <c r="F529" s="354"/>
      <c r="G529" s="354"/>
      <c r="H529" s="354"/>
      <c r="I529" s="354"/>
      <c r="J529" s="354"/>
      <c r="K529" s="354"/>
      <c r="L529" s="354"/>
      <c r="M529" s="354"/>
      <c r="N529" s="354"/>
      <c r="O529" s="354"/>
      <c r="P529" s="354"/>
      <c r="Q529" s="354"/>
      <c r="R529" s="354"/>
      <c r="S529" s="354"/>
      <c r="T529" s="354"/>
      <c r="U529" s="354"/>
      <c r="V529" s="354"/>
      <c r="W529" s="354"/>
      <c r="X529" s="354"/>
      <c r="Y529" s="354"/>
      <c r="Z529" s="354"/>
    </row>
    <row r="530" customFormat="false" ht="15" hidden="false" customHeight="true" outlineLevel="0" collapsed="false">
      <c r="A530" s="354"/>
      <c r="B530" s="354"/>
      <c r="C530" s="354"/>
      <c r="D530" s="354"/>
      <c r="E530" s="354"/>
      <c r="F530" s="354"/>
      <c r="G530" s="354"/>
      <c r="H530" s="354"/>
      <c r="I530" s="354"/>
      <c r="J530" s="354"/>
      <c r="K530" s="354"/>
      <c r="L530" s="354"/>
      <c r="M530" s="354"/>
      <c r="N530" s="354"/>
      <c r="O530" s="354"/>
      <c r="P530" s="354"/>
      <c r="Q530" s="354"/>
      <c r="R530" s="354"/>
      <c r="S530" s="354"/>
      <c r="T530" s="354"/>
      <c r="U530" s="354"/>
      <c r="V530" s="354"/>
      <c r="W530" s="354"/>
      <c r="X530" s="354"/>
      <c r="Y530" s="354"/>
      <c r="Z530" s="354"/>
    </row>
    <row r="531" customFormat="false" ht="15" hidden="false" customHeight="true" outlineLevel="0" collapsed="false">
      <c r="A531" s="354"/>
      <c r="B531" s="354"/>
      <c r="C531" s="354"/>
      <c r="D531" s="354"/>
      <c r="E531" s="354"/>
      <c r="F531" s="354"/>
      <c r="G531" s="354"/>
      <c r="H531" s="354"/>
      <c r="I531" s="354"/>
      <c r="J531" s="354"/>
      <c r="K531" s="354"/>
      <c r="L531" s="354"/>
      <c r="M531" s="354"/>
      <c r="N531" s="354"/>
      <c r="O531" s="354"/>
      <c r="P531" s="354"/>
      <c r="Q531" s="354"/>
      <c r="R531" s="354"/>
      <c r="S531" s="354"/>
      <c r="T531" s="354"/>
      <c r="U531" s="354"/>
      <c r="V531" s="354"/>
      <c r="W531" s="354"/>
      <c r="X531" s="354"/>
      <c r="Y531" s="354"/>
      <c r="Z531" s="354"/>
    </row>
    <row r="532" customFormat="false" ht="15" hidden="false" customHeight="true" outlineLevel="0" collapsed="false">
      <c r="A532" s="354"/>
      <c r="B532" s="354"/>
      <c r="C532" s="354"/>
      <c r="D532" s="354"/>
      <c r="E532" s="354"/>
      <c r="F532" s="354"/>
      <c r="G532" s="354"/>
      <c r="H532" s="354"/>
      <c r="I532" s="354"/>
      <c r="J532" s="354"/>
      <c r="K532" s="354"/>
      <c r="L532" s="354"/>
      <c r="M532" s="354"/>
      <c r="N532" s="354"/>
      <c r="O532" s="354"/>
      <c r="P532" s="354"/>
      <c r="Q532" s="354"/>
      <c r="R532" s="354"/>
      <c r="S532" s="354"/>
      <c r="T532" s="354"/>
      <c r="U532" s="354"/>
      <c r="V532" s="354"/>
      <c r="W532" s="354"/>
      <c r="X532" s="354"/>
      <c r="Y532" s="354"/>
      <c r="Z532" s="354"/>
    </row>
    <row r="533" customFormat="false" ht="15" hidden="false" customHeight="true" outlineLevel="0" collapsed="false">
      <c r="A533" s="354"/>
      <c r="B533" s="354"/>
      <c r="C533" s="354"/>
      <c r="D533" s="354"/>
      <c r="E533" s="354"/>
      <c r="F533" s="354"/>
      <c r="G533" s="354"/>
      <c r="H533" s="354"/>
      <c r="I533" s="354"/>
      <c r="J533" s="354"/>
      <c r="K533" s="354"/>
      <c r="L533" s="354"/>
      <c r="M533" s="354"/>
      <c r="N533" s="354"/>
      <c r="O533" s="354"/>
      <c r="P533" s="354"/>
      <c r="Q533" s="354"/>
      <c r="R533" s="354"/>
      <c r="S533" s="354"/>
      <c r="T533" s="354"/>
      <c r="U533" s="354"/>
      <c r="V533" s="354"/>
      <c r="W533" s="354"/>
      <c r="X533" s="354"/>
      <c r="Y533" s="354"/>
      <c r="Z533" s="354"/>
    </row>
    <row r="534" customFormat="false" ht="15" hidden="false" customHeight="true" outlineLevel="0" collapsed="false">
      <c r="A534" s="354"/>
      <c r="B534" s="354"/>
      <c r="C534" s="354"/>
      <c r="D534" s="354"/>
      <c r="E534" s="354"/>
      <c r="F534" s="354"/>
      <c r="G534" s="354"/>
      <c r="H534" s="354"/>
      <c r="I534" s="354"/>
      <c r="J534" s="354"/>
      <c r="K534" s="354"/>
      <c r="L534" s="354"/>
      <c r="M534" s="354"/>
      <c r="N534" s="354"/>
      <c r="O534" s="354"/>
      <c r="P534" s="354"/>
      <c r="Q534" s="354"/>
      <c r="R534" s="354"/>
      <c r="S534" s="354"/>
      <c r="T534" s="354"/>
      <c r="U534" s="354"/>
      <c r="V534" s="354"/>
      <c r="W534" s="354"/>
      <c r="X534" s="354"/>
      <c r="Y534" s="354"/>
      <c r="Z534" s="354"/>
    </row>
    <row r="535" customFormat="false" ht="15" hidden="false" customHeight="true" outlineLevel="0" collapsed="false">
      <c r="A535" s="354"/>
      <c r="B535" s="354"/>
      <c r="C535" s="354"/>
      <c r="D535" s="354"/>
      <c r="E535" s="354"/>
      <c r="F535" s="354"/>
      <c r="G535" s="354"/>
      <c r="H535" s="354"/>
      <c r="I535" s="354"/>
      <c r="J535" s="354"/>
      <c r="K535" s="354"/>
      <c r="L535" s="354"/>
      <c r="M535" s="354"/>
      <c r="N535" s="354"/>
      <c r="O535" s="354"/>
      <c r="P535" s="354"/>
      <c r="Q535" s="354"/>
      <c r="R535" s="354"/>
      <c r="S535" s="354"/>
      <c r="T535" s="354"/>
      <c r="U535" s="354"/>
      <c r="V535" s="354"/>
      <c r="W535" s="354"/>
      <c r="X535" s="354"/>
      <c r="Y535" s="354"/>
      <c r="Z535" s="354"/>
    </row>
    <row r="536" customFormat="false" ht="15" hidden="false" customHeight="true" outlineLevel="0" collapsed="false">
      <c r="A536" s="354"/>
      <c r="B536" s="354"/>
      <c r="C536" s="354"/>
      <c r="D536" s="354"/>
      <c r="E536" s="354"/>
      <c r="F536" s="354"/>
      <c r="G536" s="354"/>
      <c r="H536" s="354"/>
      <c r="I536" s="354"/>
      <c r="J536" s="354"/>
      <c r="K536" s="354"/>
      <c r="L536" s="354"/>
      <c r="M536" s="354"/>
      <c r="N536" s="354"/>
      <c r="O536" s="354"/>
      <c r="P536" s="354"/>
      <c r="Q536" s="354"/>
      <c r="R536" s="354"/>
      <c r="S536" s="354"/>
      <c r="T536" s="354"/>
      <c r="U536" s="354"/>
      <c r="V536" s="354"/>
      <c r="W536" s="354"/>
      <c r="X536" s="354"/>
      <c r="Y536" s="354"/>
      <c r="Z536" s="354"/>
    </row>
    <row r="537" customFormat="false" ht="15" hidden="false" customHeight="true" outlineLevel="0" collapsed="false">
      <c r="A537" s="354"/>
      <c r="B537" s="354"/>
      <c r="C537" s="354"/>
      <c r="D537" s="354"/>
      <c r="E537" s="354"/>
      <c r="F537" s="354"/>
      <c r="G537" s="354"/>
      <c r="H537" s="354"/>
      <c r="I537" s="354"/>
      <c r="J537" s="354"/>
      <c r="K537" s="354"/>
      <c r="L537" s="354"/>
      <c r="M537" s="354"/>
      <c r="N537" s="354"/>
      <c r="O537" s="354"/>
      <c r="P537" s="354"/>
      <c r="Q537" s="354"/>
      <c r="R537" s="354"/>
      <c r="S537" s="354"/>
      <c r="T537" s="354"/>
      <c r="U537" s="354"/>
      <c r="V537" s="354"/>
      <c r="W537" s="354"/>
      <c r="X537" s="354"/>
      <c r="Y537" s="354"/>
      <c r="Z537" s="354"/>
    </row>
    <row r="538" customFormat="false" ht="15" hidden="false" customHeight="true" outlineLevel="0" collapsed="false">
      <c r="A538" s="354"/>
      <c r="B538" s="354"/>
      <c r="C538" s="354"/>
      <c r="D538" s="354"/>
      <c r="E538" s="354"/>
      <c r="F538" s="354"/>
      <c r="G538" s="354"/>
      <c r="H538" s="354"/>
      <c r="I538" s="354"/>
      <c r="J538" s="354"/>
      <c r="K538" s="354"/>
      <c r="L538" s="354"/>
      <c r="M538" s="354"/>
      <c r="N538" s="354"/>
      <c r="O538" s="354"/>
      <c r="P538" s="354"/>
      <c r="Q538" s="354"/>
      <c r="R538" s="354"/>
      <c r="S538" s="354"/>
      <c r="T538" s="354"/>
      <c r="U538" s="354"/>
      <c r="V538" s="354"/>
      <c r="W538" s="354"/>
      <c r="X538" s="354"/>
      <c r="Y538" s="354"/>
      <c r="Z538" s="354"/>
    </row>
    <row r="539" customFormat="false" ht="15" hidden="false" customHeight="true" outlineLevel="0" collapsed="false">
      <c r="A539" s="354"/>
      <c r="B539" s="354"/>
      <c r="C539" s="354"/>
      <c r="D539" s="354"/>
      <c r="E539" s="354"/>
      <c r="F539" s="354"/>
      <c r="G539" s="354"/>
      <c r="H539" s="354"/>
      <c r="I539" s="354"/>
      <c r="J539" s="354"/>
      <c r="K539" s="354"/>
      <c r="L539" s="354"/>
      <c r="M539" s="354"/>
      <c r="N539" s="354"/>
      <c r="O539" s="354"/>
      <c r="P539" s="354"/>
      <c r="Q539" s="354"/>
      <c r="R539" s="354"/>
      <c r="S539" s="354"/>
      <c r="T539" s="354"/>
      <c r="U539" s="354"/>
      <c r="V539" s="354"/>
      <c r="W539" s="354"/>
      <c r="X539" s="354"/>
      <c r="Y539" s="354"/>
      <c r="Z539" s="354"/>
    </row>
    <row r="540" customFormat="false" ht="15" hidden="false" customHeight="true" outlineLevel="0" collapsed="false">
      <c r="A540" s="354"/>
      <c r="B540" s="354"/>
      <c r="C540" s="354"/>
      <c r="D540" s="354"/>
      <c r="E540" s="354"/>
      <c r="F540" s="354"/>
      <c r="G540" s="354"/>
      <c r="H540" s="354"/>
      <c r="I540" s="354"/>
      <c r="J540" s="354"/>
      <c r="K540" s="354"/>
      <c r="L540" s="354"/>
      <c r="M540" s="354"/>
      <c r="N540" s="354"/>
      <c r="O540" s="354"/>
      <c r="P540" s="354"/>
      <c r="Q540" s="354"/>
      <c r="R540" s="354"/>
      <c r="S540" s="354"/>
      <c r="T540" s="354"/>
      <c r="U540" s="354"/>
      <c r="V540" s="354"/>
      <c r="W540" s="354"/>
      <c r="X540" s="354"/>
      <c r="Y540" s="354"/>
      <c r="Z540" s="354"/>
    </row>
    <row r="541" customFormat="false" ht="15" hidden="false" customHeight="true" outlineLevel="0" collapsed="false">
      <c r="A541" s="354"/>
      <c r="B541" s="354"/>
      <c r="C541" s="354"/>
      <c r="D541" s="354"/>
      <c r="E541" s="354"/>
      <c r="F541" s="354"/>
      <c r="G541" s="354"/>
      <c r="H541" s="354"/>
      <c r="I541" s="354"/>
      <c r="J541" s="354"/>
      <c r="K541" s="354"/>
      <c r="L541" s="354"/>
      <c r="M541" s="354"/>
      <c r="N541" s="354"/>
      <c r="O541" s="354"/>
      <c r="P541" s="354"/>
      <c r="Q541" s="354"/>
      <c r="R541" s="354"/>
      <c r="S541" s="354"/>
      <c r="T541" s="354"/>
      <c r="U541" s="354"/>
      <c r="V541" s="354"/>
      <c r="W541" s="354"/>
      <c r="X541" s="354"/>
      <c r="Y541" s="354"/>
      <c r="Z541" s="354"/>
    </row>
    <row r="542" customFormat="false" ht="15" hidden="false" customHeight="true" outlineLevel="0" collapsed="false">
      <c r="A542" s="354"/>
      <c r="B542" s="354"/>
      <c r="C542" s="354"/>
      <c r="D542" s="354"/>
      <c r="E542" s="354"/>
      <c r="F542" s="354"/>
      <c r="G542" s="354"/>
      <c r="H542" s="354"/>
      <c r="I542" s="354"/>
      <c r="J542" s="354"/>
      <c r="K542" s="354"/>
      <c r="L542" s="354"/>
      <c r="M542" s="354"/>
      <c r="N542" s="354"/>
      <c r="O542" s="354"/>
      <c r="P542" s="354"/>
      <c r="Q542" s="354"/>
      <c r="R542" s="354"/>
      <c r="S542" s="354"/>
      <c r="T542" s="354"/>
      <c r="U542" s="354"/>
      <c r="V542" s="354"/>
      <c r="W542" s="354"/>
      <c r="X542" s="354"/>
      <c r="Y542" s="354"/>
      <c r="Z542" s="354"/>
    </row>
    <row r="543" customFormat="false" ht="15" hidden="false" customHeight="true" outlineLevel="0" collapsed="false">
      <c r="A543" s="354"/>
      <c r="B543" s="354"/>
      <c r="C543" s="354"/>
      <c r="D543" s="354"/>
      <c r="E543" s="354"/>
      <c r="F543" s="354"/>
      <c r="G543" s="354"/>
      <c r="H543" s="354"/>
      <c r="I543" s="354"/>
      <c r="J543" s="354"/>
      <c r="K543" s="354"/>
      <c r="L543" s="354"/>
      <c r="M543" s="354"/>
      <c r="N543" s="354"/>
      <c r="O543" s="354"/>
      <c r="P543" s="354"/>
      <c r="Q543" s="354"/>
      <c r="R543" s="354"/>
      <c r="S543" s="354"/>
      <c r="T543" s="354"/>
      <c r="U543" s="354"/>
      <c r="V543" s="354"/>
      <c r="W543" s="354"/>
      <c r="X543" s="354"/>
      <c r="Y543" s="354"/>
      <c r="Z543" s="354"/>
    </row>
    <row r="544" customFormat="false" ht="15" hidden="false" customHeight="true" outlineLevel="0" collapsed="false">
      <c r="A544" s="354"/>
      <c r="B544" s="354"/>
      <c r="C544" s="354"/>
      <c r="D544" s="354"/>
      <c r="E544" s="354"/>
      <c r="F544" s="354"/>
      <c r="G544" s="354"/>
      <c r="H544" s="354"/>
      <c r="I544" s="354"/>
      <c r="J544" s="354"/>
      <c r="K544" s="354"/>
      <c r="L544" s="354"/>
      <c r="M544" s="354"/>
      <c r="N544" s="354"/>
      <c r="O544" s="354"/>
      <c r="P544" s="354"/>
      <c r="Q544" s="354"/>
      <c r="R544" s="354"/>
      <c r="S544" s="354"/>
      <c r="T544" s="354"/>
      <c r="U544" s="354"/>
      <c r="V544" s="354"/>
      <c r="W544" s="354"/>
      <c r="X544" s="354"/>
      <c r="Y544" s="354"/>
      <c r="Z544" s="354"/>
    </row>
    <row r="545" customFormat="false" ht="15" hidden="false" customHeight="true" outlineLevel="0" collapsed="false">
      <c r="A545" s="354"/>
      <c r="B545" s="354"/>
      <c r="C545" s="354"/>
      <c r="D545" s="354"/>
      <c r="E545" s="354"/>
      <c r="F545" s="354"/>
      <c r="G545" s="354"/>
      <c r="H545" s="354"/>
      <c r="I545" s="354"/>
      <c r="J545" s="354"/>
      <c r="K545" s="354"/>
      <c r="L545" s="354"/>
      <c r="M545" s="354"/>
      <c r="N545" s="354"/>
      <c r="O545" s="354"/>
      <c r="P545" s="354"/>
      <c r="Q545" s="354"/>
      <c r="R545" s="354"/>
      <c r="S545" s="354"/>
      <c r="T545" s="354"/>
      <c r="U545" s="354"/>
      <c r="V545" s="354"/>
      <c r="W545" s="354"/>
      <c r="X545" s="354"/>
      <c r="Y545" s="354"/>
      <c r="Z545" s="354"/>
    </row>
    <row r="546" customFormat="false" ht="15" hidden="false" customHeight="true" outlineLevel="0" collapsed="false">
      <c r="A546" s="354"/>
      <c r="B546" s="354"/>
      <c r="C546" s="354"/>
      <c r="D546" s="354"/>
      <c r="E546" s="354"/>
      <c r="F546" s="354"/>
      <c r="G546" s="354"/>
      <c r="H546" s="354"/>
      <c r="I546" s="354"/>
      <c r="J546" s="354"/>
      <c r="K546" s="354"/>
      <c r="L546" s="354"/>
      <c r="M546" s="354"/>
      <c r="N546" s="354"/>
      <c r="O546" s="354"/>
      <c r="P546" s="354"/>
      <c r="Q546" s="354"/>
      <c r="R546" s="354"/>
      <c r="S546" s="354"/>
      <c r="T546" s="354"/>
      <c r="U546" s="354"/>
      <c r="V546" s="354"/>
      <c r="W546" s="354"/>
      <c r="X546" s="354"/>
      <c r="Y546" s="354"/>
      <c r="Z546" s="354"/>
    </row>
    <row r="547" customFormat="false" ht="15" hidden="false" customHeight="true" outlineLevel="0" collapsed="false">
      <c r="A547" s="354"/>
      <c r="B547" s="354"/>
      <c r="C547" s="354"/>
      <c r="D547" s="354"/>
      <c r="E547" s="354"/>
      <c r="F547" s="354"/>
      <c r="G547" s="354"/>
      <c r="H547" s="354"/>
      <c r="I547" s="354"/>
      <c r="J547" s="354"/>
      <c r="K547" s="354"/>
      <c r="L547" s="354"/>
      <c r="M547" s="354"/>
      <c r="N547" s="354"/>
      <c r="O547" s="354"/>
      <c r="P547" s="354"/>
      <c r="Q547" s="354"/>
      <c r="R547" s="354"/>
      <c r="S547" s="354"/>
      <c r="T547" s="354"/>
      <c r="U547" s="354"/>
      <c r="V547" s="354"/>
      <c r="W547" s="354"/>
      <c r="X547" s="354"/>
      <c r="Y547" s="354"/>
      <c r="Z547" s="354"/>
    </row>
    <row r="548" customFormat="false" ht="15" hidden="false" customHeight="true" outlineLevel="0" collapsed="false">
      <c r="A548" s="354"/>
      <c r="B548" s="354"/>
      <c r="C548" s="354"/>
      <c r="D548" s="354"/>
      <c r="E548" s="354"/>
      <c r="F548" s="354"/>
      <c r="G548" s="354"/>
      <c r="H548" s="354"/>
      <c r="I548" s="354"/>
      <c r="J548" s="354"/>
      <c r="K548" s="354"/>
      <c r="L548" s="354"/>
      <c r="M548" s="354"/>
      <c r="N548" s="354"/>
      <c r="O548" s="354"/>
      <c r="P548" s="354"/>
      <c r="Q548" s="354"/>
      <c r="R548" s="354"/>
      <c r="S548" s="354"/>
      <c r="T548" s="354"/>
      <c r="U548" s="354"/>
      <c r="V548" s="354"/>
      <c r="W548" s="354"/>
      <c r="X548" s="354"/>
      <c r="Y548" s="354"/>
      <c r="Z548" s="354"/>
    </row>
    <row r="549" customFormat="false" ht="15" hidden="false" customHeight="true" outlineLevel="0" collapsed="false">
      <c r="A549" s="354"/>
      <c r="B549" s="354"/>
      <c r="C549" s="354"/>
      <c r="D549" s="354"/>
      <c r="E549" s="354"/>
      <c r="F549" s="354"/>
      <c r="G549" s="354"/>
      <c r="H549" s="354"/>
      <c r="I549" s="354"/>
      <c r="J549" s="354"/>
      <c r="K549" s="354"/>
      <c r="L549" s="354"/>
      <c r="M549" s="354"/>
      <c r="N549" s="354"/>
      <c r="O549" s="354"/>
      <c r="P549" s="354"/>
      <c r="Q549" s="354"/>
      <c r="R549" s="354"/>
      <c r="S549" s="354"/>
      <c r="T549" s="354"/>
      <c r="U549" s="354"/>
      <c r="V549" s="354"/>
      <c r="W549" s="354"/>
      <c r="X549" s="354"/>
      <c r="Y549" s="354"/>
      <c r="Z549" s="354"/>
    </row>
    <row r="550" customFormat="false" ht="15" hidden="false" customHeight="true" outlineLevel="0" collapsed="false">
      <c r="A550" s="354"/>
      <c r="B550" s="354"/>
      <c r="C550" s="354"/>
      <c r="D550" s="354"/>
      <c r="E550" s="354"/>
      <c r="F550" s="354"/>
      <c r="G550" s="354"/>
      <c r="H550" s="354"/>
      <c r="I550" s="354"/>
      <c r="J550" s="354"/>
      <c r="K550" s="354"/>
      <c r="L550" s="354"/>
      <c r="M550" s="354"/>
      <c r="N550" s="354"/>
      <c r="O550" s="354"/>
      <c r="P550" s="354"/>
      <c r="Q550" s="354"/>
      <c r="R550" s="354"/>
      <c r="S550" s="354"/>
      <c r="T550" s="354"/>
      <c r="U550" s="354"/>
      <c r="V550" s="354"/>
      <c r="W550" s="354"/>
      <c r="X550" s="354"/>
      <c r="Y550" s="354"/>
      <c r="Z550" s="354"/>
    </row>
    <row r="551" customFormat="false" ht="15" hidden="false" customHeight="true" outlineLevel="0" collapsed="false">
      <c r="A551" s="354"/>
      <c r="B551" s="354"/>
      <c r="C551" s="354"/>
      <c r="D551" s="354"/>
      <c r="E551" s="354"/>
      <c r="F551" s="354"/>
      <c r="G551" s="354"/>
      <c r="H551" s="354"/>
      <c r="I551" s="354"/>
      <c r="J551" s="354"/>
      <c r="K551" s="354"/>
      <c r="L551" s="354"/>
      <c r="M551" s="354"/>
      <c r="N551" s="354"/>
      <c r="O551" s="354"/>
      <c r="P551" s="354"/>
      <c r="Q551" s="354"/>
      <c r="R551" s="354"/>
      <c r="S551" s="354"/>
      <c r="T551" s="354"/>
      <c r="U551" s="354"/>
      <c r="V551" s="354"/>
      <c r="W551" s="354"/>
      <c r="X551" s="354"/>
      <c r="Y551" s="354"/>
      <c r="Z551" s="354"/>
    </row>
    <row r="552" customFormat="false" ht="15" hidden="false" customHeight="true" outlineLevel="0" collapsed="false">
      <c r="A552" s="354"/>
      <c r="B552" s="354"/>
      <c r="C552" s="354"/>
      <c r="D552" s="354"/>
      <c r="E552" s="354"/>
      <c r="F552" s="354"/>
      <c r="G552" s="354"/>
      <c r="H552" s="354"/>
      <c r="I552" s="354"/>
      <c r="J552" s="354"/>
      <c r="K552" s="354"/>
      <c r="L552" s="354"/>
      <c r="M552" s="354"/>
      <c r="N552" s="354"/>
      <c r="O552" s="354"/>
      <c r="P552" s="354"/>
      <c r="Q552" s="354"/>
      <c r="R552" s="354"/>
      <c r="S552" s="354"/>
      <c r="T552" s="354"/>
      <c r="U552" s="354"/>
      <c r="V552" s="354"/>
      <c r="W552" s="354"/>
      <c r="X552" s="354"/>
      <c r="Y552" s="354"/>
      <c r="Z552" s="354"/>
    </row>
    <row r="553" customFormat="false" ht="15" hidden="false" customHeight="true" outlineLevel="0" collapsed="false">
      <c r="A553" s="354"/>
      <c r="B553" s="354"/>
      <c r="C553" s="354"/>
      <c r="D553" s="354"/>
      <c r="E553" s="354"/>
      <c r="F553" s="354"/>
      <c r="G553" s="354"/>
      <c r="H553" s="354"/>
      <c r="I553" s="354"/>
      <c r="J553" s="354"/>
      <c r="K553" s="354"/>
      <c r="L553" s="354"/>
      <c r="M553" s="354"/>
      <c r="N553" s="354"/>
      <c r="O553" s="354"/>
      <c r="P553" s="354"/>
      <c r="Q553" s="354"/>
      <c r="R553" s="354"/>
      <c r="S553" s="354"/>
      <c r="T553" s="354"/>
      <c r="U553" s="354"/>
      <c r="V553" s="354"/>
      <c r="W553" s="354"/>
      <c r="X553" s="354"/>
      <c r="Y553" s="354"/>
      <c r="Z553" s="354"/>
    </row>
    <row r="554" customFormat="false" ht="15" hidden="false" customHeight="true" outlineLevel="0" collapsed="false">
      <c r="A554" s="354"/>
      <c r="B554" s="354"/>
      <c r="C554" s="354"/>
      <c r="D554" s="354"/>
      <c r="E554" s="354"/>
      <c r="F554" s="354"/>
      <c r="G554" s="354"/>
      <c r="H554" s="354"/>
      <c r="I554" s="354"/>
      <c r="J554" s="354"/>
      <c r="K554" s="354"/>
      <c r="L554" s="354"/>
      <c r="M554" s="354"/>
      <c r="N554" s="354"/>
      <c r="O554" s="354"/>
      <c r="P554" s="354"/>
      <c r="Q554" s="354"/>
      <c r="R554" s="354"/>
      <c r="S554" s="354"/>
      <c r="T554" s="354"/>
      <c r="U554" s="354"/>
      <c r="V554" s="354"/>
      <c r="W554" s="354"/>
      <c r="X554" s="354"/>
      <c r="Y554" s="354"/>
      <c r="Z554" s="354"/>
    </row>
    <row r="555" customFormat="false" ht="15" hidden="false" customHeight="true" outlineLevel="0" collapsed="false">
      <c r="A555" s="354"/>
      <c r="B555" s="354"/>
      <c r="C555" s="354"/>
      <c r="D555" s="354"/>
      <c r="E555" s="354"/>
      <c r="F555" s="354"/>
      <c r="G555" s="354"/>
      <c r="H555" s="354"/>
      <c r="I555" s="354"/>
      <c r="J555" s="354"/>
      <c r="K555" s="354"/>
      <c r="L555" s="354"/>
      <c r="M555" s="354"/>
      <c r="N555" s="354"/>
      <c r="O555" s="354"/>
      <c r="P555" s="354"/>
      <c r="Q555" s="354"/>
      <c r="R555" s="354"/>
      <c r="S555" s="354"/>
      <c r="T555" s="354"/>
      <c r="U555" s="354"/>
      <c r="V555" s="354"/>
      <c r="W555" s="354"/>
      <c r="X555" s="354"/>
      <c r="Y555" s="354"/>
      <c r="Z555" s="354"/>
    </row>
    <row r="556" customFormat="false" ht="15" hidden="false" customHeight="true" outlineLevel="0" collapsed="false">
      <c r="A556" s="354"/>
      <c r="B556" s="354"/>
      <c r="C556" s="354"/>
      <c r="D556" s="354"/>
      <c r="E556" s="354"/>
      <c r="F556" s="354"/>
      <c r="G556" s="354"/>
      <c r="H556" s="354"/>
      <c r="I556" s="354"/>
      <c r="J556" s="354"/>
      <c r="K556" s="354"/>
      <c r="L556" s="354"/>
      <c r="M556" s="354"/>
      <c r="N556" s="354"/>
      <c r="O556" s="354"/>
      <c r="P556" s="354"/>
      <c r="Q556" s="354"/>
      <c r="R556" s="354"/>
      <c r="S556" s="354"/>
      <c r="T556" s="354"/>
      <c r="U556" s="354"/>
      <c r="V556" s="354"/>
      <c r="W556" s="354"/>
      <c r="X556" s="354"/>
      <c r="Y556" s="354"/>
      <c r="Z556" s="354"/>
    </row>
    <row r="557" customFormat="false" ht="15" hidden="false" customHeight="true" outlineLevel="0" collapsed="false">
      <c r="A557" s="354"/>
      <c r="B557" s="354"/>
      <c r="C557" s="354"/>
      <c r="D557" s="354"/>
      <c r="E557" s="354"/>
      <c r="F557" s="354"/>
      <c r="G557" s="354"/>
      <c r="H557" s="354"/>
      <c r="I557" s="354"/>
      <c r="J557" s="354"/>
      <c r="K557" s="354"/>
      <c r="L557" s="354"/>
      <c r="M557" s="354"/>
      <c r="N557" s="354"/>
      <c r="O557" s="354"/>
      <c r="P557" s="354"/>
      <c r="Q557" s="354"/>
      <c r="R557" s="354"/>
      <c r="S557" s="354"/>
      <c r="T557" s="354"/>
      <c r="U557" s="354"/>
      <c r="V557" s="354"/>
      <c r="W557" s="354"/>
      <c r="X557" s="354"/>
      <c r="Y557" s="354"/>
      <c r="Z557" s="354"/>
    </row>
    <row r="558" customFormat="false" ht="15" hidden="false" customHeight="true" outlineLevel="0" collapsed="false">
      <c r="A558" s="354"/>
      <c r="B558" s="354"/>
      <c r="C558" s="354"/>
      <c r="D558" s="354"/>
      <c r="E558" s="354"/>
      <c r="F558" s="354"/>
      <c r="G558" s="354"/>
      <c r="H558" s="354"/>
      <c r="I558" s="354"/>
      <c r="J558" s="354"/>
      <c r="K558" s="354"/>
      <c r="L558" s="354"/>
      <c r="M558" s="354"/>
      <c r="N558" s="354"/>
      <c r="O558" s="354"/>
      <c r="P558" s="354"/>
      <c r="Q558" s="354"/>
      <c r="R558" s="354"/>
      <c r="S558" s="354"/>
      <c r="T558" s="354"/>
      <c r="U558" s="354"/>
      <c r="V558" s="354"/>
      <c r="W558" s="354"/>
      <c r="X558" s="354"/>
      <c r="Y558" s="354"/>
      <c r="Z558" s="354"/>
    </row>
    <row r="559" customFormat="false" ht="15" hidden="false" customHeight="true" outlineLevel="0" collapsed="false">
      <c r="A559" s="354"/>
      <c r="B559" s="354"/>
      <c r="C559" s="354"/>
      <c r="D559" s="354"/>
      <c r="E559" s="354"/>
      <c r="F559" s="354"/>
      <c r="G559" s="354"/>
      <c r="H559" s="354"/>
      <c r="I559" s="354"/>
      <c r="J559" s="354"/>
      <c r="K559" s="354"/>
      <c r="L559" s="354"/>
      <c r="M559" s="354"/>
      <c r="N559" s="354"/>
      <c r="O559" s="354"/>
      <c r="P559" s="354"/>
      <c r="Q559" s="354"/>
      <c r="R559" s="354"/>
      <c r="S559" s="354"/>
      <c r="T559" s="354"/>
      <c r="U559" s="354"/>
      <c r="V559" s="354"/>
      <c r="W559" s="354"/>
      <c r="X559" s="354"/>
      <c r="Y559" s="354"/>
      <c r="Z559" s="354"/>
    </row>
    <row r="560" customFormat="false" ht="15" hidden="false" customHeight="true" outlineLevel="0" collapsed="false">
      <c r="A560" s="354"/>
      <c r="B560" s="354"/>
      <c r="C560" s="354"/>
      <c r="D560" s="354"/>
      <c r="E560" s="354"/>
      <c r="F560" s="354"/>
      <c r="G560" s="354"/>
      <c r="H560" s="354"/>
      <c r="I560" s="354"/>
      <c r="J560" s="354"/>
      <c r="K560" s="354"/>
      <c r="L560" s="354"/>
      <c r="M560" s="354"/>
      <c r="N560" s="354"/>
      <c r="O560" s="354"/>
      <c r="P560" s="354"/>
      <c r="Q560" s="354"/>
      <c r="R560" s="354"/>
      <c r="S560" s="354"/>
      <c r="T560" s="354"/>
      <c r="U560" s="354"/>
      <c r="V560" s="354"/>
      <c r="W560" s="354"/>
      <c r="X560" s="354"/>
      <c r="Y560" s="354"/>
      <c r="Z560" s="354"/>
    </row>
    <row r="561" customFormat="false" ht="15" hidden="false" customHeight="true" outlineLevel="0" collapsed="false">
      <c r="A561" s="354"/>
      <c r="B561" s="354"/>
      <c r="C561" s="354"/>
      <c r="D561" s="354"/>
      <c r="E561" s="354"/>
      <c r="F561" s="354"/>
      <c r="G561" s="354"/>
      <c r="H561" s="354"/>
      <c r="I561" s="354"/>
      <c r="J561" s="354"/>
      <c r="K561" s="354"/>
      <c r="L561" s="354"/>
      <c r="M561" s="354"/>
      <c r="N561" s="354"/>
      <c r="O561" s="354"/>
      <c r="P561" s="354"/>
      <c r="Q561" s="354"/>
      <c r="R561" s="354"/>
      <c r="S561" s="354"/>
      <c r="T561" s="354"/>
      <c r="U561" s="354"/>
      <c r="V561" s="354"/>
      <c r="W561" s="354"/>
      <c r="X561" s="354"/>
      <c r="Y561" s="354"/>
      <c r="Z561" s="354"/>
    </row>
    <row r="562" customFormat="false" ht="15" hidden="false" customHeight="true" outlineLevel="0" collapsed="false">
      <c r="A562" s="354"/>
      <c r="B562" s="354"/>
      <c r="C562" s="354"/>
      <c r="D562" s="354"/>
      <c r="E562" s="354"/>
      <c r="F562" s="354"/>
      <c r="G562" s="354"/>
      <c r="H562" s="354"/>
      <c r="I562" s="354"/>
      <c r="J562" s="354"/>
      <c r="K562" s="354"/>
      <c r="L562" s="354"/>
      <c r="M562" s="354"/>
      <c r="N562" s="354"/>
      <c r="O562" s="354"/>
      <c r="P562" s="354"/>
      <c r="Q562" s="354"/>
      <c r="R562" s="354"/>
      <c r="S562" s="354"/>
      <c r="T562" s="354"/>
      <c r="U562" s="354"/>
      <c r="V562" s="354"/>
      <c r="W562" s="354"/>
      <c r="X562" s="354"/>
      <c r="Y562" s="354"/>
      <c r="Z562" s="354"/>
    </row>
    <row r="563" customFormat="false" ht="15" hidden="false" customHeight="true" outlineLevel="0" collapsed="false">
      <c r="A563" s="354"/>
      <c r="B563" s="354"/>
      <c r="C563" s="354"/>
      <c r="D563" s="354"/>
      <c r="E563" s="354"/>
      <c r="F563" s="354"/>
      <c r="G563" s="354"/>
      <c r="H563" s="354"/>
      <c r="I563" s="354"/>
      <c r="J563" s="354"/>
      <c r="K563" s="354"/>
      <c r="L563" s="354"/>
      <c r="M563" s="354"/>
      <c r="N563" s="354"/>
      <c r="O563" s="354"/>
      <c r="P563" s="354"/>
      <c r="Q563" s="354"/>
      <c r="R563" s="354"/>
      <c r="S563" s="354"/>
      <c r="T563" s="354"/>
      <c r="U563" s="354"/>
      <c r="V563" s="354"/>
      <c r="W563" s="354"/>
      <c r="X563" s="354"/>
      <c r="Y563" s="354"/>
      <c r="Z563" s="354"/>
    </row>
    <row r="564" customFormat="false" ht="15" hidden="false" customHeight="true" outlineLevel="0" collapsed="false">
      <c r="A564" s="354"/>
      <c r="B564" s="354"/>
      <c r="C564" s="354"/>
      <c r="D564" s="354"/>
      <c r="E564" s="354"/>
      <c r="F564" s="354"/>
      <c r="G564" s="354"/>
      <c r="H564" s="354"/>
      <c r="I564" s="354"/>
      <c r="J564" s="354"/>
      <c r="K564" s="354"/>
      <c r="L564" s="354"/>
      <c r="M564" s="354"/>
      <c r="N564" s="354"/>
      <c r="O564" s="354"/>
      <c r="P564" s="354"/>
      <c r="Q564" s="354"/>
      <c r="R564" s="354"/>
      <c r="S564" s="354"/>
      <c r="T564" s="354"/>
      <c r="U564" s="354"/>
      <c r="V564" s="354"/>
      <c r="W564" s="354"/>
      <c r="X564" s="354"/>
      <c r="Y564" s="354"/>
      <c r="Z564" s="354"/>
    </row>
    <row r="565" customFormat="false" ht="15" hidden="false" customHeight="true" outlineLevel="0" collapsed="false">
      <c r="A565" s="354"/>
      <c r="B565" s="354"/>
      <c r="C565" s="354"/>
      <c r="D565" s="354"/>
      <c r="E565" s="354"/>
      <c r="F565" s="354"/>
      <c r="G565" s="354"/>
      <c r="H565" s="354"/>
      <c r="I565" s="354"/>
      <c r="J565" s="354"/>
      <c r="K565" s="354"/>
      <c r="L565" s="354"/>
      <c r="M565" s="354"/>
      <c r="N565" s="354"/>
      <c r="O565" s="354"/>
      <c r="P565" s="354"/>
      <c r="Q565" s="354"/>
      <c r="R565" s="354"/>
      <c r="S565" s="354"/>
      <c r="T565" s="354"/>
      <c r="U565" s="354"/>
      <c r="V565" s="354"/>
      <c r="W565" s="354"/>
      <c r="X565" s="354"/>
      <c r="Y565" s="354"/>
      <c r="Z565" s="354"/>
    </row>
    <row r="566" customFormat="false" ht="15" hidden="false" customHeight="true" outlineLevel="0" collapsed="false">
      <c r="A566" s="354"/>
      <c r="B566" s="354"/>
      <c r="C566" s="354"/>
      <c r="D566" s="354"/>
      <c r="E566" s="354"/>
      <c r="F566" s="354"/>
      <c r="G566" s="354"/>
      <c r="H566" s="354"/>
      <c r="I566" s="354"/>
      <c r="J566" s="354"/>
      <c r="K566" s="354"/>
      <c r="L566" s="354"/>
      <c r="M566" s="354"/>
      <c r="N566" s="354"/>
      <c r="O566" s="354"/>
      <c r="P566" s="354"/>
      <c r="Q566" s="354"/>
      <c r="R566" s="354"/>
      <c r="S566" s="354"/>
      <c r="T566" s="354"/>
      <c r="U566" s="354"/>
      <c r="V566" s="354"/>
      <c r="W566" s="354"/>
      <c r="X566" s="354"/>
      <c r="Y566" s="354"/>
      <c r="Z566" s="354"/>
    </row>
    <row r="567" customFormat="false" ht="15" hidden="false" customHeight="true" outlineLevel="0" collapsed="false">
      <c r="A567" s="354"/>
      <c r="B567" s="354"/>
      <c r="C567" s="354"/>
      <c r="D567" s="354"/>
      <c r="E567" s="354"/>
      <c r="F567" s="354"/>
      <c r="G567" s="354"/>
      <c r="H567" s="354"/>
      <c r="I567" s="354"/>
      <c r="J567" s="354"/>
      <c r="K567" s="354"/>
      <c r="L567" s="354"/>
      <c r="M567" s="354"/>
      <c r="N567" s="354"/>
      <c r="O567" s="354"/>
      <c r="P567" s="354"/>
      <c r="Q567" s="354"/>
      <c r="R567" s="354"/>
      <c r="S567" s="354"/>
      <c r="T567" s="354"/>
      <c r="U567" s="354"/>
      <c r="V567" s="354"/>
      <c r="W567" s="354"/>
      <c r="X567" s="354"/>
      <c r="Y567" s="354"/>
      <c r="Z567" s="354"/>
    </row>
    <row r="568" customFormat="false" ht="15" hidden="false" customHeight="true" outlineLevel="0" collapsed="false">
      <c r="A568" s="354"/>
      <c r="B568" s="354"/>
      <c r="C568" s="354"/>
      <c r="D568" s="354"/>
      <c r="E568" s="354"/>
      <c r="F568" s="354"/>
      <c r="G568" s="354"/>
      <c r="H568" s="354"/>
      <c r="I568" s="354"/>
      <c r="J568" s="354"/>
      <c r="K568" s="354"/>
      <c r="L568" s="354"/>
      <c r="M568" s="354"/>
      <c r="N568" s="354"/>
      <c r="O568" s="354"/>
      <c r="P568" s="354"/>
      <c r="Q568" s="354"/>
      <c r="R568" s="354"/>
      <c r="S568" s="354"/>
      <c r="T568" s="354"/>
      <c r="U568" s="354"/>
      <c r="V568" s="354"/>
      <c r="W568" s="354"/>
      <c r="X568" s="354"/>
      <c r="Y568" s="354"/>
      <c r="Z568" s="354"/>
    </row>
    <row r="569" customFormat="false" ht="15" hidden="false" customHeight="true" outlineLevel="0" collapsed="false">
      <c r="A569" s="354"/>
      <c r="B569" s="354"/>
      <c r="C569" s="354"/>
      <c r="D569" s="354"/>
      <c r="E569" s="354"/>
      <c r="F569" s="354"/>
      <c r="G569" s="354"/>
      <c r="H569" s="354"/>
      <c r="I569" s="354"/>
      <c r="J569" s="354"/>
      <c r="K569" s="354"/>
      <c r="L569" s="354"/>
      <c r="M569" s="354"/>
      <c r="N569" s="354"/>
      <c r="O569" s="354"/>
      <c r="P569" s="354"/>
      <c r="Q569" s="354"/>
      <c r="R569" s="354"/>
      <c r="S569" s="354"/>
      <c r="T569" s="354"/>
      <c r="U569" s="354"/>
      <c r="V569" s="354"/>
      <c r="W569" s="354"/>
      <c r="X569" s="354"/>
      <c r="Y569" s="354"/>
      <c r="Z569" s="354"/>
    </row>
    <row r="570" customFormat="false" ht="15" hidden="false" customHeight="true" outlineLevel="0" collapsed="false">
      <c r="A570" s="354"/>
      <c r="B570" s="354"/>
      <c r="C570" s="354"/>
      <c r="D570" s="354"/>
      <c r="E570" s="354"/>
      <c r="F570" s="354"/>
      <c r="G570" s="354"/>
      <c r="H570" s="354"/>
      <c r="I570" s="354"/>
      <c r="J570" s="354"/>
      <c r="K570" s="354"/>
      <c r="L570" s="354"/>
      <c r="M570" s="354"/>
      <c r="N570" s="354"/>
      <c r="O570" s="354"/>
      <c r="P570" s="354"/>
      <c r="Q570" s="354"/>
      <c r="R570" s="354"/>
      <c r="S570" s="354"/>
      <c r="T570" s="354"/>
      <c r="U570" s="354"/>
      <c r="V570" s="354"/>
      <c r="W570" s="354"/>
      <c r="X570" s="354"/>
      <c r="Y570" s="354"/>
      <c r="Z570" s="354"/>
    </row>
    <row r="571" customFormat="false" ht="15" hidden="false" customHeight="true" outlineLevel="0" collapsed="false">
      <c r="A571" s="354"/>
      <c r="B571" s="354"/>
      <c r="C571" s="354"/>
      <c r="D571" s="354"/>
      <c r="E571" s="354"/>
      <c r="F571" s="354"/>
      <c r="G571" s="354"/>
      <c r="H571" s="354"/>
      <c r="I571" s="354"/>
      <c r="J571" s="354"/>
      <c r="K571" s="354"/>
      <c r="L571" s="354"/>
      <c r="M571" s="354"/>
      <c r="N571" s="354"/>
      <c r="O571" s="354"/>
      <c r="P571" s="354"/>
      <c r="Q571" s="354"/>
      <c r="R571" s="354"/>
      <c r="S571" s="354"/>
      <c r="T571" s="354"/>
      <c r="U571" s="354"/>
      <c r="V571" s="354"/>
      <c r="W571" s="354"/>
      <c r="X571" s="354"/>
      <c r="Y571" s="354"/>
      <c r="Z571" s="354"/>
    </row>
    <row r="572" customFormat="false" ht="15" hidden="false" customHeight="true" outlineLevel="0" collapsed="false">
      <c r="A572" s="354"/>
      <c r="B572" s="354"/>
      <c r="C572" s="354"/>
      <c r="D572" s="354"/>
      <c r="E572" s="354"/>
      <c r="F572" s="354"/>
      <c r="G572" s="354"/>
      <c r="H572" s="354"/>
      <c r="I572" s="354"/>
      <c r="J572" s="354"/>
      <c r="K572" s="354"/>
      <c r="L572" s="354"/>
      <c r="M572" s="354"/>
      <c r="N572" s="354"/>
      <c r="O572" s="354"/>
      <c r="P572" s="354"/>
      <c r="Q572" s="354"/>
      <c r="R572" s="354"/>
      <c r="S572" s="354"/>
      <c r="T572" s="354"/>
      <c r="U572" s="354"/>
      <c r="V572" s="354"/>
      <c r="W572" s="354"/>
      <c r="X572" s="354"/>
      <c r="Y572" s="354"/>
      <c r="Z572" s="354"/>
    </row>
    <row r="573" customFormat="false" ht="15" hidden="false" customHeight="true" outlineLevel="0" collapsed="false">
      <c r="A573" s="354"/>
      <c r="B573" s="354"/>
      <c r="C573" s="354"/>
      <c r="D573" s="354"/>
      <c r="E573" s="354"/>
      <c r="F573" s="354"/>
      <c r="G573" s="354"/>
      <c r="H573" s="354"/>
      <c r="I573" s="354"/>
      <c r="J573" s="354"/>
      <c r="K573" s="354"/>
      <c r="L573" s="354"/>
      <c r="M573" s="354"/>
      <c r="N573" s="354"/>
      <c r="O573" s="354"/>
      <c r="P573" s="354"/>
      <c r="Q573" s="354"/>
      <c r="R573" s="354"/>
      <c r="S573" s="354"/>
      <c r="T573" s="354"/>
      <c r="U573" s="354"/>
      <c r="V573" s="354"/>
      <c r="W573" s="354"/>
      <c r="X573" s="354"/>
      <c r="Y573" s="354"/>
      <c r="Z573" s="354"/>
    </row>
    <row r="574" customFormat="false" ht="15" hidden="false" customHeight="true" outlineLevel="0" collapsed="false">
      <c r="A574" s="354"/>
      <c r="B574" s="354"/>
      <c r="C574" s="354"/>
      <c r="D574" s="354"/>
      <c r="E574" s="354"/>
      <c r="F574" s="354"/>
      <c r="G574" s="354"/>
      <c r="H574" s="354"/>
      <c r="I574" s="354"/>
      <c r="J574" s="354"/>
      <c r="K574" s="354"/>
      <c r="L574" s="354"/>
      <c r="M574" s="354"/>
      <c r="N574" s="354"/>
      <c r="O574" s="354"/>
      <c r="P574" s="354"/>
      <c r="Q574" s="354"/>
      <c r="R574" s="354"/>
      <c r="S574" s="354"/>
      <c r="T574" s="354"/>
      <c r="U574" s="354"/>
      <c r="V574" s="354"/>
      <c r="W574" s="354"/>
      <c r="X574" s="354"/>
      <c r="Y574" s="354"/>
      <c r="Z574" s="354"/>
    </row>
    <row r="575" customFormat="false" ht="15" hidden="false" customHeight="true" outlineLevel="0" collapsed="false">
      <c r="A575" s="354"/>
      <c r="B575" s="354"/>
      <c r="C575" s="354"/>
      <c r="D575" s="354"/>
      <c r="E575" s="354"/>
      <c r="F575" s="354"/>
      <c r="G575" s="354"/>
      <c r="H575" s="354"/>
      <c r="I575" s="354"/>
      <c r="J575" s="354"/>
      <c r="K575" s="354"/>
      <c r="L575" s="354"/>
      <c r="M575" s="354"/>
      <c r="N575" s="354"/>
      <c r="O575" s="354"/>
      <c r="P575" s="354"/>
      <c r="Q575" s="354"/>
      <c r="R575" s="354"/>
      <c r="S575" s="354"/>
      <c r="T575" s="354"/>
      <c r="U575" s="354"/>
      <c r="V575" s="354"/>
      <c r="W575" s="354"/>
      <c r="X575" s="354"/>
      <c r="Y575" s="354"/>
      <c r="Z575" s="354"/>
    </row>
    <row r="576" customFormat="false" ht="15" hidden="false" customHeight="true" outlineLevel="0" collapsed="false">
      <c r="A576" s="354"/>
      <c r="B576" s="354"/>
      <c r="C576" s="354"/>
      <c r="D576" s="354"/>
      <c r="E576" s="354"/>
      <c r="F576" s="354"/>
      <c r="G576" s="354"/>
      <c r="H576" s="354"/>
      <c r="I576" s="354"/>
      <c r="J576" s="354"/>
      <c r="K576" s="354"/>
      <c r="L576" s="354"/>
      <c r="M576" s="354"/>
      <c r="N576" s="354"/>
      <c r="O576" s="354"/>
      <c r="P576" s="354"/>
      <c r="Q576" s="354"/>
      <c r="R576" s="354"/>
      <c r="S576" s="354"/>
      <c r="T576" s="354"/>
      <c r="U576" s="354"/>
      <c r="V576" s="354"/>
      <c r="W576" s="354"/>
      <c r="X576" s="354"/>
      <c r="Y576" s="354"/>
      <c r="Z576" s="354"/>
    </row>
    <row r="577" customFormat="false" ht="15" hidden="false" customHeight="true" outlineLevel="0" collapsed="false">
      <c r="A577" s="354"/>
      <c r="B577" s="354"/>
      <c r="C577" s="354"/>
      <c r="D577" s="354"/>
      <c r="E577" s="354"/>
      <c r="F577" s="354"/>
      <c r="G577" s="354"/>
      <c r="H577" s="354"/>
      <c r="I577" s="354"/>
      <c r="J577" s="354"/>
      <c r="K577" s="354"/>
      <c r="L577" s="354"/>
      <c r="M577" s="354"/>
      <c r="N577" s="354"/>
      <c r="O577" s="354"/>
      <c r="P577" s="354"/>
      <c r="Q577" s="354"/>
      <c r="R577" s="354"/>
      <c r="S577" s="354"/>
      <c r="T577" s="354"/>
      <c r="U577" s="354"/>
      <c r="V577" s="354"/>
      <c r="W577" s="354"/>
      <c r="X577" s="354"/>
      <c r="Y577" s="354"/>
      <c r="Z577" s="354"/>
    </row>
    <row r="578" customFormat="false" ht="15" hidden="false" customHeight="true" outlineLevel="0" collapsed="false">
      <c r="A578" s="354"/>
      <c r="B578" s="354"/>
      <c r="C578" s="354"/>
      <c r="D578" s="354"/>
      <c r="E578" s="354"/>
      <c r="F578" s="354"/>
      <c r="G578" s="354"/>
      <c r="H578" s="354"/>
      <c r="I578" s="354"/>
      <c r="J578" s="354"/>
      <c r="K578" s="354"/>
      <c r="L578" s="354"/>
      <c r="M578" s="354"/>
      <c r="N578" s="354"/>
      <c r="O578" s="354"/>
      <c r="P578" s="354"/>
      <c r="Q578" s="354"/>
      <c r="R578" s="354"/>
      <c r="S578" s="354"/>
      <c r="T578" s="354"/>
      <c r="U578" s="354"/>
      <c r="V578" s="354"/>
      <c r="W578" s="354"/>
      <c r="X578" s="354"/>
      <c r="Y578" s="354"/>
      <c r="Z578" s="354"/>
    </row>
    <row r="579" customFormat="false" ht="15" hidden="false" customHeight="true" outlineLevel="0" collapsed="false">
      <c r="A579" s="354"/>
      <c r="B579" s="354"/>
      <c r="C579" s="354"/>
      <c r="D579" s="354"/>
      <c r="E579" s="354"/>
      <c r="F579" s="354"/>
      <c r="G579" s="354"/>
      <c r="H579" s="354"/>
      <c r="I579" s="354"/>
      <c r="J579" s="354"/>
      <c r="K579" s="354"/>
      <c r="L579" s="354"/>
      <c r="M579" s="354"/>
      <c r="N579" s="354"/>
      <c r="O579" s="354"/>
      <c r="P579" s="354"/>
      <c r="Q579" s="354"/>
      <c r="R579" s="354"/>
      <c r="S579" s="354"/>
      <c r="T579" s="354"/>
      <c r="U579" s="354"/>
      <c r="V579" s="354"/>
      <c r="W579" s="354"/>
      <c r="X579" s="354"/>
      <c r="Y579" s="354"/>
      <c r="Z579" s="354"/>
    </row>
    <row r="580" customFormat="false" ht="15" hidden="false" customHeight="true" outlineLevel="0" collapsed="false">
      <c r="A580" s="354"/>
      <c r="B580" s="354"/>
      <c r="C580" s="354"/>
      <c r="D580" s="354"/>
      <c r="E580" s="354"/>
      <c r="F580" s="354"/>
      <c r="G580" s="354"/>
      <c r="H580" s="354"/>
      <c r="I580" s="354"/>
      <c r="J580" s="354"/>
      <c r="K580" s="354"/>
      <c r="L580" s="354"/>
      <c r="M580" s="354"/>
      <c r="N580" s="354"/>
      <c r="O580" s="354"/>
      <c r="P580" s="354"/>
      <c r="Q580" s="354"/>
      <c r="R580" s="354"/>
      <c r="S580" s="354"/>
      <c r="T580" s="354"/>
      <c r="U580" s="354"/>
      <c r="V580" s="354"/>
      <c r="W580" s="354"/>
      <c r="X580" s="354"/>
      <c r="Y580" s="354"/>
      <c r="Z580" s="354"/>
    </row>
    <row r="581" customFormat="false" ht="15" hidden="false" customHeight="true" outlineLevel="0" collapsed="false">
      <c r="A581" s="354"/>
      <c r="B581" s="354"/>
      <c r="C581" s="354"/>
      <c r="D581" s="354"/>
      <c r="E581" s="354"/>
      <c r="F581" s="354"/>
      <c r="G581" s="354"/>
      <c r="H581" s="354"/>
      <c r="I581" s="354"/>
      <c r="J581" s="354"/>
      <c r="K581" s="354"/>
      <c r="L581" s="354"/>
      <c r="M581" s="354"/>
      <c r="N581" s="354"/>
      <c r="O581" s="354"/>
      <c r="P581" s="354"/>
      <c r="Q581" s="354"/>
      <c r="R581" s="354"/>
      <c r="S581" s="354"/>
      <c r="T581" s="354"/>
      <c r="U581" s="354"/>
      <c r="V581" s="354"/>
      <c r="W581" s="354"/>
      <c r="X581" s="354"/>
      <c r="Y581" s="354"/>
      <c r="Z581" s="354"/>
    </row>
    <row r="582" customFormat="false" ht="15" hidden="false" customHeight="true" outlineLevel="0" collapsed="false">
      <c r="A582" s="354"/>
      <c r="B582" s="354"/>
      <c r="C582" s="354"/>
      <c r="D582" s="354"/>
      <c r="E582" s="354"/>
      <c r="F582" s="354"/>
      <c r="G582" s="354"/>
      <c r="H582" s="354"/>
      <c r="I582" s="354"/>
      <c r="J582" s="354"/>
      <c r="K582" s="354"/>
      <c r="L582" s="354"/>
      <c r="M582" s="354"/>
      <c r="N582" s="354"/>
      <c r="O582" s="354"/>
      <c r="P582" s="354"/>
      <c r="Q582" s="354"/>
      <c r="R582" s="354"/>
      <c r="S582" s="354"/>
      <c r="T582" s="354"/>
      <c r="U582" s="354"/>
      <c r="V582" s="354"/>
      <c r="W582" s="354"/>
      <c r="X582" s="354"/>
      <c r="Y582" s="354"/>
      <c r="Z582" s="354"/>
    </row>
    <row r="583" customFormat="false" ht="15" hidden="false" customHeight="true" outlineLevel="0" collapsed="false">
      <c r="A583" s="354"/>
      <c r="B583" s="354"/>
      <c r="C583" s="354"/>
      <c r="D583" s="354"/>
      <c r="E583" s="354"/>
      <c r="F583" s="354"/>
      <c r="G583" s="354"/>
      <c r="H583" s="354"/>
      <c r="I583" s="354"/>
      <c r="J583" s="354"/>
      <c r="K583" s="354"/>
      <c r="L583" s="354"/>
      <c r="M583" s="354"/>
      <c r="N583" s="354"/>
      <c r="O583" s="354"/>
      <c r="P583" s="354"/>
      <c r="Q583" s="354"/>
      <c r="R583" s="354"/>
      <c r="S583" s="354"/>
      <c r="T583" s="354"/>
      <c r="U583" s="354"/>
      <c r="V583" s="354"/>
      <c r="W583" s="354"/>
      <c r="X583" s="354"/>
      <c r="Y583" s="354"/>
      <c r="Z583" s="354"/>
    </row>
    <row r="584" customFormat="false" ht="15" hidden="false" customHeight="true" outlineLevel="0" collapsed="false">
      <c r="A584" s="354"/>
      <c r="B584" s="354"/>
      <c r="C584" s="354"/>
      <c r="D584" s="354"/>
      <c r="E584" s="354"/>
      <c r="F584" s="354"/>
      <c r="G584" s="354"/>
      <c r="H584" s="354"/>
      <c r="I584" s="354"/>
      <c r="J584" s="354"/>
      <c r="K584" s="354"/>
      <c r="L584" s="354"/>
      <c r="M584" s="354"/>
      <c r="N584" s="354"/>
      <c r="O584" s="354"/>
      <c r="P584" s="354"/>
      <c r="Q584" s="354"/>
      <c r="R584" s="354"/>
      <c r="S584" s="354"/>
      <c r="T584" s="354"/>
      <c r="U584" s="354"/>
      <c r="V584" s="354"/>
      <c r="W584" s="354"/>
      <c r="X584" s="354"/>
      <c r="Y584" s="354"/>
      <c r="Z584" s="354"/>
    </row>
    <row r="585" customFormat="false" ht="15" hidden="false" customHeight="true" outlineLevel="0" collapsed="false">
      <c r="A585" s="354"/>
      <c r="B585" s="354"/>
      <c r="C585" s="354"/>
      <c r="D585" s="354"/>
      <c r="E585" s="354"/>
      <c r="F585" s="354"/>
      <c r="G585" s="354"/>
      <c r="H585" s="354"/>
      <c r="I585" s="354"/>
      <c r="J585" s="354"/>
      <c r="K585" s="354"/>
      <c r="L585" s="354"/>
      <c r="M585" s="354"/>
      <c r="N585" s="354"/>
      <c r="O585" s="354"/>
      <c r="P585" s="354"/>
      <c r="Q585" s="354"/>
      <c r="R585" s="354"/>
      <c r="S585" s="354"/>
      <c r="T585" s="354"/>
      <c r="U585" s="354"/>
      <c r="V585" s="354"/>
      <c r="W585" s="354"/>
      <c r="X585" s="354"/>
      <c r="Y585" s="354"/>
      <c r="Z585" s="354"/>
    </row>
    <row r="586" customFormat="false" ht="15" hidden="false" customHeight="true" outlineLevel="0" collapsed="false">
      <c r="A586" s="354"/>
      <c r="B586" s="354"/>
      <c r="C586" s="354"/>
      <c r="D586" s="354"/>
      <c r="E586" s="354"/>
      <c r="F586" s="354"/>
      <c r="G586" s="354"/>
      <c r="H586" s="354"/>
      <c r="I586" s="354"/>
      <c r="J586" s="354"/>
      <c r="K586" s="354"/>
      <c r="L586" s="354"/>
      <c r="M586" s="354"/>
      <c r="N586" s="354"/>
      <c r="O586" s="354"/>
      <c r="P586" s="354"/>
      <c r="Q586" s="354"/>
      <c r="R586" s="354"/>
      <c r="S586" s="354"/>
      <c r="T586" s="354"/>
      <c r="U586" s="354"/>
      <c r="V586" s="354"/>
      <c r="W586" s="354"/>
      <c r="X586" s="354"/>
      <c r="Y586" s="354"/>
      <c r="Z586" s="354"/>
    </row>
    <row r="587" customFormat="false" ht="15" hidden="false" customHeight="true" outlineLevel="0" collapsed="false">
      <c r="A587" s="354"/>
      <c r="B587" s="354"/>
      <c r="C587" s="354"/>
      <c r="D587" s="354"/>
      <c r="E587" s="354"/>
      <c r="F587" s="354"/>
      <c r="G587" s="354"/>
      <c r="H587" s="354"/>
      <c r="I587" s="354"/>
      <c r="J587" s="354"/>
      <c r="K587" s="354"/>
      <c r="L587" s="354"/>
      <c r="M587" s="354"/>
      <c r="N587" s="354"/>
      <c r="O587" s="354"/>
      <c r="P587" s="354"/>
      <c r="Q587" s="354"/>
      <c r="R587" s="354"/>
      <c r="S587" s="354"/>
      <c r="T587" s="354"/>
      <c r="U587" s="354"/>
      <c r="V587" s="354"/>
      <c r="W587" s="354"/>
      <c r="X587" s="354"/>
      <c r="Y587" s="354"/>
      <c r="Z587" s="354"/>
    </row>
    <row r="588" customFormat="false" ht="15" hidden="false" customHeight="true" outlineLevel="0" collapsed="false">
      <c r="A588" s="354"/>
      <c r="B588" s="354"/>
      <c r="C588" s="354"/>
      <c r="D588" s="354"/>
      <c r="E588" s="354"/>
      <c r="F588" s="354"/>
      <c r="G588" s="354"/>
      <c r="H588" s="354"/>
      <c r="I588" s="354"/>
      <c r="J588" s="354"/>
      <c r="K588" s="354"/>
      <c r="L588" s="354"/>
      <c r="M588" s="354"/>
      <c r="N588" s="354"/>
      <c r="O588" s="354"/>
      <c r="P588" s="354"/>
      <c r="Q588" s="354"/>
      <c r="R588" s="354"/>
      <c r="S588" s="354"/>
      <c r="T588" s="354"/>
      <c r="U588" s="354"/>
      <c r="V588" s="354"/>
      <c r="W588" s="354"/>
      <c r="X588" s="354"/>
      <c r="Y588" s="354"/>
      <c r="Z588" s="354"/>
    </row>
    <row r="589" customFormat="false" ht="15" hidden="false" customHeight="true" outlineLevel="0" collapsed="false">
      <c r="A589" s="354"/>
      <c r="B589" s="354"/>
      <c r="C589" s="354"/>
      <c r="D589" s="354"/>
      <c r="E589" s="354"/>
      <c r="F589" s="354"/>
      <c r="G589" s="354"/>
      <c r="H589" s="354"/>
      <c r="I589" s="354"/>
      <c r="J589" s="354"/>
      <c r="K589" s="354"/>
      <c r="L589" s="354"/>
      <c r="M589" s="354"/>
      <c r="N589" s="354"/>
      <c r="O589" s="354"/>
      <c r="P589" s="354"/>
      <c r="Q589" s="354"/>
      <c r="R589" s="354"/>
      <c r="S589" s="354"/>
      <c r="T589" s="354"/>
      <c r="U589" s="354"/>
      <c r="V589" s="354"/>
      <c r="W589" s="354"/>
      <c r="X589" s="354"/>
      <c r="Y589" s="354"/>
      <c r="Z589" s="354"/>
    </row>
    <row r="590" customFormat="false" ht="15" hidden="false" customHeight="true" outlineLevel="0" collapsed="false">
      <c r="A590" s="354"/>
      <c r="B590" s="354"/>
      <c r="C590" s="354"/>
      <c r="D590" s="354"/>
      <c r="E590" s="354"/>
      <c r="F590" s="354"/>
      <c r="G590" s="354"/>
      <c r="H590" s="354"/>
      <c r="I590" s="354"/>
      <c r="J590" s="354"/>
      <c r="K590" s="354"/>
      <c r="L590" s="354"/>
      <c r="M590" s="354"/>
      <c r="N590" s="354"/>
      <c r="O590" s="354"/>
      <c r="P590" s="354"/>
      <c r="Q590" s="354"/>
      <c r="R590" s="354"/>
      <c r="S590" s="354"/>
      <c r="T590" s="354"/>
      <c r="U590" s="354"/>
      <c r="V590" s="354"/>
      <c r="W590" s="354"/>
      <c r="X590" s="354"/>
      <c r="Y590" s="354"/>
      <c r="Z590" s="354"/>
    </row>
    <row r="591" customFormat="false" ht="15" hidden="false" customHeight="true" outlineLevel="0" collapsed="false">
      <c r="A591" s="354"/>
      <c r="B591" s="354"/>
      <c r="C591" s="354"/>
      <c r="D591" s="354"/>
      <c r="E591" s="354"/>
      <c r="F591" s="354"/>
      <c r="G591" s="354"/>
      <c r="H591" s="354"/>
      <c r="I591" s="354"/>
      <c r="J591" s="354"/>
      <c r="K591" s="354"/>
      <c r="L591" s="354"/>
      <c r="M591" s="354"/>
      <c r="N591" s="354"/>
      <c r="O591" s="354"/>
      <c r="P591" s="354"/>
      <c r="Q591" s="354"/>
      <c r="R591" s="354"/>
      <c r="S591" s="354"/>
      <c r="T591" s="354"/>
      <c r="U591" s="354"/>
      <c r="V591" s="354"/>
      <c r="W591" s="354"/>
      <c r="X591" s="354"/>
      <c r="Y591" s="354"/>
      <c r="Z591" s="354"/>
    </row>
    <row r="592" customFormat="false" ht="15" hidden="false" customHeight="true" outlineLevel="0" collapsed="false">
      <c r="A592" s="354"/>
      <c r="B592" s="354"/>
      <c r="C592" s="354"/>
      <c r="D592" s="354"/>
      <c r="E592" s="354"/>
      <c r="F592" s="354"/>
      <c r="G592" s="354"/>
      <c r="H592" s="354"/>
      <c r="I592" s="354"/>
      <c r="J592" s="354"/>
      <c r="K592" s="354"/>
      <c r="L592" s="354"/>
      <c r="M592" s="354"/>
      <c r="N592" s="354"/>
      <c r="O592" s="354"/>
      <c r="P592" s="354"/>
      <c r="Q592" s="354"/>
      <c r="R592" s="354"/>
      <c r="S592" s="354"/>
      <c r="T592" s="354"/>
      <c r="U592" s="354"/>
      <c r="V592" s="354"/>
      <c r="W592" s="354"/>
      <c r="X592" s="354"/>
      <c r="Y592" s="354"/>
      <c r="Z592" s="354"/>
    </row>
    <row r="593" customFormat="false" ht="15" hidden="false" customHeight="true" outlineLevel="0" collapsed="false">
      <c r="A593" s="354"/>
      <c r="B593" s="354"/>
      <c r="C593" s="354"/>
      <c r="D593" s="354"/>
      <c r="E593" s="354"/>
      <c r="F593" s="354"/>
      <c r="G593" s="354"/>
      <c r="H593" s="354"/>
      <c r="I593" s="354"/>
      <c r="J593" s="354"/>
      <c r="K593" s="354"/>
      <c r="L593" s="354"/>
      <c r="M593" s="354"/>
      <c r="N593" s="354"/>
      <c r="O593" s="354"/>
      <c r="P593" s="354"/>
      <c r="Q593" s="354"/>
      <c r="R593" s="354"/>
      <c r="S593" s="354"/>
      <c r="T593" s="354"/>
      <c r="U593" s="354"/>
      <c r="V593" s="354"/>
      <c r="W593" s="354"/>
      <c r="X593" s="354"/>
      <c r="Y593" s="354"/>
      <c r="Z593" s="354"/>
    </row>
    <row r="594" customFormat="false" ht="15" hidden="false" customHeight="true" outlineLevel="0" collapsed="false">
      <c r="A594" s="354"/>
      <c r="B594" s="354"/>
      <c r="C594" s="354"/>
      <c r="D594" s="354"/>
      <c r="E594" s="354"/>
      <c r="F594" s="354"/>
      <c r="G594" s="354"/>
      <c r="H594" s="354"/>
      <c r="I594" s="354"/>
      <c r="J594" s="354"/>
      <c r="K594" s="354"/>
      <c r="L594" s="354"/>
      <c r="M594" s="354"/>
      <c r="N594" s="354"/>
      <c r="O594" s="354"/>
      <c r="P594" s="354"/>
      <c r="Q594" s="354"/>
      <c r="R594" s="354"/>
      <c r="S594" s="354"/>
      <c r="T594" s="354"/>
      <c r="U594" s="354"/>
      <c r="V594" s="354"/>
      <c r="W594" s="354"/>
      <c r="X594" s="354"/>
      <c r="Y594" s="354"/>
      <c r="Z594" s="354"/>
    </row>
    <row r="595" customFormat="false" ht="15" hidden="false" customHeight="true" outlineLevel="0" collapsed="false">
      <c r="A595" s="354"/>
      <c r="B595" s="354"/>
      <c r="C595" s="354"/>
      <c r="D595" s="354"/>
      <c r="E595" s="354"/>
      <c r="F595" s="354"/>
      <c r="G595" s="354"/>
      <c r="H595" s="354"/>
      <c r="I595" s="354"/>
      <c r="J595" s="354"/>
      <c r="K595" s="354"/>
      <c r="L595" s="354"/>
      <c r="M595" s="354"/>
      <c r="N595" s="354"/>
      <c r="O595" s="354"/>
      <c r="P595" s="354"/>
      <c r="Q595" s="354"/>
      <c r="R595" s="354"/>
      <c r="S595" s="354"/>
      <c r="T595" s="354"/>
      <c r="U595" s="354"/>
      <c r="V595" s="354"/>
      <c r="W595" s="354"/>
      <c r="X595" s="354"/>
      <c r="Y595" s="354"/>
      <c r="Z595" s="354"/>
    </row>
    <row r="596" customFormat="false" ht="15" hidden="false" customHeight="true" outlineLevel="0" collapsed="false">
      <c r="A596" s="354"/>
      <c r="B596" s="354"/>
      <c r="C596" s="354"/>
      <c r="D596" s="354"/>
      <c r="E596" s="354"/>
      <c r="F596" s="354"/>
      <c r="G596" s="354"/>
      <c r="H596" s="354"/>
      <c r="I596" s="354"/>
      <c r="J596" s="354"/>
      <c r="K596" s="354"/>
      <c r="L596" s="354"/>
      <c r="M596" s="354"/>
      <c r="N596" s="354"/>
      <c r="O596" s="354"/>
      <c r="P596" s="354"/>
      <c r="Q596" s="354"/>
      <c r="R596" s="354"/>
      <c r="S596" s="354"/>
      <c r="T596" s="354"/>
      <c r="U596" s="354"/>
      <c r="V596" s="354"/>
      <c r="W596" s="354"/>
      <c r="X596" s="354"/>
      <c r="Y596" s="354"/>
      <c r="Z596" s="354"/>
    </row>
    <row r="597" customFormat="false" ht="15" hidden="false" customHeight="true" outlineLevel="0" collapsed="false">
      <c r="A597" s="354"/>
      <c r="B597" s="354"/>
      <c r="C597" s="354"/>
      <c r="D597" s="354"/>
      <c r="E597" s="354"/>
      <c r="F597" s="354"/>
      <c r="G597" s="354"/>
      <c r="H597" s="354"/>
      <c r="I597" s="354"/>
      <c r="J597" s="354"/>
      <c r="K597" s="354"/>
      <c r="L597" s="354"/>
      <c r="M597" s="354"/>
      <c r="N597" s="354"/>
      <c r="O597" s="354"/>
      <c r="P597" s="354"/>
      <c r="Q597" s="354"/>
      <c r="R597" s="354"/>
      <c r="S597" s="354"/>
      <c r="T597" s="354"/>
      <c r="U597" s="354"/>
      <c r="V597" s="354"/>
      <c r="W597" s="354"/>
      <c r="X597" s="354"/>
      <c r="Y597" s="354"/>
      <c r="Z597" s="354"/>
    </row>
    <row r="598" customFormat="false" ht="15" hidden="false" customHeight="true" outlineLevel="0" collapsed="false">
      <c r="A598" s="354"/>
      <c r="B598" s="354"/>
      <c r="C598" s="354"/>
      <c r="D598" s="354"/>
      <c r="E598" s="354"/>
      <c r="F598" s="354"/>
      <c r="G598" s="354"/>
      <c r="H598" s="354"/>
      <c r="I598" s="354"/>
      <c r="J598" s="354"/>
      <c r="K598" s="354"/>
      <c r="L598" s="354"/>
      <c r="M598" s="354"/>
      <c r="N598" s="354"/>
      <c r="O598" s="354"/>
      <c r="P598" s="354"/>
      <c r="Q598" s="354"/>
      <c r="R598" s="354"/>
      <c r="S598" s="354"/>
      <c r="T598" s="354"/>
      <c r="U598" s="354"/>
      <c r="V598" s="354"/>
      <c r="W598" s="354"/>
      <c r="X598" s="354"/>
      <c r="Y598" s="354"/>
      <c r="Z598" s="354"/>
    </row>
    <row r="599" customFormat="false" ht="15" hidden="false" customHeight="true" outlineLevel="0" collapsed="false">
      <c r="A599" s="354"/>
      <c r="B599" s="354"/>
      <c r="C599" s="354"/>
      <c r="D599" s="354"/>
      <c r="E599" s="354"/>
      <c r="F599" s="354"/>
      <c r="G599" s="354"/>
      <c r="H599" s="354"/>
      <c r="I599" s="354"/>
      <c r="J599" s="354"/>
      <c r="K599" s="354"/>
      <c r="L599" s="354"/>
      <c r="M599" s="354"/>
      <c r="N599" s="354"/>
      <c r="O599" s="354"/>
      <c r="P599" s="354"/>
      <c r="Q599" s="354"/>
      <c r="R599" s="354"/>
      <c r="S599" s="354"/>
      <c r="T599" s="354"/>
      <c r="U599" s="354"/>
      <c r="V599" s="354"/>
      <c r="W599" s="354"/>
      <c r="X599" s="354"/>
      <c r="Y599" s="354"/>
      <c r="Z599" s="354"/>
    </row>
    <row r="600" customFormat="false" ht="15" hidden="false" customHeight="true" outlineLevel="0" collapsed="false">
      <c r="A600" s="354"/>
      <c r="B600" s="354"/>
      <c r="C600" s="354"/>
      <c r="D600" s="354"/>
      <c r="E600" s="354"/>
      <c r="F600" s="354"/>
      <c r="G600" s="354"/>
      <c r="H600" s="354"/>
      <c r="I600" s="354"/>
      <c r="J600" s="354"/>
      <c r="K600" s="354"/>
      <c r="L600" s="354"/>
      <c r="M600" s="354"/>
      <c r="N600" s="354"/>
      <c r="O600" s="354"/>
      <c r="P600" s="354"/>
      <c r="Q600" s="354"/>
      <c r="R600" s="354"/>
      <c r="S600" s="354"/>
      <c r="T600" s="354"/>
      <c r="U600" s="354"/>
      <c r="V600" s="354"/>
      <c r="W600" s="354"/>
      <c r="X600" s="354"/>
      <c r="Y600" s="354"/>
      <c r="Z600" s="354"/>
    </row>
    <row r="601" customFormat="false" ht="15" hidden="false" customHeight="true" outlineLevel="0" collapsed="false">
      <c r="A601" s="354"/>
      <c r="B601" s="354"/>
      <c r="C601" s="354"/>
      <c r="D601" s="354"/>
      <c r="E601" s="354"/>
      <c r="F601" s="354"/>
      <c r="G601" s="354"/>
      <c r="H601" s="354"/>
      <c r="I601" s="354"/>
      <c r="J601" s="354"/>
      <c r="K601" s="354"/>
      <c r="L601" s="354"/>
      <c r="M601" s="354"/>
      <c r="N601" s="354"/>
      <c r="O601" s="354"/>
      <c r="P601" s="354"/>
      <c r="Q601" s="354"/>
      <c r="R601" s="354"/>
      <c r="S601" s="354"/>
      <c r="T601" s="354"/>
      <c r="U601" s="354"/>
      <c r="V601" s="354"/>
      <c r="W601" s="354"/>
      <c r="X601" s="354"/>
      <c r="Y601" s="354"/>
      <c r="Z601" s="354"/>
    </row>
    <row r="602" customFormat="false" ht="15" hidden="false" customHeight="true" outlineLevel="0" collapsed="false">
      <c r="A602" s="354"/>
      <c r="B602" s="354"/>
      <c r="C602" s="354"/>
      <c r="D602" s="354"/>
      <c r="E602" s="354"/>
      <c r="F602" s="354"/>
      <c r="G602" s="354"/>
      <c r="H602" s="354"/>
      <c r="I602" s="354"/>
      <c r="J602" s="354"/>
      <c r="K602" s="354"/>
      <c r="L602" s="354"/>
      <c r="M602" s="354"/>
      <c r="N602" s="354"/>
      <c r="O602" s="354"/>
      <c r="P602" s="354"/>
      <c r="Q602" s="354"/>
      <c r="R602" s="354"/>
      <c r="S602" s="354"/>
      <c r="T602" s="354"/>
      <c r="U602" s="354"/>
      <c r="V602" s="354"/>
      <c r="W602" s="354"/>
      <c r="X602" s="354"/>
      <c r="Y602" s="354"/>
      <c r="Z602" s="354"/>
    </row>
    <row r="603" customFormat="false" ht="15" hidden="false" customHeight="true" outlineLevel="0" collapsed="false">
      <c r="A603" s="354"/>
      <c r="B603" s="354"/>
      <c r="C603" s="354"/>
      <c r="D603" s="354"/>
      <c r="E603" s="354"/>
      <c r="F603" s="354"/>
      <c r="G603" s="354"/>
      <c r="H603" s="354"/>
      <c r="I603" s="354"/>
      <c r="J603" s="354"/>
      <c r="K603" s="354"/>
      <c r="L603" s="354"/>
      <c r="M603" s="354"/>
      <c r="N603" s="354"/>
      <c r="O603" s="354"/>
      <c r="P603" s="354"/>
      <c r="Q603" s="354"/>
      <c r="R603" s="354"/>
      <c r="S603" s="354"/>
      <c r="T603" s="354"/>
      <c r="U603" s="354"/>
      <c r="V603" s="354"/>
      <c r="W603" s="354"/>
      <c r="X603" s="354"/>
      <c r="Y603" s="354"/>
      <c r="Z603" s="354"/>
    </row>
    <row r="604" customFormat="false" ht="15" hidden="false" customHeight="true" outlineLevel="0" collapsed="false">
      <c r="A604" s="354"/>
      <c r="B604" s="354"/>
      <c r="C604" s="354"/>
      <c r="D604" s="354"/>
      <c r="E604" s="354"/>
      <c r="F604" s="354"/>
      <c r="G604" s="354"/>
      <c r="H604" s="354"/>
      <c r="I604" s="354"/>
      <c r="J604" s="354"/>
      <c r="K604" s="354"/>
      <c r="L604" s="354"/>
      <c r="M604" s="354"/>
      <c r="N604" s="354"/>
      <c r="O604" s="354"/>
      <c r="P604" s="354"/>
      <c r="Q604" s="354"/>
      <c r="R604" s="354"/>
      <c r="S604" s="354"/>
      <c r="T604" s="354"/>
      <c r="U604" s="354"/>
      <c r="V604" s="354"/>
      <c r="W604" s="354"/>
      <c r="X604" s="354"/>
      <c r="Y604" s="354"/>
      <c r="Z604" s="354"/>
    </row>
    <row r="605" customFormat="false" ht="15" hidden="false" customHeight="true" outlineLevel="0" collapsed="false">
      <c r="A605" s="354"/>
      <c r="B605" s="354"/>
      <c r="C605" s="354"/>
      <c r="D605" s="354"/>
      <c r="E605" s="354"/>
      <c r="F605" s="354"/>
      <c r="G605" s="354"/>
      <c r="H605" s="354"/>
      <c r="I605" s="354"/>
      <c r="J605" s="354"/>
      <c r="K605" s="354"/>
      <c r="L605" s="354"/>
      <c r="M605" s="354"/>
      <c r="N605" s="354"/>
      <c r="O605" s="354"/>
      <c r="P605" s="354"/>
      <c r="Q605" s="354"/>
      <c r="R605" s="354"/>
      <c r="S605" s="354"/>
      <c r="T605" s="354"/>
      <c r="U605" s="354"/>
      <c r="V605" s="354"/>
      <c r="W605" s="354"/>
      <c r="X605" s="354"/>
      <c r="Y605" s="354"/>
      <c r="Z605" s="354"/>
    </row>
    <row r="606" customFormat="false" ht="15" hidden="false" customHeight="true" outlineLevel="0" collapsed="false">
      <c r="A606" s="354"/>
      <c r="B606" s="354"/>
      <c r="C606" s="354"/>
      <c r="D606" s="354"/>
      <c r="E606" s="354"/>
      <c r="F606" s="354"/>
      <c r="G606" s="354"/>
      <c r="H606" s="354"/>
      <c r="I606" s="354"/>
      <c r="J606" s="354"/>
      <c r="K606" s="354"/>
      <c r="L606" s="354"/>
      <c r="M606" s="354"/>
      <c r="N606" s="354"/>
      <c r="O606" s="354"/>
      <c r="P606" s="354"/>
      <c r="Q606" s="354"/>
      <c r="R606" s="354"/>
      <c r="S606" s="354"/>
      <c r="T606" s="354"/>
      <c r="U606" s="354"/>
      <c r="V606" s="354"/>
      <c r="W606" s="354"/>
      <c r="X606" s="354"/>
      <c r="Y606" s="354"/>
      <c r="Z606" s="354"/>
    </row>
    <row r="607" customFormat="false" ht="15" hidden="false" customHeight="true" outlineLevel="0" collapsed="false">
      <c r="A607" s="354"/>
      <c r="B607" s="354"/>
      <c r="C607" s="354"/>
      <c r="D607" s="354"/>
      <c r="E607" s="354"/>
      <c r="F607" s="354"/>
      <c r="G607" s="354"/>
      <c r="H607" s="354"/>
      <c r="I607" s="354"/>
      <c r="J607" s="354"/>
      <c r="K607" s="354"/>
      <c r="L607" s="354"/>
      <c r="M607" s="354"/>
      <c r="N607" s="354"/>
      <c r="O607" s="354"/>
      <c r="P607" s="354"/>
      <c r="Q607" s="354"/>
      <c r="R607" s="354"/>
      <c r="S607" s="354"/>
      <c r="T607" s="354"/>
      <c r="U607" s="354"/>
      <c r="V607" s="354"/>
      <c r="W607" s="354"/>
      <c r="X607" s="354"/>
      <c r="Y607" s="354"/>
      <c r="Z607" s="354"/>
    </row>
    <row r="608" customFormat="false" ht="15" hidden="false" customHeight="true" outlineLevel="0" collapsed="false">
      <c r="A608" s="354"/>
      <c r="B608" s="354"/>
      <c r="C608" s="354"/>
      <c r="D608" s="354"/>
      <c r="E608" s="354"/>
      <c r="F608" s="354"/>
      <c r="G608" s="354"/>
      <c r="H608" s="354"/>
      <c r="I608" s="354"/>
      <c r="J608" s="354"/>
      <c r="K608" s="354"/>
      <c r="L608" s="354"/>
      <c r="M608" s="354"/>
      <c r="N608" s="354"/>
      <c r="O608" s="354"/>
      <c r="P608" s="354"/>
      <c r="Q608" s="354"/>
      <c r="R608" s="354"/>
      <c r="S608" s="354"/>
      <c r="T608" s="354"/>
      <c r="U608" s="354"/>
      <c r="V608" s="354"/>
      <c r="W608" s="354"/>
      <c r="X608" s="354"/>
      <c r="Y608" s="354"/>
      <c r="Z608" s="354"/>
    </row>
    <row r="609" customFormat="false" ht="15" hidden="false" customHeight="true" outlineLevel="0" collapsed="false">
      <c r="A609" s="354"/>
      <c r="B609" s="354"/>
      <c r="C609" s="354"/>
      <c r="D609" s="354"/>
      <c r="E609" s="354"/>
      <c r="F609" s="354"/>
      <c r="G609" s="354"/>
      <c r="H609" s="354"/>
      <c r="I609" s="354"/>
      <c r="J609" s="354"/>
      <c r="K609" s="354"/>
      <c r="L609" s="354"/>
      <c r="M609" s="354"/>
      <c r="N609" s="354"/>
      <c r="O609" s="354"/>
      <c r="P609" s="354"/>
      <c r="Q609" s="354"/>
      <c r="R609" s="354"/>
      <c r="S609" s="354"/>
      <c r="T609" s="354"/>
      <c r="U609" s="354"/>
      <c r="V609" s="354"/>
      <c r="W609" s="354"/>
      <c r="X609" s="354"/>
      <c r="Y609" s="354"/>
      <c r="Z609" s="354"/>
    </row>
    <row r="610" customFormat="false" ht="15" hidden="false" customHeight="true" outlineLevel="0" collapsed="false">
      <c r="A610" s="354"/>
      <c r="B610" s="354"/>
      <c r="C610" s="354"/>
      <c r="D610" s="354"/>
      <c r="E610" s="354"/>
      <c r="F610" s="354"/>
      <c r="G610" s="354"/>
      <c r="H610" s="354"/>
      <c r="I610" s="354"/>
      <c r="J610" s="354"/>
      <c r="K610" s="354"/>
      <c r="L610" s="354"/>
      <c r="M610" s="354"/>
      <c r="N610" s="354"/>
      <c r="O610" s="354"/>
      <c r="P610" s="354"/>
      <c r="Q610" s="354"/>
      <c r="R610" s="354"/>
      <c r="S610" s="354"/>
      <c r="T610" s="354"/>
      <c r="U610" s="354"/>
      <c r="V610" s="354"/>
      <c r="W610" s="354"/>
      <c r="X610" s="354"/>
      <c r="Y610" s="354"/>
      <c r="Z610" s="354"/>
    </row>
    <row r="611" customFormat="false" ht="15" hidden="false" customHeight="true" outlineLevel="0" collapsed="false">
      <c r="A611" s="354"/>
      <c r="B611" s="354"/>
      <c r="C611" s="354"/>
      <c r="D611" s="354"/>
      <c r="E611" s="354"/>
      <c r="F611" s="354"/>
      <c r="G611" s="354"/>
      <c r="H611" s="354"/>
      <c r="I611" s="354"/>
      <c r="J611" s="354"/>
      <c r="K611" s="354"/>
      <c r="L611" s="354"/>
      <c r="M611" s="354"/>
      <c r="N611" s="354"/>
      <c r="O611" s="354"/>
      <c r="P611" s="354"/>
      <c r="Q611" s="354"/>
      <c r="R611" s="354"/>
      <c r="S611" s="354"/>
      <c r="T611" s="354"/>
      <c r="U611" s="354"/>
      <c r="V611" s="354"/>
      <c r="W611" s="354"/>
      <c r="X611" s="354"/>
      <c r="Y611" s="354"/>
      <c r="Z611" s="354"/>
    </row>
    <row r="612" customFormat="false" ht="15" hidden="false" customHeight="true" outlineLevel="0" collapsed="false">
      <c r="A612" s="354"/>
      <c r="B612" s="354"/>
      <c r="C612" s="354"/>
      <c r="D612" s="354"/>
      <c r="E612" s="354"/>
      <c r="F612" s="354"/>
      <c r="G612" s="354"/>
      <c r="H612" s="354"/>
      <c r="I612" s="354"/>
      <c r="J612" s="354"/>
      <c r="K612" s="354"/>
      <c r="L612" s="354"/>
      <c r="M612" s="354"/>
      <c r="N612" s="354"/>
      <c r="O612" s="354"/>
      <c r="P612" s="354"/>
      <c r="Q612" s="354"/>
      <c r="R612" s="354"/>
      <c r="S612" s="354"/>
      <c r="T612" s="354"/>
      <c r="U612" s="354"/>
      <c r="V612" s="354"/>
      <c r="W612" s="354"/>
      <c r="X612" s="354"/>
      <c r="Y612" s="354"/>
      <c r="Z612" s="354"/>
    </row>
    <row r="613" customFormat="false" ht="15" hidden="false" customHeight="true" outlineLevel="0" collapsed="false">
      <c r="A613" s="354"/>
      <c r="B613" s="354"/>
      <c r="C613" s="354"/>
      <c r="D613" s="354"/>
      <c r="E613" s="354"/>
      <c r="F613" s="354"/>
      <c r="G613" s="354"/>
      <c r="H613" s="354"/>
      <c r="I613" s="354"/>
      <c r="J613" s="354"/>
      <c r="K613" s="354"/>
      <c r="L613" s="354"/>
      <c r="M613" s="354"/>
      <c r="N613" s="354"/>
      <c r="O613" s="354"/>
      <c r="P613" s="354"/>
      <c r="Q613" s="354"/>
      <c r="R613" s="354"/>
      <c r="S613" s="354"/>
      <c r="T613" s="354"/>
      <c r="U613" s="354"/>
      <c r="V613" s="354"/>
      <c r="W613" s="354"/>
      <c r="X613" s="354"/>
      <c r="Y613" s="354"/>
      <c r="Z613" s="354"/>
    </row>
    <row r="614" customFormat="false" ht="15" hidden="false" customHeight="true" outlineLevel="0" collapsed="false">
      <c r="A614" s="354"/>
      <c r="B614" s="354"/>
      <c r="C614" s="354"/>
      <c r="D614" s="354"/>
      <c r="E614" s="354"/>
      <c r="F614" s="354"/>
      <c r="G614" s="354"/>
      <c r="H614" s="354"/>
      <c r="I614" s="354"/>
      <c r="J614" s="354"/>
      <c r="K614" s="354"/>
      <c r="L614" s="354"/>
      <c r="M614" s="354"/>
      <c r="N614" s="354"/>
      <c r="O614" s="354"/>
      <c r="P614" s="354"/>
      <c r="Q614" s="354"/>
      <c r="R614" s="354"/>
      <c r="S614" s="354"/>
      <c r="T614" s="354"/>
      <c r="U614" s="354"/>
      <c r="V614" s="354"/>
      <c r="W614" s="354"/>
      <c r="X614" s="354"/>
      <c r="Y614" s="354"/>
      <c r="Z614" s="354"/>
    </row>
    <row r="615" customFormat="false" ht="15" hidden="false" customHeight="true" outlineLevel="0" collapsed="false">
      <c r="A615" s="354"/>
      <c r="B615" s="354"/>
      <c r="C615" s="354"/>
      <c r="D615" s="354"/>
      <c r="E615" s="354"/>
      <c r="F615" s="354"/>
      <c r="G615" s="354"/>
      <c r="H615" s="354"/>
      <c r="I615" s="354"/>
      <c r="J615" s="354"/>
      <c r="K615" s="354"/>
      <c r="L615" s="354"/>
      <c r="M615" s="354"/>
      <c r="N615" s="354"/>
      <c r="O615" s="354"/>
      <c r="P615" s="354"/>
      <c r="Q615" s="354"/>
      <c r="R615" s="354"/>
      <c r="S615" s="354"/>
      <c r="T615" s="354"/>
      <c r="U615" s="354"/>
      <c r="V615" s="354"/>
      <c r="W615" s="354"/>
      <c r="X615" s="354"/>
      <c r="Y615" s="354"/>
      <c r="Z615" s="354"/>
    </row>
    <row r="616" customFormat="false" ht="15" hidden="false" customHeight="true" outlineLevel="0" collapsed="false">
      <c r="A616" s="354"/>
      <c r="B616" s="354"/>
      <c r="C616" s="354"/>
      <c r="D616" s="354"/>
      <c r="E616" s="354"/>
      <c r="F616" s="354"/>
      <c r="G616" s="354"/>
      <c r="H616" s="354"/>
      <c r="I616" s="354"/>
      <c r="J616" s="354"/>
      <c r="K616" s="354"/>
      <c r="L616" s="354"/>
      <c r="M616" s="354"/>
      <c r="N616" s="354"/>
      <c r="O616" s="354"/>
      <c r="P616" s="354"/>
      <c r="Q616" s="354"/>
      <c r="R616" s="354"/>
      <c r="S616" s="354"/>
      <c r="T616" s="354"/>
      <c r="U616" s="354"/>
      <c r="V616" s="354"/>
      <c r="W616" s="354"/>
      <c r="X616" s="354"/>
      <c r="Y616" s="354"/>
      <c r="Z616" s="354"/>
    </row>
    <row r="617" customFormat="false" ht="15" hidden="false" customHeight="true" outlineLevel="0" collapsed="false">
      <c r="A617" s="354"/>
      <c r="B617" s="354"/>
      <c r="C617" s="354"/>
      <c r="D617" s="354"/>
      <c r="E617" s="354"/>
      <c r="F617" s="354"/>
      <c r="G617" s="354"/>
      <c r="H617" s="354"/>
      <c r="I617" s="354"/>
      <c r="J617" s="354"/>
      <c r="K617" s="354"/>
      <c r="L617" s="354"/>
      <c r="M617" s="354"/>
      <c r="N617" s="354"/>
      <c r="O617" s="354"/>
      <c r="P617" s="354"/>
      <c r="Q617" s="354"/>
      <c r="R617" s="354"/>
      <c r="S617" s="354"/>
      <c r="T617" s="354"/>
      <c r="U617" s="354"/>
      <c r="V617" s="354"/>
      <c r="W617" s="354"/>
      <c r="X617" s="354"/>
      <c r="Y617" s="354"/>
      <c r="Z617" s="354"/>
    </row>
    <row r="618" customFormat="false" ht="15" hidden="false" customHeight="true" outlineLevel="0" collapsed="false">
      <c r="A618" s="354"/>
      <c r="B618" s="354"/>
      <c r="C618" s="354"/>
      <c r="D618" s="354"/>
      <c r="E618" s="354"/>
      <c r="F618" s="354"/>
      <c r="G618" s="354"/>
      <c r="H618" s="354"/>
      <c r="I618" s="354"/>
      <c r="J618" s="354"/>
      <c r="K618" s="354"/>
      <c r="L618" s="354"/>
      <c r="M618" s="354"/>
      <c r="N618" s="354"/>
      <c r="O618" s="354"/>
      <c r="P618" s="354"/>
      <c r="Q618" s="354"/>
      <c r="R618" s="354"/>
      <c r="S618" s="354"/>
      <c r="T618" s="354"/>
      <c r="U618" s="354"/>
      <c r="V618" s="354"/>
      <c r="W618" s="354"/>
      <c r="X618" s="354"/>
      <c r="Y618" s="354"/>
      <c r="Z618" s="354"/>
    </row>
    <row r="619" customFormat="false" ht="15" hidden="false" customHeight="true" outlineLevel="0" collapsed="false">
      <c r="A619" s="354"/>
      <c r="B619" s="354"/>
      <c r="C619" s="354"/>
      <c r="D619" s="354"/>
      <c r="E619" s="354"/>
      <c r="F619" s="354"/>
      <c r="G619" s="354"/>
      <c r="H619" s="354"/>
      <c r="I619" s="354"/>
      <c r="J619" s="354"/>
      <c r="K619" s="354"/>
      <c r="L619" s="354"/>
      <c r="M619" s="354"/>
      <c r="N619" s="354"/>
      <c r="O619" s="354"/>
      <c r="P619" s="354"/>
      <c r="Q619" s="354"/>
      <c r="R619" s="354"/>
      <c r="S619" s="354"/>
      <c r="T619" s="354"/>
      <c r="U619" s="354"/>
      <c r="V619" s="354"/>
      <c r="W619" s="354"/>
      <c r="X619" s="354"/>
      <c r="Y619" s="354"/>
      <c r="Z619" s="354"/>
    </row>
    <row r="620" customFormat="false" ht="15" hidden="false" customHeight="true" outlineLevel="0" collapsed="false">
      <c r="A620" s="354"/>
      <c r="B620" s="354"/>
      <c r="C620" s="354"/>
      <c r="D620" s="354"/>
      <c r="E620" s="354"/>
      <c r="F620" s="354"/>
      <c r="G620" s="354"/>
      <c r="H620" s="354"/>
      <c r="I620" s="354"/>
      <c r="J620" s="354"/>
      <c r="K620" s="354"/>
      <c r="L620" s="354"/>
      <c r="M620" s="354"/>
      <c r="N620" s="354"/>
      <c r="O620" s="354"/>
      <c r="P620" s="354"/>
      <c r="Q620" s="354"/>
      <c r="R620" s="354"/>
      <c r="S620" s="354"/>
      <c r="T620" s="354"/>
      <c r="U620" s="354"/>
      <c r="V620" s="354"/>
      <c r="W620" s="354"/>
      <c r="X620" s="354"/>
      <c r="Y620" s="354"/>
      <c r="Z620" s="354"/>
    </row>
    <row r="621" customFormat="false" ht="15" hidden="false" customHeight="true" outlineLevel="0" collapsed="false">
      <c r="A621" s="354"/>
      <c r="B621" s="354"/>
      <c r="C621" s="354"/>
      <c r="D621" s="354"/>
      <c r="E621" s="354"/>
      <c r="F621" s="354"/>
      <c r="G621" s="354"/>
      <c r="H621" s="354"/>
      <c r="I621" s="354"/>
      <c r="J621" s="354"/>
      <c r="K621" s="354"/>
      <c r="L621" s="354"/>
      <c r="M621" s="354"/>
      <c r="N621" s="354"/>
      <c r="O621" s="354"/>
      <c r="P621" s="354"/>
      <c r="Q621" s="354"/>
      <c r="R621" s="354"/>
      <c r="S621" s="354"/>
      <c r="T621" s="354"/>
      <c r="U621" s="354"/>
      <c r="V621" s="354"/>
      <c r="W621" s="354"/>
      <c r="X621" s="354"/>
      <c r="Y621" s="354"/>
      <c r="Z621" s="354"/>
    </row>
    <row r="622" customFormat="false" ht="15" hidden="false" customHeight="true" outlineLevel="0" collapsed="false">
      <c r="A622" s="354"/>
      <c r="B622" s="354"/>
      <c r="C622" s="354"/>
      <c r="D622" s="354"/>
      <c r="E622" s="354"/>
      <c r="F622" s="354"/>
      <c r="G622" s="354"/>
      <c r="H622" s="354"/>
      <c r="I622" s="354"/>
      <c r="J622" s="354"/>
      <c r="K622" s="354"/>
      <c r="L622" s="354"/>
      <c r="M622" s="354"/>
      <c r="N622" s="354"/>
      <c r="O622" s="354"/>
      <c r="P622" s="354"/>
      <c r="Q622" s="354"/>
      <c r="R622" s="354"/>
      <c r="S622" s="354"/>
      <c r="T622" s="354"/>
      <c r="U622" s="354"/>
      <c r="V622" s="354"/>
      <c r="W622" s="354"/>
      <c r="X622" s="354"/>
      <c r="Y622" s="354"/>
      <c r="Z622" s="354"/>
    </row>
    <row r="623" customFormat="false" ht="15" hidden="false" customHeight="true" outlineLevel="0" collapsed="false">
      <c r="A623" s="354"/>
      <c r="B623" s="354"/>
      <c r="C623" s="354"/>
      <c r="D623" s="354"/>
      <c r="E623" s="354"/>
      <c r="F623" s="354"/>
      <c r="G623" s="354"/>
      <c r="H623" s="354"/>
      <c r="I623" s="354"/>
      <c r="J623" s="354"/>
      <c r="K623" s="354"/>
      <c r="L623" s="354"/>
      <c r="M623" s="354"/>
      <c r="N623" s="354"/>
      <c r="O623" s="354"/>
      <c r="P623" s="354"/>
      <c r="Q623" s="354"/>
      <c r="R623" s="354"/>
      <c r="S623" s="354"/>
      <c r="T623" s="354"/>
      <c r="U623" s="354"/>
      <c r="V623" s="354"/>
      <c r="W623" s="354"/>
      <c r="X623" s="354"/>
      <c r="Y623" s="354"/>
      <c r="Z623" s="354"/>
    </row>
    <row r="624" customFormat="false" ht="15" hidden="false" customHeight="true" outlineLevel="0" collapsed="false">
      <c r="A624" s="354"/>
      <c r="B624" s="354"/>
      <c r="C624" s="354"/>
      <c r="D624" s="354"/>
      <c r="E624" s="354"/>
      <c r="F624" s="354"/>
      <c r="G624" s="354"/>
      <c r="H624" s="354"/>
      <c r="I624" s="354"/>
      <c r="J624" s="354"/>
      <c r="K624" s="354"/>
      <c r="L624" s="354"/>
      <c r="M624" s="354"/>
      <c r="N624" s="354"/>
      <c r="O624" s="354"/>
      <c r="P624" s="354"/>
      <c r="Q624" s="354"/>
      <c r="R624" s="354"/>
      <c r="S624" s="354"/>
      <c r="T624" s="354"/>
      <c r="U624" s="354"/>
      <c r="V624" s="354"/>
      <c r="W624" s="354"/>
      <c r="X624" s="354"/>
      <c r="Y624" s="354"/>
      <c r="Z624" s="354"/>
    </row>
    <row r="625" customFormat="false" ht="15" hidden="false" customHeight="true" outlineLevel="0" collapsed="false">
      <c r="A625" s="354"/>
      <c r="B625" s="354"/>
      <c r="C625" s="354"/>
      <c r="D625" s="354"/>
      <c r="E625" s="354"/>
      <c r="F625" s="354"/>
      <c r="G625" s="354"/>
      <c r="H625" s="354"/>
      <c r="I625" s="354"/>
      <c r="J625" s="354"/>
      <c r="K625" s="354"/>
      <c r="L625" s="354"/>
      <c r="M625" s="354"/>
      <c r="N625" s="354"/>
      <c r="O625" s="354"/>
      <c r="P625" s="354"/>
      <c r="Q625" s="354"/>
      <c r="R625" s="354"/>
      <c r="S625" s="354"/>
      <c r="T625" s="354"/>
      <c r="U625" s="354"/>
      <c r="V625" s="354"/>
      <c r="W625" s="354"/>
      <c r="X625" s="354"/>
      <c r="Y625" s="354"/>
      <c r="Z625" s="354"/>
    </row>
    <row r="626" customFormat="false" ht="15" hidden="false" customHeight="true" outlineLevel="0" collapsed="false">
      <c r="A626" s="354"/>
      <c r="B626" s="354"/>
      <c r="C626" s="354"/>
      <c r="D626" s="354"/>
      <c r="E626" s="354"/>
      <c r="F626" s="354"/>
      <c r="G626" s="354"/>
      <c r="H626" s="354"/>
      <c r="I626" s="354"/>
      <c r="J626" s="354"/>
      <c r="K626" s="354"/>
      <c r="L626" s="354"/>
      <c r="M626" s="354"/>
      <c r="N626" s="354"/>
      <c r="O626" s="354"/>
      <c r="P626" s="354"/>
      <c r="Q626" s="354"/>
      <c r="R626" s="354"/>
      <c r="S626" s="354"/>
      <c r="T626" s="354"/>
      <c r="U626" s="354"/>
      <c r="V626" s="354"/>
      <c r="W626" s="354"/>
      <c r="X626" s="354"/>
      <c r="Y626" s="354"/>
      <c r="Z626" s="354"/>
    </row>
    <row r="627" customFormat="false" ht="15" hidden="false" customHeight="true" outlineLevel="0" collapsed="false">
      <c r="A627" s="354"/>
      <c r="B627" s="354"/>
      <c r="C627" s="354"/>
      <c r="D627" s="354"/>
      <c r="E627" s="354"/>
      <c r="F627" s="354"/>
      <c r="G627" s="354"/>
      <c r="H627" s="354"/>
      <c r="I627" s="354"/>
      <c r="J627" s="354"/>
      <c r="K627" s="354"/>
      <c r="L627" s="354"/>
      <c r="M627" s="354"/>
      <c r="N627" s="354"/>
      <c r="O627" s="354"/>
      <c r="P627" s="354"/>
      <c r="Q627" s="354"/>
      <c r="R627" s="354"/>
      <c r="S627" s="354"/>
      <c r="T627" s="354"/>
      <c r="U627" s="354"/>
      <c r="V627" s="354"/>
      <c r="W627" s="354"/>
      <c r="X627" s="354"/>
      <c r="Y627" s="354"/>
      <c r="Z627" s="354"/>
    </row>
    <row r="628" customFormat="false" ht="15" hidden="false" customHeight="true" outlineLevel="0" collapsed="false">
      <c r="A628" s="354"/>
      <c r="B628" s="354"/>
      <c r="C628" s="354"/>
      <c r="D628" s="354"/>
      <c r="E628" s="354"/>
      <c r="F628" s="354"/>
      <c r="G628" s="354"/>
      <c r="H628" s="354"/>
      <c r="I628" s="354"/>
      <c r="J628" s="354"/>
      <c r="K628" s="354"/>
      <c r="L628" s="354"/>
      <c r="M628" s="354"/>
      <c r="N628" s="354"/>
      <c r="O628" s="354"/>
      <c r="P628" s="354"/>
      <c r="Q628" s="354"/>
      <c r="R628" s="354"/>
      <c r="S628" s="354"/>
      <c r="T628" s="354"/>
      <c r="U628" s="354"/>
      <c r="V628" s="354"/>
      <c r="W628" s="354"/>
      <c r="X628" s="354"/>
      <c r="Y628" s="354"/>
      <c r="Z628" s="354"/>
    </row>
    <row r="629" customFormat="false" ht="15" hidden="false" customHeight="true" outlineLevel="0" collapsed="false">
      <c r="A629" s="354"/>
      <c r="B629" s="354"/>
      <c r="C629" s="354"/>
      <c r="D629" s="354"/>
      <c r="E629" s="354"/>
      <c r="F629" s="354"/>
      <c r="G629" s="354"/>
      <c r="H629" s="354"/>
      <c r="I629" s="354"/>
      <c r="J629" s="354"/>
      <c r="K629" s="354"/>
      <c r="L629" s="354"/>
      <c r="M629" s="354"/>
      <c r="N629" s="354"/>
      <c r="O629" s="354"/>
      <c r="P629" s="354"/>
      <c r="Q629" s="354"/>
      <c r="R629" s="354"/>
      <c r="S629" s="354"/>
      <c r="T629" s="354"/>
      <c r="U629" s="354"/>
      <c r="V629" s="354"/>
      <c r="W629" s="354"/>
      <c r="X629" s="354"/>
      <c r="Y629" s="354"/>
      <c r="Z629" s="354"/>
    </row>
    <row r="630" customFormat="false" ht="15" hidden="false" customHeight="true" outlineLevel="0" collapsed="false">
      <c r="A630" s="354"/>
      <c r="B630" s="354"/>
      <c r="C630" s="354"/>
      <c r="D630" s="354"/>
      <c r="E630" s="354"/>
      <c r="F630" s="354"/>
      <c r="G630" s="354"/>
      <c r="H630" s="354"/>
      <c r="I630" s="354"/>
      <c r="J630" s="354"/>
      <c r="K630" s="354"/>
      <c r="L630" s="354"/>
      <c r="M630" s="354"/>
      <c r="N630" s="354"/>
      <c r="O630" s="354"/>
      <c r="P630" s="354"/>
      <c r="Q630" s="354"/>
      <c r="R630" s="354"/>
      <c r="S630" s="354"/>
      <c r="T630" s="354"/>
      <c r="U630" s="354"/>
      <c r="V630" s="354"/>
      <c r="W630" s="354"/>
      <c r="X630" s="354"/>
      <c r="Y630" s="354"/>
      <c r="Z630" s="354"/>
    </row>
    <row r="631" customFormat="false" ht="15" hidden="false" customHeight="true" outlineLevel="0" collapsed="false">
      <c r="A631" s="354"/>
      <c r="B631" s="354"/>
      <c r="C631" s="354"/>
      <c r="D631" s="354"/>
      <c r="E631" s="354"/>
      <c r="F631" s="354"/>
      <c r="G631" s="354"/>
      <c r="H631" s="354"/>
      <c r="I631" s="354"/>
      <c r="J631" s="354"/>
      <c r="K631" s="354"/>
      <c r="L631" s="354"/>
      <c r="M631" s="354"/>
      <c r="N631" s="354"/>
      <c r="O631" s="354"/>
      <c r="P631" s="354"/>
      <c r="Q631" s="354"/>
      <c r="R631" s="354"/>
      <c r="S631" s="354"/>
      <c r="T631" s="354"/>
      <c r="U631" s="354"/>
      <c r="V631" s="354"/>
      <c r="W631" s="354"/>
      <c r="X631" s="354"/>
      <c r="Y631" s="354"/>
      <c r="Z631" s="354"/>
    </row>
    <row r="632" customFormat="false" ht="15" hidden="false" customHeight="true" outlineLevel="0" collapsed="false">
      <c r="A632" s="354"/>
      <c r="B632" s="354"/>
      <c r="C632" s="354"/>
      <c r="D632" s="354"/>
      <c r="E632" s="354"/>
      <c r="F632" s="354"/>
      <c r="G632" s="354"/>
      <c r="H632" s="354"/>
      <c r="I632" s="354"/>
      <c r="J632" s="354"/>
      <c r="K632" s="354"/>
      <c r="L632" s="354"/>
      <c r="M632" s="354"/>
      <c r="N632" s="354"/>
      <c r="O632" s="354"/>
      <c r="P632" s="354"/>
      <c r="Q632" s="354"/>
      <c r="R632" s="354"/>
      <c r="S632" s="354"/>
      <c r="T632" s="354"/>
      <c r="U632" s="354"/>
      <c r="V632" s="354"/>
      <c r="W632" s="354"/>
      <c r="X632" s="354"/>
      <c r="Y632" s="354"/>
      <c r="Z632" s="354"/>
    </row>
    <row r="633" customFormat="false" ht="15" hidden="false" customHeight="true" outlineLevel="0" collapsed="false">
      <c r="A633" s="354"/>
      <c r="B633" s="354"/>
      <c r="C633" s="354"/>
      <c r="D633" s="354"/>
      <c r="E633" s="354"/>
      <c r="F633" s="354"/>
      <c r="G633" s="354"/>
      <c r="H633" s="354"/>
      <c r="I633" s="354"/>
      <c r="J633" s="354"/>
      <c r="K633" s="354"/>
      <c r="L633" s="354"/>
      <c r="M633" s="354"/>
      <c r="N633" s="354"/>
      <c r="O633" s="354"/>
      <c r="P633" s="354"/>
      <c r="Q633" s="354"/>
      <c r="R633" s="354"/>
      <c r="S633" s="354"/>
      <c r="T633" s="354"/>
      <c r="U633" s="354"/>
      <c r="V633" s="354"/>
      <c r="W633" s="354"/>
      <c r="X633" s="354"/>
      <c r="Y633" s="354"/>
      <c r="Z633" s="354"/>
    </row>
    <row r="634" customFormat="false" ht="15" hidden="false" customHeight="true" outlineLevel="0" collapsed="false">
      <c r="A634" s="354"/>
      <c r="B634" s="354"/>
      <c r="C634" s="354"/>
      <c r="D634" s="354"/>
      <c r="E634" s="354"/>
      <c r="F634" s="354"/>
      <c r="G634" s="354"/>
      <c r="H634" s="354"/>
      <c r="I634" s="354"/>
      <c r="J634" s="354"/>
      <c r="K634" s="354"/>
      <c r="L634" s="354"/>
      <c r="M634" s="354"/>
      <c r="N634" s="354"/>
      <c r="O634" s="354"/>
      <c r="P634" s="354"/>
      <c r="Q634" s="354"/>
      <c r="R634" s="354"/>
      <c r="S634" s="354"/>
      <c r="T634" s="354"/>
      <c r="U634" s="354"/>
      <c r="V634" s="354"/>
      <c r="W634" s="354"/>
      <c r="X634" s="354"/>
      <c r="Y634" s="354"/>
      <c r="Z634" s="354"/>
    </row>
    <row r="635" customFormat="false" ht="15" hidden="false" customHeight="true" outlineLevel="0" collapsed="false">
      <c r="A635" s="354"/>
      <c r="B635" s="354"/>
      <c r="C635" s="354"/>
      <c r="D635" s="354"/>
      <c r="E635" s="354"/>
      <c r="F635" s="354"/>
      <c r="G635" s="354"/>
      <c r="H635" s="354"/>
      <c r="I635" s="354"/>
      <c r="J635" s="354"/>
      <c r="K635" s="354"/>
      <c r="L635" s="354"/>
      <c r="M635" s="354"/>
      <c r="N635" s="354"/>
      <c r="O635" s="354"/>
      <c r="P635" s="354"/>
      <c r="Q635" s="354"/>
      <c r="R635" s="354"/>
      <c r="S635" s="354"/>
      <c r="T635" s="354"/>
      <c r="U635" s="354"/>
      <c r="V635" s="354"/>
      <c r="W635" s="354"/>
      <c r="X635" s="354"/>
      <c r="Y635" s="354"/>
      <c r="Z635" s="354"/>
    </row>
    <row r="636" customFormat="false" ht="15" hidden="false" customHeight="true" outlineLevel="0" collapsed="false">
      <c r="A636" s="354"/>
      <c r="B636" s="354"/>
      <c r="C636" s="354"/>
      <c r="D636" s="354"/>
      <c r="E636" s="354"/>
      <c r="F636" s="354"/>
      <c r="G636" s="354"/>
      <c r="H636" s="354"/>
      <c r="I636" s="354"/>
      <c r="J636" s="354"/>
      <c r="K636" s="354"/>
      <c r="L636" s="354"/>
      <c r="M636" s="354"/>
      <c r="N636" s="354"/>
      <c r="O636" s="354"/>
      <c r="P636" s="354"/>
      <c r="Q636" s="354"/>
      <c r="R636" s="354"/>
      <c r="S636" s="354"/>
      <c r="T636" s="354"/>
      <c r="U636" s="354"/>
      <c r="V636" s="354"/>
      <c r="W636" s="354"/>
      <c r="X636" s="354"/>
      <c r="Y636" s="354"/>
      <c r="Z636" s="354"/>
    </row>
    <row r="637" customFormat="false" ht="15" hidden="false" customHeight="true" outlineLevel="0" collapsed="false">
      <c r="A637" s="354"/>
      <c r="B637" s="354"/>
      <c r="C637" s="354"/>
      <c r="D637" s="354"/>
      <c r="E637" s="354"/>
      <c r="F637" s="354"/>
      <c r="G637" s="354"/>
      <c r="H637" s="354"/>
      <c r="I637" s="354"/>
      <c r="J637" s="354"/>
      <c r="K637" s="354"/>
      <c r="L637" s="354"/>
      <c r="M637" s="354"/>
      <c r="N637" s="354"/>
      <c r="O637" s="354"/>
      <c r="P637" s="354"/>
      <c r="Q637" s="354"/>
      <c r="R637" s="354"/>
      <c r="S637" s="354"/>
      <c r="T637" s="354"/>
      <c r="U637" s="354"/>
      <c r="V637" s="354"/>
      <c r="W637" s="354"/>
      <c r="X637" s="354"/>
      <c r="Y637" s="354"/>
      <c r="Z637" s="354"/>
    </row>
    <row r="638" customFormat="false" ht="15" hidden="false" customHeight="true" outlineLevel="0" collapsed="false">
      <c r="A638" s="354"/>
      <c r="B638" s="354"/>
      <c r="C638" s="354"/>
      <c r="D638" s="354"/>
      <c r="E638" s="354"/>
      <c r="F638" s="354"/>
      <c r="G638" s="354"/>
      <c r="H638" s="354"/>
      <c r="I638" s="354"/>
      <c r="J638" s="354"/>
      <c r="K638" s="354"/>
      <c r="L638" s="354"/>
      <c r="M638" s="354"/>
      <c r="N638" s="354"/>
      <c r="O638" s="354"/>
      <c r="P638" s="354"/>
      <c r="Q638" s="354"/>
      <c r="R638" s="354"/>
      <c r="S638" s="354"/>
      <c r="T638" s="354"/>
      <c r="U638" s="354"/>
      <c r="V638" s="354"/>
      <c r="W638" s="354"/>
      <c r="X638" s="354"/>
      <c r="Y638" s="354"/>
      <c r="Z638" s="354"/>
    </row>
    <row r="639" customFormat="false" ht="15" hidden="false" customHeight="true" outlineLevel="0" collapsed="false">
      <c r="A639" s="354"/>
      <c r="B639" s="354"/>
      <c r="C639" s="354"/>
      <c r="D639" s="354"/>
      <c r="E639" s="354"/>
      <c r="F639" s="354"/>
      <c r="G639" s="354"/>
      <c r="H639" s="354"/>
      <c r="I639" s="354"/>
      <c r="J639" s="354"/>
      <c r="K639" s="354"/>
      <c r="L639" s="354"/>
      <c r="M639" s="354"/>
      <c r="N639" s="354"/>
      <c r="O639" s="354"/>
      <c r="P639" s="354"/>
      <c r="Q639" s="354"/>
      <c r="R639" s="354"/>
      <c r="S639" s="354"/>
      <c r="T639" s="354"/>
      <c r="U639" s="354"/>
      <c r="V639" s="354"/>
      <c r="W639" s="354"/>
      <c r="X639" s="354"/>
      <c r="Y639" s="354"/>
      <c r="Z639" s="354"/>
    </row>
    <row r="640" customFormat="false" ht="15" hidden="false" customHeight="true" outlineLevel="0" collapsed="false">
      <c r="A640" s="354"/>
      <c r="B640" s="354"/>
      <c r="C640" s="354"/>
      <c r="D640" s="354"/>
      <c r="E640" s="354"/>
      <c r="F640" s="354"/>
      <c r="G640" s="354"/>
      <c r="H640" s="354"/>
      <c r="I640" s="354"/>
      <c r="J640" s="354"/>
      <c r="K640" s="354"/>
      <c r="L640" s="354"/>
      <c r="M640" s="354"/>
      <c r="N640" s="354"/>
      <c r="O640" s="354"/>
      <c r="P640" s="354"/>
      <c r="Q640" s="354"/>
      <c r="R640" s="354"/>
      <c r="S640" s="354"/>
      <c r="T640" s="354"/>
      <c r="U640" s="354"/>
      <c r="V640" s="354"/>
      <c r="W640" s="354"/>
      <c r="X640" s="354"/>
      <c r="Y640" s="354"/>
      <c r="Z640" s="354"/>
    </row>
    <row r="641" customFormat="false" ht="15" hidden="false" customHeight="true" outlineLevel="0" collapsed="false">
      <c r="A641" s="354"/>
      <c r="B641" s="354"/>
      <c r="C641" s="354"/>
      <c r="D641" s="354"/>
      <c r="E641" s="354"/>
      <c r="F641" s="354"/>
      <c r="G641" s="354"/>
      <c r="H641" s="354"/>
      <c r="I641" s="354"/>
      <c r="J641" s="354"/>
      <c r="K641" s="354"/>
      <c r="L641" s="354"/>
      <c r="M641" s="354"/>
      <c r="N641" s="354"/>
      <c r="O641" s="354"/>
      <c r="P641" s="354"/>
      <c r="Q641" s="354"/>
      <c r="R641" s="354"/>
      <c r="S641" s="354"/>
      <c r="T641" s="354"/>
      <c r="U641" s="354"/>
      <c r="V641" s="354"/>
      <c r="W641" s="354"/>
      <c r="X641" s="354"/>
      <c r="Y641" s="354"/>
      <c r="Z641" s="354"/>
    </row>
    <row r="642" customFormat="false" ht="15" hidden="false" customHeight="true" outlineLevel="0" collapsed="false">
      <c r="A642" s="354"/>
      <c r="B642" s="354"/>
      <c r="C642" s="354"/>
      <c r="D642" s="354"/>
      <c r="E642" s="354"/>
      <c r="F642" s="354"/>
      <c r="G642" s="354"/>
      <c r="H642" s="354"/>
      <c r="I642" s="354"/>
      <c r="J642" s="354"/>
      <c r="K642" s="354"/>
      <c r="L642" s="354"/>
      <c r="M642" s="354"/>
      <c r="N642" s="354"/>
      <c r="O642" s="354"/>
      <c r="P642" s="354"/>
      <c r="Q642" s="354"/>
      <c r="R642" s="354"/>
      <c r="S642" s="354"/>
      <c r="T642" s="354"/>
      <c r="U642" s="354"/>
      <c r="V642" s="354"/>
      <c r="W642" s="354"/>
      <c r="X642" s="354"/>
      <c r="Y642" s="354"/>
      <c r="Z642" s="354"/>
    </row>
    <row r="643" customFormat="false" ht="15" hidden="false" customHeight="true" outlineLevel="0" collapsed="false">
      <c r="A643" s="354"/>
      <c r="B643" s="354"/>
      <c r="C643" s="354"/>
      <c r="D643" s="354"/>
      <c r="E643" s="354"/>
      <c r="F643" s="354"/>
      <c r="G643" s="354"/>
      <c r="H643" s="354"/>
      <c r="I643" s="354"/>
      <c r="J643" s="354"/>
      <c r="K643" s="354"/>
      <c r="L643" s="354"/>
      <c r="M643" s="354"/>
      <c r="N643" s="354"/>
      <c r="O643" s="354"/>
      <c r="P643" s="354"/>
      <c r="Q643" s="354"/>
      <c r="R643" s="354"/>
      <c r="S643" s="354"/>
      <c r="T643" s="354"/>
      <c r="U643" s="354"/>
      <c r="V643" s="354"/>
      <c r="W643" s="354"/>
      <c r="X643" s="354"/>
      <c r="Y643" s="354"/>
      <c r="Z643" s="354"/>
    </row>
    <row r="644" customFormat="false" ht="15" hidden="false" customHeight="true" outlineLevel="0" collapsed="false">
      <c r="A644" s="354"/>
      <c r="B644" s="354"/>
      <c r="C644" s="354"/>
      <c r="D644" s="354"/>
      <c r="E644" s="354"/>
      <c r="F644" s="354"/>
      <c r="G644" s="354"/>
      <c r="H644" s="354"/>
      <c r="I644" s="354"/>
      <c r="J644" s="354"/>
      <c r="K644" s="354"/>
      <c r="L644" s="354"/>
      <c r="M644" s="354"/>
      <c r="N644" s="354"/>
      <c r="O644" s="354"/>
      <c r="P644" s="354"/>
      <c r="Q644" s="354"/>
      <c r="R644" s="354"/>
      <c r="S644" s="354"/>
      <c r="T644" s="354"/>
      <c r="U644" s="354"/>
      <c r="V644" s="354"/>
      <c r="W644" s="354"/>
      <c r="X644" s="354"/>
      <c r="Y644" s="354"/>
      <c r="Z644" s="354"/>
    </row>
    <row r="645" customFormat="false" ht="15" hidden="false" customHeight="true" outlineLevel="0" collapsed="false">
      <c r="A645" s="354"/>
      <c r="B645" s="354"/>
      <c r="C645" s="354"/>
      <c r="D645" s="354"/>
      <c r="E645" s="354"/>
      <c r="F645" s="354"/>
      <c r="G645" s="354"/>
      <c r="H645" s="354"/>
      <c r="I645" s="354"/>
      <c r="J645" s="354"/>
      <c r="K645" s="354"/>
      <c r="L645" s="354"/>
      <c r="M645" s="354"/>
      <c r="N645" s="354"/>
      <c r="O645" s="354"/>
      <c r="P645" s="354"/>
      <c r="Q645" s="354"/>
      <c r="R645" s="354"/>
      <c r="S645" s="354"/>
      <c r="T645" s="354"/>
      <c r="U645" s="354"/>
      <c r="V645" s="354"/>
      <c r="W645" s="354"/>
      <c r="X645" s="354"/>
      <c r="Y645" s="354"/>
      <c r="Z645" s="354"/>
    </row>
    <row r="646" customFormat="false" ht="15" hidden="false" customHeight="true" outlineLevel="0" collapsed="false">
      <c r="A646" s="354"/>
      <c r="B646" s="354"/>
      <c r="C646" s="354"/>
      <c r="D646" s="354"/>
      <c r="E646" s="354"/>
      <c r="F646" s="354"/>
      <c r="G646" s="354"/>
      <c r="H646" s="354"/>
      <c r="I646" s="354"/>
      <c r="J646" s="354"/>
      <c r="K646" s="354"/>
      <c r="L646" s="354"/>
      <c r="M646" s="354"/>
      <c r="N646" s="354"/>
      <c r="O646" s="354"/>
      <c r="P646" s="354"/>
      <c r="Q646" s="354"/>
      <c r="R646" s="354"/>
      <c r="S646" s="354"/>
      <c r="T646" s="354"/>
      <c r="U646" s="354"/>
      <c r="V646" s="354"/>
      <c r="W646" s="354"/>
      <c r="X646" s="354"/>
      <c r="Y646" s="354"/>
      <c r="Z646" s="354"/>
    </row>
    <row r="647" customFormat="false" ht="15" hidden="false" customHeight="true" outlineLevel="0" collapsed="false">
      <c r="A647" s="354"/>
      <c r="B647" s="354"/>
      <c r="C647" s="354"/>
      <c r="D647" s="354"/>
      <c r="E647" s="354"/>
      <c r="F647" s="354"/>
      <c r="G647" s="354"/>
      <c r="H647" s="354"/>
      <c r="I647" s="354"/>
      <c r="J647" s="354"/>
      <c r="K647" s="354"/>
      <c r="L647" s="354"/>
      <c r="M647" s="354"/>
      <c r="N647" s="354"/>
      <c r="O647" s="354"/>
      <c r="P647" s="354"/>
      <c r="Q647" s="354"/>
      <c r="R647" s="354"/>
      <c r="S647" s="354"/>
      <c r="T647" s="354"/>
      <c r="U647" s="354"/>
      <c r="V647" s="354"/>
      <c r="W647" s="354"/>
      <c r="X647" s="354"/>
      <c r="Y647" s="354"/>
      <c r="Z647" s="354"/>
    </row>
    <row r="648" customFormat="false" ht="15" hidden="false" customHeight="true" outlineLevel="0" collapsed="false">
      <c r="A648" s="354"/>
      <c r="B648" s="354"/>
      <c r="C648" s="354"/>
      <c r="D648" s="354"/>
      <c r="E648" s="354"/>
      <c r="F648" s="354"/>
      <c r="G648" s="354"/>
      <c r="H648" s="354"/>
      <c r="I648" s="354"/>
      <c r="J648" s="354"/>
      <c r="K648" s="354"/>
      <c r="L648" s="354"/>
      <c r="M648" s="354"/>
      <c r="N648" s="354"/>
      <c r="O648" s="354"/>
      <c r="P648" s="354"/>
      <c r="Q648" s="354"/>
      <c r="R648" s="354"/>
      <c r="S648" s="354"/>
      <c r="T648" s="354"/>
      <c r="U648" s="354"/>
      <c r="V648" s="354"/>
      <c r="W648" s="354"/>
      <c r="X648" s="354"/>
      <c r="Y648" s="354"/>
      <c r="Z648" s="354"/>
    </row>
    <row r="649" customFormat="false" ht="15" hidden="false" customHeight="true" outlineLevel="0" collapsed="false">
      <c r="A649" s="354"/>
      <c r="B649" s="354"/>
      <c r="C649" s="354"/>
      <c r="D649" s="354"/>
      <c r="E649" s="354"/>
      <c r="F649" s="354"/>
      <c r="G649" s="354"/>
      <c r="H649" s="354"/>
      <c r="I649" s="354"/>
      <c r="J649" s="354"/>
      <c r="K649" s="354"/>
      <c r="L649" s="354"/>
      <c r="M649" s="354"/>
      <c r="N649" s="354"/>
      <c r="O649" s="354"/>
      <c r="P649" s="354"/>
      <c r="Q649" s="354"/>
      <c r="R649" s="354"/>
      <c r="S649" s="354"/>
      <c r="T649" s="354"/>
      <c r="U649" s="354"/>
      <c r="V649" s="354"/>
      <c r="W649" s="354"/>
      <c r="X649" s="354"/>
      <c r="Y649" s="354"/>
      <c r="Z649" s="354"/>
    </row>
    <row r="650" customFormat="false" ht="15" hidden="false" customHeight="true" outlineLevel="0" collapsed="false">
      <c r="A650" s="354"/>
      <c r="B650" s="354"/>
      <c r="C650" s="354"/>
      <c r="D650" s="354"/>
      <c r="E650" s="354"/>
      <c r="F650" s="354"/>
      <c r="G650" s="354"/>
      <c r="H650" s="354"/>
      <c r="I650" s="354"/>
      <c r="J650" s="354"/>
      <c r="K650" s="354"/>
      <c r="L650" s="354"/>
      <c r="M650" s="354"/>
      <c r="N650" s="354"/>
      <c r="O650" s="354"/>
      <c r="P650" s="354"/>
      <c r="Q650" s="354"/>
      <c r="R650" s="354"/>
      <c r="S650" s="354"/>
      <c r="T650" s="354"/>
      <c r="U650" s="354"/>
      <c r="V650" s="354"/>
      <c r="W650" s="354"/>
      <c r="X650" s="354"/>
      <c r="Y650" s="354"/>
      <c r="Z650" s="354"/>
    </row>
    <row r="651" customFormat="false" ht="15" hidden="false" customHeight="true" outlineLevel="0" collapsed="false">
      <c r="A651" s="354"/>
      <c r="B651" s="354"/>
      <c r="C651" s="354"/>
      <c r="D651" s="354"/>
      <c r="E651" s="354"/>
      <c r="F651" s="354"/>
      <c r="G651" s="354"/>
      <c r="H651" s="354"/>
      <c r="I651" s="354"/>
      <c r="J651" s="354"/>
      <c r="K651" s="354"/>
      <c r="L651" s="354"/>
      <c r="M651" s="354"/>
      <c r="N651" s="354"/>
      <c r="O651" s="354"/>
      <c r="P651" s="354"/>
      <c r="Q651" s="354"/>
      <c r="R651" s="354"/>
      <c r="S651" s="354"/>
      <c r="T651" s="354"/>
      <c r="U651" s="354"/>
      <c r="V651" s="354"/>
      <c r="W651" s="354"/>
      <c r="X651" s="354"/>
      <c r="Y651" s="354"/>
      <c r="Z651" s="354"/>
    </row>
    <row r="652" customFormat="false" ht="15" hidden="false" customHeight="true" outlineLevel="0" collapsed="false">
      <c r="A652" s="354"/>
      <c r="B652" s="354"/>
      <c r="C652" s="354"/>
      <c r="D652" s="354"/>
      <c r="E652" s="354"/>
      <c r="F652" s="354"/>
      <c r="G652" s="354"/>
      <c r="H652" s="354"/>
      <c r="I652" s="354"/>
      <c r="J652" s="354"/>
      <c r="K652" s="354"/>
      <c r="L652" s="354"/>
      <c r="M652" s="354"/>
      <c r="N652" s="354"/>
      <c r="O652" s="354"/>
      <c r="P652" s="354"/>
      <c r="Q652" s="354"/>
      <c r="R652" s="354"/>
      <c r="S652" s="354"/>
      <c r="T652" s="354"/>
      <c r="U652" s="354"/>
      <c r="V652" s="354"/>
      <c r="W652" s="354"/>
      <c r="X652" s="354"/>
      <c r="Y652" s="354"/>
      <c r="Z652" s="354"/>
    </row>
    <row r="653" customFormat="false" ht="15" hidden="false" customHeight="true" outlineLevel="0" collapsed="false">
      <c r="A653" s="354"/>
      <c r="B653" s="354"/>
      <c r="C653" s="354"/>
      <c r="D653" s="354"/>
      <c r="E653" s="354"/>
      <c r="F653" s="354"/>
      <c r="G653" s="354"/>
      <c r="H653" s="354"/>
      <c r="I653" s="354"/>
      <c r="J653" s="354"/>
      <c r="K653" s="354"/>
      <c r="L653" s="354"/>
      <c r="M653" s="354"/>
      <c r="N653" s="354"/>
      <c r="O653" s="354"/>
      <c r="P653" s="354"/>
      <c r="Q653" s="354"/>
      <c r="R653" s="354"/>
      <c r="S653" s="354"/>
      <c r="T653" s="354"/>
      <c r="U653" s="354"/>
      <c r="V653" s="354"/>
      <c r="W653" s="354"/>
      <c r="X653" s="354"/>
      <c r="Y653" s="354"/>
      <c r="Z653" s="354"/>
    </row>
    <row r="654" customFormat="false" ht="15" hidden="false" customHeight="true" outlineLevel="0" collapsed="false">
      <c r="A654" s="354"/>
      <c r="B654" s="354"/>
      <c r="C654" s="354"/>
      <c r="D654" s="354"/>
      <c r="E654" s="354"/>
      <c r="F654" s="354"/>
      <c r="G654" s="354"/>
      <c r="H654" s="354"/>
      <c r="I654" s="354"/>
      <c r="J654" s="354"/>
      <c r="K654" s="354"/>
      <c r="L654" s="354"/>
      <c r="M654" s="354"/>
      <c r="N654" s="354"/>
      <c r="O654" s="354"/>
      <c r="P654" s="354"/>
      <c r="Q654" s="354"/>
      <c r="R654" s="354"/>
      <c r="S654" s="354"/>
      <c r="T654" s="354"/>
      <c r="U654" s="354"/>
      <c r="V654" s="354"/>
      <c r="W654" s="354"/>
      <c r="X654" s="354"/>
      <c r="Y654" s="354"/>
      <c r="Z654" s="354"/>
    </row>
    <row r="655" customFormat="false" ht="15" hidden="false" customHeight="true" outlineLevel="0" collapsed="false">
      <c r="A655" s="354"/>
      <c r="B655" s="354"/>
      <c r="C655" s="354"/>
      <c r="D655" s="354"/>
      <c r="E655" s="354"/>
      <c r="F655" s="354"/>
      <c r="G655" s="354"/>
      <c r="H655" s="354"/>
      <c r="I655" s="354"/>
      <c r="J655" s="354"/>
      <c r="K655" s="354"/>
      <c r="L655" s="354"/>
      <c r="M655" s="354"/>
      <c r="N655" s="354"/>
      <c r="O655" s="354"/>
      <c r="P655" s="354"/>
      <c r="Q655" s="354"/>
      <c r="R655" s="354"/>
      <c r="S655" s="354"/>
      <c r="T655" s="354"/>
      <c r="U655" s="354"/>
      <c r="V655" s="354"/>
      <c r="W655" s="354"/>
      <c r="X655" s="354"/>
      <c r="Y655" s="354"/>
      <c r="Z655" s="354"/>
    </row>
    <row r="656" customFormat="false" ht="15" hidden="false" customHeight="true" outlineLevel="0" collapsed="false">
      <c r="A656" s="354"/>
      <c r="B656" s="354"/>
      <c r="C656" s="354"/>
      <c r="D656" s="354"/>
      <c r="E656" s="354"/>
      <c r="F656" s="354"/>
      <c r="G656" s="354"/>
      <c r="H656" s="354"/>
      <c r="I656" s="354"/>
      <c r="J656" s="354"/>
      <c r="K656" s="354"/>
      <c r="L656" s="354"/>
      <c r="M656" s="354"/>
      <c r="N656" s="354"/>
      <c r="O656" s="354"/>
      <c r="P656" s="354"/>
      <c r="Q656" s="354"/>
      <c r="R656" s="354"/>
      <c r="S656" s="354"/>
      <c r="T656" s="354"/>
      <c r="U656" s="354"/>
      <c r="V656" s="354"/>
      <c r="W656" s="354"/>
      <c r="X656" s="354"/>
      <c r="Y656" s="354"/>
      <c r="Z656" s="354"/>
    </row>
    <row r="657" customFormat="false" ht="15" hidden="false" customHeight="true" outlineLevel="0" collapsed="false">
      <c r="A657" s="354"/>
      <c r="B657" s="354"/>
      <c r="C657" s="354"/>
      <c r="D657" s="354"/>
      <c r="E657" s="354"/>
      <c r="F657" s="354"/>
      <c r="G657" s="354"/>
      <c r="H657" s="354"/>
      <c r="I657" s="354"/>
      <c r="J657" s="354"/>
      <c r="K657" s="354"/>
      <c r="L657" s="354"/>
      <c r="M657" s="354"/>
      <c r="N657" s="354"/>
      <c r="O657" s="354"/>
      <c r="P657" s="354"/>
      <c r="Q657" s="354"/>
      <c r="R657" s="354"/>
      <c r="S657" s="354"/>
      <c r="T657" s="354"/>
      <c r="U657" s="354"/>
      <c r="V657" s="354"/>
      <c r="W657" s="354"/>
      <c r="X657" s="354"/>
      <c r="Y657" s="354"/>
      <c r="Z657" s="354"/>
    </row>
    <row r="658" customFormat="false" ht="15" hidden="false" customHeight="true" outlineLevel="0" collapsed="false">
      <c r="A658" s="354"/>
      <c r="B658" s="354"/>
      <c r="C658" s="354"/>
      <c r="D658" s="354"/>
      <c r="E658" s="354"/>
      <c r="F658" s="354"/>
      <c r="G658" s="354"/>
      <c r="H658" s="354"/>
      <c r="I658" s="354"/>
      <c r="J658" s="354"/>
      <c r="K658" s="354"/>
      <c r="L658" s="354"/>
      <c r="M658" s="354"/>
      <c r="N658" s="354"/>
      <c r="O658" s="354"/>
      <c r="P658" s="354"/>
      <c r="Q658" s="354"/>
      <c r="R658" s="354"/>
      <c r="S658" s="354"/>
      <c r="T658" s="354"/>
      <c r="U658" s="354"/>
      <c r="V658" s="354"/>
      <c r="W658" s="354"/>
      <c r="X658" s="354"/>
      <c r="Y658" s="354"/>
      <c r="Z658" s="354"/>
    </row>
    <row r="659" customFormat="false" ht="15" hidden="false" customHeight="true" outlineLevel="0" collapsed="false">
      <c r="A659" s="354"/>
      <c r="B659" s="354"/>
      <c r="C659" s="354"/>
      <c r="D659" s="354"/>
      <c r="E659" s="354"/>
      <c r="F659" s="354"/>
      <c r="G659" s="354"/>
      <c r="H659" s="354"/>
      <c r="I659" s="354"/>
      <c r="J659" s="354"/>
      <c r="K659" s="354"/>
      <c r="L659" s="354"/>
      <c r="M659" s="354"/>
      <c r="N659" s="354"/>
      <c r="O659" s="354"/>
      <c r="P659" s="354"/>
      <c r="Q659" s="354"/>
      <c r="R659" s="354"/>
      <c r="S659" s="354"/>
      <c r="T659" s="354"/>
      <c r="U659" s="354"/>
      <c r="V659" s="354"/>
      <c r="W659" s="354"/>
      <c r="X659" s="354"/>
      <c r="Y659" s="354"/>
      <c r="Z659" s="354"/>
    </row>
    <row r="660" customFormat="false" ht="15" hidden="false" customHeight="true" outlineLevel="0" collapsed="false">
      <c r="A660" s="354"/>
      <c r="B660" s="354"/>
      <c r="C660" s="354"/>
      <c r="D660" s="354"/>
      <c r="E660" s="354"/>
      <c r="F660" s="354"/>
      <c r="G660" s="354"/>
      <c r="H660" s="354"/>
      <c r="I660" s="354"/>
      <c r="J660" s="354"/>
      <c r="K660" s="354"/>
      <c r="L660" s="354"/>
      <c r="M660" s="354"/>
      <c r="N660" s="354"/>
      <c r="O660" s="354"/>
      <c r="P660" s="354"/>
      <c r="Q660" s="354"/>
      <c r="R660" s="354"/>
      <c r="S660" s="354"/>
      <c r="T660" s="354"/>
      <c r="U660" s="354"/>
      <c r="V660" s="354"/>
      <c r="W660" s="354"/>
      <c r="X660" s="354"/>
      <c r="Y660" s="354"/>
      <c r="Z660" s="354"/>
    </row>
    <row r="661" customFormat="false" ht="15" hidden="false" customHeight="true" outlineLevel="0" collapsed="false">
      <c r="A661" s="354"/>
      <c r="B661" s="354"/>
      <c r="C661" s="354"/>
      <c r="D661" s="354"/>
      <c r="E661" s="354"/>
      <c r="F661" s="354"/>
      <c r="G661" s="354"/>
      <c r="H661" s="354"/>
      <c r="I661" s="354"/>
      <c r="J661" s="354"/>
      <c r="K661" s="354"/>
      <c r="L661" s="354"/>
      <c r="M661" s="354"/>
      <c r="N661" s="354"/>
      <c r="O661" s="354"/>
      <c r="P661" s="354"/>
      <c r="Q661" s="354"/>
      <c r="R661" s="354"/>
      <c r="S661" s="354"/>
      <c r="T661" s="354"/>
      <c r="U661" s="354"/>
      <c r="V661" s="354"/>
      <c r="W661" s="354"/>
      <c r="X661" s="354"/>
      <c r="Y661" s="354"/>
      <c r="Z661" s="354"/>
    </row>
    <row r="662" customFormat="false" ht="15" hidden="false" customHeight="true" outlineLevel="0" collapsed="false">
      <c r="A662" s="354"/>
      <c r="B662" s="354"/>
      <c r="C662" s="354"/>
      <c r="D662" s="354"/>
      <c r="E662" s="354"/>
      <c r="F662" s="354"/>
      <c r="G662" s="354"/>
      <c r="H662" s="354"/>
      <c r="I662" s="354"/>
      <c r="J662" s="354"/>
      <c r="K662" s="354"/>
      <c r="L662" s="354"/>
      <c r="M662" s="354"/>
      <c r="N662" s="354"/>
      <c r="O662" s="354"/>
      <c r="P662" s="354"/>
      <c r="Q662" s="354"/>
      <c r="R662" s="354"/>
      <c r="S662" s="354"/>
      <c r="T662" s="354"/>
      <c r="U662" s="354"/>
      <c r="V662" s="354"/>
      <c r="W662" s="354"/>
      <c r="X662" s="354"/>
      <c r="Y662" s="354"/>
      <c r="Z662" s="354"/>
    </row>
    <row r="663" customFormat="false" ht="15" hidden="false" customHeight="true" outlineLevel="0" collapsed="false">
      <c r="A663" s="354"/>
      <c r="B663" s="354"/>
      <c r="C663" s="354"/>
      <c r="D663" s="354"/>
      <c r="E663" s="354"/>
      <c r="F663" s="354"/>
      <c r="G663" s="354"/>
      <c r="H663" s="354"/>
      <c r="I663" s="354"/>
      <c r="J663" s="354"/>
      <c r="K663" s="354"/>
      <c r="L663" s="354"/>
      <c r="M663" s="354"/>
      <c r="N663" s="354"/>
      <c r="O663" s="354"/>
      <c r="P663" s="354"/>
      <c r="Q663" s="354"/>
      <c r="R663" s="354"/>
      <c r="S663" s="354"/>
      <c r="T663" s="354"/>
      <c r="U663" s="354"/>
      <c r="V663" s="354"/>
      <c r="W663" s="354"/>
      <c r="X663" s="354"/>
      <c r="Y663" s="354"/>
      <c r="Z663" s="354"/>
    </row>
    <row r="664" customFormat="false" ht="15" hidden="false" customHeight="true" outlineLevel="0" collapsed="false">
      <c r="A664" s="354"/>
      <c r="B664" s="354"/>
      <c r="C664" s="354"/>
      <c r="D664" s="354"/>
      <c r="E664" s="354"/>
      <c r="F664" s="354"/>
      <c r="G664" s="354"/>
      <c r="H664" s="354"/>
      <c r="I664" s="354"/>
      <c r="J664" s="354"/>
      <c r="K664" s="354"/>
      <c r="L664" s="354"/>
      <c r="M664" s="354"/>
      <c r="N664" s="354"/>
      <c r="O664" s="354"/>
      <c r="P664" s="354"/>
      <c r="Q664" s="354"/>
      <c r="R664" s="354"/>
      <c r="S664" s="354"/>
      <c r="T664" s="354"/>
      <c r="U664" s="354"/>
      <c r="V664" s="354"/>
      <c r="W664" s="354"/>
      <c r="X664" s="354"/>
      <c r="Y664" s="354"/>
      <c r="Z664" s="354"/>
    </row>
    <row r="665" customFormat="false" ht="15" hidden="false" customHeight="true" outlineLevel="0" collapsed="false">
      <c r="A665" s="354"/>
      <c r="B665" s="354"/>
      <c r="C665" s="354"/>
      <c r="D665" s="354"/>
      <c r="E665" s="354"/>
      <c r="F665" s="354"/>
      <c r="G665" s="354"/>
      <c r="H665" s="354"/>
      <c r="I665" s="354"/>
      <c r="J665" s="354"/>
      <c r="K665" s="354"/>
      <c r="L665" s="354"/>
      <c r="M665" s="354"/>
      <c r="N665" s="354"/>
      <c r="O665" s="354"/>
      <c r="P665" s="354"/>
      <c r="Q665" s="354"/>
      <c r="R665" s="354"/>
      <c r="S665" s="354"/>
      <c r="T665" s="354"/>
      <c r="U665" s="354"/>
      <c r="V665" s="354"/>
      <c r="W665" s="354"/>
      <c r="X665" s="354"/>
      <c r="Y665" s="354"/>
      <c r="Z665" s="354"/>
    </row>
    <row r="666" customFormat="false" ht="15" hidden="false" customHeight="true" outlineLevel="0" collapsed="false">
      <c r="A666" s="354"/>
      <c r="B666" s="354"/>
      <c r="C666" s="354"/>
      <c r="D666" s="354"/>
      <c r="E666" s="354"/>
      <c r="F666" s="354"/>
      <c r="G666" s="354"/>
      <c r="H666" s="354"/>
      <c r="I666" s="354"/>
      <c r="J666" s="354"/>
      <c r="K666" s="354"/>
      <c r="L666" s="354"/>
      <c r="M666" s="354"/>
      <c r="N666" s="354"/>
      <c r="O666" s="354"/>
      <c r="P666" s="354"/>
      <c r="Q666" s="354"/>
      <c r="R666" s="354"/>
      <c r="S666" s="354"/>
      <c r="T666" s="354"/>
      <c r="U666" s="354"/>
      <c r="V666" s="354"/>
      <c r="W666" s="354"/>
      <c r="X666" s="354"/>
      <c r="Y666" s="354"/>
      <c r="Z666" s="354"/>
    </row>
    <row r="667" customFormat="false" ht="15" hidden="false" customHeight="true" outlineLevel="0" collapsed="false">
      <c r="A667" s="354"/>
      <c r="B667" s="354"/>
      <c r="C667" s="354"/>
      <c r="D667" s="354"/>
      <c r="E667" s="354"/>
      <c r="F667" s="354"/>
      <c r="G667" s="354"/>
      <c r="H667" s="354"/>
      <c r="I667" s="354"/>
      <c r="J667" s="354"/>
      <c r="K667" s="354"/>
      <c r="L667" s="354"/>
      <c r="M667" s="354"/>
      <c r="N667" s="354"/>
      <c r="O667" s="354"/>
      <c r="P667" s="354"/>
      <c r="Q667" s="354"/>
      <c r="R667" s="354"/>
      <c r="S667" s="354"/>
      <c r="T667" s="354"/>
      <c r="U667" s="354"/>
      <c r="V667" s="354"/>
      <c r="W667" s="354"/>
      <c r="X667" s="354"/>
      <c r="Y667" s="354"/>
      <c r="Z667" s="354"/>
    </row>
    <row r="668" customFormat="false" ht="15" hidden="false" customHeight="true" outlineLevel="0" collapsed="false">
      <c r="A668" s="354"/>
      <c r="B668" s="354"/>
      <c r="C668" s="354"/>
      <c r="D668" s="354"/>
      <c r="E668" s="354"/>
      <c r="F668" s="354"/>
      <c r="G668" s="354"/>
      <c r="H668" s="354"/>
      <c r="I668" s="354"/>
      <c r="J668" s="354"/>
      <c r="K668" s="354"/>
      <c r="L668" s="354"/>
      <c r="M668" s="354"/>
      <c r="N668" s="354"/>
      <c r="O668" s="354"/>
      <c r="P668" s="354"/>
      <c r="Q668" s="354"/>
      <c r="R668" s="354"/>
      <c r="S668" s="354"/>
      <c r="T668" s="354"/>
      <c r="U668" s="354"/>
      <c r="V668" s="354"/>
      <c r="W668" s="354"/>
      <c r="X668" s="354"/>
      <c r="Y668" s="354"/>
      <c r="Z668" s="354"/>
    </row>
    <row r="669" customFormat="false" ht="15" hidden="false" customHeight="true" outlineLevel="0" collapsed="false">
      <c r="A669" s="354"/>
      <c r="B669" s="354"/>
      <c r="C669" s="354"/>
      <c r="D669" s="354"/>
      <c r="E669" s="354"/>
      <c r="F669" s="354"/>
      <c r="G669" s="354"/>
      <c r="H669" s="354"/>
      <c r="I669" s="354"/>
      <c r="J669" s="354"/>
      <c r="K669" s="354"/>
      <c r="L669" s="354"/>
      <c r="M669" s="354"/>
      <c r="N669" s="354"/>
      <c r="O669" s="354"/>
      <c r="P669" s="354"/>
      <c r="Q669" s="354"/>
      <c r="R669" s="354"/>
      <c r="S669" s="354"/>
      <c r="T669" s="354"/>
      <c r="U669" s="354"/>
      <c r="V669" s="354"/>
      <c r="W669" s="354"/>
      <c r="X669" s="354"/>
      <c r="Y669" s="354"/>
      <c r="Z669" s="354"/>
    </row>
    <row r="670" customFormat="false" ht="15" hidden="false" customHeight="true" outlineLevel="0" collapsed="false">
      <c r="A670" s="354"/>
      <c r="B670" s="354"/>
      <c r="C670" s="354"/>
      <c r="D670" s="354"/>
      <c r="E670" s="354"/>
      <c r="F670" s="354"/>
      <c r="G670" s="354"/>
      <c r="H670" s="354"/>
      <c r="I670" s="354"/>
      <c r="J670" s="354"/>
      <c r="K670" s="354"/>
      <c r="L670" s="354"/>
      <c r="M670" s="354"/>
      <c r="N670" s="354"/>
      <c r="O670" s="354"/>
      <c r="P670" s="354"/>
      <c r="Q670" s="354"/>
      <c r="R670" s="354"/>
      <c r="S670" s="354"/>
      <c r="T670" s="354"/>
      <c r="U670" s="354"/>
      <c r="V670" s="354"/>
      <c r="W670" s="354"/>
      <c r="X670" s="354"/>
      <c r="Y670" s="354"/>
      <c r="Z670" s="354"/>
    </row>
    <row r="671" customFormat="false" ht="15" hidden="false" customHeight="true" outlineLevel="0" collapsed="false">
      <c r="A671" s="354"/>
      <c r="B671" s="354"/>
      <c r="C671" s="354"/>
      <c r="D671" s="354"/>
      <c r="E671" s="354"/>
      <c r="F671" s="354"/>
      <c r="G671" s="354"/>
      <c r="H671" s="354"/>
      <c r="I671" s="354"/>
      <c r="J671" s="354"/>
      <c r="K671" s="354"/>
      <c r="L671" s="354"/>
      <c r="M671" s="354"/>
      <c r="N671" s="354"/>
      <c r="O671" s="354"/>
      <c r="P671" s="354"/>
      <c r="Q671" s="354"/>
      <c r="R671" s="354"/>
      <c r="S671" s="354"/>
      <c r="T671" s="354"/>
      <c r="U671" s="354"/>
      <c r="V671" s="354"/>
      <c r="W671" s="354"/>
      <c r="X671" s="354"/>
      <c r="Y671" s="354"/>
      <c r="Z671" s="354"/>
    </row>
    <row r="672" customFormat="false" ht="15" hidden="false" customHeight="true" outlineLevel="0" collapsed="false">
      <c r="A672" s="354"/>
      <c r="B672" s="354"/>
      <c r="C672" s="354"/>
      <c r="D672" s="354"/>
      <c r="E672" s="354"/>
      <c r="F672" s="354"/>
      <c r="G672" s="354"/>
      <c r="H672" s="354"/>
      <c r="I672" s="354"/>
      <c r="J672" s="354"/>
      <c r="K672" s="354"/>
      <c r="L672" s="354"/>
      <c r="M672" s="354"/>
      <c r="N672" s="354"/>
      <c r="O672" s="354"/>
      <c r="P672" s="354"/>
      <c r="Q672" s="354"/>
      <c r="R672" s="354"/>
      <c r="S672" s="354"/>
      <c r="T672" s="354"/>
      <c r="U672" s="354"/>
      <c r="V672" s="354"/>
      <c r="W672" s="354"/>
      <c r="X672" s="354"/>
      <c r="Y672" s="354"/>
      <c r="Z672" s="354"/>
    </row>
    <row r="673" customFormat="false" ht="15" hidden="false" customHeight="true" outlineLevel="0" collapsed="false">
      <c r="A673" s="354"/>
      <c r="B673" s="354"/>
      <c r="C673" s="354"/>
      <c r="D673" s="354"/>
      <c r="E673" s="354"/>
      <c r="F673" s="354"/>
      <c r="G673" s="354"/>
      <c r="H673" s="354"/>
      <c r="I673" s="354"/>
      <c r="J673" s="354"/>
      <c r="K673" s="354"/>
      <c r="L673" s="354"/>
      <c r="M673" s="354"/>
      <c r="N673" s="354"/>
      <c r="O673" s="354"/>
      <c r="P673" s="354"/>
      <c r="Q673" s="354"/>
      <c r="R673" s="354"/>
      <c r="S673" s="354"/>
      <c r="T673" s="354"/>
      <c r="U673" s="354"/>
      <c r="V673" s="354"/>
      <c r="W673" s="354"/>
      <c r="X673" s="354"/>
      <c r="Y673" s="354"/>
      <c r="Z673" s="354"/>
    </row>
    <row r="674" customFormat="false" ht="15" hidden="false" customHeight="true" outlineLevel="0" collapsed="false">
      <c r="A674" s="354"/>
      <c r="B674" s="354"/>
      <c r="C674" s="354"/>
      <c r="D674" s="354"/>
      <c r="E674" s="354"/>
      <c r="F674" s="354"/>
      <c r="G674" s="354"/>
      <c r="H674" s="354"/>
      <c r="I674" s="354"/>
      <c r="J674" s="354"/>
      <c r="K674" s="354"/>
      <c r="L674" s="354"/>
      <c r="M674" s="354"/>
      <c r="N674" s="354"/>
      <c r="O674" s="354"/>
      <c r="P674" s="354"/>
      <c r="Q674" s="354"/>
      <c r="R674" s="354"/>
      <c r="S674" s="354"/>
      <c r="T674" s="354"/>
      <c r="U674" s="354"/>
      <c r="V674" s="354"/>
      <c r="W674" s="354"/>
      <c r="X674" s="354"/>
      <c r="Y674" s="354"/>
      <c r="Z674" s="354"/>
    </row>
    <row r="675" customFormat="false" ht="15" hidden="false" customHeight="true" outlineLevel="0" collapsed="false">
      <c r="A675" s="354"/>
      <c r="B675" s="354"/>
      <c r="C675" s="354"/>
      <c r="D675" s="354"/>
      <c r="E675" s="354"/>
      <c r="F675" s="354"/>
      <c r="G675" s="354"/>
      <c r="H675" s="354"/>
      <c r="I675" s="354"/>
      <c r="J675" s="354"/>
      <c r="K675" s="354"/>
      <c r="L675" s="354"/>
      <c r="M675" s="354"/>
      <c r="N675" s="354"/>
      <c r="O675" s="354"/>
      <c r="P675" s="354"/>
      <c r="Q675" s="354"/>
      <c r="R675" s="354"/>
      <c r="S675" s="354"/>
      <c r="T675" s="354"/>
      <c r="U675" s="354"/>
      <c r="V675" s="354"/>
      <c r="W675" s="354"/>
      <c r="X675" s="354"/>
      <c r="Y675" s="354"/>
      <c r="Z675" s="354"/>
    </row>
    <row r="676" customFormat="false" ht="15" hidden="false" customHeight="true" outlineLevel="0" collapsed="false">
      <c r="A676" s="354"/>
      <c r="B676" s="354"/>
      <c r="C676" s="354"/>
      <c r="D676" s="354"/>
      <c r="E676" s="354"/>
      <c r="F676" s="354"/>
      <c r="G676" s="354"/>
      <c r="H676" s="354"/>
      <c r="I676" s="354"/>
      <c r="J676" s="354"/>
      <c r="K676" s="354"/>
      <c r="L676" s="354"/>
      <c r="M676" s="354"/>
      <c r="N676" s="354"/>
      <c r="O676" s="354"/>
      <c r="P676" s="354"/>
      <c r="Q676" s="354"/>
      <c r="R676" s="354"/>
      <c r="S676" s="354"/>
      <c r="T676" s="354"/>
      <c r="U676" s="354"/>
      <c r="V676" s="354"/>
      <c r="W676" s="354"/>
      <c r="X676" s="354"/>
      <c r="Y676" s="354"/>
      <c r="Z676" s="354"/>
    </row>
    <row r="677" customFormat="false" ht="15" hidden="false" customHeight="true" outlineLevel="0" collapsed="false">
      <c r="A677" s="354"/>
      <c r="B677" s="354"/>
      <c r="C677" s="354"/>
      <c r="D677" s="354"/>
      <c r="E677" s="354"/>
      <c r="F677" s="354"/>
      <c r="G677" s="354"/>
      <c r="H677" s="354"/>
      <c r="I677" s="354"/>
      <c r="J677" s="354"/>
      <c r="K677" s="354"/>
      <c r="L677" s="354"/>
      <c r="M677" s="354"/>
      <c r="N677" s="354"/>
      <c r="O677" s="354"/>
      <c r="P677" s="354"/>
      <c r="Q677" s="354"/>
      <c r="R677" s="354"/>
      <c r="S677" s="354"/>
      <c r="T677" s="354"/>
      <c r="U677" s="354"/>
      <c r="V677" s="354"/>
      <c r="W677" s="354"/>
      <c r="X677" s="354"/>
      <c r="Y677" s="354"/>
      <c r="Z677" s="354"/>
    </row>
    <row r="678" customFormat="false" ht="15" hidden="false" customHeight="true" outlineLevel="0" collapsed="false">
      <c r="A678" s="354"/>
      <c r="B678" s="354"/>
      <c r="C678" s="354"/>
      <c r="D678" s="354"/>
      <c r="E678" s="354"/>
      <c r="F678" s="354"/>
      <c r="G678" s="354"/>
      <c r="H678" s="354"/>
      <c r="I678" s="354"/>
      <c r="J678" s="354"/>
      <c r="K678" s="354"/>
      <c r="L678" s="354"/>
      <c r="M678" s="354"/>
      <c r="N678" s="354"/>
      <c r="O678" s="354"/>
      <c r="P678" s="354"/>
      <c r="Q678" s="354"/>
      <c r="R678" s="354"/>
      <c r="S678" s="354"/>
      <c r="T678" s="354"/>
      <c r="U678" s="354"/>
      <c r="V678" s="354"/>
      <c r="W678" s="354"/>
      <c r="X678" s="354"/>
      <c r="Y678" s="354"/>
      <c r="Z678" s="354"/>
    </row>
    <row r="679" customFormat="false" ht="15" hidden="false" customHeight="true" outlineLevel="0" collapsed="false">
      <c r="A679" s="354"/>
      <c r="B679" s="354"/>
      <c r="C679" s="354"/>
      <c r="D679" s="354"/>
      <c r="E679" s="354"/>
      <c r="F679" s="354"/>
      <c r="G679" s="354"/>
      <c r="H679" s="354"/>
      <c r="I679" s="354"/>
      <c r="J679" s="354"/>
      <c r="K679" s="354"/>
      <c r="L679" s="354"/>
      <c r="M679" s="354"/>
      <c r="N679" s="354"/>
      <c r="O679" s="354"/>
      <c r="P679" s="354"/>
      <c r="Q679" s="354"/>
      <c r="R679" s="354"/>
      <c r="S679" s="354"/>
      <c r="T679" s="354"/>
      <c r="U679" s="354"/>
      <c r="V679" s="354"/>
      <c r="W679" s="354"/>
      <c r="X679" s="354"/>
      <c r="Y679" s="354"/>
      <c r="Z679" s="354"/>
    </row>
    <row r="680" customFormat="false" ht="15" hidden="false" customHeight="true" outlineLevel="0" collapsed="false">
      <c r="A680" s="354"/>
      <c r="B680" s="354"/>
      <c r="C680" s="354"/>
      <c r="D680" s="354"/>
      <c r="E680" s="354"/>
      <c r="F680" s="354"/>
      <c r="G680" s="354"/>
      <c r="H680" s="354"/>
      <c r="I680" s="354"/>
      <c r="J680" s="354"/>
      <c r="K680" s="354"/>
      <c r="L680" s="354"/>
      <c r="M680" s="354"/>
      <c r="N680" s="354"/>
      <c r="O680" s="354"/>
      <c r="P680" s="354"/>
      <c r="Q680" s="354"/>
      <c r="R680" s="354"/>
      <c r="S680" s="354"/>
      <c r="T680" s="354"/>
      <c r="U680" s="354"/>
      <c r="V680" s="354"/>
      <c r="W680" s="354"/>
      <c r="X680" s="354"/>
      <c r="Y680" s="354"/>
      <c r="Z680" s="354"/>
    </row>
    <row r="681" customFormat="false" ht="15" hidden="false" customHeight="true" outlineLevel="0" collapsed="false">
      <c r="A681" s="354"/>
      <c r="B681" s="354"/>
      <c r="C681" s="354"/>
      <c r="D681" s="354"/>
      <c r="E681" s="354"/>
      <c r="F681" s="354"/>
      <c r="G681" s="354"/>
      <c r="H681" s="354"/>
      <c r="I681" s="354"/>
      <c r="J681" s="354"/>
      <c r="K681" s="354"/>
      <c r="L681" s="354"/>
      <c r="M681" s="354"/>
      <c r="N681" s="354"/>
      <c r="O681" s="354"/>
      <c r="P681" s="354"/>
      <c r="Q681" s="354"/>
      <c r="R681" s="354"/>
      <c r="S681" s="354"/>
      <c r="T681" s="354"/>
      <c r="U681" s="354"/>
      <c r="V681" s="354"/>
      <c r="W681" s="354"/>
      <c r="X681" s="354"/>
      <c r="Y681" s="354"/>
      <c r="Z681" s="354"/>
    </row>
    <row r="682" customFormat="false" ht="15" hidden="false" customHeight="true" outlineLevel="0" collapsed="false">
      <c r="A682" s="354"/>
      <c r="B682" s="354"/>
      <c r="C682" s="354"/>
      <c r="D682" s="354"/>
      <c r="E682" s="354"/>
      <c r="F682" s="354"/>
      <c r="G682" s="354"/>
      <c r="H682" s="354"/>
      <c r="I682" s="354"/>
      <c r="J682" s="354"/>
      <c r="K682" s="354"/>
      <c r="L682" s="354"/>
      <c r="M682" s="354"/>
      <c r="N682" s="354"/>
      <c r="O682" s="354"/>
      <c r="P682" s="354"/>
      <c r="Q682" s="354"/>
      <c r="R682" s="354"/>
      <c r="S682" s="354"/>
      <c r="T682" s="354"/>
      <c r="U682" s="354"/>
      <c r="V682" s="354"/>
      <c r="W682" s="354"/>
      <c r="X682" s="354"/>
      <c r="Y682" s="354"/>
      <c r="Z682" s="354"/>
    </row>
    <row r="683" customFormat="false" ht="15" hidden="false" customHeight="true" outlineLevel="0" collapsed="false">
      <c r="A683" s="354"/>
      <c r="B683" s="354"/>
      <c r="C683" s="354"/>
      <c r="D683" s="354"/>
      <c r="E683" s="354"/>
      <c r="F683" s="354"/>
      <c r="G683" s="354"/>
      <c r="H683" s="354"/>
      <c r="I683" s="354"/>
      <c r="J683" s="354"/>
      <c r="K683" s="354"/>
      <c r="L683" s="354"/>
      <c r="M683" s="354"/>
      <c r="N683" s="354"/>
      <c r="O683" s="354"/>
      <c r="P683" s="354"/>
      <c r="Q683" s="354"/>
      <c r="R683" s="354"/>
      <c r="S683" s="354"/>
      <c r="T683" s="354"/>
      <c r="U683" s="354"/>
      <c r="V683" s="354"/>
      <c r="W683" s="354"/>
      <c r="X683" s="354"/>
      <c r="Y683" s="354"/>
      <c r="Z683" s="354"/>
    </row>
    <row r="684" customFormat="false" ht="15" hidden="false" customHeight="true" outlineLevel="0" collapsed="false">
      <c r="A684" s="354"/>
      <c r="B684" s="354"/>
      <c r="C684" s="354"/>
      <c r="D684" s="354"/>
      <c r="E684" s="354"/>
      <c r="F684" s="354"/>
      <c r="G684" s="354"/>
      <c r="H684" s="354"/>
      <c r="I684" s="354"/>
      <c r="J684" s="354"/>
      <c r="K684" s="354"/>
      <c r="L684" s="354"/>
      <c r="M684" s="354"/>
      <c r="N684" s="354"/>
      <c r="O684" s="354"/>
      <c r="P684" s="354"/>
      <c r="Q684" s="354"/>
      <c r="R684" s="354"/>
      <c r="S684" s="354"/>
      <c r="T684" s="354"/>
      <c r="U684" s="354"/>
      <c r="V684" s="354"/>
      <c r="W684" s="354"/>
      <c r="X684" s="354"/>
      <c r="Y684" s="354"/>
      <c r="Z684" s="354"/>
    </row>
    <row r="685" customFormat="false" ht="15" hidden="false" customHeight="true" outlineLevel="0" collapsed="false">
      <c r="A685" s="354"/>
      <c r="B685" s="354"/>
      <c r="C685" s="354"/>
      <c r="D685" s="354"/>
      <c r="E685" s="354"/>
      <c r="F685" s="354"/>
      <c r="G685" s="354"/>
      <c r="H685" s="354"/>
      <c r="I685" s="354"/>
      <c r="J685" s="354"/>
      <c r="K685" s="354"/>
      <c r="L685" s="354"/>
      <c r="M685" s="354"/>
      <c r="N685" s="354"/>
      <c r="O685" s="354"/>
      <c r="P685" s="354"/>
      <c r="Q685" s="354"/>
      <c r="R685" s="354"/>
      <c r="S685" s="354"/>
      <c r="T685" s="354"/>
      <c r="U685" s="354"/>
      <c r="V685" s="354"/>
      <c r="W685" s="354"/>
      <c r="X685" s="354"/>
      <c r="Y685" s="354"/>
      <c r="Z685" s="354"/>
    </row>
    <row r="686" customFormat="false" ht="15" hidden="false" customHeight="true" outlineLevel="0" collapsed="false">
      <c r="A686" s="354"/>
      <c r="B686" s="354"/>
      <c r="C686" s="354"/>
      <c r="D686" s="354"/>
      <c r="E686" s="354"/>
      <c r="F686" s="354"/>
      <c r="G686" s="354"/>
      <c r="H686" s="354"/>
      <c r="I686" s="354"/>
      <c r="J686" s="354"/>
      <c r="K686" s="354"/>
      <c r="L686" s="354"/>
      <c r="M686" s="354"/>
      <c r="N686" s="354"/>
      <c r="O686" s="354"/>
      <c r="P686" s="354"/>
      <c r="Q686" s="354"/>
      <c r="R686" s="354"/>
      <c r="S686" s="354"/>
      <c r="T686" s="354"/>
      <c r="U686" s="354"/>
      <c r="V686" s="354"/>
      <c r="W686" s="354"/>
      <c r="X686" s="354"/>
      <c r="Y686" s="354"/>
      <c r="Z686" s="354"/>
    </row>
    <row r="687" customFormat="false" ht="15" hidden="false" customHeight="true" outlineLevel="0" collapsed="false">
      <c r="A687" s="354"/>
      <c r="B687" s="354"/>
      <c r="C687" s="354"/>
      <c r="D687" s="354"/>
      <c r="E687" s="354"/>
      <c r="F687" s="354"/>
      <c r="G687" s="354"/>
      <c r="H687" s="354"/>
      <c r="I687" s="354"/>
      <c r="J687" s="354"/>
      <c r="K687" s="354"/>
      <c r="L687" s="354"/>
      <c r="M687" s="354"/>
      <c r="N687" s="354"/>
      <c r="O687" s="354"/>
      <c r="P687" s="354"/>
      <c r="Q687" s="354"/>
      <c r="R687" s="354"/>
      <c r="S687" s="354"/>
      <c r="T687" s="354"/>
      <c r="U687" s="354"/>
      <c r="V687" s="354"/>
      <c r="W687" s="354"/>
      <c r="X687" s="354"/>
      <c r="Y687" s="354"/>
      <c r="Z687" s="354"/>
    </row>
    <row r="688" customFormat="false" ht="15" hidden="false" customHeight="true" outlineLevel="0" collapsed="false">
      <c r="A688" s="354"/>
      <c r="B688" s="354"/>
      <c r="C688" s="354"/>
      <c r="D688" s="354"/>
      <c r="E688" s="354"/>
      <c r="F688" s="354"/>
      <c r="G688" s="354"/>
      <c r="H688" s="354"/>
      <c r="I688" s="354"/>
      <c r="J688" s="354"/>
      <c r="K688" s="354"/>
      <c r="L688" s="354"/>
      <c r="M688" s="354"/>
      <c r="N688" s="354"/>
      <c r="O688" s="354"/>
      <c r="P688" s="354"/>
      <c r="Q688" s="354"/>
      <c r="R688" s="354"/>
      <c r="S688" s="354"/>
      <c r="T688" s="354"/>
      <c r="U688" s="354"/>
      <c r="V688" s="354"/>
      <c r="W688" s="354"/>
      <c r="X688" s="354"/>
      <c r="Y688" s="354"/>
      <c r="Z688" s="354"/>
    </row>
    <row r="689" customFormat="false" ht="15" hidden="false" customHeight="true" outlineLevel="0" collapsed="false">
      <c r="A689" s="354"/>
      <c r="B689" s="354"/>
      <c r="C689" s="354"/>
      <c r="D689" s="354"/>
      <c r="E689" s="354"/>
      <c r="F689" s="354"/>
      <c r="G689" s="354"/>
      <c r="H689" s="354"/>
      <c r="I689" s="354"/>
      <c r="J689" s="354"/>
      <c r="K689" s="354"/>
      <c r="L689" s="354"/>
      <c r="M689" s="354"/>
      <c r="N689" s="354"/>
      <c r="O689" s="354"/>
      <c r="P689" s="354"/>
      <c r="Q689" s="354"/>
      <c r="R689" s="354"/>
      <c r="S689" s="354"/>
      <c r="T689" s="354"/>
      <c r="U689" s="354"/>
      <c r="V689" s="354"/>
      <c r="W689" s="354"/>
      <c r="X689" s="354"/>
      <c r="Y689" s="354"/>
      <c r="Z689" s="354"/>
    </row>
    <row r="690" customFormat="false" ht="15" hidden="false" customHeight="true" outlineLevel="0" collapsed="false">
      <c r="A690" s="354"/>
      <c r="B690" s="354"/>
      <c r="C690" s="354"/>
      <c r="D690" s="354"/>
      <c r="E690" s="354"/>
      <c r="F690" s="354"/>
      <c r="G690" s="354"/>
      <c r="H690" s="354"/>
      <c r="I690" s="354"/>
      <c r="J690" s="354"/>
      <c r="K690" s="354"/>
      <c r="L690" s="354"/>
      <c r="M690" s="354"/>
      <c r="N690" s="354"/>
      <c r="O690" s="354"/>
      <c r="P690" s="354"/>
      <c r="Q690" s="354"/>
      <c r="R690" s="354"/>
      <c r="S690" s="354"/>
      <c r="T690" s="354"/>
      <c r="U690" s="354"/>
      <c r="V690" s="354"/>
      <c r="W690" s="354"/>
      <c r="X690" s="354"/>
      <c r="Y690" s="354"/>
      <c r="Z690" s="354"/>
    </row>
    <row r="691" customFormat="false" ht="15" hidden="false" customHeight="true" outlineLevel="0" collapsed="false">
      <c r="A691" s="354"/>
      <c r="B691" s="354"/>
      <c r="C691" s="354"/>
      <c r="D691" s="354"/>
      <c r="E691" s="354"/>
      <c r="F691" s="354"/>
      <c r="G691" s="354"/>
      <c r="H691" s="354"/>
      <c r="I691" s="354"/>
      <c r="J691" s="354"/>
      <c r="K691" s="354"/>
      <c r="L691" s="354"/>
      <c r="M691" s="354"/>
      <c r="N691" s="354"/>
      <c r="O691" s="354"/>
      <c r="P691" s="354"/>
      <c r="Q691" s="354"/>
      <c r="R691" s="354"/>
      <c r="S691" s="354"/>
      <c r="T691" s="354"/>
      <c r="U691" s="354"/>
      <c r="V691" s="354"/>
      <c r="W691" s="354"/>
      <c r="X691" s="354"/>
      <c r="Y691" s="354"/>
      <c r="Z691" s="354"/>
    </row>
    <row r="692" customFormat="false" ht="15" hidden="false" customHeight="true" outlineLevel="0" collapsed="false">
      <c r="A692" s="354"/>
      <c r="B692" s="354"/>
      <c r="C692" s="354"/>
      <c r="D692" s="354"/>
      <c r="E692" s="354"/>
      <c r="F692" s="354"/>
      <c r="G692" s="354"/>
      <c r="H692" s="354"/>
      <c r="I692" s="354"/>
      <c r="J692" s="354"/>
      <c r="K692" s="354"/>
      <c r="L692" s="354"/>
      <c r="M692" s="354"/>
      <c r="N692" s="354"/>
      <c r="O692" s="354"/>
      <c r="P692" s="354"/>
      <c r="Q692" s="354"/>
      <c r="R692" s="354"/>
      <c r="S692" s="354"/>
      <c r="T692" s="354"/>
      <c r="U692" s="354"/>
      <c r="V692" s="354"/>
      <c r="W692" s="354"/>
      <c r="X692" s="354"/>
      <c r="Y692" s="354"/>
      <c r="Z692" s="354"/>
    </row>
    <row r="693" customFormat="false" ht="15" hidden="false" customHeight="true" outlineLevel="0" collapsed="false">
      <c r="A693" s="354"/>
      <c r="B693" s="354"/>
      <c r="C693" s="354"/>
      <c r="D693" s="354"/>
      <c r="E693" s="354"/>
      <c r="F693" s="354"/>
      <c r="G693" s="354"/>
      <c r="H693" s="354"/>
      <c r="I693" s="354"/>
      <c r="J693" s="354"/>
      <c r="K693" s="354"/>
      <c r="L693" s="354"/>
      <c r="M693" s="354"/>
      <c r="N693" s="354"/>
      <c r="O693" s="354"/>
      <c r="P693" s="354"/>
      <c r="Q693" s="354"/>
      <c r="R693" s="354"/>
      <c r="S693" s="354"/>
      <c r="T693" s="354"/>
      <c r="U693" s="354"/>
      <c r="V693" s="354"/>
      <c r="W693" s="354"/>
      <c r="X693" s="354"/>
      <c r="Y693" s="354"/>
      <c r="Z693" s="354"/>
    </row>
    <row r="694" customFormat="false" ht="15" hidden="false" customHeight="true" outlineLevel="0" collapsed="false">
      <c r="A694" s="354"/>
      <c r="B694" s="354"/>
      <c r="C694" s="354"/>
      <c r="D694" s="354"/>
      <c r="E694" s="354"/>
      <c r="F694" s="354"/>
      <c r="G694" s="354"/>
      <c r="H694" s="354"/>
      <c r="I694" s="354"/>
      <c r="J694" s="354"/>
      <c r="K694" s="354"/>
      <c r="L694" s="354"/>
      <c r="M694" s="354"/>
      <c r="N694" s="354"/>
      <c r="O694" s="354"/>
      <c r="P694" s="354"/>
      <c r="Q694" s="354"/>
      <c r="R694" s="354"/>
      <c r="S694" s="354"/>
      <c r="T694" s="354"/>
      <c r="U694" s="354"/>
      <c r="V694" s="354"/>
      <c r="W694" s="354"/>
      <c r="X694" s="354"/>
      <c r="Y694" s="354"/>
      <c r="Z694" s="354"/>
    </row>
    <row r="695" customFormat="false" ht="15" hidden="false" customHeight="true" outlineLevel="0" collapsed="false">
      <c r="A695" s="354"/>
      <c r="B695" s="354"/>
      <c r="C695" s="354"/>
      <c r="D695" s="354"/>
      <c r="E695" s="354"/>
      <c r="F695" s="354"/>
      <c r="G695" s="354"/>
      <c r="H695" s="354"/>
      <c r="I695" s="354"/>
      <c r="J695" s="354"/>
      <c r="K695" s="354"/>
      <c r="L695" s="354"/>
      <c r="M695" s="354"/>
      <c r="N695" s="354"/>
      <c r="O695" s="354"/>
      <c r="P695" s="354"/>
      <c r="Q695" s="354"/>
      <c r="R695" s="354"/>
      <c r="S695" s="354"/>
      <c r="T695" s="354"/>
      <c r="U695" s="354"/>
      <c r="V695" s="354"/>
      <c r="W695" s="354"/>
      <c r="X695" s="354"/>
      <c r="Y695" s="354"/>
      <c r="Z695" s="354"/>
    </row>
    <row r="696" customFormat="false" ht="15" hidden="false" customHeight="true" outlineLevel="0" collapsed="false">
      <c r="A696" s="354"/>
      <c r="B696" s="354"/>
      <c r="C696" s="354"/>
      <c r="D696" s="354"/>
      <c r="E696" s="354"/>
      <c r="F696" s="354"/>
      <c r="G696" s="354"/>
      <c r="H696" s="354"/>
      <c r="I696" s="354"/>
      <c r="J696" s="354"/>
      <c r="K696" s="354"/>
      <c r="L696" s="354"/>
      <c r="M696" s="354"/>
      <c r="N696" s="354"/>
      <c r="O696" s="354"/>
      <c r="P696" s="354"/>
      <c r="Q696" s="354"/>
      <c r="R696" s="354"/>
      <c r="S696" s="354"/>
      <c r="T696" s="354"/>
      <c r="U696" s="354"/>
      <c r="V696" s="354"/>
      <c r="W696" s="354"/>
      <c r="X696" s="354"/>
      <c r="Y696" s="354"/>
      <c r="Z696" s="354"/>
    </row>
    <row r="697" customFormat="false" ht="15" hidden="false" customHeight="true" outlineLevel="0" collapsed="false">
      <c r="A697" s="354"/>
      <c r="B697" s="354"/>
      <c r="C697" s="354"/>
      <c r="D697" s="354"/>
      <c r="E697" s="354"/>
      <c r="F697" s="354"/>
      <c r="G697" s="354"/>
      <c r="H697" s="354"/>
      <c r="I697" s="354"/>
      <c r="J697" s="354"/>
      <c r="K697" s="354"/>
      <c r="L697" s="354"/>
      <c r="M697" s="354"/>
      <c r="N697" s="354"/>
      <c r="O697" s="354"/>
      <c r="P697" s="354"/>
      <c r="Q697" s="354"/>
      <c r="R697" s="354"/>
      <c r="S697" s="354"/>
      <c r="T697" s="354"/>
      <c r="U697" s="354"/>
      <c r="V697" s="354"/>
      <c r="W697" s="354"/>
      <c r="X697" s="354"/>
      <c r="Y697" s="354"/>
      <c r="Z697" s="354"/>
    </row>
    <row r="698" customFormat="false" ht="15" hidden="false" customHeight="true" outlineLevel="0" collapsed="false">
      <c r="A698" s="354"/>
      <c r="B698" s="354"/>
      <c r="C698" s="354"/>
      <c r="D698" s="354"/>
      <c r="E698" s="354"/>
      <c r="F698" s="354"/>
      <c r="G698" s="354"/>
      <c r="H698" s="354"/>
      <c r="I698" s="354"/>
      <c r="J698" s="354"/>
      <c r="K698" s="354"/>
      <c r="L698" s="354"/>
      <c r="M698" s="354"/>
      <c r="N698" s="354"/>
      <c r="O698" s="354"/>
      <c r="P698" s="354"/>
      <c r="Q698" s="354"/>
      <c r="R698" s="354"/>
      <c r="S698" s="354"/>
      <c r="T698" s="354"/>
      <c r="U698" s="354"/>
      <c r="V698" s="354"/>
      <c r="W698" s="354"/>
      <c r="X698" s="354"/>
      <c r="Y698" s="354"/>
      <c r="Z698" s="354"/>
    </row>
    <row r="699" customFormat="false" ht="15" hidden="false" customHeight="true" outlineLevel="0" collapsed="false">
      <c r="A699" s="354"/>
      <c r="B699" s="354"/>
      <c r="C699" s="354"/>
      <c r="D699" s="354"/>
      <c r="E699" s="354"/>
      <c r="F699" s="354"/>
      <c r="G699" s="354"/>
      <c r="H699" s="354"/>
      <c r="I699" s="354"/>
      <c r="J699" s="354"/>
      <c r="K699" s="354"/>
      <c r="L699" s="354"/>
      <c r="M699" s="354"/>
      <c r="N699" s="354"/>
      <c r="O699" s="354"/>
      <c r="P699" s="354"/>
      <c r="Q699" s="354"/>
      <c r="R699" s="354"/>
      <c r="S699" s="354"/>
      <c r="T699" s="354"/>
      <c r="U699" s="354"/>
      <c r="V699" s="354"/>
      <c r="W699" s="354"/>
      <c r="X699" s="354"/>
      <c r="Y699" s="354"/>
      <c r="Z699" s="354"/>
    </row>
    <row r="700" customFormat="false" ht="15" hidden="false" customHeight="true" outlineLevel="0" collapsed="false">
      <c r="A700" s="354"/>
      <c r="B700" s="354"/>
      <c r="C700" s="354"/>
      <c r="D700" s="354"/>
      <c r="E700" s="354"/>
      <c r="F700" s="354"/>
      <c r="G700" s="354"/>
      <c r="H700" s="354"/>
      <c r="I700" s="354"/>
      <c r="J700" s="354"/>
      <c r="K700" s="354"/>
      <c r="L700" s="354"/>
      <c r="M700" s="354"/>
      <c r="N700" s="354"/>
      <c r="O700" s="354"/>
      <c r="P700" s="354"/>
      <c r="Q700" s="354"/>
      <c r="R700" s="354"/>
      <c r="S700" s="354"/>
      <c r="T700" s="354"/>
      <c r="U700" s="354"/>
      <c r="V700" s="354"/>
      <c r="W700" s="354"/>
      <c r="X700" s="354"/>
      <c r="Y700" s="354"/>
      <c r="Z700" s="354"/>
    </row>
    <row r="701" customFormat="false" ht="15" hidden="false" customHeight="true" outlineLevel="0" collapsed="false">
      <c r="A701" s="354"/>
      <c r="B701" s="354"/>
      <c r="C701" s="354"/>
      <c r="D701" s="354"/>
      <c r="E701" s="354"/>
      <c r="F701" s="354"/>
      <c r="G701" s="354"/>
      <c r="H701" s="354"/>
      <c r="I701" s="354"/>
      <c r="J701" s="354"/>
      <c r="K701" s="354"/>
      <c r="L701" s="354"/>
      <c r="M701" s="354"/>
      <c r="N701" s="354"/>
      <c r="O701" s="354"/>
      <c r="P701" s="354"/>
      <c r="Q701" s="354"/>
      <c r="R701" s="354"/>
      <c r="S701" s="354"/>
      <c r="T701" s="354"/>
      <c r="U701" s="354"/>
      <c r="V701" s="354"/>
      <c r="W701" s="354"/>
      <c r="X701" s="354"/>
      <c r="Y701" s="354"/>
      <c r="Z701" s="354"/>
    </row>
    <row r="702" customFormat="false" ht="15" hidden="false" customHeight="true" outlineLevel="0" collapsed="false">
      <c r="A702" s="354"/>
      <c r="B702" s="354"/>
      <c r="C702" s="354"/>
      <c r="D702" s="354"/>
      <c r="E702" s="354"/>
      <c r="F702" s="354"/>
      <c r="G702" s="354"/>
      <c r="H702" s="354"/>
      <c r="I702" s="354"/>
      <c r="J702" s="354"/>
      <c r="K702" s="354"/>
      <c r="L702" s="354"/>
      <c r="M702" s="354"/>
      <c r="N702" s="354"/>
      <c r="O702" s="354"/>
      <c r="P702" s="354"/>
      <c r="Q702" s="354"/>
      <c r="R702" s="354"/>
      <c r="S702" s="354"/>
      <c r="T702" s="354"/>
      <c r="U702" s="354"/>
      <c r="V702" s="354"/>
      <c r="W702" s="354"/>
      <c r="X702" s="354"/>
      <c r="Y702" s="354"/>
      <c r="Z702" s="354"/>
    </row>
    <row r="703" customFormat="false" ht="15" hidden="false" customHeight="true" outlineLevel="0" collapsed="false">
      <c r="A703" s="354"/>
      <c r="B703" s="354"/>
      <c r="C703" s="354"/>
      <c r="D703" s="354"/>
      <c r="E703" s="354"/>
      <c r="F703" s="354"/>
      <c r="G703" s="354"/>
      <c r="H703" s="354"/>
      <c r="I703" s="354"/>
      <c r="J703" s="354"/>
      <c r="K703" s="354"/>
      <c r="L703" s="354"/>
      <c r="M703" s="354"/>
      <c r="N703" s="354"/>
      <c r="O703" s="354"/>
      <c r="P703" s="354"/>
      <c r="Q703" s="354"/>
      <c r="R703" s="354"/>
      <c r="S703" s="354"/>
      <c r="T703" s="354"/>
      <c r="U703" s="354"/>
      <c r="V703" s="354"/>
      <c r="W703" s="354"/>
      <c r="X703" s="354"/>
      <c r="Y703" s="354"/>
      <c r="Z703" s="354"/>
    </row>
    <row r="704" customFormat="false" ht="15" hidden="false" customHeight="true" outlineLevel="0" collapsed="false">
      <c r="A704" s="354"/>
      <c r="B704" s="354"/>
      <c r="C704" s="354"/>
      <c r="D704" s="354"/>
      <c r="E704" s="354"/>
      <c r="F704" s="354"/>
      <c r="G704" s="354"/>
      <c r="H704" s="354"/>
      <c r="I704" s="354"/>
      <c r="J704" s="354"/>
      <c r="K704" s="354"/>
      <c r="L704" s="354"/>
      <c r="M704" s="354"/>
      <c r="N704" s="354"/>
      <c r="O704" s="354"/>
      <c r="P704" s="354"/>
      <c r="Q704" s="354"/>
      <c r="R704" s="354"/>
      <c r="S704" s="354"/>
      <c r="T704" s="354"/>
      <c r="U704" s="354"/>
      <c r="V704" s="354"/>
      <c r="W704" s="354"/>
      <c r="X704" s="354"/>
      <c r="Y704" s="354"/>
      <c r="Z704" s="354"/>
    </row>
    <row r="705" customFormat="false" ht="15" hidden="false" customHeight="true" outlineLevel="0" collapsed="false">
      <c r="A705" s="354"/>
      <c r="B705" s="354"/>
      <c r="C705" s="354"/>
      <c r="D705" s="354"/>
      <c r="E705" s="354"/>
      <c r="F705" s="354"/>
      <c r="G705" s="354"/>
      <c r="H705" s="354"/>
      <c r="I705" s="354"/>
      <c r="J705" s="354"/>
      <c r="K705" s="354"/>
      <c r="L705" s="354"/>
      <c r="M705" s="354"/>
      <c r="N705" s="354"/>
      <c r="O705" s="354"/>
      <c r="P705" s="354"/>
      <c r="Q705" s="354"/>
      <c r="R705" s="354"/>
      <c r="S705" s="354"/>
      <c r="T705" s="354"/>
      <c r="U705" s="354"/>
      <c r="V705" s="354"/>
      <c r="W705" s="354"/>
      <c r="X705" s="354"/>
      <c r="Y705" s="354"/>
      <c r="Z705" s="354"/>
    </row>
    <row r="706" customFormat="false" ht="15" hidden="false" customHeight="true" outlineLevel="0" collapsed="false">
      <c r="A706" s="354"/>
      <c r="B706" s="354"/>
      <c r="C706" s="354"/>
      <c r="D706" s="354"/>
      <c r="E706" s="354"/>
      <c r="F706" s="354"/>
      <c r="G706" s="354"/>
      <c r="H706" s="354"/>
      <c r="I706" s="354"/>
      <c r="J706" s="354"/>
      <c r="K706" s="354"/>
      <c r="L706" s="354"/>
      <c r="M706" s="354"/>
      <c r="N706" s="354"/>
      <c r="O706" s="354"/>
      <c r="P706" s="354"/>
      <c r="Q706" s="354"/>
      <c r="R706" s="354"/>
      <c r="S706" s="354"/>
      <c r="T706" s="354"/>
      <c r="U706" s="354"/>
      <c r="V706" s="354"/>
      <c r="W706" s="354"/>
      <c r="X706" s="354"/>
      <c r="Y706" s="354"/>
      <c r="Z706" s="354"/>
    </row>
    <row r="707" customFormat="false" ht="15" hidden="false" customHeight="true" outlineLevel="0" collapsed="false">
      <c r="A707" s="354"/>
      <c r="B707" s="354"/>
      <c r="C707" s="354"/>
      <c r="D707" s="354"/>
      <c r="E707" s="354"/>
      <c r="F707" s="354"/>
      <c r="G707" s="354"/>
      <c r="H707" s="354"/>
      <c r="I707" s="354"/>
      <c r="J707" s="354"/>
      <c r="K707" s="354"/>
      <c r="L707" s="354"/>
      <c r="M707" s="354"/>
      <c r="N707" s="354"/>
      <c r="O707" s="354"/>
      <c r="P707" s="354"/>
      <c r="Q707" s="354"/>
      <c r="R707" s="354"/>
      <c r="S707" s="354"/>
      <c r="T707" s="354"/>
      <c r="U707" s="354"/>
      <c r="V707" s="354"/>
      <c r="W707" s="354"/>
      <c r="X707" s="354"/>
      <c r="Y707" s="354"/>
      <c r="Z707" s="354"/>
    </row>
    <row r="708" customFormat="false" ht="15" hidden="false" customHeight="true" outlineLevel="0" collapsed="false">
      <c r="A708" s="354"/>
      <c r="B708" s="354"/>
      <c r="C708" s="354"/>
      <c r="D708" s="354"/>
      <c r="E708" s="354"/>
      <c r="F708" s="354"/>
      <c r="G708" s="354"/>
      <c r="H708" s="354"/>
      <c r="I708" s="354"/>
      <c r="J708" s="354"/>
      <c r="K708" s="354"/>
      <c r="L708" s="354"/>
      <c r="M708" s="354"/>
      <c r="N708" s="354"/>
      <c r="O708" s="354"/>
      <c r="P708" s="354"/>
      <c r="Q708" s="354"/>
      <c r="R708" s="354"/>
      <c r="S708" s="354"/>
      <c r="T708" s="354"/>
      <c r="U708" s="354"/>
      <c r="V708" s="354"/>
      <c r="W708" s="354"/>
      <c r="X708" s="354"/>
      <c r="Y708" s="354"/>
      <c r="Z708" s="354"/>
    </row>
    <row r="709" customFormat="false" ht="15" hidden="false" customHeight="true" outlineLevel="0" collapsed="false">
      <c r="A709" s="354"/>
      <c r="B709" s="354"/>
      <c r="C709" s="354"/>
      <c r="D709" s="354"/>
      <c r="E709" s="354"/>
      <c r="F709" s="354"/>
      <c r="G709" s="354"/>
      <c r="H709" s="354"/>
      <c r="I709" s="354"/>
      <c r="J709" s="354"/>
      <c r="K709" s="354"/>
      <c r="L709" s="354"/>
      <c r="M709" s="354"/>
      <c r="N709" s="354"/>
      <c r="O709" s="354"/>
      <c r="P709" s="354"/>
      <c r="Q709" s="354"/>
      <c r="R709" s="354"/>
      <c r="S709" s="354"/>
      <c r="T709" s="354"/>
      <c r="U709" s="354"/>
      <c r="V709" s="354"/>
      <c r="W709" s="354"/>
      <c r="X709" s="354"/>
      <c r="Y709" s="354"/>
      <c r="Z709" s="354"/>
    </row>
    <row r="710" customFormat="false" ht="15" hidden="false" customHeight="true" outlineLevel="0" collapsed="false">
      <c r="A710" s="354"/>
      <c r="B710" s="354"/>
      <c r="C710" s="354"/>
      <c r="D710" s="354"/>
      <c r="E710" s="354"/>
      <c r="F710" s="354"/>
      <c r="G710" s="354"/>
      <c r="H710" s="354"/>
      <c r="I710" s="354"/>
      <c r="J710" s="354"/>
      <c r="K710" s="354"/>
      <c r="L710" s="354"/>
      <c r="M710" s="354"/>
      <c r="N710" s="354"/>
      <c r="O710" s="354"/>
      <c r="P710" s="354"/>
      <c r="Q710" s="354"/>
      <c r="R710" s="354"/>
      <c r="S710" s="354"/>
      <c r="T710" s="354"/>
      <c r="U710" s="354"/>
      <c r="V710" s="354"/>
      <c r="W710" s="354"/>
      <c r="X710" s="354"/>
      <c r="Y710" s="354"/>
      <c r="Z710" s="354"/>
    </row>
    <row r="711" customFormat="false" ht="15" hidden="false" customHeight="true" outlineLevel="0" collapsed="false">
      <c r="A711" s="354"/>
      <c r="B711" s="354"/>
      <c r="C711" s="354"/>
      <c r="D711" s="354"/>
      <c r="E711" s="354"/>
      <c r="F711" s="354"/>
      <c r="G711" s="354"/>
      <c r="H711" s="354"/>
      <c r="I711" s="354"/>
      <c r="J711" s="354"/>
      <c r="K711" s="354"/>
      <c r="L711" s="354"/>
      <c r="M711" s="354"/>
      <c r="N711" s="354"/>
      <c r="O711" s="354"/>
      <c r="P711" s="354"/>
      <c r="Q711" s="354"/>
      <c r="R711" s="354"/>
      <c r="S711" s="354"/>
      <c r="T711" s="354"/>
      <c r="U711" s="354"/>
      <c r="V711" s="354"/>
      <c r="W711" s="354"/>
      <c r="X711" s="354"/>
      <c r="Y711" s="354"/>
      <c r="Z711" s="354"/>
    </row>
    <row r="712" customFormat="false" ht="15" hidden="false" customHeight="true" outlineLevel="0" collapsed="false">
      <c r="A712" s="354"/>
      <c r="B712" s="354"/>
      <c r="C712" s="354"/>
      <c r="D712" s="354"/>
      <c r="E712" s="354"/>
      <c r="F712" s="354"/>
      <c r="G712" s="354"/>
      <c r="H712" s="354"/>
      <c r="I712" s="354"/>
      <c r="J712" s="354"/>
      <c r="K712" s="354"/>
      <c r="L712" s="354"/>
      <c r="M712" s="354"/>
      <c r="N712" s="354"/>
      <c r="O712" s="354"/>
      <c r="P712" s="354"/>
      <c r="Q712" s="354"/>
      <c r="R712" s="354"/>
      <c r="S712" s="354"/>
      <c r="T712" s="354"/>
      <c r="U712" s="354"/>
      <c r="V712" s="354"/>
      <c r="W712" s="354"/>
      <c r="X712" s="354"/>
      <c r="Y712" s="354"/>
      <c r="Z712" s="354"/>
    </row>
    <row r="713" customFormat="false" ht="15" hidden="false" customHeight="true" outlineLevel="0" collapsed="false">
      <c r="A713" s="354"/>
      <c r="B713" s="354"/>
      <c r="C713" s="354"/>
      <c r="D713" s="354"/>
      <c r="E713" s="354"/>
      <c r="F713" s="354"/>
      <c r="G713" s="354"/>
      <c r="H713" s="354"/>
      <c r="I713" s="354"/>
      <c r="J713" s="354"/>
      <c r="K713" s="354"/>
      <c r="L713" s="354"/>
      <c r="M713" s="354"/>
      <c r="N713" s="354"/>
      <c r="O713" s="354"/>
      <c r="P713" s="354"/>
      <c r="Q713" s="354"/>
      <c r="R713" s="354"/>
      <c r="S713" s="354"/>
      <c r="T713" s="354"/>
      <c r="U713" s="354"/>
      <c r="V713" s="354"/>
      <c r="W713" s="354"/>
      <c r="X713" s="354"/>
      <c r="Y713" s="354"/>
      <c r="Z713" s="354"/>
    </row>
    <row r="714" customFormat="false" ht="15" hidden="false" customHeight="true" outlineLevel="0" collapsed="false">
      <c r="A714" s="354"/>
      <c r="B714" s="354"/>
      <c r="C714" s="354"/>
      <c r="D714" s="354"/>
      <c r="E714" s="354"/>
      <c r="F714" s="354"/>
      <c r="G714" s="354"/>
      <c r="H714" s="354"/>
      <c r="I714" s="354"/>
      <c r="J714" s="354"/>
      <c r="K714" s="354"/>
      <c r="L714" s="354"/>
      <c r="M714" s="354"/>
      <c r="N714" s="354"/>
      <c r="O714" s="354"/>
      <c r="P714" s="354"/>
      <c r="Q714" s="354"/>
      <c r="R714" s="354"/>
      <c r="S714" s="354"/>
      <c r="T714" s="354"/>
      <c r="U714" s="354"/>
      <c r="V714" s="354"/>
      <c r="W714" s="354"/>
      <c r="X714" s="354"/>
      <c r="Y714" s="354"/>
      <c r="Z714" s="354"/>
    </row>
    <row r="715" customFormat="false" ht="15" hidden="false" customHeight="true" outlineLevel="0" collapsed="false">
      <c r="A715" s="354"/>
      <c r="B715" s="354"/>
      <c r="C715" s="354"/>
      <c r="D715" s="354"/>
      <c r="E715" s="354"/>
      <c r="F715" s="354"/>
      <c r="G715" s="354"/>
      <c r="H715" s="354"/>
      <c r="I715" s="354"/>
      <c r="J715" s="354"/>
      <c r="K715" s="354"/>
      <c r="L715" s="354"/>
      <c r="M715" s="354"/>
      <c r="N715" s="354"/>
      <c r="O715" s="354"/>
      <c r="P715" s="354"/>
      <c r="Q715" s="354"/>
      <c r="R715" s="354"/>
      <c r="S715" s="354"/>
      <c r="T715" s="354"/>
      <c r="U715" s="354"/>
      <c r="V715" s="354"/>
      <c r="W715" s="354"/>
      <c r="X715" s="354"/>
      <c r="Y715" s="354"/>
      <c r="Z715" s="354"/>
    </row>
    <row r="716" customFormat="false" ht="15" hidden="false" customHeight="true" outlineLevel="0" collapsed="false">
      <c r="A716" s="354"/>
      <c r="B716" s="354"/>
      <c r="C716" s="354"/>
      <c r="D716" s="354"/>
      <c r="E716" s="354"/>
      <c r="F716" s="354"/>
      <c r="G716" s="354"/>
      <c r="H716" s="354"/>
      <c r="I716" s="354"/>
      <c r="J716" s="354"/>
      <c r="K716" s="354"/>
      <c r="L716" s="354"/>
      <c r="M716" s="354"/>
      <c r="N716" s="354"/>
      <c r="O716" s="354"/>
      <c r="P716" s="354"/>
      <c r="Q716" s="354"/>
      <c r="R716" s="354"/>
      <c r="S716" s="354"/>
      <c r="T716" s="354"/>
      <c r="U716" s="354"/>
      <c r="V716" s="354"/>
      <c r="W716" s="354"/>
      <c r="X716" s="354"/>
      <c r="Y716" s="354"/>
      <c r="Z716" s="354"/>
    </row>
    <row r="717" customFormat="false" ht="15" hidden="false" customHeight="true" outlineLevel="0" collapsed="false">
      <c r="A717" s="354"/>
      <c r="B717" s="354"/>
      <c r="C717" s="354"/>
      <c r="D717" s="354"/>
      <c r="E717" s="354"/>
      <c r="F717" s="354"/>
      <c r="G717" s="354"/>
      <c r="H717" s="354"/>
      <c r="I717" s="354"/>
      <c r="J717" s="354"/>
      <c r="K717" s="354"/>
      <c r="L717" s="354"/>
      <c r="M717" s="354"/>
      <c r="N717" s="354"/>
      <c r="O717" s="354"/>
      <c r="P717" s="354"/>
      <c r="Q717" s="354"/>
      <c r="R717" s="354"/>
      <c r="S717" s="354"/>
      <c r="T717" s="354"/>
      <c r="U717" s="354"/>
      <c r="V717" s="354"/>
      <c r="W717" s="354"/>
      <c r="X717" s="354"/>
      <c r="Y717" s="354"/>
      <c r="Z717" s="354"/>
    </row>
    <row r="718" customFormat="false" ht="15" hidden="false" customHeight="true" outlineLevel="0" collapsed="false">
      <c r="A718" s="354"/>
      <c r="B718" s="354"/>
      <c r="C718" s="354"/>
      <c r="D718" s="354"/>
      <c r="E718" s="354"/>
      <c r="F718" s="354"/>
      <c r="G718" s="354"/>
      <c r="H718" s="354"/>
      <c r="I718" s="354"/>
      <c r="J718" s="354"/>
      <c r="K718" s="354"/>
      <c r="L718" s="354"/>
      <c r="M718" s="354"/>
      <c r="N718" s="354"/>
      <c r="O718" s="354"/>
      <c r="P718" s="354"/>
      <c r="Q718" s="354"/>
      <c r="R718" s="354"/>
      <c r="S718" s="354"/>
      <c r="T718" s="354"/>
      <c r="U718" s="354"/>
      <c r="V718" s="354"/>
      <c r="W718" s="354"/>
      <c r="X718" s="354"/>
      <c r="Y718" s="354"/>
      <c r="Z718" s="354"/>
    </row>
    <row r="719" customFormat="false" ht="15" hidden="false" customHeight="true" outlineLevel="0" collapsed="false">
      <c r="A719" s="354"/>
      <c r="B719" s="354"/>
      <c r="C719" s="354"/>
      <c r="D719" s="354"/>
      <c r="E719" s="354"/>
      <c r="F719" s="354"/>
      <c r="G719" s="354"/>
      <c r="H719" s="354"/>
      <c r="I719" s="354"/>
      <c r="J719" s="354"/>
      <c r="K719" s="354"/>
      <c r="L719" s="354"/>
      <c r="M719" s="354"/>
      <c r="N719" s="354"/>
      <c r="O719" s="354"/>
      <c r="P719" s="354"/>
      <c r="Q719" s="354"/>
      <c r="R719" s="354"/>
      <c r="S719" s="354"/>
      <c r="T719" s="354"/>
      <c r="U719" s="354"/>
      <c r="V719" s="354"/>
      <c r="W719" s="354"/>
      <c r="X719" s="354"/>
      <c r="Y719" s="354"/>
      <c r="Z719" s="354"/>
    </row>
    <row r="720" customFormat="false" ht="15" hidden="false" customHeight="true" outlineLevel="0" collapsed="false">
      <c r="A720" s="354"/>
      <c r="B720" s="354"/>
      <c r="C720" s="354"/>
      <c r="D720" s="354"/>
      <c r="E720" s="354"/>
      <c r="F720" s="354"/>
      <c r="G720" s="354"/>
      <c r="H720" s="354"/>
      <c r="I720" s="354"/>
      <c r="J720" s="354"/>
      <c r="K720" s="354"/>
      <c r="L720" s="354"/>
      <c r="M720" s="354"/>
      <c r="N720" s="354"/>
      <c r="O720" s="354"/>
      <c r="P720" s="354"/>
      <c r="Q720" s="354"/>
      <c r="R720" s="354"/>
      <c r="S720" s="354"/>
      <c r="T720" s="354"/>
      <c r="U720" s="354"/>
      <c r="V720" s="354"/>
      <c r="W720" s="354"/>
      <c r="X720" s="354"/>
      <c r="Y720" s="354"/>
      <c r="Z720" s="354"/>
    </row>
    <row r="721" customFormat="false" ht="15" hidden="false" customHeight="true" outlineLevel="0" collapsed="false">
      <c r="A721" s="354"/>
      <c r="B721" s="354"/>
      <c r="C721" s="354"/>
      <c r="D721" s="354"/>
      <c r="E721" s="354"/>
      <c r="F721" s="354"/>
      <c r="G721" s="354"/>
      <c r="H721" s="354"/>
      <c r="I721" s="354"/>
      <c r="J721" s="354"/>
      <c r="K721" s="354"/>
      <c r="L721" s="354"/>
      <c r="M721" s="354"/>
      <c r="N721" s="354"/>
      <c r="O721" s="354"/>
      <c r="P721" s="354"/>
      <c r="Q721" s="354"/>
      <c r="R721" s="354"/>
      <c r="S721" s="354"/>
      <c r="T721" s="354"/>
      <c r="U721" s="354"/>
      <c r="V721" s="354"/>
      <c r="W721" s="354"/>
      <c r="X721" s="354"/>
      <c r="Y721" s="354"/>
      <c r="Z721" s="354"/>
    </row>
    <row r="722" customFormat="false" ht="15" hidden="false" customHeight="true" outlineLevel="0" collapsed="false">
      <c r="A722" s="354"/>
      <c r="B722" s="354"/>
      <c r="C722" s="354"/>
      <c r="D722" s="354"/>
      <c r="E722" s="354"/>
      <c r="F722" s="354"/>
      <c r="G722" s="354"/>
      <c r="H722" s="354"/>
      <c r="I722" s="354"/>
      <c r="J722" s="354"/>
      <c r="K722" s="354"/>
      <c r="L722" s="354"/>
      <c r="M722" s="354"/>
      <c r="N722" s="354"/>
      <c r="O722" s="354"/>
      <c r="P722" s="354"/>
      <c r="Q722" s="354"/>
      <c r="R722" s="354"/>
      <c r="S722" s="354"/>
      <c r="T722" s="354"/>
      <c r="U722" s="354"/>
      <c r="V722" s="354"/>
      <c r="W722" s="354"/>
      <c r="X722" s="354"/>
      <c r="Y722" s="354"/>
      <c r="Z722" s="354"/>
    </row>
    <row r="723" customFormat="false" ht="15" hidden="false" customHeight="true" outlineLevel="0" collapsed="false">
      <c r="A723" s="354"/>
      <c r="B723" s="354"/>
      <c r="C723" s="354"/>
      <c r="D723" s="354"/>
      <c r="E723" s="354"/>
      <c r="F723" s="354"/>
      <c r="G723" s="354"/>
      <c r="H723" s="354"/>
      <c r="I723" s="354"/>
      <c r="J723" s="354"/>
      <c r="K723" s="354"/>
      <c r="L723" s="354"/>
      <c r="M723" s="354"/>
      <c r="N723" s="354"/>
      <c r="O723" s="354"/>
      <c r="P723" s="354"/>
      <c r="Q723" s="354"/>
      <c r="R723" s="354"/>
      <c r="S723" s="354"/>
      <c r="T723" s="354"/>
      <c r="U723" s="354"/>
      <c r="V723" s="354"/>
      <c r="W723" s="354"/>
      <c r="X723" s="354"/>
      <c r="Y723" s="354"/>
      <c r="Z723" s="354"/>
    </row>
    <row r="724" customFormat="false" ht="15" hidden="false" customHeight="true" outlineLevel="0" collapsed="false">
      <c r="A724" s="354"/>
      <c r="B724" s="354"/>
      <c r="C724" s="354"/>
      <c r="D724" s="354"/>
      <c r="E724" s="354"/>
      <c r="F724" s="354"/>
      <c r="G724" s="354"/>
      <c r="H724" s="354"/>
      <c r="I724" s="354"/>
      <c r="J724" s="354"/>
      <c r="K724" s="354"/>
      <c r="L724" s="354"/>
      <c r="M724" s="354"/>
      <c r="N724" s="354"/>
      <c r="O724" s="354"/>
      <c r="P724" s="354"/>
      <c r="Q724" s="354"/>
      <c r="R724" s="354"/>
      <c r="S724" s="354"/>
      <c r="T724" s="354"/>
      <c r="U724" s="354"/>
      <c r="V724" s="354"/>
      <c r="W724" s="354"/>
      <c r="X724" s="354"/>
      <c r="Y724" s="354"/>
      <c r="Z724" s="354"/>
    </row>
    <row r="725" customFormat="false" ht="15" hidden="false" customHeight="true" outlineLevel="0" collapsed="false">
      <c r="A725" s="354"/>
      <c r="B725" s="354"/>
      <c r="C725" s="354"/>
      <c r="D725" s="354"/>
      <c r="E725" s="354"/>
      <c r="F725" s="354"/>
      <c r="G725" s="354"/>
      <c r="H725" s="354"/>
      <c r="I725" s="354"/>
      <c r="J725" s="354"/>
      <c r="K725" s="354"/>
      <c r="L725" s="354"/>
      <c r="M725" s="354"/>
      <c r="N725" s="354"/>
      <c r="O725" s="354"/>
      <c r="P725" s="354"/>
      <c r="Q725" s="354"/>
      <c r="R725" s="354"/>
      <c r="S725" s="354"/>
      <c r="T725" s="354"/>
      <c r="U725" s="354"/>
      <c r="V725" s="354"/>
      <c r="W725" s="354"/>
      <c r="X725" s="354"/>
      <c r="Y725" s="354"/>
      <c r="Z725" s="354"/>
    </row>
    <row r="726" customFormat="false" ht="15" hidden="false" customHeight="true" outlineLevel="0" collapsed="false">
      <c r="A726" s="354"/>
      <c r="B726" s="354"/>
      <c r="C726" s="354"/>
      <c r="D726" s="354"/>
      <c r="E726" s="354"/>
      <c r="F726" s="354"/>
      <c r="G726" s="354"/>
      <c r="H726" s="354"/>
      <c r="I726" s="354"/>
      <c r="J726" s="354"/>
      <c r="K726" s="354"/>
      <c r="L726" s="354"/>
      <c r="M726" s="354"/>
      <c r="N726" s="354"/>
      <c r="O726" s="354"/>
      <c r="P726" s="354"/>
      <c r="Q726" s="354"/>
      <c r="R726" s="354"/>
      <c r="S726" s="354"/>
      <c r="T726" s="354"/>
      <c r="U726" s="354"/>
      <c r="V726" s="354"/>
      <c r="W726" s="354"/>
      <c r="X726" s="354"/>
      <c r="Y726" s="354"/>
      <c r="Z726" s="354"/>
    </row>
    <row r="727" customFormat="false" ht="15" hidden="false" customHeight="true" outlineLevel="0" collapsed="false">
      <c r="A727" s="354"/>
      <c r="B727" s="354"/>
      <c r="C727" s="354"/>
      <c r="D727" s="354"/>
      <c r="E727" s="354"/>
      <c r="F727" s="354"/>
      <c r="G727" s="354"/>
      <c r="H727" s="354"/>
      <c r="I727" s="354"/>
      <c r="J727" s="354"/>
      <c r="K727" s="354"/>
      <c r="L727" s="354"/>
      <c r="M727" s="354"/>
      <c r="N727" s="354"/>
      <c r="O727" s="354"/>
      <c r="P727" s="354"/>
      <c r="Q727" s="354"/>
      <c r="R727" s="354"/>
      <c r="S727" s="354"/>
      <c r="T727" s="354"/>
      <c r="U727" s="354"/>
      <c r="V727" s="354"/>
      <c r="W727" s="354"/>
      <c r="X727" s="354"/>
      <c r="Y727" s="354"/>
      <c r="Z727" s="354"/>
    </row>
    <row r="728" customFormat="false" ht="15" hidden="false" customHeight="true" outlineLevel="0" collapsed="false">
      <c r="A728" s="354"/>
      <c r="B728" s="354"/>
      <c r="C728" s="354"/>
      <c r="D728" s="354"/>
      <c r="E728" s="354"/>
      <c r="F728" s="354"/>
      <c r="G728" s="354"/>
      <c r="H728" s="354"/>
      <c r="I728" s="354"/>
      <c r="J728" s="354"/>
      <c r="K728" s="354"/>
      <c r="L728" s="354"/>
      <c r="M728" s="354"/>
      <c r="N728" s="354"/>
      <c r="O728" s="354"/>
      <c r="P728" s="354"/>
      <c r="Q728" s="354"/>
      <c r="R728" s="354"/>
      <c r="S728" s="354"/>
      <c r="T728" s="354"/>
      <c r="U728" s="354"/>
      <c r="V728" s="354"/>
      <c r="W728" s="354"/>
      <c r="X728" s="354"/>
      <c r="Y728" s="354"/>
      <c r="Z728" s="354"/>
    </row>
    <row r="729" customFormat="false" ht="15" hidden="false" customHeight="true" outlineLevel="0" collapsed="false">
      <c r="A729" s="354"/>
      <c r="B729" s="354"/>
      <c r="C729" s="354"/>
      <c r="D729" s="354"/>
      <c r="E729" s="354"/>
      <c r="F729" s="354"/>
      <c r="G729" s="354"/>
      <c r="H729" s="354"/>
      <c r="I729" s="354"/>
      <c r="J729" s="354"/>
      <c r="K729" s="354"/>
      <c r="L729" s="354"/>
      <c r="M729" s="354"/>
      <c r="N729" s="354"/>
      <c r="O729" s="354"/>
      <c r="P729" s="354"/>
      <c r="Q729" s="354"/>
      <c r="R729" s="354"/>
      <c r="S729" s="354"/>
      <c r="T729" s="354"/>
      <c r="U729" s="354"/>
      <c r="V729" s="354"/>
      <c r="W729" s="354"/>
      <c r="X729" s="354"/>
      <c r="Y729" s="354"/>
      <c r="Z729" s="354"/>
    </row>
    <row r="730" customFormat="false" ht="15" hidden="false" customHeight="true" outlineLevel="0" collapsed="false">
      <c r="A730" s="354"/>
      <c r="B730" s="354"/>
      <c r="C730" s="354"/>
      <c r="D730" s="354"/>
      <c r="E730" s="354"/>
      <c r="F730" s="354"/>
      <c r="G730" s="354"/>
      <c r="H730" s="354"/>
      <c r="I730" s="354"/>
      <c r="J730" s="354"/>
      <c r="K730" s="354"/>
      <c r="L730" s="354"/>
      <c r="M730" s="354"/>
      <c r="N730" s="354"/>
      <c r="O730" s="354"/>
      <c r="P730" s="354"/>
      <c r="Q730" s="354"/>
      <c r="R730" s="354"/>
      <c r="S730" s="354"/>
      <c r="T730" s="354"/>
      <c r="U730" s="354"/>
      <c r="V730" s="354"/>
      <c r="W730" s="354"/>
      <c r="X730" s="354"/>
      <c r="Y730" s="354"/>
      <c r="Z730" s="354"/>
    </row>
    <row r="731" customFormat="false" ht="15" hidden="false" customHeight="true" outlineLevel="0" collapsed="false">
      <c r="A731" s="354"/>
      <c r="B731" s="354"/>
      <c r="C731" s="354"/>
      <c r="D731" s="354"/>
      <c r="E731" s="354"/>
      <c r="F731" s="354"/>
      <c r="G731" s="354"/>
      <c r="H731" s="354"/>
      <c r="I731" s="354"/>
      <c r="J731" s="354"/>
      <c r="K731" s="354"/>
      <c r="L731" s="354"/>
      <c r="M731" s="354"/>
      <c r="N731" s="354"/>
      <c r="O731" s="354"/>
      <c r="P731" s="354"/>
      <c r="Q731" s="354"/>
      <c r="R731" s="354"/>
      <c r="S731" s="354"/>
      <c r="T731" s="354"/>
      <c r="U731" s="354"/>
      <c r="V731" s="354"/>
      <c r="W731" s="354"/>
      <c r="X731" s="354"/>
      <c r="Y731" s="354"/>
      <c r="Z731" s="354"/>
    </row>
    <row r="732" customFormat="false" ht="15" hidden="false" customHeight="true" outlineLevel="0" collapsed="false">
      <c r="A732" s="354"/>
      <c r="B732" s="354"/>
      <c r="C732" s="354"/>
      <c r="D732" s="354"/>
      <c r="E732" s="354"/>
      <c r="F732" s="354"/>
      <c r="G732" s="354"/>
      <c r="H732" s="354"/>
      <c r="I732" s="354"/>
      <c r="J732" s="354"/>
      <c r="K732" s="354"/>
      <c r="L732" s="354"/>
      <c r="M732" s="354"/>
      <c r="N732" s="354"/>
      <c r="O732" s="354"/>
      <c r="P732" s="354"/>
      <c r="Q732" s="354"/>
      <c r="R732" s="354"/>
      <c r="S732" s="354"/>
      <c r="T732" s="354"/>
      <c r="U732" s="354"/>
      <c r="V732" s="354"/>
      <c r="W732" s="354"/>
      <c r="X732" s="354"/>
      <c r="Y732" s="354"/>
      <c r="Z732" s="354"/>
    </row>
    <row r="733" customFormat="false" ht="15" hidden="false" customHeight="true" outlineLevel="0" collapsed="false">
      <c r="A733" s="354"/>
      <c r="B733" s="354"/>
      <c r="C733" s="354"/>
      <c r="D733" s="354"/>
      <c r="E733" s="354"/>
      <c r="F733" s="354"/>
      <c r="G733" s="354"/>
      <c r="H733" s="354"/>
      <c r="I733" s="354"/>
      <c r="J733" s="354"/>
      <c r="K733" s="354"/>
      <c r="L733" s="354"/>
      <c r="M733" s="354"/>
      <c r="N733" s="354"/>
      <c r="O733" s="354"/>
      <c r="P733" s="354"/>
      <c r="Q733" s="354"/>
      <c r="R733" s="354"/>
      <c r="S733" s="354"/>
      <c r="T733" s="354"/>
      <c r="U733" s="354"/>
      <c r="V733" s="354"/>
      <c r="W733" s="354"/>
      <c r="X733" s="354"/>
      <c r="Y733" s="354"/>
      <c r="Z733" s="354"/>
    </row>
    <row r="734" customFormat="false" ht="15" hidden="false" customHeight="true" outlineLevel="0" collapsed="false">
      <c r="A734" s="354"/>
      <c r="B734" s="354"/>
      <c r="C734" s="354"/>
      <c r="D734" s="354"/>
      <c r="E734" s="354"/>
      <c r="F734" s="354"/>
      <c r="G734" s="354"/>
      <c r="H734" s="354"/>
      <c r="I734" s="354"/>
      <c r="J734" s="354"/>
      <c r="K734" s="354"/>
      <c r="L734" s="354"/>
      <c r="M734" s="354"/>
      <c r="N734" s="354"/>
      <c r="O734" s="354"/>
      <c r="P734" s="354"/>
      <c r="Q734" s="354"/>
      <c r="R734" s="354"/>
      <c r="S734" s="354"/>
      <c r="T734" s="354"/>
      <c r="U734" s="354"/>
      <c r="V734" s="354"/>
      <c r="W734" s="354"/>
      <c r="X734" s="354"/>
      <c r="Y734" s="354"/>
      <c r="Z734" s="354"/>
    </row>
    <row r="735" customFormat="false" ht="15" hidden="false" customHeight="true" outlineLevel="0" collapsed="false">
      <c r="A735" s="354"/>
      <c r="B735" s="354"/>
      <c r="C735" s="354"/>
      <c r="D735" s="354"/>
      <c r="E735" s="354"/>
      <c r="F735" s="354"/>
      <c r="G735" s="354"/>
      <c r="H735" s="354"/>
      <c r="I735" s="354"/>
      <c r="J735" s="354"/>
      <c r="K735" s="354"/>
      <c r="L735" s="354"/>
      <c r="M735" s="354"/>
      <c r="N735" s="354"/>
      <c r="O735" s="354"/>
      <c r="P735" s="354"/>
      <c r="Q735" s="354"/>
      <c r="R735" s="354"/>
      <c r="S735" s="354"/>
      <c r="T735" s="354"/>
      <c r="U735" s="354"/>
      <c r="V735" s="354"/>
      <c r="W735" s="354"/>
      <c r="X735" s="354"/>
      <c r="Y735" s="354"/>
      <c r="Z735" s="354"/>
    </row>
    <row r="736" customFormat="false" ht="15" hidden="false" customHeight="true" outlineLevel="0" collapsed="false">
      <c r="A736" s="354"/>
      <c r="B736" s="354"/>
      <c r="C736" s="354"/>
      <c r="D736" s="354"/>
      <c r="E736" s="354"/>
      <c r="F736" s="354"/>
      <c r="G736" s="354"/>
      <c r="H736" s="354"/>
      <c r="I736" s="354"/>
      <c r="J736" s="354"/>
      <c r="K736" s="354"/>
      <c r="L736" s="354"/>
      <c r="M736" s="354"/>
      <c r="N736" s="354"/>
      <c r="O736" s="354"/>
      <c r="P736" s="354"/>
      <c r="Q736" s="354"/>
      <c r="R736" s="354"/>
      <c r="S736" s="354"/>
      <c r="T736" s="354"/>
      <c r="U736" s="354"/>
      <c r="V736" s="354"/>
      <c r="W736" s="354"/>
      <c r="X736" s="354"/>
      <c r="Y736" s="354"/>
      <c r="Z736" s="354"/>
    </row>
    <row r="737" customFormat="false" ht="15" hidden="false" customHeight="true" outlineLevel="0" collapsed="false">
      <c r="A737" s="354"/>
      <c r="B737" s="354"/>
      <c r="C737" s="354"/>
      <c r="D737" s="354"/>
      <c r="E737" s="354"/>
      <c r="F737" s="354"/>
      <c r="G737" s="354"/>
      <c r="H737" s="354"/>
      <c r="I737" s="354"/>
      <c r="J737" s="354"/>
      <c r="K737" s="354"/>
      <c r="L737" s="354"/>
      <c r="M737" s="354"/>
      <c r="N737" s="354"/>
      <c r="O737" s="354"/>
      <c r="P737" s="354"/>
      <c r="Q737" s="354"/>
      <c r="R737" s="354"/>
      <c r="S737" s="354"/>
      <c r="T737" s="354"/>
      <c r="U737" s="354"/>
      <c r="V737" s="354"/>
      <c r="W737" s="354"/>
      <c r="X737" s="354"/>
      <c r="Y737" s="354"/>
      <c r="Z737" s="354"/>
    </row>
    <row r="738" customFormat="false" ht="15" hidden="false" customHeight="true" outlineLevel="0" collapsed="false">
      <c r="A738" s="354"/>
      <c r="B738" s="354"/>
      <c r="C738" s="354"/>
      <c r="D738" s="354"/>
      <c r="E738" s="354"/>
      <c r="F738" s="354"/>
      <c r="G738" s="354"/>
      <c r="H738" s="354"/>
      <c r="I738" s="354"/>
      <c r="J738" s="354"/>
      <c r="K738" s="354"/>
      <c r="L738" s="354"/>
      <c r="M738" s="354"/>
      <c r="N738" s="354"/>
      <c r="O738" s="354"/>
      <c r="P738" s="354"/>
      <c r="Q738" s="354"/>
      <c r="R738" s="354"/>
      <c r="S738" s="354"/>
      <c r="T738" s="354"/>
      <c r="U738" s="354"/>
      <c r="V738" s="354"/>
      <c r="W738" s="354"/>
      <c r="X738" s="354"/>
      <c r="Y738" s="354"/>
      <c r="Z738" s="354"/>
    </row>
    <row r="739" customFormat="false" ht="15" hidden="false" customHeight="true" outlineLevel="0" collapsed="false">
      <c r="A739" s="354"/>
      <c r="B739" s="354"/>
      <c r="C739" s="354"/>
      <c r="D739" s="354"/>
      <c r="E739" s="354"/>
      <c r="F739" s="354"/>
      <c r="G739" s="354"/>
      <c r="H739" s="354"/>
      <c r="I739" s="354"/>
      <c r="J739" s="354"/>
      <c r="K739" s="354"/>
      <c r="L739" s="354"/>
      <c r="M739" s="354"/>
      <c r="N739" s="354"/>
      <c r="O739" s="354"/>
      <c r="P739" s="354"/>
      <c r="Q739" s="354"/>
      <c r="R739" s="354"/>
      <c r="S739" s="354"/>
      <c r="T739" s="354"/>
      <c r="U739" s="354"/>
      <c r="V739" s="354"/>
      <c r="W739" s="354"/>
      <c r="X739" s="354"/>
      <c r="Y739" s="354"/>
      <c r="Z739" s="354"/>
    </row>
    <row r="740" customFormat="false" ht="15" hidden="false" customHeight="true" outlineLevel="0" collapsed="false">
      <c r="A740" s="354"/>
      <c r="B740" s="354"/>
      <c r="C740" s="354"/>
      <c r="D740" s="354"/>
      <c r="E740" s="354"/>
      <c r="F740" s="354"/>
      <c r="G740" s="354"/>
      <c r="H740" s="354"/>
      <c r="I740" s="354"/>
      <c r="J740" s="354"/>
      <c r="K740" s="354"/>
      <c r="L740" s="354"/>
      <c r="M740" s="354"/>
      <c r="N740" s="354"/>
      <c r="O740" s="354"/>
      <c r="P740" s="354"/>
      <c r="Q740" s="354"/>
      <c r="R740" s="354"/>
      <c r="S740" s="354"/>
      <c r="T740" s="354"/>
      <c r="U740" s="354"/>
      <c r="V740" s="354"/>
      <c r="W740" s="354"/>
      <c r="X740" s="354"/>
      <c r="Y740" s="354"/>
      <c r="Z740" s="354"/>
    </row>
    <row r="741" customFormat="false" ht="15" hidden="false" customHeight="true" outlineLevel="0" collapsed="false">
      <c r="A741" s="354"/>
      <c r="B741" s="354"/>
      <c r="C741" s="354"/>
      <c r="D741" s="354"/>
      <c r="E741" s="354"/>
      <c r="F741" s="354"/>
      <c r="G741" s="354"/>
      <c r="H741" s="354"/>
      <c r="I741" s="354"/>
      <c r="J741" s="354"/>
      <c r="K741" s="354"/>
      <c r="L741" s="354"/>
      <c r="M741" s="354"/>
      <c r="N741" s="354"/>
      <c r="O741" s="354"/>
      <c r="P741" s="354"/>
      <c r="Q741" s="354"/>
      <c r="R741" s="354"/>
      <c r="S741" s="354"/>
      <c r="T741" s="354"/>
      <c r="U741" s="354"/>
      <c r="V741" s="354"/>
      <c r="W741" s="354"/>
      <c r="X741" s="354"/>
      <c r="Y741" s="354"/>
      <c r="Z741" s="354"/>
    </row>
    <row r="742" customFormat="false" ht="15" hidden="false" customHeight="true" outlineLevel="0" collapsed="false">
      <c r="A742" s="354"/>
      <c r="B742" s="354"/>
      <c r="C742" s="354"/>
      <c r="D742" s="354"/>
      <c r="E742" s="354"/>
      <c r="F742" s="354"/>
      <c r="G742" s="354"/>
      <c r="H742" s="354"/>
      <c r="I742" s="354"/>
      <c r="J742" s="354"/>
      <c r="K742" s="354"/>
      <c r="L742" s="354"/>
      <c r="M742" s="354"/>
      <c r="N742" s="354"/>
      <c r="O742" s="354"/>
      <c r="P742" s="354"/>
      <c r="Q742" s="354"/>
      <c r="R742" s="354"/>
      <c r="S742" s="354"/>
      <c r="T742" s="354"/>
      <c r="U742" s="354"/>
      <c r="V742" s="354"/>
      <c r="W742" s="354"/>
      <c r="X742" s="354"/>
      <c r="Y742" s="354"/>
      <c r="Z742" s="354"/>
    </row>
    <row r="743" customFormat="false" ht="15" hidden="false" customHeight="true" outlineLevel="0" collapsed="false">
      <c r="A743" s="354"/>
      <c r="B743" s="354"/>
      <c r="C743" s="354"/>
      <c r="D743" s="354"/>
      <c r="E743" s="354"/>
      <c r="F743" s="354"/>
      <c r="G743" s="354"/>
      <c r="H743" s="354"/>
      <c r="I743" s="354"/>
      <c r="J743" s="354"/>
      <c r="K743" s="354"/>
      <c r="L743" s="354"/>
      <c r="M743" s="354"/>
      <c r="N743" s="354"/>
      <c r="O743" s="354"/>
      <c r="P743" s="354"/>
      <c r="Q743" s="354"/>
      <c r="R743" s="354"/>
      <c r="S743" s="354"/>
      <c r="T743" s="354"/>
      <c r="U743" s="354"/>
      <c r="V743" s="354"/>
      <c r="W743" s="354"/>
      <c r="X743" s="354"/>
      <c r="Y743" s="354"/>
      <c r="Z743" s="354"/>
    </row>
    <row r="744" customFormat="false" ht="15" hidden="false" customHeight="true" outlineLevel="0" collapsed="false">
      <c r="A744" s="354"/>
      <c r="B744" s="354"/>
      <c r="C744" s="354"/>
      <c r="D744" s="354"/>
      <c r="E744" s="354"/>
      <c r="F744" s="354"/>
      <c r="G744" s="354"/>
      <c r="H744" s="354"/>
      <c r="I744" s="354"/>
      <c r="J744" s="354"/>
      <c r="K744" s="354"/>
      <c r="L744" s="354"/>
      <c r="M744" s="354"/>
      <c r="N744" s="354"/>
      <c r="O744" s="354"/>
      <c r="P744" s="354"/>
      <c r="Q744" s="354"/>
      <c r="R744" s="354"/>
      <c r="S744" s="354"/>
      <c r="T744" s="354"/>
      <c r="U744" s="354"/>
      <c r="V744" s="354"/>
      <c r="W744" s="354"/>
      <c r="X744" s="354"/>
      <c r="Y744" s="354"/>
      <c r="Z744" s="354"/>
    </row>
    <row r="745" customFormat="false" ht="15" hidden="false" customHeight="true" outlineLevel="0" collapsed="false">
      <c r="A745" s="354"/>
      <c r="B745" s="354"/>
      <c r="C745" s="354"/>
      <c r="D745" s="354"/>
      <c r="E745" s="354"/>
      <c r="F745" s="354"/>
      <c r="G745" s="354"/>
      <c r="H745" s="354"/>
      <c r="I745" s="354"/>
      <c r="J745" s="354"/>
      <c r="K745" s="354"/>
      <c r="L745" s="354"/>
      <c r="M745" s="354"/>
      <c r="N745" s="354"/>
      <c r="O745" s="354"/>
      <c r="P745" s="354"/>
      <c r="Q745" s="354"/>
      <c r="R745" s="354"/>
      <c r="S745" s="354"/>
      <c r="T745" s="354"/>
      <c r="U745" s="354"/>
      <c r="V745" s="354"/>
      <c r="W745" s="354"/>
      <c r="X745" s="354"/>
      <c r="Y745" s="354"/>
      <c r="Z745" s="354"/>
    </row>
    <row r="746" customFormat="false" ht="15" hidden="false" customHeight="true" outlineLevel="0" collapsed="false">
      <c r="A746" s="354"/>
      <c r="B746" s="354"/>
      <c r="C746" s="354"/>
      <c r="D746" s="354"/>
      <c r="E746" s="354"/>
      <c r="F746" s="354"/>
      <c r="G746" s="354"/>
      <c r="H746" s="354"/>
      <c r="I746" s="354"/>
      <c r="J746" s="354"/>
      <c r="K746" s="354"/>
      <c r="L746" s="354"/>
      <c r="M746" s="354"/>
      <c r="N746" s="354"/>
      <c r="O746" s="354"/>
      <c r="P746" s="354"/>
      <c r="Q746" s="354"/>
      <c r="R746" s="354"/>
      <c r="S746" s="354"/>
      <c r="T746" s="354"/>
      <c r="U746" s="354"/>
      <c r="V746" s="354"/>
      <c r="W746" s="354"/>
      <c r="X746" s="354"/>
      <c r="Y746" s="354"/>
      <c r="Z746" s="354"/>
    </row>
    <row r="747" customFormat="false" ht="15" hidden="false" customHeight="true" outlineLevel="0" collapsed="false">
      <c r="A747" s="354"/>
      <c r="B747" s="354"/>
      <c r="C747" s="354"/>
      <c r="D747" s="354"/>
      <c r="E747" s="354"/>
      <c r="F747" s="354"/>
      <c r="G747" s="354"/>
      <c r="H747" s="354"/>
      <c r="I747" s="354"/>
      <c r="J747" s="354"/>
      <c r="K747" s="354"/>
      <c r="L747" s="354"/>
      <c r="M747" s="354"/>
      <c r="N747" s="354"/>
      <c r="O747" s="354"/>
      <c r="P747" s="354"/>
      <c r="Q747" s="354"/>
      <c r="R747" s="354"/>
      <c r="S747" s="354"/>
      <c r="T747" s="354"/>
      <c r="U747" s="354"/>
      <c r="V747" s="354"/>
      <c r="W747" s="354"/>
      <c r="X747" s="354"/>
      <c r="Y747" s="354"/>
      <c r="Z747" s="354"/>
    </row>
    <row r="748" customFormat="false" ht="15" hidden="false" customHeight="true" outlineLevel="0" collapsed="false">
      <c r="A748" s="354"/>
      <c r="B748" s="354"/>
      <c r="C748" s="354"/>
      <c r="D748" s="354"/>
      <c r="E748" s="354"/>
      <c r="F748" s="354"/>
      <c r="G748" s="354"/>
      <c r="H748" s="354"/>
      <c r="I748" s="354"/>
      <c r="J748" s="354"/>
      <c r="K748" s="354"/>
      <c r="L748" s="354"/>
      <c r="M748" s="354"/>
      <c r="N748" s="354"/>
      <c r="O748" s="354"/>
      <c r="P748" s="354"/>
      <c r="Q748" s="354"/>
      <c r="R748" s="354"/>
      <c r="S748" s="354"/>
      <c r="T748" s="354"/>
      <c r="U748" s="354"/>
      <c r="V748" s="354"/>
      <c r="W748" s="354"/>
      <c r="X748" s="354"/>
      <c r="Y748" s="354"/>
      <c r="Z748" s="354"/>
    </row>
    <row r="749" customFormat="false" ht="15" hidden="false" customHeight="true" outlineLevel="0" collapsed="false">
      <c r="A749" s="354"/>
      <c r="B749" s="354"/>
      <c r="C749" s="354"/>
      <c r="D749" s="354"/>
      <c r="E749" s="354"/>
      <c r="F749" s="354"/>
      <c r="G749" s="354"/>
      <c r="H749" s="354"/>
      <c r="I749" s="354"/>
      <c r="J749" s="354"/>
      <c r="K749" s="354"/>
      <c r="L749" s="354"/>
      <c r="M749" s="354"/>
      <c r="N749" s="354"/>
      <c r="O749" s="354"/>
      <c r="P749" s="354"/>
      <c r="Q749" s="354"/>
      <c r="R749" s="354"/>
      <c r="S749" s="354"/>
      <c r="T749" s="354"/>
      <c r="U749" s="354"/>
      <c r="V749" s="354"/>
      <c r="W749" s="354"/>
      <c r="X749" s="354"/>
      <c r="Y749" s="354"/>
      <c r="Z749" s="354"/>
    </row>
    <row r="750" customFormat="false" ht="15" hidden="false" customHeight="true" outlineLevel="0" collapsed="false">
      <c r="A750" s="354"/>
      <c r="B750" s="354"/>
      <c r="C750" s="354"/>
      <c r="D750" s="354"/>
      <c r="E750" s="354"/>
      <c r="F750" s="354"/>
      <c r="G750" s="354"/>
      <c r="H750" s="354"/>
      <c r="I750" s="354"/>
      <c r="J750" s="354"/>
      <c r="K750" s="354"/>
      <c r="L750" s="354"/>
      <c r="M750" s="354"/>
      <c r="N750" s="354"/>
      <c r="O750" s="354"/>
      <c r="P750" s="354"/>
      <c r="Q750" s="354"/>
      <c r="R750" s="354"/>
      <c r="S750" s="354"/>
      <c r="T750" s="354"/>
      <c r="U750" s="354"/>
      <c r="V750" s="354"/>
      <c r="W750" s="354"/>
      <c r="X750" s="354"/>
      <c r="Y750" s="354"/>
      <c r="Z750" s="354"/>
    </row>
    <row r="751" customFormat="false" ht="15" hidden="false" customHeight="true" outlineLevel="0" collapsed="false">
      <c r="A751" s="354"/>
      <c r="B751" s="354"/>
      <c r="C751" s="354"/>
      <c r="D751" s="354"/>
      <c r="E751" s="354"/>
      <c r="F751" s="354"/>
      <c r="G751" s="354"/>
      <c r="H751" s="354"/>
      <c r="I751" s="354"/>
      <c r="J751" s="354"/>
      <c r="K751" s="354"/>
      <c r="L751" s="354"/>
      <c r="M751" s="354"/>
      <c r="N751" s="354"/>
      <c r="O751" s="354"/>
      <c r="P751" s="354"/>
      <c r="Q751" s="354"/>
      <c r="R751" s="354"/>
      <c r="S751" s="354"/>
      <c r="T751" s="354"/>
      <c r="U751" s="354"/>
      <c r="V751" s="354"/>
      <c r="W751" s="354"/>
      <c r="X751" s="354"/>
      <c r="Y751" s="354"/>
      <c r="Z751" s="354"/>
    </row>
    <row r="752" customFormat="false" ht="15" hidden="false" customHeight="true" outlineLevel="0" collapsed="false">
      <c r="A752" s="354"/>
      <c r="B752" s="354"/>
      <c r="C752" s="354"/>
      <c r="D752" s="354"/>
      <c r="E752" s="354"/>
      <c r="F752" s="354"/>
      <c r="G752" s="354"/>
      <c r="H752" s="354"/>
      <c r="I752" s="354"/>
      <c r="J752" s="354"/>
      <c r="K752" s="354"/>
      <c r="L752" s="354"/>
      <c r="M752" s="354"/>
      <c r="N752" s="354"/>
      <c r="O752" s="354"/>
      <c r="P752" s="354"/>
      <c r="Q752" s="354"/>
      <c r="R752" s="354"/>
      <c r="S752" s="354"/>
      <c r="T752" s="354"/>
      <c r="U752" s="354"/>
      <c r="V752" s="354"/>
      <c r="W752" s="354"/>
      <c r="X752" s="354"/>
      <c r="Y752" s="354"/>
      <c r="Z752" s="354"/>
    </row>
    <row r="753" customFormat="false" ht="15" hidden="false" customHeight="true" outlineLevel="0" collapsed="false">
      <c r="A753" s="354"/>
      <c r="B753" s="354"/>
      <c r="C753" s="354"/>
      <c r="D753" s="354"/>
      <c r="E753" s="354"/>
      <c r="F753" s="354"/>
      <c r="G753" s="354"/>
      <c r="H753" s="354"/>
      <c r="I753" s="354"/>
      <c r="J753" s="354"/>
      <c r="K753" s="354"/>
      <c r="L753" s="354"/>
      <c r="M753" s="354"/>
      <c r="N753" s="354"/>
      <c r="O753" s="354"/>
      <c r="P753" s="354"/>
      <c r="Q753" s="354"/>
      <c r="R753" s="354"/>
      <c r="S753" s="354"/>
      <c r="T753" s="354"/>
      <c r="U753" s="354"/>
      <c r="V753" s="354"/>
      <c r="W753" s="354"/>
      <c r="X753" s="354"/>
      <c r="Y753" s="354"/>
      <c r="Z753" s="354"/>
    </row>
    <row r="754" customFormat="false" ht="15" hidden="false" customHeight="true" outlineLevel="0" collapsed="false">
      <c r="A754" s="354"/>
      <c r="B754" s="354"/>
      <c r="C754" s="354"/>
      <c r="D754" s="354"/>
      <c r="E754" s="354"/>
      <c r="F754" s="354"/>
      <c r="G754" s="354"/>
      <c r="H754" s="354"/>
      <c r="I754" s="354"/>
      <c r="J754" s="354"/>
      <c r="K754" s="354"/>
      <c r="L754" s="354"/>
      <c r="M754" s="354"/>
      <c r="N754" s="354"/>
      <c r="O754" s="354"/>
      <c r="P754" s="354"/>
      <c r="Q754" s="354"/>
      <c r="R754" s="354"/>
      <c r="S754" s="354"/>
      <c r="T754" s="354"/>
      <c r="U754" s="354"/>
      <c r="V754" s="354"/>
      <c r="W754" s="354"/>
      <c r="X754" s="354"/>
      <c r="Y754" s="354"/>
      <c r="Z754" s="354"/>
    </row>
    <row r="755" customFormat="false" ht="15" hidden="false" customHeight="true" outlineLevel="0" collapsed="false">
      <c r="A755" s="354"/>
      <c r="B755" s="354"/>
      <c r="C755" s="354"/>
      <c r="D755" s="354"/>
      <c r="E755" s="354"/>
      <c r="F755" s="354"/>
      <c r="G755" s="354"/>
      <c r="H755" s="354"/>
      <c r="I755" s="354"/>
      <c r="J755" s="354"/>
      <c r="K755" s="354"/>
      <c r="L755" s="354"/>
      <c r="M755" s="354"/>
      <c r="N755" s="354"/>
      <c r="O755" s="354"/>
      <c r="P755" s="354"/>
      <c r="Q755" s="354"/>
      <c r="R755" s="354"/>
      <c r="S755" s="354"/>
      <c r="T755" s="354"/>
      <c r="U755" s="354"/>
      <c r="V755" s="354"/>
      <c r="W755" s="354"/>
      <c r="X755" s="354"/>
      <c r="Y755" s="354"/>
      <c r="Z755" s="354"/>
    </row>
    <row r="756" customFormat="false" ht="15" hidden="false" customHeight="true" outlineLevel="0" collapsed="false">
      <c r="A756" s="354"/>
      <c r="B756" s="354"/>
      <c r="C756" s="354"/>
      <c r="D756" s="354"/>
      <c r="E756" s="354"/>
      <c r="F756" s="354"/>
      <c r="G756" s="354"/>
      <c r="H756" s="354"/>
      <c r="I756" s="354"/>
      <c r="J756" s="354"/>
      <c r="K756" s="354"/>
      <c r="L756" s="354"/>
      <c r="M756" s="354"/>
      <c r="N756" s="354"/>
      <c r="O756" s="354"/>
      <c r="P756" s="354"/>
      <c r="Q756" s="354"/>
      <c r="R756" s="354"/>
      <c r="S756" s="354"/>
      <c r="T756" s="354"/>
      <c r="U756" s="354"/>
      <c r="V756" s="354"/>
      <c r="W756" s="354"/>
      <c r="X756" s="354"/>
      <c r="Y756" s="354"/>
      <c r="Z756" s="354"/>
    </row>
    <row r="757" customFormat="false" ht="15" hidden="false" customHeight="true" outlineLevel="0" collapsed="false">
      <c r="A757" s="354"/>
      <c r="B757" s="354"/>
      <c r="C757" s="354"/>
      <c r="D757" s="354"/>
      <c r="E757" s="354"/>
      <c r="F757" s="354"/>
      <c r="G757" s="354"/>
      <c r="H757" s="354"/>
      <c r="I757" s="354"/>
      <c r="J757" s="354"/>
      <c r="K757" s="354"/>
      <c r="L757" s="354"/>
      <c r="M757" s="354"/>
      <c r="N757" s="354"/>
      <c r="O757" s="354"/>
      <c r="P757" s="354"/>
      <c r="Q757" s="354"/>
      <c r="R757" s="354"/>
      <c r="S757" s="354"/>
      <c r="T757" s="354"/>
      <c r="U757" s="354"/>
      <c r="V757" s="354"/>
      <c r="W757" s="354"/>
      <c r="X757" s="354"/>
      <c r="Y757" s="354"/>
      <c r="Z757" s="354"/>
    </row>
    <row r="758" customFormat="false" ht="15" hidden="false" customHeight="true" outlineLevel="0" collapsed="false">
      <c r="A758" s="354"/>
      <c r="B758" s="354"/>
      <c r="C758" s="354"/>
      <c r="D758" s="354"/>
      <c r="E758" s="354"/>
      <c r="F758" s="354"/>
      <c r="G758" s="354"/>
      <c r="H758" s="354"/>
      <c r="I758" s="354"/>
      <c r="J758" s="354"/>
      <c r="K758" s="354"/>
      <c r="L758" s="354"/>
      <c r="M758" s="354"/>
      <c r="N758" s="354"/>
      <c r="O758" s="354"/>
      <c r="P758" s="354"/>
      <c r="Q758" s="354"/>
      <c r="R758" s="354"/>
      <c r="S758" s="354"/>
      <c r="T758" s="354"/>
      <c r="U758" s="354"/>
      <c r="V758" s="354"/>
      <c r="W758" s="354"/>
      <c r="X758" s="354"/>
      <c r="Y758" s="354"/>
      <c r="Z758" s="354"/>
    </row>
    <row r="759" customFormat="false" ht="15" hidden="false" customHeight="true" outlineLevel="0" collapsed="false">
      <c r="A759" s="354"/>
      <c r="B759" s="354"/>
      <c r="C759" s="354"/>
      <c r="D759" s="354"/>
      <c r="E759" s="354"/>
      <c r="F759" s="354"/>
      <c r="G759" s="354"/>
      <c r="H759" s="354"/>
      <c r="I759" s="354"/>
      <c r="J759" s="354"/>
      <c r="K759" s="354"/>
      <c r="L759" s="354"/>
      <c r="M759" s="354"/>
      <c r="N759" s="354"/>
      <c r="O759" s="354"/>
      <c r="P759" s="354"/>
      <c r="Q759" s="354"/>
      <c r="R759" s="354"/>
      <c r="S759" s="354"/>
      <c r="T759" s="354"/>
      <c r="U759" s="354"/>
      <c r="V759" s="354"/>
      <c r="W759" s="354"/>
      <c r="X759" s="354"/>
      <c r="Y759" s="354"/>
      <c r="Z759" s="354"/>
    </row>
    <row r="760" customFormat="false" ht="15" hidden="false" customHeight="true" outlineLevel="0" collapsed="false">
      <c r="A760" s="354"/>
      <c r="B760" s="354"/>
      <c r="C760" s="354"/>
      <c r="D760" s="354"/>
      <c r="E760" s="354"/>
      <c r="F760" s="354"/>
      <c r="G760" s="354"/>
      <c r="H760" s="354"/>
      <c r="I760" s="354"/>
      <c r="J760" s="354"/>
      <c r="K760" s="354"/>
      <c r="L760" s="354"/>
      <c r="M760" s="354"/>
      <c r="N760" s="354"/>
      <c r="O760" s="354"/>
      <c r="P760" s="354"/>
      <c r="Q760" s="354"/>
      <c r="R760" s="354"/>
      <c r="S760" s="354"/>
      <c r="T760" s="354"/>
      <c r="U760" s="354"/>
      <c r="V760" s="354"/>
      <c r="W760" s="354"/>
      <c r="X760" s="354"/>
      <c r="Y760" s="354"/>
      <c r="Z760" s="354"/>
    </row>
    <row r="761" customFormat="false" ht="15" hidden="false" customHeight="true" outlineLevel="0" collapsed="false">
      <c r="A761" s="354"/>
      <c r="B761" s="354"/>
      <c r="C761" s="354"/>
      <c r="D761" s="354"/>
      <c r="E761" s="354"/>
      <c r="F761" s="354"/>
      <c r="G761" s="354"/>
      <c r="H761" s="354"/>
      <c r="I761" s="354"/>
      <c r="J761" s="354"/>
      <c r="K761" s="354"/>
      <c r="L761" s="354"/>
      <c r="M761" s="354"/>
      <c r="N761" s="354"/>
      <c r="O761" s="354"/>
      <c r="P761" s="354"/>
      <c r="Q761" s="354"/>
      <c r="R761" s="354"/>
      <c r="S761" s="354"/>
      <c r="T761" s="354"/>
      <c r="U761" s="354"/>
      <c r="V761" s="354"/>
      <c r="W761" s="354"/>
      <c r="X761" s="354"/>
      <c r="Y761" s="354"/>
      <c r="Z761" s="354"/>
    </row>
    <row r="762" customFormat="false" ht="15" hidden="false" customHeight="true" outlineLevel="0" collapsed="false">
      <c r="A762" s="354"/>
      <c r="B762" s="354"/>
      <c r="C762" s="354"/>
      <c r="D762" s="354"/>
      <c r="E762" s="354"/>
      <c r="F762" s="354"/>
      <c r="G762" s="354"/>
      <c r="H762" s="354"/>
      <c r="I762" s="354"/>
      <c r="J762" s="354"/>
      <c r="K762" s="354"/>
      <c r="L762" s="354"/>
      <c r="M762" s="354"/>
      <c r="N762" s="354"/>
      <c r="O762" s="354"/>
      <c r="P762" s="354"/>
      <c r="Q762" s="354"/>
      <c r="R762" s="354"/>
      <c r="S762" s="354"/>
      <c r="T762" s="354"/>
      <c r="U762" s="354"/>
      <c r="V762" s="354"/>
      <c r="W762" s="354"/>
      <c r="X762" s="354"/>
      <c r="Y762" s="354"/>
      <c r="Z762" s="354"/>
    </row>
    <row r="763" customFormat="false" ht="15" hidden="false" customHeight="true" outlineLevel="0" collapsed="false">
      <c r="A763" s="354"/>
      <c r="B763" s="354"/>
      <c r="C763" s="354"/>
      <c r="D763" s="354"/>
      <c r="E763" s="354"/>
      <c r="F763" s="354"/>
      <c r="G763" s="354"/>
      <c r="H763" s="354"/>
      <c r="I763" s="354"/>
      <c r="J763" s="354"/>
      <c r="K763" s="354"/>
      <c r="L763" s="354"/>
      <c r="M763" s="354"/>
      <c r="N763" s="354"/>
      <c r="O763" s="354"/>
      <c r="P763" s="354"/>
      <c r="Q763" s="354"/>
      <c r="R763" s="354"/>
      <c r="S763" s="354"/>
      <c r="T763" s="354"/>
      <c r="U763" s="354"/>
      <c r="V763" s="354"/>
      <c r="W763" s="354"/>
      <c r="X763" s="354"/>
      <c r="Y763" s="354"/>
      <c r="Z763" s="354"/>
    </row>
    <row r="764" customFormat="false" ht="15" hidden="false" customHeight="true" outlineLevel="0" collapsed="false">
      <c r="A764" s="354"/>
      <c r="B764" s="354"/>
      <c r="C764" s="354"/>
      <c r="D764" s="354"/>
      <c r="E764" s="354"/>
      <c r="F764" s="354"/>
      <c r="G764" s="354"/>
      <c r="H764" s="354"/>
      <c r="I764" s="354"/>
      <c r="J764" s="354"/>
      <c r="K764" s="354"/>
      <c r="L764" s="354"/>
      <c r="M764" s="354"/>
      <c r="N764" s="354"/>
      <c r="O764" s="354"/>
      <c r="P764" s="354"/>
      <c r="Q764" s="354"/>
      <c r="R764" s="354"/>
      <c r="S764" s="354"/>
      <c r="T764" s="354"/>
      <c r="U764" s="354"/>
      <c r="V764" s="354"/>
      <c r="W764" s="354"/>
      <c r="X764" s="354"/>
      <c r="Y764" s="354"/>
      <c r="Z764" s="354"/>
    </row>
    <row r="765" customFormat="false" ht="15" hidden="false" customHeight="true" outlineLevel="0" collapsed="false">
      <c r="A765" s="354"/>
      <c r="B765" s="354"/>
      <c r="C765" s="354"/>
      <c r="D765" s="354"/>
      <c r="E765" s="354"/>
      <c r="F765" s="354"/>
      <c r="G765" s="354"/>
      <c r="H765" s="354"/>
      <c r="I765" s="354"/>
      <c r="J765" s="354"/>
      <c r="K765" s="354"/>
      <c r="L765" s="354"/>
      <c r="M765" s="354"/>
      <c r="N765" s="354"/>
      <c r="O765" s="354"/>
      <c r="P765" s="354"/>
      <c r="Q765" s="354"/>
      <c r="R765" s="354"/>
      <c r="S765" s="354"/>
      <c r="T765" s="354"/>
      <c r="U765" s="354"/>
      <c r="V765" s="354"/>
      <c r="W765" s="354"/>
      <c r="X765" s="354"/>
      <c r="Y765" s="354"/>
      <c r="Z765" s="354"/>
    </row>
    <row r="766" customFormat="false" ht="15" hidden="false" customHeight="true" outlineLevel="0" collapsed="false">
      <c r="A766" s="354"/>
      <c r="B766" s="354"/>
      <c r="C766" s="354"/>
      <c r="D766" s="354"/>
      <c r="E766" s="354"/>
      <c r="F766" s="354"/>
      <c r="G766" s="354"/>
      <c r="H766" s="354"/>
      <c r="I766" s="354"/>
      <c r="J766" s="354"/>
      <c r="K766" s="354"/>
      <c r="L766" s="354"/>
      <c r="M766" s="354"/>
      <c r="N766" s="354"/>
      <c r="O766" s="354"/>
      <c r="P766" s="354"/>
      <c r="Q766" s="354"/>
      <c r="R766" s="354"/>
      <c r="S766" s="354"/>
      <c r="T766" s="354"/>
      <c r="U766" s="354"/>
      <c r="V766" s="354"/>
      <c r="W766" s="354"/>
      <c r="X766" s="354"/>
      <c r="Y766" s="354"/>
      <c r="Z766" s="354"/>
    </row>
    <row r="767" customFormat="false" ht="15" hidden="false" customHeight="true" outlineLevel="0" collapsed="false">
      <c r="A767" s="354"/>
      <c r="B767" s="354"/>
      <c r="C767" s="354"/>
      <c r="D767" s="354"/>
      <c r="E767" s="354"/>
      <c r="F767" s="354"/>
      <c r="G767" s="354"/>
      <c r="H767" s="354"/>
      <c r="I767" s="354"/>
      <c r="J767" s="354"/>
      <c r="K767" s="354"/>
      <c r="L767" s="354"/>
      <c r="M767" s="354"/>
      <c r="N767" s="354"/>
      <c r="O767" s="354"/>
      <c r="P767" s="354"/>
      <c r="Q767" s="354"/>
      <c r="R767" s="354"/>
      <c r="S767" s="354"/>
      <c r="T767" s="354"/>
      <c r="U767" s="354"/>
      <c r="V767" s="354"/>
      <c r="W767" s="354"/>
      <c r="X767" s="354"/>
      <c r="Y767" s="354"/>
      <c r="Z767" s="354"/>
    </row>
    <row r="768" customFormat="false" ht="15" hidden="false" customHeight="true" outlineLevel="0" collapsed="false">
      <c r="A768" s="354"/>
      <c r="B768" s="354"/>
      <c r="C768" s="354"/>
      <c r="D768" s="354"/>
      <c r="E768" s="354"/>
      <c r="F768" s="354"/>
      <c r="G768" s="354"/>
      <c r="H768" s="354"/>
      <c r="I768" s="354"/>
      <c r="J768" s="354"/>
      <c r="K768" s="354"/>
      <c r="L768" s="354"/>
      <c r="M768" s="354"/>
      <c r="N768" s="354"/>
      <c r="O768" s="354"/>
      <c r="P768" s="354"/>
      <c r="Q768" s="354"/>
      <c r="R768" s="354"/>
      <c r="S768" s="354"/>
      <c r="T768" s="354"/>
      <c r="U768" s="354"/>
      <c r="V768" s="354"/>
      <c r="W768" s="354"/>
      <c r="X768" s="354"/>
      <c r="Y768" s="354"/>
      <c r="Z768" s="354"/>
    </row>
    <row r="769" customFormat="false" ht="15" hidden="false" customHeight="true" outlineLevel="0" collapsed="false">
      <c r="A769" s="354"/>
      <c r="B769" s="354"/>
      <c r="C769" s="354"/>
      <c r="D769" s="354"/>
      <c r="E769" s="354"/>
      <c r="F769" s="354"/>
      <c r="G769" s="354"/>
      <c r="H769" s="354"/>
      <c r="I769" s="354"/>
      <c r="J769" s="354"/>
      <c r="K769" s="354"/>
      <c r="L769" s="354"/>
      <c r="M769" s="354"/>
      <c r="N769" s="354"/>
      <c r="O769" s="354"/>
      <c r="P769" s="354"/>
      <c r="Q769" s="354"/>
      <c r="R769" s="354"/>
      <c r="S769" s="354"/>
      <c r="T769" s="354"/>
      <c r="U769" s="354"/>
      <c r="V769" s="354"/>
      <c r="W769" s="354"/>
      <c r="X769" s="354"/>
      <c r="Y769" s="354"/>
      <c r="Z769" s="354"/>
    </row>
    <row r="770" customFormat="false" ht="15" hidden="false" customHeight="true" outlineLevel="0" collapsed="false">
      <c r="A770" s="354"/>
      <c r="B770" s="354"/>
      <c r="C770" s="354"/>
      <c r="D770" s="354"/>
      <c r="E770" s="354"/>
      <c r="F770" s="354"/>
      <c r="G770" s="354"/>
      <c r="H770" s="354"/>
      <c r="I770" s="354"/>
      <c r="J770" s="354"/>
      <c r="K770" s="354"/>
      <c r="L770" s="354"/>
      <c r="M770" s="354"/>
      <c r="N770" s="354"/>
      <c r="O770" s="354"/>
      <c r="P770" s="354"/>
      <c r="Q770" s="354"/>
      <c r="R770" s="354"/>
      <c r="S770" s="354"/>
      <c r="T770" s="354"/>
      <c r="U770" s="354"/>
      <c r="V770" s="354"/>
      <c r="W770" s="354"/>
      <c r="X770" s="354"/>
      <c r="Y770" s="354"/>
      <c r="Z770" s="354"/>
    </row>
    <row r="771" customFormat="false" ht="15" hidden="false" customHeight="true" outlineLevel="0" collapsed="false">
      <c r="A771" s="354"/>
      <c r="B771" s="354"/>
      <c r="C771" s="354"/>
      <c r="D771" s="354"/>
      <c r="E771" s="354"/>
      <c r="F771" s="354"/>
      <c r="G771" s="354"/>
      <c r="H771" s="354"/>
      <c r="I771" s="354"/>
      <c r="J771" s="354"/>
      <c r="K771" s="354"/>
      <c r="L771" s="354"/>
      <c r="M771" s="354"/>
      <c r="N771" s="354"/>
      <c r="O771" s="354"/>
      <c r="P771" s="354"/>
      <c r="Q771" s="354"/>
      <c r="R771" s="354"/>
      <c r="S771" s="354"/>
      <c r="T771" s="354"/>
      <c r="U771" s="354"/>
      <c r="V771" s="354"/>
      <c r="W771" s="354"/>
      <c r="X771" s="354"/>
      <c r="Y771" s="354"/>
      <c r="Z771" s="354"/>
    </row>
    <row r="772" customFormat="false" ht="15" hidden="false" customHeight="true" outlineLevel="0" collapsed="false">
      <c r="A772" s="354"/>
      <c r="B772" s="354"/>
      <c r="C772" s="354"/>
      <c r="D772" s="354"/>
      <c r="E772" s="354"/>
      <c r="F772" s="354"/>
      <c r="G772" s="354"/>
      <c r="H772" s="354"/>
      <c r="I772" s="354"/>
      <c r="J772" s="354"/>
      <c r="K772" s="354"/>
      <c r="L772" s="354"/>
      <c r="M772" s="354"/>
      <c r="N772" s="354"/>
      <c r="O772" s="354"/>
      <c r="P772" s="354"/>
      <c r="Q772" s="354"/>
      <c r="R772" s="354"/>
      <c r="S772" s="354"/>
      <c r="T772" s="354"/>
      <c r="U772" s="354"/>
      <c r="V772" s="354"/>
      <c r="W772" s="354"/>
      <c r="X772" s="354"/>
      <c r="Y772" s="354"/>
      <c r="Z772" s="354"/>
    </row>
    <row r="773" customFormat="false" ht="15" hidden="false" customHeight="true" outlineLevel="0" collapsed="false">
      <c r="A773" s="354"/>
      <c r="B773" s="354"/>
      <c r="C773" s="354"/>
      <c r="D773" s="354"/>
      <c r="E773" s="354"/>
      <c r="F773" s="354"/>
      <c r="G773" s="354"/>
      <c r="H773" s="354"/>
      <c r="I773" s="354"/>
      <c r="J773" s="354"/>
      <c r="K773" s="354"/>
      <c r="L773" s="354"/>
      <c r="M773" s="354"/>
      <c r="N773" s="354"/>
      <c r="O773" s="354"/>
      <c r="P773" s="354"/>
      <c r="Q773" s="354"/>
      <c r="R773" s="354"/>
      <c r="S773" s="354"/>
      <c r="T773" s="354"/>
      <c r="U773" s="354"/>
      <c r="V773" s="354"/>
      <c r="W773" s="354"/>
      <c r="X773" s="354"/>
      <c r="Y773" s="354"/>
      <c r="Z773" s="354"/>
    </row>
    <row r="774" customFormat="false" ht="15" hidden="false" customHeight="true" outlineLevel="0" collapsed="false">
      <c r="A774" s="354"/>
      <c r="B774" s="354"/>
      <c r="C774" s="354"/>
      <c r="D774" s="354"/>
      <c r="E774" s="354"/>
      <c r="F774" s="354"/>
      <c r="G774" s="354"/>
      <c r="H774" s="354"/>
      <c r="I774" s="354"/>
      <c r="J774" s="354"/>
      <c r="K774" s="354"/>
      <c r="L774" s="354"/>
      <c r="M774" s="354"/>
      <c r="N774" s="354"/>
      <c r="O774" s="354"/>
      <c r="P774" s="354"/>
      <c r="Q774" s="354"/>
      <c r="R774" s="354"/>
      <c r="S774" s="354"/>
      <c r="T774" s="354"/>
      <c r="U774" s="354"/>
      <c r="V774" s="354"/>
      <c r="W774" s="354"/>
      <c r="X774" s="354"/>
      <c r="Y774" s="354"/>
      <c r="Z774" s="354"/>
    </row>
    <row r="775" customFormat="false" ht="15" hidden="false" customHeight="true" outlineLevel="0" collapsed="false">
      <c r="A775" s="354"/>
      <c r="B775" s="354"/>
      <c r="C775" s="354"/>
      <c r="D775" s="354"/>
      <c r="E775" s="354"/>
      <c r="F775" s="354"/>
      <c r="G775" s="354"/>
      <c r="H775" s="354"/>
      <c r="I775" s="354"/>
      <c r="J775" s="354"/>
      <c r="K775" s="354"/>
      <c r="L775" s="354"/>
      <c r="M775" s="354"/>
      <c r="N775" s="354"/>
      <c r="O775" s="354"/>
      <c r="P775" s="354"/>
      <c r="Q775" s="354"/>
      <c r="R775" s="354"/>
      <c r="S775" s="354"/>
      <c r="T775" s="354"/>
      <c r="U775" s="354"/>
      <c r="V775" s="354"/>
      <c r="W775" s="354"/>
      <c r="X775" s="354"/>
      <c r="Y775" s="354"/>
      <c r="Z775" s="354"/>
    </row>
    <row r="776" customFormat="false" ht="15" hidden="false" customHeight="true" outlineLevel="0" collapsed="false">
      <c r="A776" s="354"/>
      <c r="B776" s="354"/>
      <c r="C776" s="354"/>
      <c r="D776" s="354"/>
      <c r="E776" s="354"/>
      <c r="F776" s="354"/>
      <c r="G776" s="354"/>
      <c r="H776" s="354"/>
      <c r="I776" s="354"/>
      <c r="J776" s="354"/>
      <c r="K776" s="354"/>
      <c r="L776" s="354"/>
      <c r="M776" s="354"/>
      <c r="N776" s="354"/>
      <c r="O776" s="354"/>
      <c r="P776" s="354"/>
      <c r="Q776" s="354"/>
      <c r="R776" s="354"/>
      <c r="S776" s="354"/>
      <c r="T776" s="354"/>
      <c r="U776" s="354"/>
      <c r="V776" s="354"/>
      <c r="W776" s="354"/>
      <c r="X776" s="354"/>
      <c r="Y776" s="354"/>
      <c r="Z776" s="354"/>
    </row>
    <row r="777" customFormat="false" ht="15" hidden="false" customHeight="true" outlineLevel="0" collapsed="false">
      <c r="A777" s="354"/>
      <c r="B777" s="354"/>
      <c r="C777" s="354"/>
      <c r="D777" s="354"/>
      <c r="E777" s="354"/>
      <c r="F777" s="354"/>
      <c r="G777" s="354"/>
      <c r="H777" s="354"/>
      <c r="I777" s="354"/>
      <c r="J777" s="354"/>
      <c r="K777" s="354"/>
      <c r="L777" s="354"/>
      <c r="M777" s="354"/>
      <c r="N777" s="354"/>
      <c r="O777" s="354"/>
      <c r="P777" s="354"/>
      <c r="Q777" s="354"/>
      <c r="R777" s="354"/>
      <c r="S777" s="354"/>
      <c r="T777" s="354"/>
      <c r="U777" s="354"/>
      <c r="V777" s="354"/>
      <c r="W777" s="354"/>
      <c r="X777" s="354"/>
      <c r="Y777" s="354"/>
      <c r="Z777" s="354"/>
    </row>
    <row r="778" customFormat="false" ht="15" hidden="false" customHeight="true" outlineLevel="0" collapsed="false">
      <c r="A778" s="354"/>
      <c r="B778" s="354"/>
      <c r="C778" s="354"/>
      <c r="D778" s="354"/>
      <c r="E778" s="354"/>
      <c r="F778" s="354"/>
      <c r="G778" s="354"/>
      <c r="H778" s="354"/>
      <c r="I778" s="354"/>
      <c r="J778" s="354"/>
      <c r="K778" s="354"/>
      <c r="L778" s="354"/>
      <c r="M778" s="354"/>
      <c r="N778" s="354"/>
      <c r="O778" s="354"/>
      <c r="P778" s="354"/>
      <c r="Q778" s="354"/>
      <c r="R778" s="354"/>
      <c r="S778" s="354"/>
      <c r="T778" s="354"/>
      <c r="U778" s="354"/>
      <c r="V778" s="354"/>
      <c r="W778" s="354"/>
      <c r="X778" s="354"/>
      <c r="Y778" s="354"/>
      <c r="Z778" s="354"/>
    </row>
    <row r="779" customFormat="false" ht="15" hidden="false" customHeight="true" outlineLevel="0" collapsed="false">
      <c r="A779" s="354"/>
      <c r="B779" s="354"/>
      <c r="C779" s="354"/>
      <c r="D779" s="354"/>
      <c r="E779" s="354"/>
      <c r="F779" s="354"/>
      <c r="G779" s="354"/>
      <c r="H779" s="354"/>
      <c r="I779" s="354"/>
      <c r="J779" s="354"/>
      <c r="K779" s="354"/>
      <c r="L779" s="354"/>
      <c r="M779" s="354"/>
      <c r="N779" s="354"/>
      <c r="O779" s="354"/>
      <c r="P779" s="354"/>
      <c r="Q779" s="354"/>
      <c r="R779" s="354"/>
      <c r="S779" s="354"/>
      <c r="T779" s="354"/>
      <c r="U779" s="354"/>
      <c r="V779" s="354"/>
      <c r="W779" s="354"/>
      <c r="X779" s="354"/>
      <c r="Y779" s="354"/>
      <c r="Z779" s="354"/>
    </row>
    <row r="780" customFormat="false" ht="15" hidden="false" customHeight="true" outlineLevel="0" collapsed="false">
      <c r="A780" s="354"/>
      <c r="B780" s="354"/>
      <c r="C780" s="354"/>
      <c r="D780" s="354"/>
      <c r="E780" s="354"/>
      <c r="F780" s="354"/>
      <c r="G780" s="354"/>
      <c r="H780" s="354"/>
      <c r="I780" s="354"/>
      <c r="J780" s="354"/>
      <c r="K780" s="354"/>
      <c r="L780" s="354"/>
      <c r="M780" s="354"/>
      <c r="N780" s="354"/>
      <c r="O780" s="354"/>
      <c r="P780" s="354"/>
      <c r="Q780" s="354"/>
      <c r="R780" s="354"/>
      <c r="S780" s="354"/>
      <c r="T780" s="354"/>
      <c r="U780" s="354"/>
      <c r="V780" s="354"/>
      <c r="W780" s="354"/>
      <c r="X780" s="354"/>
      <c r="Y780" s="354"/>
      <c r="Z780" s="354"/>
    </row>
    <row r="781" customFormat="false" ht="15" hidden="false" customHeight="true" outlineLevel="0" collapsed="false">
      <c r="A781" s="354"/>
      <c r="B781" s="354"/>
      <c r="C781" s="354"/>
      <c r="D781" s="354"/>
      <c r="E781" s="354"/>
      <c r="F781" s="354"/>
      <c r="G781" s="354"/>
      <c r="H781" s="354"/>
      <c r="I781" s="354"/>
      <c r="J781" s="354"/>
      <c r="K781" s="354"/>
      <c r="L781" s="354"/>
      <c r="M781" s="354"/>
      <c r="N781" s="354"/>
      <c r="O781" s="354"/>
      <c r="P781" s="354"/>
      <c r="Q781" s="354"/>
      <c r="R781" s="354"/>
      <c r="S781" s="354"/>
      <c r="T781" s="354"/>
      <c r="U781" s="354"/>
      <c r="V781" s="354"/>
      <c r="W781" s="354"/>
      <c r="X781" s="354"/>
      <c r="Y781" s="354"/>
      <c r="Z781" s="354"/>
    </row>
    <row r="782" customFormat="false" ht="15" hidden="false" customHeight="true" outlineLevel="0" collapsed="false">
      <c r="A782" s="354"/>
      <c r="B782" s="354"/>
      <c r="C782" s="354"/>
      <c r="D782" s="354"/>
      <c r="E782" s="354"/>
      <c r="F782" s="354"/>
      <c r="G782" s="354"/>
      <c r="H782" s="354"/>
      <c r="I782" s="354"/>
      <c r="J782" s="354"/>
      <c r="K782" s="354"/>
      <c r="L782" s="354"/>
      <c r="M782" s="354"/>
      <c r="N782" s="354"/>
      <c r="O782" s="354"/>
      <c r="P782" s="354"/>
      <c r="Q782" s="354"/>
      <c r="R782" s="354"/>
      <c r="S782" s="354"/>
      <c r="T782" s="354"/>
      <c r="U782" s="354"/>
      <c r="V782" s="354"/>
      <c r="W782" s="354"/>
      <c r="X782" s="354"/>
      <c r="Y782" s="354"/>
      <c r="Z782" s="354"/>
    </row>
    <row r="783" customFormat="false" ht="15" hidden="false" customHeight="true" outlineLevel="0" collapsed="false">
      <c r="A783" s="354"/>
      <c r="B783" s="354"/>
      <c r="C783" s="354"/>
      <c r="D783" s="354"/>
      <c r="E783" s="354"/>
      <c r="F783" s="354"/>
      <c r="G783" s="354"/>
      <c r="H783" s="354"/>
      <c r="I783" s="354"/>
      <c r="J783" s="354"/>
      <c r="K783" s="354"/>
      <c r="L783" s="354"/>
      <c r="M783" s="354"/>
      <c r="N783" s="354"/>
      <c r="O783" s="354"/>
      <c r="P783" s="354"/>
      <c r="Q783" s="354"/>
      <c r="R783" s="354"/>
      <c r="S783" s="354"/>
      <c r="T783" s="354"/>
      <c r="U783" s="354"/>
      <c r="V783" s="354"/>
      <c r="W783" s="354"/>
      <c r="X783" s="354"/>
      <c r="Y783" s="354"/>
      <c r="Z783" s="354"/>
    </row>
    <row r="784" customFormat="false" ht="15" hidden="false" customHeight="true" outlineLevel="0" collapsed="false">
      <c r="A784" s="354"/>
      <c r="B784" s="354"/>
      <c r="C784" s="354"/>
      <c r="D784" s="354"/>
      <c r="E784" s="354"/>
      <c r="F784" s="354"/>
      <c r="G784" s="354"/>
      <c r="H784" s="354"/>
      <c r="I784" s="354"/>
      <c r="J784" s="354"/>
      <c r="K784" s="354"/>
      <c r="L784" s="354"/>
      <c r="M784" s="354"/>
      <c r="N784" s="354"/>
      <c r="O784" s="354"/>
      <c r="P784" s="354"/>
      <c r="Q784" s="354"/>
      <c r="R784" s="354"/>
      <c r="S784" s="354"/>
      <c r="T784" s="354"/>
      <c r="U784" s="354"/>
      <c r="V784" s="354"/>
      <c r="W784" s="354"/>
      <c r="X784" s="354"/>
      <c r="Y784" s="354"/>
      <c r="Z784" s="354"/>
    </row>
    <row r="785" customFormat="false" ht="15" hidden="false" customHeight="true" outlineLevel="0" collapsed="false">
      <c r="A785" s="354"/>
      <c r="B785" s="354"/>
      <c r="C785" s="354"/>
      <c r="D785" s="354"/>
      <c r="E785" s="354"/>
      <c r="F785" s="354"/>
      <c r="G785" s="354"/>
      <c r="H785" s="354"/>
      <c r="I785" s="354"/>
      <c r="J785" s="354"/>
      <c r="K785" s="354"/>
      <c r="L785" s="354"/>
      <c r="M785" s="354"/>
      <c r="N785" s="354"/>
      <c r="O785" s="354"/>
      <c r="P785" s="354"/>
      <c r="Q785" s="354"/>
      <c r="R785" s="354"/>
      <c r="S785" s="354"/>
      <c r="T785" s="354"/>
      <c r="U785" s="354"/>
      <c r="V785" s="354"/>
      <c r="W785" s="354"/>
      <c r="X785" s="354"/>
      <c r="Y785" s="354"/>
      <c r="Z785" s="354"/>
    </row>
    <row r="786" customFormat="false" ht="15" hidden="false" customHeight="true" outlineLevel="0" collapsed="false">
      <c r="A786" s="354"/>
      <c r="B786" s="354"/>
      <c r="C786" s="354"/>
      <c r="D786" s="354"/>
      <c r="E786" s="354"/>
      <c r="F786" s="354"/>
      <c r="G786" s="354"/>
      <c r="H786" s="354"/>
      <c r="I786" s="354"/>
      <c r="J786" s="354"/>
      <c r="K786" s="354"/>
      <c r="L786" s="354"/>
      <c r="M786" s="354"/>
      <c r="N786" s="354"/>
      <c r="O786" s="354"/>
      <c r="P786" s="354"/>
      <c r="Q786" s="354"/>
      <c r="R786" s="354"/>
      <c r="S786" s="354"/>
      <c r="T786" s="354"/>
      <c r="U786" s="354"/>
      <c r="V786" s="354"/>
      <c r="W786" s="354"/>
      <c r="X786" s="354"/>
      <c r="Y786" s="354"/>
      <c r="Z786" s="354"/>
    </row>
    <row r="787" customFormat="false" ht="15" hidden="false" customHeight="true" outlineLevel="0" collapsed="false">
      <c r="A787" s="354"/>
      <c r="B787" s="354"/>
      <c r="C787" s="354"/>
      <c r="D787" s="354"/>
      <c r="E787" s="354"/>
      <c r="F787" s="354"/>
      <c r="G787" s="354"/>
      <c r="H787" s="354"/>
      <c r="I787" s="354"/>
      <c r="J787" s="354"/>
      <c r="K787" s="354"/>
      <c r="L787" s="354"/>
      <c r="M787" s="354"/>
      <c r="N787" s="354"/>
      <c r="O787" s="354"/>
      <c r="P787" s="354"/>
      <c r="Q787" s="354"/>
      <c r="R787" s="354"/>
      <c r="S787" s="354"/>
      <c r="T787" s="354"/>
      <c r="U787" s="354"/>
      <c r="V787" s="354"/>
      <c r="W787" s="354"/>
      <c r="X787" s="354"/>
      <c r="Y787" s="354"/>
      <c r="Z787" s="354"/>
    </row>
    <row r="788" customFormat="false" ht="15" hidden="false" customHeight="true" outlineLevel="0" collapsed="false">
      <c r="A788" s="354"/>
      <c r="B788" s="354"/>
      <c r="C788" s="354"/>
      <c r="D788" s="354"/>
      <c r="E788" s="354"/>
      <c r="F788" s="354"/>
      <c r="G788" s="354"/>
      <c r="H788" s="354"/>
      <c r="I788" s="354"/>
      <c r="J788" s="354"/>
      <c r="K788" s="354"/>
      <c r="L788" s="354"/>
      <c r="M788" s="354"/>
      <c r="N788" s="354"/>
      <c r="O788" s="354"/>
      <c r="P788" s="354"/>
      <c r="Q788" s="354"/>
      <c r="R788" s="354"/>
      <c r="S788" s="354"/>
      <c r="T788" s="354"/>
      <c r="U788" s="354"/>
      <c r="V788" s="354"/>
      <c r="W788" s="354"/>
      <c r="X788" s="354"/>
      <c r="Y788" s="354"/>
      <c r="Z788" s="354"/>
    </row>
    <row r="789" customFormat="false" ht="15" hidden="false" customHeight="true" outlineLevel="0" collapsed="false">
      <c r="A789" s="354"/>
      <c r="B789" s="354"/>
      <c r="C789" s="354"/>
      <c r="D789" s="354"/>
      <c r="E789" s="354"/>
      <c r="F789" s="354"/>
      <c r="G789" s="354"/>
      <c r="H789" s="354"/>
      <c r="I789" s="354"/>
      <c r="J789" s="354"/>
      <c r="K789" s="354"/>
      <c r="L789" s="354"/>
      <c r="M789" s="354"/>
      <c r="N789" s="354"/>
      <c r="O789" s="354"/>
      <c r="P789" s="354"/>
      <c r="Q789" s="354"/>
      <c r="R789" s="354"/>
      <c r="S789" s="354"/>
      <c r="T789" s="354"/>
      <c r="U789" s="354"/>
      <c r="V789" s="354"/>
      <c r="W789" s="354"/>
      <c r="X789" s="354"/>
      <c r="Y789" s="354"/>
      <c r="Z789" s="354"/>
    </row>
    <row r="790" customFormat="false" ht="15" hidden="false" customHeight="true" outlineLevel="0" collapsed="false">
      <c r="A790" s="354"/>
      <c r="B790" s="354"/>
      <c r="C790" s="354"/>
      <c r="D790" s="354"/>
      <c r="E790" s="354"/>
      <c r="F790" s="354"/>
      <c r="G790" s="354"/>
      <c r="H790" s="354"/>
      <c r="I790" s="354"/>
      <c r="J790" s="354"/>
      <c r="K790" s="354"/>
      <c r="L790" s="354"/>
      <c r="M790" s="354"/>
      <c r="N790" s="354"/>
      <c r="O790" s="354"/>
      <c r="P790" s="354"/>
      <c r="Q790" s="354"/>
      <c r="R790" s="354"/>
      <c r="S790" s="354"/>
      <c r="T790" s="354"/>
      <c r="U790" s="354"/>
      <c r="V790" s="354"/>
      <c r="W790" s="354"/>
      <c r="X790" s="354"/>
      <c r="Y790" s="354"/>
      <c r="Z790" s="354"/>
    </row>
    <row r="791" customFormat="false" ht="15" hidden="false" customHeight="true" outlineLevel="0" collapsed="false">
      <c r="A791" s="354"/>
      <c r="B791" s="354"/>
      <c r="C791" s="354"/>
      <c r="D791" s="354"/>
      <c r="E791" s="354"/>
      <c r="F791" s="354"/>
      <c r="G791" s="354"/>
      <c r="H791" s="354"/>
      <c r="I791" s="354"/>
      <c r="J791" s="354"/>
      <c r="K791" s="354"/>
      <c r="L791" s="354"/>
      <c r="M791" s="354"/>
      <c r="N791" s="354"/>
      <c r="O791" s="354"/>
      <c r="P791" s="354"/>
      <c r="Q791" s="354"/>
      <c r="R791" s="354"/>
      <c r="S791" s="354"/>
      <c r="T791" s="354"/>
      <c r="U791" s="354"/>
      <c r="V791" s="354"/>
      <c r="W791" s="354"/>
      <c r="X791" s="354"/>
      <c r="Y791" s="354"/>
      <c r="Z791" s="354"/>
    </row>
    <row r="792" customFormat="false" ht="15" hidden="false" customHeight="true" outlineLevel="0" collapsed="false">
      <c r="A792" s="354"/>
      <c r="B792" s="354"/>
      <c r="C792" s="354"/>
      <c r="D792" s="354"/>
      <c r="E792" s="354"/>
      <c r="F792" s="354"/>
      <c r="G792" s="354"/>
      <c r="H792" s="354"/>
      <c r="I792" s="354"/>
      <c r="J792" s="354"/>
      <c r="K792" s="354"/>
      <c r="L792" s="354"/>
      <c r="M792" s="354"/>
      <c r="N792" s="354"/>
      <c r="O792" s="354"/>
      <c r="P792" s="354"/>
      <c r="Q792" s="354"/>
      <c r="R792" s="354"/>
      <c r="S792" s="354"/>
      <c r="T792" s="354"/>
      <c r="U792" s="354"/>
      <c r="V792" s="354"/>
      <c r="W792" s="354"/>
      <c r="X792" s="354"/>
      <c r="Y792" s="354"/>
      <c r="Z792" s="354"/>
    </row>
    <row r="793" customFormat="false" ht="15" hidden="false" customHeight="true" outlineLevel="0" collapsed="false">
      <c r="A793" s="354"/>
      <c r="B793" s="354"/>
      <c r="C793" s="354"/>
      <c r="D793" s="354"/>
      <c r="E793" s="354"/>
      <c r="F793" s="354"/>
      <c r="G793" s="354"/>
      <c r="H793" s="354"/>
      <c r="I793" s="354"/>
      <c r="J793" s="354"/>
      <c r="K793" s="354"/>
      <c r="L793" s="354"/>
      <c r="M793" s="354"/>
      <c r="N793" s="354"/>
      <c r="O793" s="354"/>
      <c r="P793" s="354"/>
      <c r="Q793" s="354"/>
      <c r="R793" s="354"/>
      <c r="S793" s="354"/>
      <c r="T793" s="354"/>
      <c r="U793" s="354"/>
      <c r="V793" s="354"/>
      <c r="W793" s="354"/>
      <c r="X793" s="354"/>
      <c r="Y793" s="354"/>
      <c r="Z793" s="354"/>
    </row>
    <row r="794" customFormat="false" ht="15" hidden="false" customHeight="true" outlineLevel="0" collapsed="false">
      <c r="A794" s="354"/>
      <c r="B794" s="354"/>
      <c r="C794" s="354"/>
      <c r="D794" s="354"/>
      <c r="E794" s="354"/>
      <c r="F794" s="354"/>
      <c r="G794" s="354"/>
      <c r="H794" s="354"/>
      <c r="I794" s="354"/>
      <c r="J794" s="354"/>
      <c r="K794" s="354"/>
      <c r="L794" s="354"/>
      <c r="M794" s="354"/>
      <c r="N794" s="354"/>
      <c r="O794" s="354"/>
      <c r="P794" s="354"/>
      <c r="Q794" s="354"/>
      <c r="R794" s="354"/>
      <c r="S794" s="354"/>
      <c r="T794" s="354"/>
      <c r="U794" s="354"/>
      <c r="V794" s="354"/>
      <c r="W794" s="354"/>
      <c r="X794" s="354"/>
      <c r="Y794" s="354"/>
      <c r="Z794" s="354"/>
    </row>
    <row r="795" customFormat="false" ht="15" hidden="false" customHeight="true" outlineLevel="0" collapsed="false">
      <c r="A795" s="354"/>
      <c r="B795" s="354"/>
      <c r="C795" s="354"/>
      <c r="D795" s="354"/>
      <c r="E795" s="354"/>
      <c r="F795" s="354"/>
      <c r="G795" s="354"/>
      <c r="H795" s="354"/>
      <c r="I795" s="354"/>
      <c r="J795" s="354"/>
      <c r="K795" s="354"/>
      <c r="L795" s="354"/>
      <c r="M795" s="354"/>
      <c r="N795" s="354"/>
      <c r="O795" s="354"/>
      <c r="P795" s="354"/>
      <c r="Q795" s="354"/>
      <c r="R795" s="354"/>
      <c r="S795" s="354"/>
      <c r="T795" s="354"/>
      <c r="U795" s="354"/>
      <c r="V795" s="354"/>
      <c r="W795" s="354"/>
      <c r="X795" s="354"/>
      <c r="Y795" s="354"/>
      <c r="Z795" s="354"/>
    </row>
    <row r="796" customFormat="false" ht="15" hidden="false" customHeight="true" outlineLevel="0" collapsed="false">
      <c r="A796" s="354"/>
      <c r="B796" s="354"/>
      <c r="C796" s="354"/>
      <c r="D796" s="354"/>
      <c r="E796" s="354"/>
      <c r="F796" s="354"/>
      <c r="G796" s="354"/>
      <c r="H796" s="354"/>
      <c r="I796" s="354"/>
      <c r="J796" s="354"/>
      <c r="K796" s="354"/>
      <c r="L796" s="354"/>
      <c r="M796" s="354"/>
      <c r="N796" s="354"/>
      <c r="O796" s="354"/>
      <c r="P796" s="354"/>
      <c r="Q796" s="354"/>
      <c r="R796" s="354"/>
      <c r="S796" s="354"/>
      <c r="T796" s="354"/>
      <c r="U796" s="354"/>
      <c r="V796" s="354"/>
      <c r="W796" s="354"/>
      <c r="X796" s="354"/>
      <c r="Y796" s="354"/>
      <c r="Z796" s="354"/>
    </row>
    <row r="797" customFormat="false" ht="15" hidden="false" customHeight="true" outlineLevel="0" collapsed="false">
      <c r="A797" s="354"/>
      <c r="B797" s="354"/>
      <c r="C797" s="354"/>
      <c r="D797" s="354"/>
      <c r="E797" s="354"/>
      <c r="F797" s="354"/>
      <c r="G797" s="354"/>
      <c r="H797" s="354"/>
      <c r="I797" s="354"/>
      <c r="J797" s="354"/>
      <c r="K797" s="354"/>
      <c r="L797" s="354"/>
      <c r="M797" s="354"/>
      <c r="N797" s="354"/>
      <c r="O797" s="354"/>
      <c r="P797" s="354"/>
      <c r="Q797" s="354"/>
      <c r="R797" s="354"/>
      <c r="S797" s="354"/>
      <c r="T797" s="354"/>
      <c r="U797" s="354"/>
      <c r="V797" s="354"/>
      <c r="W797" s="354"/>
      <c r="X797" s="354"/>
      <c r="Y797" s="354"/>
      <c r="Z797" s="354"/>
    </row>
    <row r="798" customFormat="false" ht="15" hidden="false" customHeight="true" outlineLevel="0" collapsed="false">
      <c r="A798" s="354"/>
      <c r="B798" s="354"/>
      <c r="C798" s="354"/>
      <c r="D798" s="354"/>
      <c r="E798" s="354"/>
      <c r="F798" s="354"/>
      <c r="G798" s="354"/>
      <c r="H798" s="354"/>
      <c r="I798" s="354"/>
      <c r="J798" s="354"/>
      <c r="K798" s="354"/>
      <c r="L798" s="354"/>
      <c r="M798" s="354"/>
      <c r="N798" s="354"/>
      <c r="O798" s="354"/>
      <c r="P798" s="354"/>
      <c r="Q798" s="354"/>
      <c r="R798" s="354"/>
      <c r="S798" s="354"/>
      <c r="T798" s="354"/>
      <c r="U798" s="354"/>
      <c r="V798" s="354"/>
      <c r="W798" s="354"/>
      <c r="X798" s="354"/>
      <c r="Y798" s="354"/>
      <c r="Z798" s="354"/>
    </row>
    <row r="799" customFormat="false" ht="15" hidden="false" customHeight="true" outlineLevel="0" collapsed="false">
      <c r="A799" s="354"/>
      <c r="B799" s="354"/>
      <c r="C799" s="354"/>
      <c r="D799" s="354"/>
      <c r="E799" s="354"/>
      <c r="F799" s="354"/>
      <c r="G799" s="354"/>
      <c r="H799" s="354"/>
      <c r="I799" s="354"/>
      <c r="J799" s="354"/>
      <c r="K799" s="354"/>
      <c r="L799" s="354"/>
      <c r="M799" s="354"/>
      <c r="N799" s="354"/>
      <c r="O799" s="354"/>
      <c r="P799" s="354"/>
      <c r="Q799" s="354"/>
      <c r="R799" s="354"/>
      <c r="S799" s="354"/>
      <c r="T799" s="354"/>
      <c r="U799" s="354"/>
      <c r="V799" s="354"/>
      <c r="W799" s="354"/>
      <c r="X799" s="354"/>
      <c r="Y799" s="354"/>
      <c r="Z799" s="354"/>
    </row>
    <row r="800" customFormat="false" ht="15" hidden="false" customHeight="true" outlineLevel="0" collapsed="false">
      <c r="A800" s="354"/>
      <c r="B800" s="354"/>
      <c r="C800" s="354"/>
      <c r="D800" s="354"/>
      <c r="E800" s="354"/>
      <c r="F800" s="354"/>
      <c r="G800" s="354"/>
      <c r="H800" s="354"/>
      <c r="I800" s="354"/>
      <c r="J800" s="354"/>
      <c r="K800" s="354"/>
      <c r="L800" s="354"/>
      <c r="M800" s="354"/>
      <c r="N800" s="354"/>
      <c r="O800" s="354"/>
      <c r="P800" s="354"/>
      <c r="Q800" s="354"/>
      <c r="R800" s="354"/>
      <c r="S800" s="354"/>
      <c r="T800" s="354"/>
      <c r="U800" s="354"/>
      <c r="V800" s="354"/>
      <c r="W800" s="354"/>
      <c r="X800" s="354"/>
      <c r="Y800" s="354"/>
      <c r="Z800" s="354"/>
    </row>
    <row r="801" customFormat="false" ht="15" hidden="false" customHeight="true" outlineLevel="0" collapsed="false">
      <c r="A801" s="354"/>
      <c r="B801" s="354"/>
      <c r="C801" s="354"/>
      <c r="D801" s="354"/>
      <c r="E801" s="354"/>
      <c r="F801" s="354"/>
      <c r="G801" s="354"/>
      <c r="H801" s="354"/>
      <c r="I801" s="354"/>
      <c r="J801" s="354"/>
      <c r="K801" s="354"/>
      <c r="L801" s="354"/>
      <c r="M801" s="354"/>
      <c r="N801" s="354"/>
      <c r="O801" s="354"/>
      <c r="P801" s="354"/>
      <c r="Q801" s="354"/>
      <c r="R801" s="354"/>
      <c r="S801" s="354"/>
      <c r="T801" s="354"/>
      <c r="U801" s="354"/>
      <c r="V801" s="354"/>
      <c r="W801" s="354"/>
      <c r="X801" s="354"/>
      <c r="Y801" s="354"/>
      <c r="Z801" s="354"/>
    </row>
    <row r="802" customFormat="false" ht="15" hidden="false" customHeight="true" outlineLevel="0" collapsed="false">
      <c r="A802" s="354"/>
      <c r="B802" s="354"/>
      <c r="C802" s="354"/>
      <c r="D802" s="354"/>
      <c r="E802" s="354"/>
      <c r="F802" s="354"/>
      <c r="G802" s="354"/>
      <c r="H802" s="354"/>
      <c r="I802" s="354"/>
      <c r="J802" s="354"/>
      <c r="K802" s="354"/>
      <c r="L802" s="354"/>
      <c r="M802" s="354"/>
      <c r="N802" s="354"/>
      <c r="O802" s="354"/>
      <c r="P802" s="354"/>
      <c r="Q802" s="354"/>
      <c r="R802" s="354"/>
      <c r="S802" s="354"/>
      <c r="T802" s="354"/>
      <c r="U802" s="354"/>
      <c r="V802" s="354"/>
      <c r="W802" s="354"/>
      <c r="X802" s="354"/>
      <c r="Y802" s="354"/>
      <c r="Z802" s="354"/>
    </row>
    <row r="803" customFormat="false" ht="15" hidden="false" customHeight="true" outlineLevel="0" collapsed="false">
      <c r="A803" s="354"/>
      <c r="B803" s="354"/>
      <c r="C803" s="354"/>
      <c r="D803" s="354"/>
      <c r="E803" s="354"/>
      <c r="F803" s="354"/>
      <c r="G803" s="354"/>
      <c r="H803" s="354"/>
      <c r="I803" s="354"/>
      <c r="J803" s="354"/>
      <c r="K803" s="354"/>
      <c r="L803" s="354"/>
      <c r="M803" s="354"/>
      <c r="N803" s="354"/>
      <c r="O803" s="354"/>
      <c r="P803" s="354"/>
      <c r="Q803" s="354"/>
      <c r="R803" s="354"/>
      <c r="S803" s="354"/>
      <c r="T803" s="354"/>
      <c r="U803" s="354"/>
      <c r="V803" s="354"/>
      <c r="W803" s="354"/>
      <c r="X803" s="354"/>
      <c r="Y803" s="354"/>
      <c r="Z803" s="354"/>
    </row>
    <row r="804" customFormat="false" ht="15" hidden="false" customHeight="true" outlineLevel="0" collapsed="false">
      <c r="A804" s="354"/>
      <c r="B804" s="354"/>
      <c r="C804" s="354"/>
      <c r="D804" s="354"/>
      <c r="E804" s="354"/>
      <c r="F804" s="354"/>
      <c r="G804" s="354"/>
      <c r="H804" s="354"/>
      <c r="I804" s="354"/>
      <c r="J804" s="354"/>
      <c r="K804" s="354"/>
      <c r="L804" s="354"/>
      <c r="M804" s="354"/>
      <c r="N804" s="354"/>
      <c r="O804" s="354"/>
      <c r="P804" s="354"/>
      <c r="Q804" s="354"/>
      <c r="R804" s="354"/>
      <c r="S804" s="354"/>
      <c r="T804" s="354"/>
      <c r="U804" s="354"/>
      <c r="V804" s="354"/>
      <c r="W804" s="354"/>
      <c r="X804" s="354"/>
      <c r="Y804" s="354"/>
      <c r="Z804" s="354"/>
    </row>
    <row r="805" customFormat="false" ht="15" hidden="false" customHeight="true" outlineLevel="0" collapsed="false">
      <c r="A805" s="354"/>
      <c r="B805" s="354"/>
      <c r="C805" s="354"/>
      <c r="D805" s="354"/>
      <c r="E805" s="354"/>
      <c r="F805" s="354"/>
      <c r="G805" s="354"/>
      <c r="H805" s="354"/>
      <c r="I805" s="354"/>
      <c r="J805" s="354"/>
      <c r="K805" s="354"/>
      <c r="L805" s="354"/>
      <c r="M805" s="354"/>
      <c r="N805" s="354"/>
      <c r="O805" s="354"/>
      <c r="P805" s="354"/>
      <c r="Q805" s="354"/>
      <c r="R805" s="354"/>
      <c r="S805" s="354"/>
      <c r="T805" s="354"/>
      <c r="U805" s="354"/>
      <c r="V805" s="354"/>
      <c r="W805" s="354"/>
      <c r="X805" s="354"/>
      <c r="Y805" s="354"/>
      <c r="Z805" s="354"/>
    </row>
    <row r="806" customFormat="false" ht="15" hidden="false" customHeight="true" outlineLevel="0" collapsed="false">
      <c r="A806" s="354"/>
      <c r="B806" s="354"/>
      <c r="C806" s="354"/>
      <c r="D806" s="354"/>
      <c r="E806" s="354"/>
      <c r="F806" s="354"/>
      <c r="G806" s="354"/>
      <c r="H806" s="354"/>
      <c r="I806" s="354"/>
      <c r="J806" s="354"/>
      <c r="K806" s="354"/>
      <c r="L806" s="354"/>
      <c r="M806" s="354"/>
      <c r="N806" s="354"/>
      <c r="O806" s="354"/>
      <c r="P806" s="354"/>
      <c r="Q806" s="354"/>
      <c r="R806" s="354"/>
      <c r="S806" s="354"/>
      <c r="T806" s="354"/>
      <c r="U806" s="354"/>
      <c r="V806" s="354"/>
      <c r="W806" s="354"/>
      <c r="X806" s="354"/>
      <c r="Y806" s="354"/>
      <c r="Z806" s="354"/>
    </row>
    <row r="807" customFormat="false" ht="15" hidden="false" customHeight="true" outlineLevel="0" collapsed="false">
      <c r="A807" s="354"/>
      <c r="B807" s="354"/>
      <c r="C807" s="354"/>
      <c r="D807" s="354"/>
      <c r="E807" s="354"/>
      <c r="F807" s="354"/>
      <c r="G807" s="354"/>
      <c r="H807" s="354"/>
      <c r="I807" s="354"/>
      <c r="J807" s="354"/>
      <c r="K807" s="354"/>
      <c r="L807" s="354"/>
      <c r="M807" s="354"/>
      <c r="N807" s="354"/>
      <c r="O807" s="354"/>
      <c r="P807" s="354"/>
      <c r="Q807" s="354"/>
      <c r="R807" s="354"/>
      <c r="S807" s="354"/>
      <c r="T807" s="354"/>
      <c r="U807" s="354"/>
      <c r="V807" s="354"/>
      <c r="W807" s="354"/>
      <c r="X807" s="354"/>
      <c r="Y807" s="354"/>
      <c r="Z807" s="354"/>
    </row>
    <row r="808" customFormat="false" ht="15" hidden="false" customHeight="true" outlineLevel="0" collapsed="false">
      <c r="A808" s="354"/>
      <c r="B808" s="354"/>
      <c r="C808" s="354"/>
      <c r="D808" s="354"/>
      <c r="E808" s="354"/>
      <c r="F808" s="354"/>
      <c r="G808" s="354"/>
      <c r="H808" s="354"/>
      <c r="I808" s="354"/>
      <c r="J808" s="354"/>
      <c r="K808" s="354"/>
      <c r="L808" s="354"/>
      <c r="M808" s="354"/>
      <c r="N808" s="354"/>
      <c r="O808" s="354"/>
      <c r="P808" s="354"/>
      <c r="Q808" s="354"/>
      <c r="R808" s="354"/>
      <c r="S808" s="354"/>
      <c r="T808" s="354"/>
      <c r="U808" s="354"/>
      <c r="V808" s="354"/>
      <c r="W808" s="354"/>
      <c r="X808" s="354"/>
      <c r="Y808" s="354"/>
      <c r="Z808" s="354"/>
    </row>
    <row r="809" customFormat="false" ht="15" hidden="false" customHeight="true" outlineLevel="0" collapsed="false">
      <c r="A809" s="354"/>
      <c r="B809" s="354"/>
      <c r="C809" s="354"/>
      <c r="D809" s="354"/>
      <c r="E809" s="354"/>
      <c r="F809" s="354"/>
      <c r="G809" s="354"/>
      <c r="H809" s="354"/>
      <c r="I809" s="354"/>
      <c r="J809" s="354"/>
      <c r="K809" s="354"/>
      <c r="L809" s="354"/>
      <c r="M809" s="354"/>
      <c r="N809" s="354"/>
      <c r="O809" s="354"/>
      <c r="P809" s="354"/>
      <c r="Q809" s="354"/>
      <c r="R809" s="354"/>
      <c r="S809" s="354"/>
      <c r="T809" s="354"/>
      <c r="U809" s="354"/>
      <c r="V809" s="354"/>
      <c r="W809" s="354"/>
      <c r="X809" s="354"/>
      <c r="Y809" s="354"/>
      <c r="Z809" s="354"/>
    </row>
    <row r="810" customFormat="false" ht="15" hidden="false" customHeight="true" outlineLevel="0" collapsed="false">
      <c r="A810" s="354"/>
      <c r="B810" s="354"/>
      <c r="C810" s="354"/>
      <c r="D810" s="354"/>
      <c r="E810" s="354"/>
      <c r="F810" s="354"/>
      <c r="G810" s="354"/>
      <c r="H810" s="354"/>
      <c r="I810" s="354"/>
      <c r="J810" s="354"/>
      <c r="K810" s="354"/>
      <c r="L810" s="354"/>
      <c r="M810" s="354"/>
      <c r="N810" s="354"/>
      <c r="O810" s="354"/>
      <c r="P810" s="354"/>
      <c r="Q810" s="354"/>
      <c r="R810" s="354"/>
      <c r="S810" s="354"/>
      <c r="T810" s="354"/>
      <c r="U810" s="354"/>
      <c r="V810" s="354"/>
      <c r="W810" s="354"/>
      <c r="X810" s="354"/>
      <c r="Y810" s="354"/>
      <c r="Z810" s="354"/>
    </row>
    <row r="811" customFormat="false" ht="15" hidden="false" customHeight="true" outlineLevel="0" collapsed="false">
      <c r="A811" s="354"/>
      <c r="B811" s="354"/>
      <c r="C811" s="354"/>
      <c r="D811" s="354"/>
      <c r="E811" s="354"/>
      <c r="F811" s="354"/>
      <c r="G811" s="354"/>
      <c r="H811" s="354"/>
      <c r="I811" s="354"/>
      <c r="J811" s="354"/>
      <c r="K811" s="354"/>
      <c r="L811" s="354"/>
      <c r="M811" s="354"/>
      <c r="N811" s="354"/>
      <c r="O811" s="354"/>
      <c r="P811" s="354"/>
      <c r="Q811" s="354"/>
      <c r="R811" s="354"/>
      <c r="S811" s="354"/>
      <c r="T811" s="354"/>
      <c r="U811" s="354"/>
      <c r="V811" s="354"/>
      <c r="W811" s="354"/>
      <c r="X811" s="354"/>
      <c r="Y811" s="354"/>
      <c r="Z811" s="354"/>
    </row>
    <row r="812" customFormat="false" ht="15" hidden="false" customHeight="true" outlineLevel="0" collapsed="false">
      <c r="A812" s="354"/>
      <c r="B812" s="354"/>
      <c r="C812" s="354"/>
      <c r="D812" s="354"/>
      <c r="E812" s="354"/>
      <c r="F812" s="354"/>
      <c r="G812" s="354"/>
      <c r="H812" s="354"/>
      <c r="I812" s="354"/>
      <c r="J812" s="354"/>
      <c r="K812" s="354"/>
      <c r="L812" s="354"/>
      <c r="M812" s="354"/>
      <c r="N812" s="354"/>
      <c r="O812" s="354"/>
      <c r="P812" s="354"/>
      <c r="Q812" s="354"/>
      <c r="R812" s="354"/>
      <c r="S812" s="354"/>
      <c r="T812" s="354"/>
      <c r="U812" s="354"/>
      <c r="V812" s="354"/>
      <c r="W812" s="354"/>
      <c r="X812" s="354"/>
      <c r="Y812" s="354"/>
      <c r="Z812" s="354"/>
    </row>
    <row r="813" customFormat="false" ht="15" hidden="false" customHeight="true" outlineLevel="0" collapsed="false">
      <c r="A813" s="354"/>
      <c r="B813" s="354"/>
      <c r="C813" s="354"/>
      <c r="D813" s="354"/>
      <c r="E813" s="354"/>
      <c r="F813" s="354"/>
      <c r="G813" s="354"/>
      <c r="H813" s="354"/>
      <c r="I813" s="354"/>
      <c r="J813" s="354"/>
      <c r="K813" s="354"/>
      <c r="L813" s="354"/>
      <c r="M813" s="354"/>
      <c r="N813" s="354"/>
      <c r="O813" s="354"/>
      <c r="P813" s="354"/>
      <c r="Q813" s="354"/>
      <c r="R813" s="354"/>
      <c r="S813" s="354"/>
      <c r="T813" s="354"/>
      <c r="U813" s="354"/>
      <c r="V813" s="354"/>
      <c r="W813" s="354"/>
      <c r="X813" s="354"/>
      <c r="Y813" s="354"/>
      <c r="Z813" s="354"/>
    </row>
    <row r="814" customFormat="false" ht="15" hidden="false" customHeight="true" outlineLevel="0" collapsed="false">
      <c r="A814" s="354"/>
      <c r="B814" s="354"/>
      <c r="C814" s="354"/>
      <c r="D814" s="354"/>
      <c r="E814" s="354"/>
      <c r="F814" s="354"/>
      <c r="G814" s="354"/>
      <c r="H814" s="354"/>
      <c r="I814" s="354"/>
      <c r="J814" s="354"/>
      <c r="K814" s="354"/>
      <c r="L814" s="354"/>
      <c r="M814" s="354"/>
      <c r="N814" s="354"/>
      <c r="O814" s="354"/>
      <c r="P814" s="354"/>
      <c r="Q814" s="354"/>
      <c r="R814" s="354"/>
      <c r="S814" s="354"/>
      <c r="T814" s="354"/>
      <c r="U814" s="354"/>
      <c r="V814" s="354"/>
      <c r="W814" s="354"/>
      <c r="X814" s="354"/>
      <c r="Y814" s="354"/>
      <c r="Z814" s="354"/>
    </row>
    <row r="815" customFormat="false" ht="15" hidden="false" customHeight="true" outlineLevel="0" collapsed="false">
      <c r="A815" s="354"/>
      <c r="B815" s="354"/>
      <c r="C815" s="354"/>
      <c r="D815" s="354"/>
      <c r="E815" s="354"/>
      <c r="F815" s="354"/>
      <c r="G815" s="354"/>
      <c r="H815" s="354"/>
      <c r="I815" s="354"/>
      <c r="J815" s="354"/>
      <c r="K815" s="354"/>
      <c r="L815" s="354"/>
      <c r="M815" s="354"/>
      <c r="N815" s="354"/>
      <c r="O815" s="354"/>
      <c r="P815" s="354"/>
      <c r="Q815" s="354"/>
      <c r="R815" s="354"/>
      <c r="S815" s="354"/>
      <c r="T815" s="354"/>
      <c r="U815" s="354"/>
      <c r="V815" s="354"/>
      <c r="W815" s="354"/>
      <c r="X815" s="354"/>
      <c r="Y815" s="354"/>
      <c r="Z815" s="354"/>
    </row>
    <row r="816" customFormat="false" ht="15" hidden="false" customHeight="true" outlineLevel="0" collapsed="false">
      <c r="A816" s="354"/>
      <c r="B816" s="354"/>
      <c r="C816" s="354"/>
      <c r="D816" s="354"/>
      <c r="E816" s="354"/>
      <c r="F816" s="354"/>
      <c r="G816" s="354"/>
      <c r="H816" s="354"/>
      <c r="I816" s="354"/>
      <c r="J816" s="354"/>
      <c r="K816" s="354"/>
      <c r="L816" s="354"/>
      <c r="M816" s="354"/>
      <c r="N816" s="354"/>
      <c r="O816" s="354"/>
      <c r="P816" s="354"/>
      <c r="Q816" s="354"/>
      <c r="R816" s="354"/>
      <c r="S816" s="354"/>
      <c r="T816" s="354"/>
      <c r="U816" s="354"/>
      <c r="V816" s="354"/>
      <c r="W816" s="354"/>
      <c r="X816" s="354"/>
      <c r="Y816" s="354"/>
      <c r="Z816" s="354"/>
    </row>
    <row r="817" customFormat="false" ht="15" hidden="false" customHeight="true" outlineLevel="0" collapsed="false">
      <c r="A817" s="354"/>
      <c r="B817" s="354"/>
      <c r="C817" s="354"/>
      <c r="D817" s="354"/>
      <c r="E817" s="354"/>
      <c r="F817" s="354"/>
      <c r="G817" s="354"/>
      <c r="H817" s="354"/>
      <c r="I817" s="354"/>
      <c r="J817" s="354"/>
      <c r="K817" s="354"/>
      <c r="L817" s="354"/>
      <c r="M817" s="354"/>
      <c r="N817" s="354"/>
      <c r="O817" s="354"/>
      <c r="P817" s="354"/>
      <c r="Q817" s="354"/>
      <c r="R817" s="354"/>
      <c r="S817" s="354"/>
      <c r="T817" s="354"/>
      <c r="U817" s="354"/>
      <c r="V817" s="354"/>
      <c r="W817" s="354"/>
      <c r="X817" s="354"/>
      <c r="Y817" s="354"/>
      <c r="Z817" s="354"/>
    </row>
    <row r="818" customFormat="false" ht="15" hidden="false" customHeight="true" outlineLevel="0" collapsed="false">
      <c r="A818" s="354"/>
      <c r="B818" s="354"/>
      <c r="C818" s="354"/>
      <c r="D818" s="354"/>
      <c r="E818" s="354"/>
      <c r="F818" s="354"/>
      <c r="G818" s="354"/>
      <c r="H818" s="354"/>
      <c r="I818" s="354"/>
      <c r="J818" s="354"/>
      <c r="K818" s="354"/>
      <c r="L818" s="354"/>
      <c r="M818" s="354"/>
      <c r="N818" s="354"/>
      <c r="O818" s="354"/>
      <c r="P818" s="354"/>
      <c r="Q818" s="354"/>
      <c r="R818" s="354"/>
      <c r="S818" s="354"/>
      <c r="T818" s="354"/>
      <c r="U818" s="354"/>
      <c r="V818" s="354"/>
      <c r="W818" s="354"/>
      <c r="X818" s="354"/>
      <c r="Y818" s="354"/>
      <c r="Z818" s="354"/>
    </row>
    <row r="819" customFormat="false" ht="15" hidden="false" customHeight="true" outlineLevel="0" collapsed="false">
      <c r="A819" s="354"/>
      <c r="B819" s="354"/>
      <c r="C819" s="354"/>
      <c r="D819" s="354"/>
      <c r="E819" s="354"/>
      <c r="F819" s="354"/>
      <c r="G819" s="354"/>
      <c r="H819" s="354"/>
      <c r="I819" s="354"/>
      <c r="J819" s="354"/>
      <c r="K819" s="354"/>
      <c r="L819" s="354"/>
      <c r="M819" s="354"/>
      <c r="N819" s="354"/>
      <c r="O819" s="354"/>
      <c r="P819" s="354"/>
      <c r="Q819" s="354"/>
      <c r="R819" s="354"/>
      <c r="S819" s="354"/>
      <c r="T819" s="354"/>
      <c r="U819" s="354"/>
      <c r="V819" s="354"/>
      <c r="W819" s="354"/>
      <c r="X819" s="354"/>
      <c r="Y819" s="354"/>
      <c r="Z819" s="354"/>
    </row>
    <row r="820" customFormat="false" ht="15" hidden="false" customHeight="true" outlineLevel="0" collapsed="false">
      <c r="A820" s="354"/>
      <c r="B820" s="354"/>
      <c r="C820" s="354"/>
      <c r="D820" s="354"/>
      <c r="E820" s="354"/>
      <c r="F820" s="354"/>
      <c r="G820" s="354"/>
      <c r="H820" s="354"/>
      <c r="I820" s="354"/>
      <c r="J820" s="354"/>
      <c r="K820" s="354"/>
      <c r="L820" s="354"/>
      <c r="M820" s="354"/>
      <c r="N820" s="354"/>
      <c r="O820" s="354"/>
      <c r="P820" s="354"/>
      <c r="Q820" s="354"/>
      <c r="R820" s="354"/>
      <c r="S820" s="354"/>
      <c r="T820" s="354"/>
      <c r="U820" s="354"/>
      <c r="V820" s="354"/>
      <c r="W820" s="354"/>
      <c r="X820" s="354"/>
      <c r="Y820" s="354"/>
      <c r="Z820" s="354"/>
    </row>
    <row r="821" customFormat="false" ht="15" hidden="false" customHeight="true" outlineLevel="0" collapsed="false">
      <c r="A821" s="354"/>
      <c r="B821" s="354"/>
      <c r="C821" s="354"/>
      <c r="D821" s="354"/>
      <c r="E821" s="354"/>
      <c r="F821" s="354"/>
      <c r="G821" s="354"/>
      <c r="H821" s="354"/>
      <c r="I821" s="354"/>
      <c r="J821" s="354"/>
      <c r="K821" s="354"/>
      <c r="L821" s="354"/>
      <c r="M821" s="354"/>
      <c r="N821" s="354"/>
      <c r="O821" s="354"/>
      <c r="P821" s="354"/>
      <c r="Q821" s="354"/>
      <c r="R821" s="354"/>
      <c r="S821" s="354"/>
      <c r="T821" s="354"/>
      <c r="U821" s="354"/>
      <c r="V821" s="354"/>
      <c r="W821" s="354"/>
      <c r="X821" s="354"/>
      <c r="Y821" s="354"/>
      <c r="Z821" s="354"/>
    </row>
    <row r="822" customFormat="false" ht="15" hidden="false" customHeight="true" outlineLevel="0" collapsed="false">
      <c r="A822" s="354"/>
      <c r="B822" s="354"/>
      <c r="C822" s="354"/>
      <c r="D822" s="354"/>
      <c r="E822" s="354"/>
      <c r="F822" s="354"/>
      <c r="G822" s="354"/>
      <c r="H822" s="354"/>
      <c r="I822" s="354"/>
      <c r="J822" s="354"/>
      <c r="K822" s="354"/>
      <c r="L822" s="354"/>
      <c r="M822" s="354"/>
      <c r="N822" s="354"/>
      <c r="O822" s="354"/>
      <c r="P822" s="354"/>
      <c r="Q822" s="354"/>
      <c r="R822" s="354"/>
      <c r="S822" s="354"/>
      <c r="T822" s="354"/>
      <c r="U822" s="354"/>
      <c r="V822" s="354"/>
      <c r="W822" s="354"/>
      <c r="X822" s="354"/>
      <c r="Y822" s="354"/>
      <c r="Z822" s="354"/>
    </row>
    <row r="823" customFormat="false" ht="15" hidden="false" customHeight="true" outlineLevel="0" collapsed="false">
      <c r="A823" s="354"/>
      <c r="B823" s="354"/>
      <c r="C823" s="354"/>
      <c r="D823" s="354"/>
      <c r="E823" s="354"/>
      <c r="F823" s="354"/>
      <c r="G823" s="354"/>
      <c r="H823" s="354"/>
      <c r="I823" s="354"/>
      <c r="J823" s="354"/>
      <c r="K823" s="354"/>
      <c r="L823" s="354"/>
      <c r="M823" s="354"/>
      <c r="N823" s="354"/>
      <c r="O823" s="354"/>
      <c r="P823" s="354"/>
      <c r="Q823" s="354"/>
      <c r="R823" s="354"/>
      <c r="S823" s="354"/>
      <c r="T823" s="354"/>
      <c r="U823" s="354"/>
      <c r="V823" s="354"/>
      <c r="W823" s="354"/>
      <c r="X823" s="354"/>
      <c r="Y823" s="354"/>
      <c r="Z823" s="354"/>
    </row>
    <row r="824" customFormat="false" ht="15" hidden="false" customHeight="true" outlineLevel="0" collapsed="false">
      <c r="A824" s="354"/>
      <c r="B824" s="354"/>
      <c r="C824" s="354"/>
      <c r="D824" s="354"/>
      <c r="E824" s="354"/>
      <c r="F824" s="354"/>
      <c r="G824" s="354"/>
      <c r="H824" s="354"/>
      <c r="I824" s="354"/>
      <c r="J824" s="354"/>
      <c r="K824" s="354"/>
      <c r="L824" s="354"/>
      <c r="M824" s="354"/>
      <c r="N824" s="354"/>
      <c r="O824" s="354"/>
      <c r="P824" s="354"/>
      <c r="Q824" s="354"/>
      <c r="R824" s="354"/>
      <c r="S824" s="354"/>
      <c r="T824" s="354"/>
      <c r="U824" s="354"/>
      <c r="V824" s="354"/>
      <c r="W824" s="354"/>
      <c r="X824" s="354"/>
      <c r="Y824" s="354"/>
      <c r="Z824" s="354"/>
    </row>
    <row r="825" customFormat="false" ht="15" hidden="false" customHeight="true" outlineLevel="0" collapsed="false">
      <c r="A825" s="354"/>
      <c r="B825" s="354"/>
      <c r="C825" s="354"/>
      <c r="D825" s="354"/>
      <c r="E825" s="354"/>
      <c r="F825" s="354"/>
      <c r="G825" s="354"/>
      <c r="H825" s="354"/>
      <c r="I825" s="354"/>
      <c r="J825" s="354"/>
      <c r="K825" s="354"/>
      <c r="L825" s="354"/>
      <c r="M825" s="354"/>
      <c r="N825" s="354"/>
      <c r="O825" s="354"/>
      <c r="P825" s="354"/>
      <c r="Q825" s="354"/>
      <c r="R825" s="354"/>
      <c r="S825" s="354"/>
      <c r="T825" s="354"/>
      <c r="U825" s="354"/>
      <c r="V825" s="354"/>
      <c r="W825" s="354"/>
      <c r="X825" s="354"/>
      <c r="Y825" s="354"/>
      <c r="Z825" s="354"/>
    </row>
    <row r="826" customFormat="false" ht="15" hidden="false" customHeight="true" outlineLevel="0" collapsed="false">
      <c r="A826" s="354"/>
      <c r="B826" s="354"/>
      <c r="C826" s="354"/>
      <c r="D826" s="354"/>
      <c r="E826" s="354"/>
      <c r="F826" s="354"/>
      <c r="G826" s="354"/>
      <c r="H826" s="354"/>
      <c r="I826" s="354"/>
      <c r="J826" s="354"/>
      <c r="K826" s="354"/>
      <c r="L826" s="354"/>
      <c r="M826" s="354"/>
      <c r="N826" s="354"/>
      <c r="O826" s="354"/>
      <c r="P826" s="354"/>
      <c r="Q826" s="354"/>
      <c r="R826" s="354"/>
      <c r="S826" s="354"/>
      <c r="T826" s="354"/>
      <c r="U826" s="354"/>
      <c r="V826" s="354"/>
      <c r="W826" s="354"/>
      <c r="X826" s="354"/>
      <c r="Y826" s="354"/>
      <c r="Z826" s="354"/>
    </row>
    <row r="827" customFormat="false" ht="15" hidden="false" customHeight="true" outlineLevel="0" collapsed="false">
      <c r="A827" s="354"/>
      <c r="B827" s="354"/>
      <c r="C827" s="354"/>
      <c r="D827" s="354"/>
      <c r="E827" s="354"/>
      <c r="F827" s="354"/>
      <c r="G827" s="354"/>
      <c r="H827" s="354"/>
      <c r="I827" s="354"/>
      <c r="J827" s="354"/>
      <c r="K827" s="354"/>
      <c r="L827" s="354"/>
      <c r="M827" s="354"/>
      <c r="N827" s="354"/>
      <c r="O827" s="354"/>
      <c r="P827" s="354"/>
      <c r="Q827" s="354"/>
      <c r="R827" s="354"/>
      <c r="S827" s="354"/>
      <c r="T827" s="354"/>
      <c r="U827" s="354"/>
      <c r="V827" s="354"/>
      <c r="W827" s="354"/>
      <c r="X827" s="354"/>
      <c r="Y827" s="354"/>
      <c r="Z827" s="354"/>
    </row>
    <row r="828" customFormat="false" ht="15" hidden="false" customHeight="true" outlineLevel="0" collapsed="false">
      <c r="A828" s="354"/>
      <c r="B828" s="354"/>
      <c r="C828" s="354"/>
      <c r="D828" s="354"/>
      <c r="E828" s="354"/>
      <c r="F828" s="354"/>
      <c r="G828" s="354"/>
      <c r="H828" s="354"/>
      <c r="I828" s="354"/>
      <c r="J828" s="354"/>
      <c r="K828" s="354"/>
      <c r="L828" s="354"/>
      <c r="M828" s="354"/>
      <c r="N828" s="354"/>
      <c r="O828" s="354"/>
      <c r="P828" s="354"/>
      <c r="Q828" s="354"/>
      <c r="R828" s="354"/>
      <c r="S828" s="354"/>
      <c r="T828" s="354"/>
      <c r="U828" s="354"/>
      <c r="V828" s="354"/>
      <c r="W828" s="354"/>
      <c r="X828" s="354"/>
      <c r="Y828" s="354"/>
      <c r="Z828" s="354"/>
    </row>
    <row r="829" customFormat="false" ht="15" hidden="false" customHeight="true" outlineLevel="0" collapsed="false">
      <c r="A829" s="354"/>
      <c r="B829" s="354"/>
      <c r="C829" s="354"/>
      <c r="D829" s="354"/>
      <c r="E829" s="354"/>
      <c r="F829" s="354"/>
      <c r="G829" s="354"/>
      <c r="H829" s="354"/>
      <c r="I829" s="354"/>
      <c r="J829" s="354"/>
      <c r="K829" s="354"/>
      <c r="L829" s="354"/>
      <c r="M829" s="354"/>
      <c r="N829" s="354"/>
      <c r="O829" s="354"/>
      <c r="P829" s="354"/>
      <c r="Q829" s="354"/>
      <c r="R829" s="354"/>
      <c r="S829" s="354"/>
      <c r="T829" s="354"/>
      <c r="U829" s="354"/>
      <c r="V829" s="354"/>
      <c r="W829" s="354"/>
      <c r="X829" s="354"/>
      <c r="Y829" s="354"/>
      <c r="Z829" s="354"/>
    </row>
    <row r="830" customFormat="false" ht="15" hidden="false" customHeight="true" outlineLevel="0" collapsed="false">
      <c r="A830" s="354"/>
      <c r="B830" s="354"/>
      <c r="C830" s="354"/>
      <c r="D830" s="354"/>
      <c r="E830" s="354"/>
      <c r="F830" s="354"/>
      <c r="G830" s="354"/>
      <c r="H830" s="354"/>
      <c r="I830" s="354"/>
      <c r="J830" s="354"/>
      <c r="K830" s="354"/>
      <c r="L830" s="354"/>
      <c r="M830" s="354"/>
      <c r="N830" s="354"/>
      <c r="O830" s="354"/>
      <c r="P830" s="354"/>
      <c r="Q830" s="354"/>
      <c r="R830" s="354"/>
      <c r="S830" s="354"/>
      <c r="T830" s="354"/>
      <c r="U830" s="354"/>
      <c r="V830" s="354"/>
      <c r="W830" s="354"/>
      <c r="X830" s="354"/>
      <c r="Y830" s="354"/>
      <c r="Z830" s="354"/>
    </row>
    <row r="831" customFormat="false" ht="15" hidden="false" customHeight="true" outlineLevel="0" collapsed="false">
      <c r="A831" s="354"/>
      <c r="B831" s="354"/>
      <c r="C831" s="354"/>
      <c r="D831" s="354"/>
      <c r="E831" s="354"/>
      <c r="F831" s="354"/>
      <c r="G831" s="354"/>
      <c r="H831" s="354"/>
      <c r="I831" s="354"/>
      <c r="J831" s="354"/>
      <c r="K831" s="354"/>
      <c r="L831" s="354"/>
      <c r="M831" s="354"/>
      <c r="N831" s="354"/>
      <c r="O831" s="354"/>
      <c r="P831" s="354"/>
      <c r="Q831" s="354"/>
      <c r="R831" s="354"/>
      <c r="S831" s="354"/>
      <c r="T831" s="354"/>
      <c r="U831" s="354"/>
      <c r="V831" s="354"/>
      <c r="W831" s="354"/>
      <c r="X831" s="354"/>
      <c r="Y831" s="354"/>
      <c r="Z831" s="354"/>
    </row>
    <row r="832" customFormat="false" ht="15" hidden="false" customHeight="true" outlineLevel="0" collapsed="false">
      <c r="A832" s="354"/>
      <c r="B832" s="354"/>
      <c r="C832" s="354"/>
      <c r="D832" s="354"/>
      <c r="E832" s="354"/>
      <c r="F832" s="354"/>
      <c r="G832" s="354"/>
      <c r="H832" s="354"/>
      <c r="I832" s="354"/>
      <c r="J832" s="354"/>
      <c r="K832" s="354"/>
      <c r="L832" s="354"/>
      <c r="M832" s="354"/>
      <c r="N832" s="354"/>
      <c r="O832" s="354"/>
      <c r="P832" s="354"/>
      <c r="Q832" s="354"/>
      <c r="R832" s="354"/>
      <c r="S832" s="354"/>
      <c r="T832" s="354"/>
      <c r="U832" s="354"/>
      <c r="V832" s="354"/>
      <c r="W832" s="354"/>
      <c r="X832" s="354"/>
      <c r="Y832" s="354"/>
      <c r="Z832" s="354"/>
    </row>
    <row r="833" customFormat="false" ht="15" hidden="false" customHeight="true" outlineLevel="0" collapsed="false">
      <c r="A833" s="354"/>
      <c r="B833" s="354"/>
      <c r="C833" s="354"/>
      <c r="D833" s="354"/>
      <c r="E833" s="354"/>
      <c r="F833" s="354"/>
      <c r="G833" s="354"/>
      <c r="H833" s="354"/>
      <c r="I833" s="354"/>
      <c r="J833" s="354"/>
      <c r="K833" s="354"/>
      <c r="L833" s="354"/>
      <c r="M833" s="354"/>
      <c r="N833" s="354"/>
      <c r="O833" s="354"/>
      <c r="P833" s="354"/>
      <c r="Q833" s="354"/>
      <c r="R833" s="354"/>
      <c r="S833" s="354"/>
      <c r="T833" s="354"/>
      <c r="U833" s="354"/>
      <c r="V833" s="354"/>
      <c r="W833" s="354"/>
      <c r="X833" s="354"/>
      <c r="Y833" s="354"/>
      <c r="Z833" s="354"/>
    </row>
    <row r="834" customFormat="false" ht="15" hidden="false" customHeight="true" outlineLevel="0" collapsed="false">
      <c r="A834" s="354"/>
      <c r="B834" s="354"/>
      <c r="C834" s="354"/>
      <c r="D834" s="354"/>
      <c r="E834" s="354"/>
      <c r="F834" s="354"/>
      <c r="G834" s="354"/>
      <c r="H834" s="354"/>
      <c r="I834" s="354"/>
      <c r="J834" s="354"/>
      <c r="K834" s="354"/>
      <c r="L834" s="354"/>
      <c r="M834" s="354"/>
      <c r="N834" s="354"/>
      <c r="O834" s="354"/>
      <c r="P834" s="354"/>
      <c r="Q834" s="354"/>
      <c r="R834" s="354"/>
      <c r="S834" s="354"/>
      <c r="T834" s="354"/>
      <c r="U834" s="354"/>
      <c r="V834" s="354"/>
      <c r="W834" s="354"/>
      <c r="X834" s="354"/>
      <c r="Y834" s="354"/>
      <c r="Z834" s="354"/>
    </row>
    <row r="835" customFormat="false" ht="15" hidden="false" customHeight="true" outlineLevel="0" collapsed="false">
      <c r="A835" s="354"/>
      <c r="B835" s="354"/>
      <c r="C835" s="354"/>
      <c r="D835" s="354"/>
      <c r="E835" s="354"/>
      <c r="F835" s="354"/>
      <c r="G835" s="354"/>
      <c r="H835" s="354"/>
      <c r="I835" s="354"/>
      <c r="J835" s="354"/>
      <c r="K835" s="354"/>
      <c r="L835" s="354"/>
      <c r="M835" s="354"/>
      <c r="N835" s="354"/>
      <c r="O835" s="354"/>
      <c r="P835" s="354"/>
      <c r="Q835" s="354"/>
      <c r="R835" s="354"/>
      <c r="S835" s="354"/>
      <c r="T835" s="354"/>
      <c r="U835" s="354"/>
      <c r="V835" s="354"/>
      <c r="W835" s="354"/>
      <c r="X835" s="354"/>
      <c r="Y835" s="354"/>
      <c r="Z835" s="354"/>
    </row>
    <row r="836" customFormat="false" ht="15" hidden="false" customHeight="true" outlineLevel="0" collapsed="false">
      <c r="A836" s="354"/>
      <c r="B836" s="354"/>
      <c r="C836" s="354"/>
      <c r="D836" s="354"/>
      <c r="E836" s="354"/>
      <c r="F836" s="354"/>
      <c r="G836" s="354"/>
      <c r="H836" s="354"/>
      <c r="I836" s="354"/>
      <c r="J836" s="354"/>
      <c r="K836" s="354"/>
      <c r="L836" s="354"/>
      <c r="M836" s="354"/>
      <c r="N836" s="354"/>
      <c r="O836" s="354"/>
      <c r="P836" s="354"/>
      <c r="Q836" s="354"/>
      <c r="R836" s="354"/>
      <c r="S836" s="354"/>
      <c r="T836" s="354"/>
      <c r="U836" s="354"/>
      <c r="V836" s="354"/>
      <c r="W836" s="354"/>
      <c r="X836" s="354"/>
      <c r="Y836" s="354"/>
      <c r="Z836" s="354"/>
    </row>
    <row r="837" customFormat="false" ht="15" hidden="false" customHeight="true" outlineLevel="0" collapsed="false">
      <c r="A837" s="354"/>
      <c r="B837" s="354"/>
      <c r="C837" s="354"/>
      <c r="D837" s="354"/>
      <c r="E837" s="354"/>
      <c r="F837" s="354"/>
      <c r="G837" s="354"/>
      <c r="H837" s="354"/>
      <c r="I837" s="354"/>
      <c r="J837" s="354"/>
      <c r="K837" s="354"/>
      <c r="L837" s="354"/>
      <c r="M837" s="354"/>
      <c r="N837" s="354"/>
      <c r="O837" s="354"/>
      <c r="P837" s="354"/>
      <c r="Q837" s="354"/>
      <c r="R837" s="354"/>
      <c r="S837" s="354"/>
      <c r="T837" s="354"/>
      <c r="U837" s="354"/>
      <c r="V837" s="354"/>
      <c r="W837" s="354"/>
      <c r="X837" s="354"/>
      <c r="Y837" s="354"/>
      <c r="Z837" s="354"/>
    </row>
    <row r="838" customFormat="false" ht="15" hidden="false" customHeight="true" outlineLevel="0" collapsed="false">
      <c r="A838" s="354"/>
      <c r="B838" s="354"/>
      <c r="C838" s="354"/>
      <c r="D838" s="354"/>
      <c r="E838" s="354"/>
      <c r="F838" s="354"/>
      <c r="G838" s="354"/>
      <c r="H838" s="354"/>
      <c r="I838" s="354"/>
      <c r="J838" s="354"/>
      <c r="K838" s="354"/>
      <c r="L838" s="354"/>
      <c r="M838" s="354"/>
      <c r="N838" s="354"/>
      <c r="O838" s="354"/>
      <c r="P838" s="354"/>
      <c r="Q838" s="354"/>
      <c r="R838" s="354"/>
      <c r="S838" s="354"/>
      <c r="T838" s="354"/>
      <c r="U838" s="354"/>
      <c r="V838" s="354"/>
      <c r="W838" s="354"/>
      <c r="X838" s="354"/>
      <c r="Y838" s="354"/>
      <c r="Z838" s="354"/>
    </row>
    <row r="839" customFormat="false" ht="15" hidden="false" customHeight="true" outlineLevel="0" collapsed="false">
      <c r="A839" s="354"/>
      <c r="B839" s="354"/>
      <c r="C839" s="354"/>
      <c r="D839" s="354"/>
      <c r="E839" s="354"/>
      <c r="F839" s="354"/>
      <c r="G839" s="354"/>
      <c r="H839" s="354"/>
      <c r="I839" s="354"/>
      <c r="J839" s="354"/>
      <c r="K839" s="354"/>
      <c r="L839" s="354"/>
      <c r="M839" s="354"/>
      <c r="N839" s="354"/>
      <c r="O839" s="354"/>
      <c r="P839" s="354"/>
      <c r="Q839" s="354"/>
      <c r="R839" s="354"/>
      <c r="S839" s="354"/>
      <c r="T839" s="354"/>
      <c r="U839" s="354"/>
      <c r="V839" s="354"/>
      <c r="W839" s="354"/>
      <c r="X839" s="354"/>
      <c r="Y839" s="354"/>
      <c r="Z839" s="354"/>
    </row>
    <row r="840" customFormat="false" ht="15" hidden="false" customHeight="true" outlineLevel="0" collapsed="false">
      <c r="A840" s="354"/>
      <c r="B840" s="354"/>
      <c r="C840" s="354"/>
      <c r="D840" s="354"/>
      <c r="E840" s="354"/>
      <c r="F840" s="354"/>
      <c r="G840" s="354"/>
      <c r="H840" s="354"/>
      <c r="I840" s="354"/>
      <c r="J840" s="354"/>
      <c r="K840" s="354"/>
      <c r="L840" s="354"/>
      <c r="M840" s="354"/>
      <c r="N840" s="354"/>
      <c r="O840" s="354"/>
      <c r="P840" s="354"/>
      <c r="Q840" s="354"/>
      <c r="R840" s="354"/>
      <c r="S840" s="354"/>
      <c r="T840" s="354"/>
      <c r="U840" s="354"/>
      <c r="V840" s="354"/>
      <c r="W840" s="354"/>
      <c r="X840" s="354"/>
      <c r="Y840" s="354"/>
      <c r="Z840" s="354"/>
    </row>
    <row r="841" customFormat="false" ht="15" hidden="false" customHeight="true" outlineLevel="0" collapsed="false">
      <c r="A841" s="354"/>
      <c r="B841" s="354"/>
      <c r="C841" s="354"/>
      <c r="D841" s="354"/>
      <c r="E841" s="354"/>
      <c r="F841" s="354"/>
      <c r="G841" s="354"/>
      <c r="H841" s="354"/>
      <c r="I841" s="354"/>
      <c r="J841" s="354"/>
      <c r="K841" s="354"/>
      <c r="L841" s="354"/>
      <c r="M841" s="354"/>
      <c r="N841" s="354"/>
      <c r="O841" s="354"/>
      <c r="P841" s="354"/>
      <c r="Q841" s="354"/>
      <c r="R841" s="354"/>
      <c r="S841" s="354"/>
      <c r="T841" s="354"/>
      <c r="U841" s="354"/>
      <c r="V841" s="354"/>
      <c r="W841" s="354"/>
      <c r="X841" s="354"/>
      <c r="Y841" s="354"/>
      <c r="Z841" s="354"/>
    </row>
    <row r="842" customFormat="false" ht="15" hidden="false" customHeight="true" outlineLevel="0" collapsed="false">
      <c r="A842" s="354"/>
      <c r="B842" s="354"/>
      <c r="C842" s="354"/>
      <c r="D842" s="354"/>
      <c r="E842" s="354"/>
      <c r="F842" s="354"/>
      <c r="G842" s="354"/>
      <c r="H842" s="354"/>
      <c r="I842" s="354"/>
      <c r="J842" s="354"/>
      <c r="K842" s="354"/>
      <c r="L842" s="354"/>
      <c r="M842" s="354"/>
      <c r="N842" s="354"/>
      <c r="O842" s="354"/>
      <c r="P842" s="354"/>
      <c r="Q842" s="354"/>
      <c r="R842" s="354"/>
      <c r="S842" s="354"/>
      <c r="T842" s="354"/>
      <c r="U842" s="354"/>
      <c r="V842" s="354"/>
      <c r="W842" s="354"/>
      <c r="X842" s="354"/>
      <c r="Y842" s="354"/>
      <c r="Z842" s="354"/>
    </row>
    <row r="843" customFormat="false" ht="15" hidden="false" customHeight="true" outlineLevel="0" collapsed="false">
      <c r="A843" s="354"/>
      <c r="B843" s="354"/>
      <c r="C843" s="354"/>
      <c r="D843" s="354"/>
      <c r="E843" s="354"/>
      <c r="F843" s="354"/>
      <c r="G843" s="354"/>
      <c r="H843" s="354"/>
      <c r="I843" s="354"/>
      <c r="J843" s="354"/>
      <c r="K843" s="354"/>
      <c r="L843" s="354"/>
      <c r="M843" s="354"/>
      <c r="N843" s="354"/>
      <c r="O843" s="354"/>
      <c r="P843" s="354"/>
      <c r="Q843" s="354"/>
      <c r="R843" s="354"/>
      <c r="S843" s="354"/>
      <c r="T843" s="354"/>
      <c r="U843" s="354"/>
      <c r="V843" s="354"/>
      <c r="W843" s="354"/>
      <c r="X843" s="354"/>
      <c r="Y843" s="354"/>
      <c r="Z843" s="354"/>
    </row>
    <row r="844" customFormat="false" ht="15" hidden="false" customHeight="true" outlineLevel="0" collapsed="false">
      <c r="A844" s="354"/>
      <c r="B844" s="354"/>
      <c r="C844" s="354"/>
      <c r="D844" s="354"/>
      <c r="E844" s="354"/>
      <c r="F844" s="354"/>
      <c r="G844" s="354"/>
      <c r="H844" s="354"/>
      <c r="I844" s="354"/>
      <c r="J844" s="354"/>
      <c r="K844" s="354"/>
      <c r="L844" s="354"/>
      <c r="M844" s="354"/>
      <c r="N844" s="354"/>
      <c r="O844" s="354"/>
      <c r="P844" s="354"/>
      <c r="Q844" s="354"/>
      <c r="R844" s="354"/>
      <c r="S844" s="354"/>
      <c r="T844" s="354"/>
      <c r="U844" s="354"/>
      <c r="V844" s="354"/>
      <c r="W844" s="354"/>
      <c r="X844" s="354"/>
      <c r="Y844" s="354"/>
      <c r="Z844" s="354"/>
    </row>
    <row r="845" customFormat="false" ht="15" hidden="false" customHeight="true" outlineLevel="0" collapsed="false">
      <c r="A845" s="354"/>
      <c r="B845" s="354"/>
      <c r="C845" s="354"/>
      <c r="D845" s="354"/>
      <c r="E845" s="354"/>
      <c r="F845" s="354"/>
      <c r="G845" s="354"/>
      <c r="H845" s="354"/>
      <c r="I845" s="354"/>
      <c r="J845" s="354"/>
      <c r="K845" s="354"/>
      <c r="L845" s="354"/>
      <c r="M845" s="354"/>
      <c r="N845" s="354"/>
      <c r="O845" s="354"/>
      <c r="P845" s="354"/>
      <c r="Q845" s="354"/>
      <c r="R845" s="354"/>
      <c r="S845" s="354"/>
      <c r="T845" s="354"/>
      <c r="U845" s="354"/>
      <c r="V845" s="354"/>
      <c r="W845" s="354"/>
      <c r="X845" s="354"/>
      <c r="Y845" s="354"/>
      <c r="Z845" s="354"/>
    </row>
    <row r="846" customFormat="false" ht="15" hidden="false" customHeight="true" outlineLevel="0" collapsed="false">
      <c r="A846" s="354"/>
      <c r="B846" s="354"/>
      <c r="C846" s="354"/>
      <c r="D846" s="354"/>
      <c r="E846" s="354"/>
      <c r="F846" s="354"/>
      <c r="G846" s="354"/>
      <c r="H846" s="354"/>
      <c r="I846" s="354"/>
      <c r="J846" s="354"/>
      <c r="K846" s="354"/>
      <c r="L846" s="354"/>
      <c r="M846" s="354"/>
      <c r="N846" s="354"/>
      <c r="O846" s="354"/>
      <c r="P846" s="354"/>
      <c r="Q846" s="354"/>
      <c r="R846" s="354"/>
      <c r="S846" s="354"/>
      <c r="T846" s="354"/>
      <c r="U846" s="354"/>
      <c r="V846" s="354"/>
      <c r="W846" s="354"/>
      <c r="X846" s="354"/>
      <c r="Y846" s="354"/>
      <c r="Z846" s="354"/>
    </row>
    <row r="847" customFormat="false" ht="15" hidden="false" customHeight="true" outlineLevel="0" collapsed="false">
      <c r="A847" s="354"/>
      <c r="B847" s="354"/>
      <c r="C847" s="354"/>
      <c r="D847" s="354"/>
      <c r="E847" s="354"/>
      <c r="F847" s="354"/>
      <c r="G847" s="354"/>
      <c r="H847" s="354"/>
      <c r="I847" s="354"/>
      <c r="J847" s="354"/>
      <c r="K847" s="354"/>
      <c r="L847" s="354"/>
      <c r="M847" s="354"/>
      <c r="N847" s="354"/>
      <c r="O847" s="354"/>
      <c r="P847" s="354"/>
      <c r="Q847" s="354"/>
      <c r="R847" s="354"/>
      <c r="S847" s="354"/>
      <c r="T847" s="354"/>
      <c r="U847" s="354"/>
      <c r="V847" s="354"/>
      <c r="W847" s="354"/>
      <c r="X847" s="354"/>
      <c r="Y847" s="354"/>
      <c r="Z847" s="354"/>
    </row>
    <row r="848" customFormat="false" ht="15" hidden="false" customHeight="true" outlineLevel="0" collapsed="false">
      <c r="A848" s="354"/>
      <c r="B848" s="354"/>
      <c r="C848" s="354"/>
      <c r="D848" s="354"/>
      <c r="E848" s="354"/>
      <c r="F848" s="354"/>
      <c r="G848" s="354"/>
      <c r="H848" s="354"/>
      <c r="I848" s="354"/>
      <c r="J848" s="354"/>
      <c r="K848" s="354"/>
      <c r="L848" s="354"/>
      <c r="M848" s="354"/>
      <c r="N848" s="354"/>
      <c r="O848" s="354"/>
      <c r="P848" s="354"/>
      <c r="Q848" s="354"/>
      <c r="R848" s="354"/>
      <c r="S848" s="354"/>
      <c r="T848" s="354"/>
      <c r="U848" s="354"/>
      <c r="V848" s="354"/>
      <c r="W848" s="354"/>
      <c r="X848" s="354"/>
      <c r="Y848" s="354"/>
      <c r="Z848" s="354"/>
    </row>
    <row r="849" customFormat="false" ht="15" hidden="false" customHeight="true" outlineLevel="0" collapsed="false">
      <c r="A849" s="354"/>
      <c r="B849" s="354"/>
      <c r="C849" s="354"/>
      <c r="D849" s="354"/>
      <c r="E849" s="354"/>
      <c r="F849" s="354"/>
      <c r="G849" s="354"/>
      <c r="H849" s="354"/>
      <c r="I849" s="354"/>
      <c r="J849" s="354"/>
      <c r="K849" s="354"/>
      <c r="L849" s="354"/>
      <c r="M849" s="354"/>
      <c r="N849" s="354"/>
      <c r="O849" s="354"/>
      <c r="P849" s="354"/>
      <c r="Q849" s="354"/>
      <c r="R849" s="354"/>
      <c r="S849" s="354"/>
      <c r="T849" s="354"/>
      <c r="U849" s="354"/>
      <c r="V849" s="354"/>
      <c r="W849" s="354"/>
      <c r="X849" s="354"/>
      <c r="Y849" s="354"/>
      <c r="Z849" s="354"/>
    </row>
    <row r="850" customFormat="false" ht="15" hidden="false" customHeight="true" outlineLevel="0" collapsed="false">
      <c r="A850" s="354"/>
      <c r="B850" s="354"/>
      <c r="C850" s="354"/>
      <c r="D850" s="354"/>
      <c r="E850" s="354"/>
      <c r="F850" s="354"/>
      <c r="G850" s="354"/>
      <c r="H850" s="354"/>
      <c r="I850" s="354"/>
      <c r="J850" s="354"/>
      <c r="K850" s="354"/>
      <c r="L850" s="354"/>
      <c r="M850" s="354"/>
      <c r="N850" s="354"/>
      <c r="O850" s="354"/>
      <c r="P850" s="354"/>
      <c r="Q850" s="354"/>
      <c r="R850" s="354"/>
      <c r="S850" s="354"/>
      <c r="T850" s="354"/>
      <c r="U850" s="354"/>
      <c r="V850" s="354"/>
      <c r="W850" s="354"/>
      <c r="X850" s="354"/>
      <c r="Y850" s="354"/>
      <c r="Z850" s="354"/>
    </row>
    <row r="851" customFormat="false" ht="15" hidden="false" customHeight="true" outlineLevel="0" collapsed="false">
      <c r="A851" s="354"/>
      <c r="B851" s="354"/>
      <c r="C851" s="354"/>
      <c r="D851" s="354"/>
      <c r="E851" s="354"/>
      <c r="F851" s="354"/>
      <c r="G851" s="354"/>
      <c r="H851" s="354"/>
      <c r="I851" s="354"/>
      <c r="J851" s="354"/>
      <c r="K851" s="354"/>
      <c r="L851" s="354"/>
      <c r="M851" s="354"/>
      <c r="N851" s="354"/>
      <c r="O851" s="354"/>
      <c r="P851" s="354"/>
      <c r="Q851" s="354"/>
      <c r="R851" s="354"/>
      <c r="S851" s="354"/>
      <c r="T851" s="354"/>
      <c r="U851" s="354"/>
      <c r="V851" s="354"/>
      <c r="W851" s="354"/>
      <c r="X851" s="354"/>
      <c r="Y851" s="354"/>
      <c r="Z851" s="354"/>
    </row>
    <row r="852" customFormat="false" ht="15" hidden="false" customHeight="true" outlineLevel="0" collapsed="false">
      <c r="A852" s="354"/>
      <c r="B852" s="354"/>
      <c r="C852" s="354"/>
      <c r="D852" s="354"/>
      <c r="E852" s="354"/>
      <c r="F852" s="354"/>
      <c r="G852" s="354"/>
      <c r="H852" s="354"/>
      <c r="I852" s="354"/>
      <c r="J852" s="354"/>
      <c r="K852" s="354"/>
      <c r="L852" s="354"/>
      <c r="M852" s="354"/>
      <c r="N852" s="354"/>
      <c r="O852" s="354"/>
      <c r="P852" s="354"/>
      <c r="Q852" s="354"/>
      <c r="R852" s="354"/>
      <c r="S852" s="354"/>
      <c r="T852" s="354"/>
      <c r="U852" s="354"/>
      <c r="V852" s="354"/>
      <c r="W852" s="354"/>
      <c r="X852" s="354"/>
      <c r="Y852" s="354"/>
      <c r="Z852" s="354"/>
    </row>
    <row r="853" customFormat="false" ht="15" hidden="false" customHeight="true" outlineLevel="0" collapsed="false">
      <c r="A853" s="354"/>
      <c r="B853" s="354"/>
      <c r="C853" s="354"/>
      <c r="D853" s="354"/>
      <c r="E853" s="354"/>
      <c r="F853" s="354"/>
      <c r="G853" s="354"/>
      <c r="H853" s="354"/>
      <c r="I853" s="354"/>
      <c r="J853" s="354"/>
      <c r="K853" s="354"/>
      <c r="L853" s="354"/>
      <c r="M853" s="354"/>
      <c r="N853" s="354"/>
      <c r="O853" s="354"/>
      <c r="P853" s="354"/>
      <c r="Q853" s="354"/>
      <c r="R853" s="354"/>
      <c r="S853" s="354"/>
      <c r="T853" s="354"/>
      <c r="U853" s="354"/>
      <c r="V853" s="354"/>
      <c r="W853" s="354"/>
      <c r="X853" s="354"/>
      <c r="Y853" s="354"/>
      <c r="Z853" s="354"/>
    </row>
    <row r="854" customFormat="false" ht="15" hidden="false" customHeight="true" outlineLevel="0" collapsed="false">
      <c r="A854" s="354"/>
      <c r="B854" s="354"/>
      <c r="C854" s="354"/>
      <c r="D854" s="354"/>
      <c r="E854" s="354"/>
      <c r="F854" s="354"/>
      <c r="G854" s="354"/>
      <c r="H854" s="354"/>
      <c r="I854" s="354"/>
      <c r="J854" s="354"/>
      <c r="K854" s="354"/>
      <c r="L854" s="354"/>
      <c r="M854" s="354"/>
      <c r="N854" s="354"/>
      <c r="O854" s="354"/>
      <c r="P854" s="354"/>
      <c r="Q854" s="354"/>
      <c r="R854" s="354"/>
      <c r="S854" s="354"/>
      <c r="T854" s="354"/>
      <c r="U854" s="354"/>
      <c r="V854" s="354"/>
      <c r="W854" s="354"/>
      <c r="X854" s="354"/>
      <c r="Y854" s="354"/>
      <c r="Z854" s="354"/>
    </row>
    <row r="855" customFormat="false" ht="15" hidden="false" customHeight="true" outlineLevel="0" collapsed="false">
      <c r="A855" s="354"/>
      <c r="B855" s="354"/>
      <c r="C855" s="354"/>
      <c r="D855" s="354"/>
      <c r="E855" s="354"/>
      <c r="F855" s="354"/>
      <c r="G855" s="354"/>
      <c r="H855" s="354"/>
      <c r="I855" s="354"/>
      <c r="J855" s="354"/>
      <c r="K855" s="354"/>
      <c r="L855" s="354"/>
      <c r="M855" s="354"/>
      <c r="N855" s="354"/>
      <c r="O855" s="354"/>
      <c r="P855" s="354"/>
      <c r="Q855" s="354"/>
      <c r="R855" s="354"/>
      <c r="S855" s="354"/>
      <c r="T855" s="354"/>
      <c r="U855" s="354"/>
      <c r="V855" s="354"/>
      <c r="W855" s="354"/>
      <c r="X855" s="354"/>
      <c r="Y855" s="354"/>
      <c r="Z855" s="354"/>
    </row>
    <row r="856" customFormat="false" ht="15" hidden="false" customHeight="true" outlineLevel="0" collapsed="false">
      <c r="A856" s="354"/>
      <c r="B856" s="354"/>
      <c r="C856" s="354"/>
      <c r="D856" s="354"/>
      <c r="E856" s="354"/>
      <c r="F856" s="354"/>
      <c r="G856" s="354"/>
      <c r="H856" s="354"/>
      <c r="I856" s="354"/>
      <c r="J856" s="354"/>
      <c r="K856" s="354"/>
      <c r="L856" s="354"/>
      <c r="M856" s="354"/>
      <c r="N856" s="354"/>
      <c r="O856" s="354"/>
      <c r="P856" s="354"/>
      <c r="Q856" s="354"/>
      <c r="R856" s="354"/>
      <c r="S856" s="354"/>
      <c r="T856" s="354"/>
      <c r="U856" s="354"/>
      <c r="V856" s="354"/>
      <c r="W856" s="354"/>
      <c r="X856" s="354"/>
      <c r="Y856" s="354"/>
      <c r="Z856" s="354"/>
    </row>
    <row r="857" customFormat="false" ht="15" hidden="false" customHeight="true" outlineLevel="0" collapsed="false">
      <c r="A857" s="354"/>
      <c r="B857" s="354"/>
      <c r="C857" s="354"/>
      <c r="D857" s="354"/>
      <c r="E857" s="354"/>
      <c r="F857" s="354"/>
      <c r="G857" s="354"/>
      <c r="H857" s="354"/>
      <c r="I857" s="354"/>
      <c r="J857" s="354"/>
      <c r="K857" s="354"/>
      <c r="L857" s="354"/>
      <c r="M857" s="354"/>
      <c r="N857" s="354"/>
      <c r="O857" s="354"/>
      <c r="P857" s="354"/>
      <c r="Q857" s="354"/>
      <c r="R857" s="354"/>
      <c r="S857" s="354"/>
      <c r="T857" s="354"/>
      <c r="U857" s="354"/>
      <c r="V857" s="354"/>
      <c r="W857" s="354"/>
      <c r="X857" s="354"/>
      <c r="Y857" s="354"/>
      <c r="Z857" s="354"/>
    </row>
    <row r="858" customFormat="false" ht="15" hidden="false" customHeight="true" outlineLevel="0" collapsed="false">
      <c r="A858" s="354"/>
      <c r="B858" s="354"/>
      <c r="C858" s="354"/>
      <c r="D858" s="354"/>
      <c r="E858" s="354"/>
      <c r="F858" s="354"/>
      <c r="G858" s="354"/>
      <c r="H858" s="354"/>
      <c r="I858" s="354"/>
      <c r="J858" s="354"/>
      <c r="K858" s="354"/>
      <c r="L858" s="354"/>
      <c r="M858" s="354"/>
      <c r="N858" s="354"/>
      <c r="O858" s="354"/>
      <c r="P858" s="354"/>
      <c r="Q858" s="354"/>
      <c r="R858" s="354"/>
      <c r="S858" s="354"/>
      <c r="T858" s="354"/>
      <c r="U858" s="354"/>
      <c r="V858" s="354"/>
      <c r="W858" s="354"/>
      <c r="X858" s="354"/>
      <c r="Y858" s="354"/>
      <c r="Z858" s="354"/>
    </row>
    <row r="859" customFormat="false" ht="15" hidden="false" customHeight="true" outlineLevel="0" collapsed="false">
      <c r="A859" s="354"/>
      <c r="B859" s="354"/>
      <c r="C859" s="354"/>
      <c r="D859" s="354"/>
      <c r="E859" s="354"/>
      <c r="F859" s="354"/>
      <c r="G859" s="354"/>
      <c r="H859" s="354"/>
      <c r="I859" s="354"/>
      <c r="J859" s="354"/>
      <c r="K859" s="354"/>
      <c r="L859" s="354"/>
      <c r="M859" s="354"/>
      <c r="N859" s="354"/>
      <c r="O859" s="354"/>
      <c r="P859" s="354"/>
      <c r="Q859" s="354"/>
      <c r="R859" s="354"/>
      <c r="S859" s="354"/>
      <c r="T859" s="354"/>
      <c r="U859" s="354"/>
      <c r="V859" s="354"/>
      <c r="W859" s="354"/>
      <c r="X859" s="354"/>
      <c r="Y859" s="354"/>
      <c r="Z859" s="354"/>
    </row>
    <row r="860" customFormat="false" ht="15" hidden="false" customHeight="true" outlineLevel="0" collapsed="false">
      <c r="A860" s="354"/>
      <c r="B860" s="354"/>
      <c r="C860" s="354"/>
      <c r="D860" s="354"/>
      <c r="E860" s="354"/>
      <c r="F860" s="354"/>
      <c r="G860" s="354"/>
      <c r="H860" s="354"/>
      <c r="I860" s="354"/>
      <c r="J860" s="354"/>
      <c r="K860" s="354"/>
      <c r="L860" s="354"/>
      <c r="M860" s="354"/>
      <c r="N860" s="354"/>
      <c r="O860" s="354"/>
      <c r="P860" s="354"/>
      <c r="Q860" s="354"/>
      <c r="R860" s="354"/>
      <c r="S860" s="354"/>
      <c r="T860" s="354"/>
      <c r="U860" s="354"/>
      <c r="V860" s="354"/>
      <c r="W860" s="354"/>
      <c r="X860" s="354"/>
      <c r="Y860" s="354"/>
      <c r="Z860" s="354"/>
    </row>
    <row r="861" customFormat="false" ht="15" hidden="false" customHeight="true" outlineLevel="0" collapsed="false">
      <c r="A861" s="354"/>
      <c r="B861" s="354"/>
      <c r="C861" s="354"/>
      <c r="D861" s="354"/>
      <c r="E861" s="354"/>
      <c r="F861" s="354"/>
      <c r="G861" s="354"/>
      <c r="H861" s="354"/>
      <c r="I861" s="354"/>
      <c r="J861" s="354"/>
      <c r="K861" s="354"/>
      <c r="L861" s="354"/>
      <c r="M861" s="354"/>
      <c r="N861" s="354"/>
      <c r="O861" s="354"/>
      <c r="P861" s="354"/>
      <c r="Q861" s="354"/>
      <c r="R861" s="354"/>
      <c r="S861" s="354"/>
      <c r="T861" s="354"/>
      <c r="U861" s="354"/>
      <c r="V861" s="354"/>
      <c r="W861" s="354"/>
      <c r="X861" s="354"/>
      <c r="Y861" s="354"/>
      <c r="Z861" s="354"/>
    </row>
    <row r="862" customFormat="false" ht="15" hidden="false" customHeight="true" outlineLevel="0" collapsed="false">
      <c r="A862" s="354"/>
      <c r="B862" s="354"/>
      <c r="C862" s="354"/>
      <c r="D862" s="354"/>
      <c r="E862" s="354"/>
      <c r="F862" s="354"/>
      <c r="G862" s="354"/>
      <c r="H862" s="354"/>
      <c r="I862" s="354"/>
      <c r="J862" s="354"/>
      <c r="K862" s="354"/>
      <c r="L862" s="354"/>
      <c r="M862" s="354"/>
      <c r="N862" s="354"/>
      <c r="O862" s="354"/>
      <c r="P862" s="354"/>
      <c r="Q862" s="354"/>
      <c r="R862" s="354"/>
      <c r="S862" s="354"/>
      <c r="T862" s="354"/>
      <c r="U862" s="354"/>
      <c r="V862" s="354"/>
      <c r="W862" s="354"/>
      <c r="X862" s="354"/>
      <c r="Y862" s="354"/>
      <c r="Z862" s="354"/>
    </row>
    <row r="863" customFormat="false" ht="15" hidden="false" customHeight="true" outlineLevel="0" collapsed="false">
      <c r="A863" s="354"/>
      <c r="B863" s="354"/>
      <c r="C863" s="354"/>
      <c r="D863" s="354"/>
      <c r="E863" s="354"/>
      <c r="F863" s="354"/>
      <c r="G863" s="354"/>
      <c r="H863" s="354"/>
      <c r="I863" s="354"/>
      <c r="J863" s="354"/>
      <c r="K863" s="354"/>
      <c r="L863" s="354"/>
      <c r="M863" s="354"/>
      <c r="N863" s="354"/>
      <c r="O863" s="354"/>
      <c r="P863" s="354"/>
      <c r="Q863" s="354"/>
      <c r="R863" s="354"/>
      <c r="S863" s="354"/>
      <c r="T863" s="354"/>
      <c r="U863" s="354"/>
      <c r="V863" s="354"/>
      <c r="W863" s="354"/>
      <c r="X863" s="354"/>
      <c r="Y863" s="354"/>
      <c r="Z863" s="354"/>
    </row>
    <row r="864" customFormat="false" ht="15" hidden="false" customHeight="true" outlineLevel="0" collapsed="false">
      <c r="A864" s="354"/>
      <c r="B864" s="354"/>
      <c r="C864" s="354"/>
      <c r="D864" s="354"/>
      <c r="E864" s="354"/>
      <c r="F864" s="354"/>
      <c r="G864" s="354"/>
      <c r="H864" s="354"/>
      <c r="I864" s="354"/>
      <c r="J864" s="354"/>
      <c r="K864" s="354"/>
      <c r="L864" s="354"/>
      <c r="M864" s="354"/>
      <c r="N864" s="354"/>
      <c r="O864" s="354"/>
      <c r="P864" s="354"/>
      <c r="Q864" s="354"/>
      <c r="R864" s="354"/>
      <c r="S864" s="354"/>
      <c r="T864" s="354"/>
      <c r="U864" s="354"/>
      <c r="V864" s="354"/>
      <c r="W864" s="354"/>
      <c r="X864" s="354"/>
      <c r="Y864" s="354"/>
      <c r="Z864" s="354"/>
    </row>
    <row r="865" customFormat="false" ht="15" hidden="false" customHeight="true" outlineLevel="0" collapsed="false">
      <c r="A865" s="354"/>
      <c r="B865" s="354"/>
      <c r="C865" s="354"/>
      <c r="D865" s="354"/>
      <c r="E865" s="354"/>
      <c r="F865" s="354"/>
      <c r="G865" s="354"/>
      <c r="H865" s="354"/>
      <c r="I865" s="354"/>
      <c r="J865" s="354"/>
      <c r="K865" s="354"/>
      <c r="L865" s="354"/>
      <c r="M865" s="354"/>
      <c r="N865" s="354"/>
      <c r="O865" s="354"/>
      <c r="P865" s="354"/>
      <c r="Q865" s="354"/>
      <c r="R865" s="354"/>
      <c r="S865" s="354"/>
      <c r="T865" s="354"/>
      <c r="U865" s="354"/>
      <c r="V865" s="354"/>
      <c r="W865" s="354"/>
      <c r="X865" s="354"/>
      <c r="Y865" s="354"/>
      <c r="Z865" s="354"/>
    </row>
    <row r="866" customFormat="false" ht="15" hidden="false" customHeight="true" outlineLevel="0" collapsed="false">
      <c r="A866" s="354"/>
      <c r="B866" s="354"/>
      <c r="C866" s="354"/>
      <c r="D866" s="354"/>
      <c r="E866" s="354"/>
      <c r="F866" s="354"/>
      <c r="G866" s="354"/>
      <c r="H866" s="354"/>
      <c r="I866" s="354"/>
      <c r="J866" s="354"/>
      <c r="K866" s="354"/>
      <c r="L866" s="354"/>
      <c r="M866" s="354"/>
      <c r="N866" s="354"/>
      <c r="O866" s="354"/>
      <c r="P866" s="354"/>
      <c r="Q866" s="354"/>
      <c r="R866" s="354"/>
      <c r="S866" s="354"/>
      <c r="T866" s="354"/>
      <c r="U866" s="354"/>
      <c r="V866" s="354"/>
      <c r="W866" s="354"/>
      <c r="X866" s="354"/>
      <c r="Y866" s="354"/>
      <c r="Z866" s="354"/>
    </row>
    <row r="867" customFormat="false" ht="15" hidden="false" customHeight="true" outlineLevel="0" collapsed="false">
      <c r="A867" s="354"/>
      <c r="B867" s="354"/>
      <c r="C867" s="354"/>
      <c r="D867" s="354"/>
      <c r="E867" s="354"/>
      <c r="F867" s="354"/>
      <c r="G867" s="354"/>
      <c r="H867" s="354"/>
      <c r="I867" s="354"/>
      <c r="J867" s="354"/>
      <c r="K867" s="354"/>
      <c r="L867" s="354"/>
      <c r="M867" s="354"/>
      <c r="N867" s="354"/>
      <c r="O867" s="354"/>
      <c r="P867" s="354"/>
      <c r="Q867" s="354"/>
      <c r="R867" s="354"/>
      <c r="S867" s="354"/>
      <c r="T867" s="354"/>
      <c r="U867" s="354"/>
      <c r="V867" s="354"/>
      <c r="W867" s="354"/>
      <c r="X867" s="354"/>
      <c r="Y867" s="354"/>
      <c r="Z867" s="354"/>
    </row>
    <row r="868" customFormat="false" ht="15" hidden="false" customHeight="true" outlineLevel="0" collapsed="false">
      <c r="A868" s="354"/>
      <c r="B868" s="354"/>
      <c r="C868" s="354"/>
      <c r="D868" s="354"/>
      <c r="E868" s="354"/>
      <c r="F868" s="354"/>
      <c r="G868" s="354"/>
      <c r="H868" s="354"/>
      <c r="I868" s="354"/>
      <c r="J868" s="354"/>
      <c r="K868" s="354"/>
      <c r="L868" s="354"/>
      <c r="M868" s="354"/>
      <c r="N868" s="354"/>
      <c r="O868" s="354"/>
      <c r="P868" s="354"/>
      <c r="Q868" s="354"/>
      <c r="R868" s="354"/>
      <c r="S868" s="354"/>
      <c r="T868" s="354"/>
      <c r="U868" s="354"/>
      <c r="V868" s="354"/>
      <c r="W868" s="354"/>
      <c r="X868" s="354"/>
      <c r="Y868" s="354"/>
      <c r="Z868" s="354"/>
    </row>
    <row r="869" customFormat="false" ht="15" hidden="false" customHeight="true" outlineLevel="0" collapsed="false">
      <c r="A869" s="354"/>
      <c r="B869" s="354"/>
      <c r="C869" s="354"/>
      <c r="D869" s="354"/>
      <c r="E869" s="354"/>
      <c r="F869" s="354"/>
      <c r="G869" s="354"/>
      <c r="H869" s="354"/>
      <c r="I869" s="354"/>
      <c r="J869" s="354"/>
      <c r="K869" s="354"/>
      <c r="L869" s="354"/>
      <c r="M869" s="354"/>
      <c r="N869" s="354"/>
      <c r="O869" s="354"/>
      <c r="P869" s="354"/>
      <c r="Q869" s="354"/>
      <c r="R869" s="354"/>
      <c r="S869" s="354"/>
      <c r="T869" s="354"/>
      <c r="U869" s="354"/>
      <c r="V869" s="354"/>
      <c r="W869" s="354"/>
      <c r="X869" s="354"/>
      <c r="Y869" s="354"/>
      <c r="Z869" s="354"/>
    </row>
    <row r="870" customFormat="false" ht="15" hidden="false" customHeight="true" outlineLevel="0" collapsed="false">
      <c r="A870" s="354"/>
      <c r="B870" s="354"/>
      <c r="C870" s="354"/>
      <c r="D870" s="354"/>
      <c r="E870" s="354"/>
      <c r="F870" s="354"/>
      <c r="G870" s="354"/>
      <c r="H870" s="354"/>
      <c r="I870" s="354"/>
      <c r="J870" s="354"/>
      <c r="K870" s="354"/>
      <c r="L870" s="354"/>
      <c r="M870" s="354"/>
      <c r="N870" s="354"/>
      <c r="O870" s="354"/>
      <c r="P870" s="354"/>
      <c r="Q870" s="354"/>
      <c r="R870" s="354"/>
      <c r="S870" s="354"/>
      <c r="T870" s="354"/>
      <c r="U870" s="354"/>
      <c r="V870" s="354"/>
      <c r="W870" s="354"/>
      <c r="X870" s="354"/>
      <c r="Y870" s="354"/>
      <c r="Z870" s="354"/>
    </row>
    <row r="871" customFormat="false" ht="15" hidden="false" customHeight="true" outlineLevel="0" collapsed="false">
      <c r="A871" s="354"/>
      <c r="B871" s="354"/>
      <c r="C871" s="354"/>
      <c r="D871" s="354"/>
      <c r="E871" s="354"/>
      <c r="F871" s="354"/>
      <c r="G871" s="354"/>
      <c r="H871" s="354"/>
      <c r="I871" s="354"/>
      <c r="J871" s="354"/>
      <c r="K871" s="354"/>
      <c r="L871" s="354"/>
      <c r="M871" s="354"/>
      <c r="N871" s="354"/>
      <c r="O871" s="354"/>
      <c r="P871" s="354"/>
      <c r="Q871" s="354"/>
      <c r="R871" s="354"/>
      <c r="S871" s="354"/>
      <c r="T871" s="354"/>
      <c r="U871" s="354"/>
      <c r="V871" s="354"/>
      <c r="W871" s="354"/>
      <c r="X871" s="354"/>
      <c r="Y871" s="354"/>
      <c r="Z871" s="354"/>
    </row>
    <row r="872" customFormat="false" ht="15" hidden="false" customHeight="true" outlineLevel="0" collapsed="false">
      <c r="A872" s="354"/>
      <c r="B872" s="354"/>
      <c r="C872" s="354"/>
      <c r="D872" s="354"/>
      <c r="E872" s="354"/>
      <c r="F872" s="354"/>
      <c r="G872" s="354"/>
      <c r="H872" s="354"/>
      <c r="I872" s="354"/>
      <c r="J872" s="354"/>
      <c r="K872" s="354"/>
      <c r="L872" s="354"/>
      <c r="M872" s="354"/>
      <c r="N872" s="354"/>
      <c r="O872" s="354"/>
      <c r="P872" s="354"/>
      <c r="Q872" s="354"/>
      <c r="R872" s="354"/>
      <c r="S872" s="354"/>
      <c r="T872" s="354"/>
      <c r="U872" s="354"/>
      <c r="V872" s="354"/>
      <c r="W872" s="354"/>
      <c r="X872" s="354"/>
      <c r="Y872" s="354"/>
      <c r="Z872" s="354"/>
    </row>
    <row r="873" customFormat="false" ht="15" hidden="false" customHeight="true" outlineLevel="0" collapsed="false">
      <c r="A873" s="354"/>
      <c r="B873" s="354"/>
      <c r="C873" s="354"/>
      <c r="D873" s="354"/>
      <c r="E873" s="354"/>
      <c r="F873" s="354"/>
      <c r="G873" s="354"/>
      <c r="H873" s="354"/>
      <c r="I873" s="354"/>
      <c r="J873" s="354"/>
      <c r="K873" s="354"/>
      <c r="L873" s="354"/>
      <c r="M873" s="354"/>
      <c r="N873" s="354"/>
      <c r="O873" s="354"/>
      <c r="P873" s="354"/>
      <c r="Q873" s="354"/>
      <c r="R873" s="354"/>
      <c r="S873" s="354"/>
      <c r="T873" s="354"/>
      <c r="U873" s="354"/>
      <c r="V873" s="354"/>
      <c r="W873" s="354"/>
      <c r="X873" s="354"/>
      <c r="Y873" s="354"/>
      <c r="Z873" s="354"/>
    </row>
    <row r="874" customFormat="false" ht="15" hidden="false" customHeight="true" outlineLevel="0" collapsed="false">
      <c r="A874" s="354"/>
      <c r="B874" s="354"/>
      <c r="C874" s="354"/>
      <c r="D874" s="354"/>
      <c r="E874" s="354"/>
      <c r="F874" s="354"/>
      <c r="G874" s="354"/>
      <c r="H874" s="354"/>
      <c r="I874" s="354"/>
      <c r="J874" s="354"/>
      <c r="K874" s="354"/>
      <c r="L874" s="354"/>
      <c r="M874" s="354"/>
      <c r="N874" s="354"/>
      <c r="O874" s="354"/>
      <c r="P874" s="354"/>
      <c r="Q874" s="354"/>
      <c r="R874" s="354"/>
      <c r="S874" s="354"/>
      <c r="T874" s="354"/>
      <c r="U874" s="354"/>
      <c r="V874" s="354"/>
      <c r="W874" s="354"/>
      <c r="X874" s="354"/>
      <c r="Y874" s="354"/>
      <c r="Z874" s="354"/>
    </row>
    <row r="875" customFormat="false" ht="15" hidden="false" customHeight="true" outlineLevel="0" collapsed="false">
      <c r="A875" s="354"/>
      <c r="B875" s="354"/>
      <c r="C875" s="354"/>
      <c r="D875" s="354"/>
      <c r="E875" s="354"/>
      <c r="F875" s="354"/>
      <c r="G875" s="354"/>
      <c r="H875" s="354"/>
      <c r="I875" s="354"/>
      <c r="J875" s="354"/>
      <c r="K875" s="354"/>
      <c r="L875" s="354"/>
      <c r="M875" s="354"/>
      <c r="N875" s="354"/>
      <c r="O875" s="354"/>
      <c r="P875" s="354"/>
      <c r="Q875" s="354"/>
      <c r="R875" s="354"/>
      <c r="S875" s="354"/>
      <c r="T875" s="354"/>
      <c r="U875" s="354"/>
      <c r="V875" s="354"/>
      <c r="W875" s="354"/>
      <c r="X875" s="354"/>
      <c r="Y875" s="354"/>
      <c r="Z875" s="354"/>
    </row>
    <row r="876" customFormat="false" ht="15" hidden="false" customHeight="true" outlineLevel="0" collapsed="false">
      <c r="A876" s="354"/>
      <c r="B876" s="354"/>
      <c r="C876" s="354"/>
      <c r="D876" s="354"/>
      <c r="E876" s="354"/>
      <c r="F876" s="354"/>
      <c r="G876" s="354"/>
      <c r="H876" s="354"/>
      <c r="I876" s="354"/>
      <c r="J876" s="354"/>
      <c r="K876" s="354"/>
      <c r="L876" s="354"/>
      <c r="M876" s="354"/>
      <c r="N876" s="354"/>
      <c r="O876" s="354"/>
      <c r="P876" s="354"/>
      <c r="Q876" s="354"/>
      <c r="R876" s="354"/>
      <c r="S876" s="354"/>
      <c r="T876" s="354"/>
      <c r="U876" s="354"/>
      <c r="V876" s="354"/>
      <c r="W876" s="354"/>
      <c r="X876" s="354"/>
      <c r="Y876" s="354"/>
      <c r="Z876" s="354"/>
    </row>
    <row r="877" customFormat="false" ht="15" hidden="false" customHeight="true" outlineLevel="0" collapsed="false">
      <c r="A877" s="354"/>
      <c r="B877" s="354"/>
      <c r="C877" s="354"/>
      <c r="D877" s="354"/>
      <c r="E877" s="354"/>
      <c r="F877" s="354"/>
      <c r="G877" s="354"/>
      <c r="H877" s="354"/>
      <c r="I877" s="354"/>
      <c r="J877" s="354"/>
      <c r="K877" s="354"/>
      <c r="L877" s="354"/>
      <c r="M877" s="354"/>
      <c r="N877" s="354"/>
      <c r="O877" s="354"/>
      <c r="P877" s="354"/>
      <c r="Q877" s="354"/>
      <c r="R877" s="354"/>
      <c r="S877" s="354"/>
      <c r="T877" s="354"/>
      <c r="U877" s="354"/>
      <c r="V877" s="354"/>
      <c r="W877" s="354"/>
      <c r="X877" s="354"/>
      <c r="Y877" s="354"/>
      <c r="Z877" s="354"/>
    </row>
    <row r="878" customFormat="false" ht="15" hidden="false" customHeight="true" outlineLevel="0" collapsed="false">
      <c r="A878" s="354"/>
      <c r="B878" s="354"/>
      <c r="C878" s="354"/>
      <c r="D878" s="354"/>
      <c r="E878" s="354"/>
      <c r="F878" s="354"/>
      <c r="G878" s="354"/>
      <c r="H878" s="354"/>
      <c r="I878" s="354"/>
      <c r="J878" s="354"/>
      <c r="K878" s="354"/>
      <c r="L878" s="354"/>
      <c r="M878" s="354"/>
      <c r="N878" s="354"/>
      <c r="O878" s="354"/>
      <c r="P878" s="354"/>
      <c r="Q878" s="354"/>
      <c r="R878" s="354"/>
      <c r="S878" s="354"/>
      <c r="T878" s="354"/>
      <c r="U878" s="354"/>
      <c r="V878" s="354"/>
      <c r="W878" s="354"/>
      <c r="X878" s="354"/>
      <c r="Y878" s="354"/>
      <c r="Z878" s="354"/>
    </row>
    <row r="879" customFormat="false" ht="15" hidden="false" customHeight="true" outlineLevel="0" collapsed="false">
      <c r="A879" s="354"/>
      <c r="B879" s="354"/>
      <c r="C879" s="354"/>
      <c r="D879" s="354"/>
      <c r="E879" s="354"/>
      <c r="F879" s="354"/>
      <c r="G879" s="354"/>
      <c r="H879" s="354"/>
      <c r="I879" s="354"/>
      <c r="J879" s="354"/>
      <c r="K879" s="354"/>
      <c r="L879" s="354"/>
      <c r="M879" s="354"/>
      <c r="N879" s="354"/>
      <c r="O879" s="354"/>
      <c r="P879" s="354"/>
      <c r="Q879" s="354"/>
      <c r="R879" s="354"/>
      <c r="S879" s="354"/>
      <c r="T879" s="354"/>
      <c r="U879" s="354"/>
      <c r="V879" s="354"/>
      <c r="W879" s="354"/>
      <c r="X879" s="354"/>
      <c r="Y879" s="354"/>
      <c r="Z879" s="354"/>
    </row>
    <row r="880" customFormat="false" ht="15" hidden="false" customHeight="true" outlineLevel="0" collapsed="false">
      <c r="A880" s="354"/>
      <c r="B880" s="354"/>
      <c r="C880" s="354"/>
      <c r="D880" s="354"/>
      <c r="E880" s="354"/>
      <c r="F880" s="354"/>
      <c r="G880" s="354"/>
      <c r="H880" s="354"/>
      <c r="I880" s="354"/>
      <c r="J880" s="354"/>
      <c r="K880" s="354"/>
      <c r="L880" s="354"/>
      <c r="M880" s="354"/>
      <c r="N880" s="354"/>
      <c r="O880" s="354"/>
      <c r="P880" s="354"/>
      <c r="Q880" s="354"/>
      <c r="R880" s="354"/>
      <c r="S880" s="354"/>
      <c r="T880" s="354"/>
      <c r="U880" s="354"/>
      <c r="V880" s="354"/>
      <c r="W880" s="354"/>
      <c r="X880" s="354"/>
      <c r="Y880" s="354"/>
      <c r="Z880" s="354"/>
    </row>
    <row r="881" customFormat="false" ht="15" hidden="false" customHeight="true" outlineLevel="0" collapsed="false">
      <c r="A881" s="354"/>
      <c r="B881" s="354"/>
      <c r="C881" s="354"/>
      <c r="D881" s="354"/>
      <c r="E881" s="354"/>
      <c r="F881" s="354"/>
      <c r="G881" s="354"/>
      <c r="H881" s="354"/>
      <c r="I881" s="354"/>
      <c r="J881" s="354"/>
      <c r="K881" s="354"/>
      <c r="L881" s="354"/>
      <c r="M881" s="354"/>
      <c r="N881" s="354"/>
      <c r="O881" s="354"/>
      <c r="P881" s="354"/>
      <c r="Q881" s="354"/>
      <c r="R881" s="354"/>
      <c r="S881" s="354"/>
      <c r="T881" s="354"/>
      <c r="U881" s="354"/>
      <c r="V881" s="354"/>
      <c r="W881" s="354"/>
      <c r="X881" s="354"/>
      <c r="Y881" s="354"/>
      <c r="Z881" s="354"/>
    </row>
    <row r="882" customFormat="false" ht="15" hidden="false" customHeight="true" outlineLevel="0" collapsed="false">
      <c r="A882" s="354"/>
      <c r="B882" s="354"/>
      <c r="C882" s="354"/>
      <c r="D882" s="354"/>
      <c r="E882" s="354"/>
      <c r="F882" s="354"/>
      <c r="G882" s="354"/>
      <c r="H882" s="354"/>
      <c r="I882" s="354"/>
      <c r="J882" s="354"/>
      <c r="K882" s="354"/>
      <c r="L882" s="354"/>
      <c r="M882" s="354"/>
      <c r="N882" s="354"/>
      <c r="O882" s="354"/>
      <c r="P882" s="354"/>
      <c r="Q882" s="354"/>
      <c r="R882" s="354"/>
      <c r="S882" s="354"/>
      <c r="T882" s="354"/>
      <c r="U882" s="354"/>
      <c r="V882" s="354"/>
      <c r="W882" s="354"/>
      <c r="X882" s="354"/>
      <c r="Y882" s="354"/>
      <c r="Z882" s="354"/>
    </row>
    <row r="883" customFormat="false" ht="15" hidden="false" customHeight="true" outlineLevel="0" collapsed="false">
      <c r="A883" s="354"/>
      <c r="B883" s="354"/>
      <c r="C883" s="354"/>
      <c r="D883" s="354"/>
      <c r="E883" s="354"/>
      <c r="F883" s="354"/>
      <c r="G883" s="354"/>
      <c r="H883" s="354"/>
      <c r="I883" s="354"/>
      <c r="J883" s="354"/>
      <c r="K883" s="354"/>
      <c r="L883" s="354"/>
      <c r="M883" s="354"/>
      <c r="N883" s="354"/>
      <c r="O883" s="354"/>
      <c r="P883" s="354"/>
      <c r="Q883" s="354"/>
      <c r="R883" s="354"/>
      <c r="S883" s="354"/>
      <c r="T883" s="354"/>
      <c r="U883" s="354"/>
      <c r="V883" s="354"/>
      <c r="W883" s="354"/>
      <c r="X883" s="354"/>
      <c r="Y883" s="354"/>
      <c r="Z883" s="354"/>
    </row>
    <row r="884" customFormat="false" ht="15" hidden="false" customHeight="true" outlineLevel="0" collapsed="false">
      <c r="A884" s="354"/>
      <c r="B884" s="354"/>
      <c r="C884" s="354"/>
      <c r="D884" s="354"/>
      <c r="E884" s="354"/>
      <c r="F884" s="354"/>
      <c r="G884" s="354"/>
      <c r="H884" s="354"/>
      <c r="I884" s="354"/>
      <c r="J884" s="354"/>
      <c r="K884" s="354"/>
      <c r="L884" s="354"/>
      <c r="M884" s="354"/>
      <c r="N884" s="354"/>
      <c r="O884" s="354"/>
      <c r="P884" s="354"/>
      <c r="Q884" s="354"/>
      <c r="R884" s="354"/>
      <c r="S884" s="354"/>
      <c r="T884" s="354"/>
      <c r="U884" s="354"/>
      <c r="V884" s="354"/>
      <c r="W884" s="354"/>
      <c r="X884" s="354"/>
      <c r="Y884" s="354"/>
      <c r="Z884" s="354"/>
    </row>
    <row r="885" customFormat="false" ht="15" hidden="false" customHeight="true" outlineLevel="0" collapsed="false">
      <c r="A885" s="354"/>
      <c r="B885" s="354"/>
      <c r="C885" s="354"/>
      <c r="D885" s="354"/>
      <c r="E885" s="354"/>
      <c r="F885" s="354"/>
      <c r="G885" s="354"/>
      <c r="H885" s="354"/>
      <c r="I885" s="354"/>
      <c r="J885" s="354"/>
      <c r="K885" s="354"/>
      <c r="L885" s="354"/>
      <c r="M885" s="354"/>
      <c r="N885" s="354"/>
      <c r="O885" s="354"/>
      <c r="P885" s="354"/>
      <c r="Q885" s="354"/>
      <c r="R885" s="354"/>
      <c r="S885" s="354"/>
      <c r="T885" s="354"/>
      <c r="U885" s="354"/>
      <c r="V885" s="354"/>
      <c r="W885" s="354"/>
      <c r="X885" s="354"/>
      <c r="Y885" s="354"/>
      <c r="Z885" s="354"/>
    </row>
    <row r="886" customFormat="false" ht="15" hidden="false" customHeight="true" outlineLevel="0" collapsed="false">
      <c r="A886" s="354"/>
      <c r="B886" s="354"/>
      <c r="C886" s="354"/>
      <c r="D886" s="354"/>
      <c r="E886" s="354"/>
      <c r="F886" s="354"/>
      <c r="G886" s="354"/>
      <c r="H886" s="354"/>
      <c r="I886" s="354"/>
      <c r="J886" s="354"/>
      <c r="K886" s="354"/>
      <c r="L886" s="354"/>
      <c r="M886" s="354"/>
      <c r="N886" s="354"/>
      <c r="O886" s="354"/>
      <c r="P886" s="354"/>
      <c r="Q886" s="354"/>
      <c r="R886" s="354"/>
      <c r="S886" s="354"/>
      <c r="T886" s="354"/>
      <c r="U886" s="354"/>
      <c r="V886" s="354"/>
      <c r="W886" s="354"/>
      <c r="X886" s="354"/>
      <c r="Y886" s="354"/>
      <c r="Z886" s="354"/>
    </row>
    <row r="887" customFormat="false" ht="15" hidden="false" customHeight="true" outlineLevel="0" collapsed="false">
      <c r="A887" s="354"/>
      <c r="B887" s="354"/>
      <c r="C887" s="354"/>
      <c r="D887" s="354"/>
      <c r="E887" s="354"/>
      <c r="F887" s="354"/>
      <c r="G887" s="354"/>
      <c r="H887" s="354"/>
      <c r="I887" s="354"/>
      <c r="J887" s="354"/>
      <c r="K887" s="354"/>
      <c r="L887" s="354"/>
      <c r="M887" s="354"/>
      <c r="N887" s="354"/>
      <c r="O887" s="354"/>
      <c r="P887" s="354"/>
      <c r="Q887" s="354"/>
      <c r="R887" s="354"/>
      <c r="S887" s="354"/>
      <c r="T887" s="354"/>
      <c r="U887" s="354"/>
      <c r="V887" s="354"/>
      <c r="W887" s="354"/>
      <c r="X887" s="354"/>
      <c r="Y887" s="354"/>
      <c r="Z887" s="354"/>
    </row>
    <row r="888" customFormat="false" ht="15" hidden="false" customHeight="true" outlineLevel="0" collapsed="false">
      <c r="A888" s="354"/>
      <c r="B888" s="354"/>
      <c r="C888" s="354"/>
      <c r="D888" s="354"/>
      <c r="E888" s="354"/>
      <c r="F888" s="354"/>
      <c r="G888" s="354"/>
      <c r="H888" s="354"/>
      <c r="I888" s="354"/>
      <c r="J888" s="354"/>
      <c r="K888" s="354"/>
      <c r="L888" s="354"/>
      <c r="M888" s="354"/>
      <c r="N888" s="354"/>
      <c r="O888" s="354"/>
      <c r="P888" s="354"/>
      <c r="Q888" s="354"/>
      <c r="R888" s="354"/>
      <c r="S888" s="354"/>
      <c r="T888" s="354"/>
      <c r="U888" s="354"/>
      <c r="V888" s="354"/>
      <c r="W888" s="354"/>
      <c r="X888" s="354"/>
      <c r="Y888" s="354"/>
      <c r="Z888" s="354"/>
    </row>
    <row r="889" customFormat="false" ht="15" hidden="false" customHeight="true" outlineLevel="0" collapsed="false">
      <c r="A889" s="354"/>
      <c r="B889" s="354"/>
      <c r="C889" s="354"/>
      <c r="D889" s="354"/>
      <c r="E889" s="354"/>
      <c r="F889" s="354"/>
      <c r="G889" s="354"/>
      <c r="H889" s="354"/>
      <c r="I889" s="354"/>
      <c r="J889" s="354"/>
      <c r="K889" s="354"/>
      <c r="L889" s="354"/>
      <c r="M889" s="354"/>
      <c r="N889" s="354"/>
      <c r="O889" s="354"/>
      <c r="P889" s="354"/>
      <c r="Q889" s="354"/>
      <c r="R889" s="354"/>
      <c r="S889" s="354"/>
      <c r="T889" s="354"/>
      <c r="U889" s="354"/>
      <c r="V889" s="354"/>
      <c r="W889" s="354"/>
      <c r="X889" s="354"/>
      <c r="Y889" s="354"/>
      <c r="Z889" s="354"/>
    </row>
    <row r="890" customFormat="false" ht="15" hidden="false" customHeight="true" outlineLevel="0" collapsed="false">
      <c r="A890" s="354"/>
      <c r="B890" s="354"/>
      <c r="C890" s="354"/>
      <c r="D890" s="354"/>
      <c r="E890" s="354"/>
      <c r="F890" s="354"/>
      <c r="G890" s="354"/>
      <c r="H890" s="354"/>
      <c r="I890" s="354"/>
      <c r="J890" s="354"/>
      <c r="K890" s="354"/>
      <c r="L890" s="354"/>
      <c r="M890" s="354"/>
      <c r="N890" s="354"/>
      <c r="O890" s="354"/>
      <c r="P890" s="354"/>
      <c r="Q890" s="354"/>
      <c r="R890" s="354"/>
      <c r="S890" s="354"/>
      <c r="T890" s="354"/>
      <c r="U890" s="354"/>
      <c r="V890" s="354"/>
      <c r="W890" s="354"/>
      <c r="X890" s="354"/>
      <c r="Y890" s="354"/>
      <c r="Z890" s="354"/>
    </row>
    <row r="891" customFormat="false" ht="15" hidden="false" customHeight="true" outlineLevel="0" collapsed="false">
      <c r="A891" s="354"/>
      <c r="B891" s="354"/>
      <c r="C891" s="354"/>
      <c r="D891" s="354"/>
      <c r="E891" s="354"/>
      <c r="F891" s="354"/>
      <c r="G891" s="354"/>
      <c r="H891" s="354"/>
      <c r="I891" s="354"/>
      <c r="J891" s="354"/>
      <c r="K891" s="354"/>
      <c r="L891" s="354"/>
      <c r="M891" s="354"/>
      <c r="N891" s="354"/>
      <c r="O891" s="354"/>
      <c r="P891" s="354"/>
      <c r="Q891" s="354"/>
      <c r="R891" s="354"/>
      <c r="S891" s="354"/>
      <c r="T891" s="354"/>
      <c r="U891" s="354"/>
      <c r="V891" s="354"/>
      <c r="W891" s="354"/>
      <c r="X891" s="354"/>
      <c r="Y891" s="354"/>
      <c r="Z891" s="354"/>
    </row>
    <row r="892" customFormat="false" ht="15" hidden="false" customHeight="true" outlineLevel="0" collapsed="false">
      <c r="A892" s="354"/>
      <c r="B892" s="354"/>
      <c r="C892" s="354"/>
      <c r="D892" s="354"/>
      <c r="E892" s="354"/>
      <c r="F892" s="354"/>
      <c r="G892" s="354"/>
      <c r="H892" s="354"/>
      <c r="I892" s="354"/>
      <c r="J892" s="354"/>
      <c r="K892" s="354"/>
      <c r="L892" s="354"/>
      <c r="M892" s="354"/>
      <c r="N892" s="354"/>
      <c r="O892" s="354"/>
      <c r="P892" s="354"/>
      <c r="Q892" s="354"/>
      <c r="R892" s="354"/>
      <c r="S892" s="354"/>
      <c r="T892" s="354"/>
      <c r="U892" s="354"/>
      <c r="V892" s="354"/>
      <c r="W892" s="354"/>
      <c r="X892" s="354"/>
      <c r="Y892" s="354"/>
      <c r="Z892" s="354"/>
    </row>
    <row r="893" customFormat="false" ht="15" hidden="false" customHeight="true" outlineLevel="0" collapsed="false">
      <c r="A893" s="354"/>
      <c r="B893" s="354"/>
      <c r="C893" s="354"/>
      <c r="D893" s="354"/>
      <c r="E893" s="354"/>
      <c r="F893" s="354"/>
      <c r="G893" s="354"/>
      <c r="H893" s="354"/>
      <c r="I893" s="354"/>
      <c r="J893" s="354"/>
      <c r="K893" s="354"/>
      <c r="L893" s="354"/>
      <c r="M893" s="354"/>
      <c r="N893" s="354"/>
      <c r="O893" s="354"/>
      <c r="P893" s="354"/>
      <c r="Q893" s="354"/>
      <c r="R893" s="354"/>
      <c r="S893" s="354"/>
      <c r="T893" s="354"/>
      <c r="U893" s="354"/>
      <c r="V893" s="354"/>
      <c r="W893" s="354"/>
      <c r="X893" s="354"/>
      <c r="Y893" s="354"/>
      <c r="Z893" s="354"/>
    </row>
    <row r="894" customFormat="false" ht="15" hidden="false" customHeight="true" outlineLevel="0" collapsed="false">
      <c r="A894" s="354"/>
      <c r="B894" s="354"/>
      <c r="C894" s="354"/>
      <c r="D894" s="354"/>
      <c r="E894" s="354"/>
      <c r="F894" s="354"/>
      <c r="G894" s="354"/>
      <c r="H894" s="354"/>
      <c r="I894" s="354"/>
      <c r="J894" s="354"/>
      <c r="K894" s="354"/>
      <c r="L894" s="354"/>
      <c r="M894" s="354"/>
      <c r="N894" s="354"/>
      <c r="O894" s="354"/>
      <c r="P894" s="354"/>
      <c r="Q894" s="354"/>
      <c r="R894" s="354"/>
      <c r="S894" s="354"/>
      <c r="T894" s="354"/>
      <c r="U894" s="354"/>
      <c r="V894" s="354"/>
      <c r="W894" s="354"/>
      <c r="X894" s="354"/>
      <c r="Y894" s="354"/>
      <c r="Z894" s="354"/>
    </row>
    <row r="895" customFormat="false" ht="15" hidden="false" customHeight="true" outlineLevel="0" collapsed="false">
      <c r="A895" s="354"/>
      <c r="B895" s="354"/>
      <c r="C895" s="354"/>
      <c r="D895" s="354"/>
      <c r="E895" s="354"/>
      <c r="F895" s="354"/>
      <c r="G895" s="354"/>
      <c r="H895" s="354"/>
      <c r="I895" s="354"/>
      <c r="J895" s="354"/>
      <c r="K895" s="354"/>
      <c r="L895" s="354"/>
      <c r="M895" s="354"/>
      <c r="N895" s="354"/>
      <c r="O895" s="354"/>
      <c r="P895" s="354"/>
      <c r="Q895" s="354"/>
      <c r="R895" s="354"/>
      <c r="S895" s="354"/>
      <c r="T895" s="354"/>
      <c r="U895" s="354"/>
      <c r="V895" s="354"/>
      <c r="W895" s="354"/>
      <c r="X895" s="354"/>
      <c r="Y895" s="354"/>
      <c r="Z895" s="354"/>
    </row>
    <row r="896" customFormat="false" ht="15" hidden="false" customHeight="true" outlineLevel="0" collapsed="false">
      <c r="A896" s="354"/>
      <c r="B896" s="354"/>
      <c r="C896" s="354"/>
      <c r="D896" s="354"/>
      <c r="E896" s="354"/>
      <c r="F896" s="354"/>
      <c r="G896" s="354"/>
      <c r="H896" s="354"/>
      <c r="I896" s="354"/>
      <c r="J896" s="354"/>
      <c r="K896" s="354"/>
      <c r="L896" s="354"/>
      <c r="M896" s="354"/>
      <c r="N896" s="354"/>
      <c r="O896" s="354"/>
      <c r="P896" s="354"/>
      <c r="Q896" s="354"/>
      <c r="R896" s="354"/>
      <c r="S896" s="354"/>
      <c r="T896" s="354"/>
      <c r="U896" s="354"/>
      <c r="V896" s="354"/>
      <c r="W896" s="354"/>
      <c r="X896" s="354"/>
      <c r="Y896" s="354"/>
      <c r="Z896" s="354"/>
    </row>
    <row r="897" customFormat="false" ht="15" hidden="false" customHeight="true" outlineLevel="0" collapsed="false">
      <c r="A897" s="354"/>
      <c r="B897" s="354"/>
      <c r="C897" s="354"/>
      <c r="D897" s="354"/>
      <c r="E897" s="354"/>
      <c r="F897" s="354"/>
      <c r="G897" s="354"/>
      <c r="H897" s="354"/>
      <c r="I897" s="354"/>
      <c r="J897" s="354"/>
      <c r="K897" s="354"/>
      <c r="L897" s="354"/>
      <c r="M897" s="354"/>
      <c r="N897" s="354"/>
      <c r="O897" s="354"/>
      <c r="P897" s="354"/>
      <c r="Q897" s="354"/>
      <c r="R897" s="354"/>
      <c r="S897" s="354"/>
      <c r="T897" s="354"/>
      <c r="U897" s="354"/>
      <c r="V897" s="354"/>
      <c r="W897" s="354"/>
      <c r="X897" s="354"/>
      <c r="Y897" s="354"/>
      <c r="Z897" s="354"/>
    </row>
    <row r="898" customFormat="false" ht="15" hidden="false" customHeight="true" outlineLevel="0" collapsed="false">
      <c r="A898" s="354"/>
      <c r="B898" s="354"/>
      <c r="C898" s="354"/>
      <c r="D898" s="354"/>
      <c r="E898" s="354"/>
      <c r="F898" s="354"/>
      <c r="G898" s="354"/>
      <c r="H898" s="354"/>
      <c r="I898" s="354"/>
      <c r="J898" s="354"/>
      <c r="K898" s="354"/>
      <c r="L898" s="354"/>
      <c r="M898" s="354"/>
      <c r="N898" s="354"/>
      <c r="O898" s="354"/>
      <c r="P898" s="354"/>
      <c r="Q898" s="354"/>
      <c r="R898" s="354"/>
      <c r="S898" s="354"/>
      <c r="T898" s="354"/>
      <c r="U898" s="354"/>
      <c r="V898" s="354"/>
      <c r="W898" s="354"/>
      <c r="X898" s="354"/>
      <c r="Y898" s="354"/>
      <c r="Z898" s="354"/>
    </row>
    <row r="899" customFormat="false" ht="15" hidden="false" customHeight="true" outlineLevel="0" collapsed="false">
      <c r="A899" s="354"/>
      <c r="B899" s="354"/>
      <c r="C899" s="354"/>
      <c r="D899" s="354"/>
      <c r="E899" s="354"/>
      <c r="F899" s="354"/>
      <c r="G899" s="354"/>
      <c r="H899" s="354"/>
      <c r="I899" s="354"/>
      <c r="J899" s="354"/>
      <c r="K899" s="354"/>
      <c r="L899" s="354"/>
      <c r="M899" s="354"/>
      <c r="N899" s="354"/>
      <c r="O899" s="354"/>
      <c r="P899" s="354"/>
      <c r="Q899" s="354"/>
      <c r="R899" s="354"/>
      <c r="S899" s="354"/>
      <c r="T899" s="354"/>
      <c r="U899" s="354"/>
      <c r="V899" s="354"/>
      <c r="W899" s="354"/>
      <c r="X899" s="354"/>
      <c r="Y899" s="354"/>
      <c r="Z899" s="354"/>
    </row>
    <row r="900" customFormat="false" ht="15" hidden="false" customHeight="true" outlineLevel="0" collapsed="false">
      <c r="A900" s="354"/>
      <c r="B900" s="354"/>
      <c r="C900" s="354"/>
      <c r="D900" s="354"/>
      <c r="E900" s="354"/>
      <c r="F900" s="354"/>
      <c r="G900" s="354"/>
      <c r="H900" s="354"/>
      <c r="I900" s="354"/>
      <c r="J900" s="354"/>
      <c r="K900" s="354"/>
      <c r="L900" s="354"/>
      <c r="M900" s="354"/>
      <c r="N900" s="354"/>
      <c r="O900" s="354"/>
      <c r="P900" s="354"/>
      <c r="Q900" s="354"/>
      <c r="R900" s="354"/>
      <c r="S900" s="354"/>
      <c r="T900" s="354"/>
      <c r="U900" s="354"/>
      <c r="V900" s="354"/>
      <c r="W900" s="354"/>
      <c r="X900" s="354"/>
      <c r="Y900" s="354"/>
      <c r="Z900" s="354"/>
    </row>
    <row r="901" customFormat="false" ht="15" hidden="false" customHeight="true" outlineLevel="0" collapsed="false">
      <c r="A901" s="354"/>
      <c r="B901" s="354"/>
      <c r="C901" s="354"/>
      <c r="D901" s="354"/>
      <c r="E901" s="354"/>
      <c r="F901" s="354"/>
      <c r="G901" s="354"/>
      <c r="H901" s="354"/>
      <c r="I901" s="354"/>
      <c r="J901" s="354"/>
      <c r="K901" s="354"/>
      <c r="L901" s="354"/>
      <c r="M901" s="354"/>
      <c r="N901" s="354"/>
      <c r="O901" s="354"/>
      <c r="P901" s="354"/>
      <c r="Q901" s="354"/>
      <c r="R901" s="354"/>
      <c r="S901" s="354"/>
      <c r="T901" s="354"/>
      <c r="U901" s="354"/>
      <c r="V901" s="354"/>
      <c r="W901" s="354"/>
      <c r="X901" s="354"/>
      <c r="Y901" s="354"/>
      <c r="Z901" s="354"/>
    </row>
    <row r="902" customFormat="false" ht="15" hidden="false" customHeight="true" outlineLevel="0" collapsed="false">
      <c r="A902" s="354"/>
      <c r="B902" s="354"/>
      <c r="C902" s="354"/>
      <c r="D902" s="354"/>
      <c r="E902" s="354"/>
      <c r="F902" s="354"/>
      <c r="G902" s="354"/>
      <c r="H902" s="354"/>
      <c r="I902" s="354"/>
      <c r="J902" s="354"/>
      <c r="K902" s="354"/>
      <c r="L902" s="354"/>
      <c r="M902" s="354"/>
      <c r="N902" s="354"/>
      <c r="O902" s="354"/>
      <c r="P902" s="354"/>
      <c r="Q902" s="354"/>
      <c r="R902" s="354"/>
      <c r="S902" s="354"/>
      <c r="T902" s="354"/>
      <c r="U902" s="354"/>
      <c r="V902" s="354"/>
      <c r="W902" s="354"/>
      <c r="X902" s="354"/>
      <c r="Y902" s="354"/>
      <c r="Z902" s="354"/>
    </row>
    <row r="903" customFormat="false" ht="15" hidden="false" customHeight="true" outlineLevel="0" collapsed="false">
      <c r="A903" s="354"/>
      <c r="B903" s="354"/>
      <c r="C903" s="354"/>
      <c r="D903" s="354"/>
      <c r="E903" s="354"/>
      <c r="F903" s="354"/>
      <c r="G903" s="354"/>
      <c r="H903" s="354"/>
      <c r="I903" s="354"/>
      <c r="J903" s="354"/>
      <c r="K903" s="354"/>
      <c r="L903" s="354"/>
      <c r="M903" s="354"/>
      <c r="N903" s="354"/>
      <c r="O903" s="354"/>
      <c r="P903" s="354"/>
      <c r="Q903" s="354"/>
      <c r="R903" s="354"/>
      <c r="S903" s="354"/>
      <c r="T903" s="354"/>
      <c r="U903" s="354"/>
      <c r="V903" s="354"/>
      <c r="W903" s="354"/>
      <c r="X903" s="354"/>
      <c r="Y903" s="354"/>
      <c r="Z903" s="354"/>
    </row>
    <row r="904" customFormat="false" ht="15" hidden="false" customHeight="true" outlineLevel="0" collapsed="false">
      <c r="A904" s="354"/>
      <c r="B904" s="354"/>
      <c r="C904" s="354"/>
      <c r="D904" s="354"/>
      <c r="E904" s="354"/>
      <c r="F904" s="354"/>
      <c r="G904" s="354"/>
      <c r="H904" s="354"/>
      <c r="I904" s="354"/>
      <c r="J904" s="354"/>
      <c r="K904" s="354"/>
      <c r="L904" s="354"/>
      <c r="M904" s="354"/>
      <c r="N904" s="354"/>
      <c r="O904" s="354"/>
      <c r="P904" s="354"/>
      <c r="Q904" s="354"/>
      <c r="R904" s="354"/>
      <c r="S904" s="354"/>
      <c r="T904" s="354"/>
      <c r="U904" s="354"/>
      <c r="V904" s="354"/>
      <c r="W904" s="354"/>
      <c r="X904" s="354"/>
      <c r="Y904" s="354"/>
      <c r="Z904" s="354"/>
    </row>
    <row r="905" customFormat="false" ht="15" hidden="false" customHeight="true" outlineLevel="0" collapsed="false">
      <c r="A905" s="354"/>
      <c r="B905" s="354"/>
      <c r="C905" s="354"/>
      <c r="D905" s="354"/>
      <c r="E905" s="354"/>
      <c r="F905" s="354"/>
      <c r="G905" s="354"/>
      <c r="H905" s="354"/>
      <c r="I905" s="354"/>
      <c r="J905" s="354"/>
      <c r="K905" s="354"/>
      <c r="L905" s="354"/>
      <c r="M905" s="354"/>
      <c r="N905" s="354"/>
      <c r="O905" s="354"/>
      <c r="P905" s="354"/>
      <c r="Q905" s="354"/>
      <c r="R905" s="354"/>
      <c r="S905" s="354"/>
      <c r="T905" s="354"/>
      <c r="U905" s="354"/>
      <c r="V905" s="354"/>
      <c r="W905" s="354"/>
      <c r="X905" s="354"/>
      <c r="Y905" s="354"/>
      <c r="Z905" s="354"/>
    </row>
    <row r="906" customFormat="false" ht="15" hidden="false" customHeight="true" outlineLevel="0" collapsed="false">
      <c r="A906" s="354"/>
      <c r="B906" s="354"/>
      <c r="C906" s="354"/>
      <c r="D906" s="354"/>
      <c r="E906" s="354"/>
      <c r="F906" s="354"/>
      <c r="G906" s="354"/>
      <c r="H906" s="354"/>
      <c r="I906" s="354"/>
      <c r="J906" s="354"/>
      <c r="K906" s="354"/>
      <c r="L906" s="354"/>
      <c r="M906" s="354"/>
      <c r="N906" s="354"/>
      <c r="O906" s="354"/>
      <c r="P906" s="354"/>
      <c r="Q906" s="354"/>
      <c r="R906" s="354"/>
      <c r="S906" s="354"/>
      <c r="T906" s="354"/>
      <c r="U906" s="354"/>
      <c r="V906" s="354"/>
      <c r="W906" s="354"/>
      <c r="X906" s="354"/>
      <c r="Y906" s="354"/>
      <c r="Z906" s="354"/>
    </row>
    <row r="907" customFormat="false" ht="15" hidden="false" customHeight="true" outlineLevel="0" collapsed="false">
      <c r="A907" s="354"/>
      <c r="B907" s="354"/>
      <c r="C907" s="354"/>
      <c r="D907" s="354"/>
      <c r="E907" s="354"/>
      <c r="F907" s="354"/>
      <c r="G907" s="354"/>
      <c r="H907" s="354"/>
      <c r="I907" s="354"/>
      <c r="J907" s="354"/>
      <c r="K907" s="354"/>
      <c r="L907" s="354"/>
      <c r="M907" s="354"/>
      <c r="N907" s="354"/>
      <c r="O907" s="354"/>
      <c r="P907" s="354"/>
      <c r="Q907" s="354"/>
      <c r="R907" s="354"/>
      <c r="S907" s="354"/>
      <c r="T907" s="354"/>
      <c r="U907" s="354"/>
      <c r="V907" s="354"/>
      <c r="W907" s="354"/>
      <c r="X907" s="354"/>
      <c r="Y907" s="354"/>
      <c r="Z907" s="354"/>
    </row>
    <row r="908" customFormat="false" ht="15" hidden="false" customHeight="true" outlineLevel="0" collapsed="false">
      <c r="A908" s="354"/>
      <c r="B908" s="354"/>
      <c r="C908" s="354"/>
      <c r="D908" s="354"/>
      <c r="E908" s="354"/>
      <c r="F908" s="354"/>
      <c r="G908" s="354"/>
      <c r="H908" s="354"/>
      <c r="I908" s="354"/>
      <c r="J908" s="354"/>
      <c r="K908" s="354"/>
      <c r="L908" s="354"/>
      <c r="M908" s="354"/>
      <c r="N908" s="354"/>
      <c r="O908" s="354"/>
      <c r="P908" s="354"/>
      <c r="Q908" s="354"/>
      <c r="R908" s="354"/>
      <c r="S908" s="354"/>
      <c r="T908" s="354"/>
      <c r="U908" s="354"/>
      <c r="V908" s="354"/>
      <c r="W908" s="354"/>
      <c r="X908" s="354"/>
      <c r="Y908" s="354"/>
      <c r="Z908" s="354"/>
    </row>
    <row r="909" customFormat="false" ht="15" hidden="false" customHeight="true" outlineLevel="0" collapsed="false">
      <c r="A909" s="354"/>
      <c r="B909" s="354"/>
      <c r="C909" s="354"/>
      <c r="D909" s="354"/>
      <c r="E909" s="354"/>
      <c r="F909" s="354"/>
      <c r="G909" s="354"/>
      <c r="H909" s="354"/>
      <c r="I909" s="354"/>
      <c r="J909" s="354"/>
      <c r="K909" s="354"/>
      <c r="L909" s="354"/>
      <c r="M909" s="354"/>
      <c r="N909" s="354"/>
      <c r="O909" s="354"/>
      <c r="P909" s="354"/>
      <c r="Q909" s="354"/>
      <c r="R909" s="354"/>
      <c r="S909" s="354"/>
      <c r="T909" s="354"/>
      <c r="U909" s="354"/>
      <c r="V909" s="354"/>
      <c r="W909" s="354"/>
      <c r="X909" s="354"/>
      <c r="Y909" s="354"/>
      <c r="Z909" s="354"/>
    </row>
    <row r="910" customFormat="false" ht="15" hidden="false" customHeight="true" outlineLevel="0" collapsed="false">
      <c r="A910" s="354"/>
      <c r="B910" s="354"/>
      <c r="C910" s="354"/>
      <c r="D910" s="354"/>
      <c r="E910" s="354"/>
      <c r="F910" s="354"/>
      <c r="G910" s="354"/>
      <c r="H910" s="354"/>
      <c r="I910" s="354"/>
      <c r="J910" s="354"/>
      <c r="K910" s="354"/>
      <c r="L910" s="354"/>
      <c r="M910" s="354"/>
      <c r="N910" s="354"/>
      <c r="O910" s="354"/>
      <c r="P910" s="354"/>
      <c r="Q910" s="354"/>
      <c r="R910" s="354"/>
      <c r="S910" s="354"/>
      <c r="T910" s="354"/>
      <c r="U910" s="354"/>
      <c r="V910" s="354"/>
      <c r="W910" s="354"/>
      <c r="X910" s="354"/>
      <c r="Y910" s="354"/>
      <c r="Z910" s="354"/>
    </row>
    <row r="911" customFormat="false" ht="15" hidden="false" customHeight="true" outlineLevel="0" collapsed="false">
      <c r="A911" s="354"/>
      <c r="B911" s="354"/>
      <c r="C911" s="354"/>
      <c r="D911" s="354"/>
      <c r="E911" s="354"/>
      <c r="F911" s="354"/>
      <c r="G911" s="354"/>
      <c r="H911" s="354"/>
      <c r="I911" s="354"/>
      <c r="J911" s="354"/>
      <c r="K911" s="354"/>
      <c r="L911" s="354"/>
      <c r="M911" s="354"/>
      <c r="N911" s="354"/>
      <c r="O911" s="354"/>
      <c r="P911" s="354"/>
      <c r="Q911" s="354"/>
      <c r="R911" s="354"/>
      <c r="S911" s="354"/>
      <c r="T911" s="354"/>
      <c r="U911" s="354"/>
      <c r="V911" s="354"/>
      <c r="W911" s="354"/>
      <c r="X911" s="354"/>
      <c r="Y911" s="354"/>
      <c r="Z911" s="354"/>
    </row>
    <row r="912" customFormat="false" ht="15" hidden="false" customHeight="true" outlineLevel="0" collapsed="false">
      <c r="A912" s="354"/>
      <c r="B912" s="354"/>
      <c r="C912" s="354"/>
      <c r="D912" s="354"/>
      <c r="E912" s="354"/>
      <c r="F912" s="354"/>
      <c r="G912" s="354"/>
      <c r="H912" s="354"/>
      <c r="I912" s="354"/>
      <c r="J912" s="354"/>
      <c r="K912" s="354"/>
      <c r="L912" s="354"/>
      <c r="M912" s="354"/>
      <c r="N912" s="354"/>
      <c r="O912" s="354"/>
      <c r="P912" s="354"/>
      <c r="Q912" s="354"/>
      <c r="R912" s="354"/>
      <c r="S912" s="354"/>
      <c r="T912" s="354"/>
      <c r="U912" s="354"/>
      <c r="V912" s="354"/>
      <c r="W912" s="354"/>
      <c r="X912" s="354"/>
      <c r="Y912" s="354"/>
      <c r="Z912" s="354"/>
    </row>
    <row r="913" customFormat="false" ht="15" hidden="false" customHeight="true" outlineLevel="0" collapsed="false">
      <c r="A913" s="354"/>
      <c r="B913" s="354"/>
      <c r="C913" s="354"/>
      <c r="D913" s="354"/>
      <c r="E913" s="354"/>
      <c r="F913" s="354"/>
      <c r="G913" s="354"/>
      <c r="H913" s="354"/>
      <c r="I913" s="354"/>
      <c r="J913" s="354"/>
      <c r="K913" s="354"/>
      <c r="L913" s="354"/>
      <c r="M913" s="354"/>
      <c r="N913" s="354"/>
      <c r="O913" s="354"/>
      <c r="P913" s="354"/>
      <c r="Q913" s="354"/>
      <c r="R913" s="354"/>
      <c r="S913" s="354"/>
      <c r="T913" s="354"/>
      <c r="U913" s="354"/>
      <c r="V913" s="354"/>
      <c r="W913" s="354"/>
      <c r="X913" s="354"/>
      <c r="Y913" s="354"/>
      <c r="Z913" s="354"/>
    </row>
    <row r="914" customFormat="false" ht="15" hidden="false" customHeight="true" outlineLevel="0" collapsed="false">
      <c r="A914" s="354"/>
      <c r="B914" s="354"/>
      <c r="C914" s="354"/>
      <c r="D914" s="354"/>
      <c r="E914" s="354"/>
      <c r="F914" s="354"/>
      <c r="G914" s="354"/>
      <c r="H914" s="354"/>
      <c r="I914" s="354"/>
      <c r="J914" s="354"/>
      <c r="K914" s="354"/>
      <c r="L914" s="354"/>
      <c r="M914" s="354"/>
      <c r="N914" s="354"/>
      <c r="O914" s="354"/>
      <c r="P914" s="354"/>
      <c r="Q914" s="354"/>
      <c r="R914" s="354"/>
      <c r="S914" s="354"/>
      <c r="T914" s="354"/>
      <c r="U914" s="354"/>
      <c r="V914" s="354"/>
      <c r="W914" s="354"/>
      <c r="X914" s="354"/>
      <c r="Y914" s="354"/>
      <c r="Z914" s="354"/>
    </row>
    <row r="915" customFormat="false" ht="15" hidden="false" customHeight="true" outlineLevel="0" collapsed="false">
      <c r="A915" s="354"/>
      <c r="B915" s="354"/>
      <c r="C915" s="354"/>
      <c r="D915" s="354"/>
      <c r="E915" s="354"/>
      <c r="F915" s="354"/>
      <c r="G915" s="354"/>
      <c r="H915" s="354"/>
      <c r="I915" s="354"/>
      <c r="J915" s="354"/>
      <c r="K915" s="354"/>
      <c r="L915" s="354"/>
      <c r="M915" s="354"/>
      <c r="N915" s="354"/>
      <c r="O915" s="354"/>
      <c r="P915" s="354"/>
      <c r="Q915" s="354"/>
      <c r="R915" s="354"/>
      <c r="S915" s="354"/>
      <c r="T915" s="354"/>
      <c r="U915" s="354"/>
      <c r="V915" s="354"/>
      <c r="W915" s="354"/>
      <c r="X915" s="354"/>
      <c r="Y915" s="354"/>
      <c r="Z915" s="354"/>
    </row>
    <row r="916" customFormat="false" ht="15" hidden="false" customHeight="true" outlineLevel="0" collapsed="false">
      <c r="A916" s="354"/>
      <c r="B916" s="354"/>
      <c r="C916" s="354"/>
      <c r="D916" s="354"/>
      <c r="E916" s="354"/>
      <c r="F916" s="354"/>
      <c r="G916" s="354"/>
      <c r="H916" s="354"/>
      <c r="I916" s="354"/>
      <c r="J916" s="354"/>
      <c r="K916" s="354"/>
      <c r="L916" s="354"/>
      <c r="M916" s="354"/>
      <c r="N916" s="354"/>
      <c r="O916" s="354"/>
      <c r="P916" s="354"/>
      <c r="Q916" s="354"/>
      <c r="R916" s="354"/>
      <c r="S916" s="354"/>
      <c r="T916" s="354"/>
      <c r="U916" s="354"/>
      <c r="V916" s="354"/>
      <c r="W916" s="354"/>
      <c r="X916" s="354"/>
      <c r="Y916" s="354"/>
      <c r="Z916" s="354"/>
    </row>
    <row r="917" customFormat="false" ht="15" hidden="false" customHeight="true" outlineLevel="0" collapsed="false">
      <c r="A917" s="354"/>
      <c r="B917" s="354"/>
      <c r="C917" s="354"/>
      <c r="D917" s="354"/>
      <c r="E917" s="354"/>
      <c r="F917" s="354"/>
      <c r="G917" s="354"/>
      <c r="H917" s="354"/>
      <c r="I917" s="354"/>
      <c r="J917" s="354"/>
      <c r="K917" s="354"/>
      <c r="L917" s="354"/>
      <c r="M917" s="354"/>
      <c r="N917" s="354"/>
      <c r="O917" s="354"/>
      <c r="P917" s="354"/>
      <c r="Q917" s="354"/>
      <c r="R917" s="354"/>
      <c r="S917" s="354"/>
      <c r="T917" s="354"/>
      <c r="U917" s="354"/>
      <c r="V917" s="354"/>
      <c r="W917" s="354"/>
      <c r="X917" s="354"/>
      <c r="Y917" s="354"/>
      <c r="Z917" s="354"/>
    </row>
    <row r="918" customFormat="false" ht="15" hidden="false" customHeight="true" outlineLevel="0" collapsed="false">
      <c r="A918" s="354"/>
      <c r="B918" s="354"/>
      <c r="C918" s="354"/>
      <c r="D918" s="354"/>
      <c r="E918" s="354"/>
      <c r="F918" s="354"/>
      <c r="G918" s="354"/>
      <c r="H918" s="354"/>
      <c r="I918" s="354"/>
      <c r="J918" s="354"/>
      <c r="K918" s="354"/>
      <c r="L918" s="354"/>
      <c r="M918" s="354"/>
      <c r="N918" s="354"/>
      <c r="O918" s="354"/>
      <c r="P918" s="354"/>
      <c r="Q918" s="354"/>
      <c r="R918" s="354"/>
      <c r="S918" s="354"/>
      <c r="T918" s="354"/>
      <c r="U918" s="354"/>
      <c r="V918" s="354"/>
      <c r="W918" s="354"/>
      <c r="X918" s="354"/>
      <c r="Y918" s="354"/>
      <c r="Z918" s="354"/>
    </row>
    <row r="919" customFormat="false" ht="15" hidden="false" customHeight="true" outlineLevel="0" collapsed="false">
      <c r="A919" s="354"/>
      <c r="B919" s="354"/>
      <c r="C919" s="354"/>
      <c r="D919" s="354"/>
      <c r="E919" s="354"/>
      <c r="F919" s="354"/>
      <c r="G919" s="354"/>
      <c r="H919" s="354"/>
      <c r="I919" s="354"/>
      <c r="J919" s="354"/>
      <c r="K919" s="354"/>
      <c r="L919" s="354"/>
      <c r="M919" s="354"/>
      <c r="N919" s="354"/>
      <c r="O919" s="354"/>
      <c r="P919" s="354"/>
      <c r="Q919" s="354"/>
      <c r="R919" s="354"/>
      <c r="S919" s="354"/>
      <c r="T919" s="354"/>
      <c r="U919" s="354"/>
      <c r="V919" s="354"/>
      <c r="W919" s="354"/>
      <c r="X919" s="354"/>
      <c r="Y919" s="354"/>
      <c r="Z919" s="354"/>
    </row>
    <row r="920" customFormat="false" ht="15" hidden="false" customHeight="true" outlineLevel="0" collapsed="false">
      <c r="A920" s="354"/>
      <c r="B920" s="354"/>
      <c r="C920" s="354"/>
      <c r="D920" s="354"/>
      <c r="E920" s="354"/>
      <c r="F920" s="354"/>
      <c r="G920" s="354"/>
      <c r="H920" s="354"/>
      <c r="I920" s="354"/>
      <c r="J920" s="354"/>
      <c r="K920" s="354"/>
      <c r="L920" s="354"/>
      <c r="M920" s="354"/>
      <c r="N920" s="354"/>
      <c r="O920" s="354"/>
      <c r="P920" s="354"/>
      <c r="Q920" s="354"/>
      <c r="R920" s="354"/>
      <c r="S920" s="354"/>
      <c r="T920" s="354"/>
      <c r="U920" s="354"/>
      <c r="V920" s="354"/>
      <c r="W920" s="354"/>
      <c r="X920" s="354"/>
      <c r="Y920" s="354"/>
      <c r="Z920" s="354"/>
    </row>
    <row r="921" customFormat="false" ht="15" hidden="false" customHeight="true" outlineLevel="0" collapsed="false">
      <c r="A921" s="354"/>
      <c r="B921" s="354"/>
      <c r="C921" s="354"/>
      <c r="D921" s="354"/>
      <c r="E921" s="354"/>
      <c r="F921" s="354"/>
      <c r="G921" s="354"/>
      <c r="H921" s="354"/>
      <c r="I921" s="354"/>
      <c r="J921" s="354"/>
      <c r="K921" s="354"/>
      <c r="L921" s="354"/>
      <c r="M921" s="354"/>
      <c r="N921" s="354"/>
      <c r="O921" s="354"/>
      <c r="P921" s="354"/>
      <c r="Q921" s="354"/>
      <c r="R921" s="354"/>
      <c r="S921" s="354"/>
      <c r="T921" s="354"/>
      <c r="U921" s="354"/>
      <c r="V921" s="354"/>
      <c r="W921" s="354"/>
      <c r="X921" s="354"/>
      <c r="Y921" s="354"/>
      <c r="Z921" s="354"/>
    </row>
    <row r="922" customFormat="false" ht="15" hidden="false" customHeight="true" outlineLevel="0" collapsed="false">
      <c r="A922" s="354"/>
      <c r="B922" s="354"/>
      <c r="C922" s="354"/>
      <c r="D922" s="354"/>
      <c r="E922" s="354"/>
      <c r="F922" s="354"/>
      <c r="G922" s="354"/>
      <c r="H922" s="354"/>
      <c r="I922" s="354"/>
      <c r="J922" s="354"/>
      <c r="K922" s="354"/>
      <c r="L922" s="354"/>
      <c r="M922" s="354"/>
      <c r="N922" s="354"/>
      <c r="O922" s="354"/>
      <c r="P922" s="354"/>
      <c r="Q922" s="354"/>
      <c r="R922" s="354"/>
      <c r="S922" s="354"/>
      <c r="T922" s="354"/>
      <c r="U922" s="354"/>
      <c r="V922" s="354"/>
      <c r="W922" s="354"/>
      <c r="X922" s="354"/>
      <c r="Y922" s="354"/>
      <c r="Z922" s="354"/>
    </row>
    <row r="923" customFormat="false" ht="15" hidden="false" customHeight="true" outlineLevel="0" collapsed="false">
      <c r="A923" s="354"/>
      <c r="B923" s="354"/>
      <c r="C923" s="354"/>
      <c r="D923" s="354"/>
      <c r="E923" s="354"/>
      <c r="F923" s="354"/>
      <c r="G923" s="354"/>
      <c r="H923" s="354"/>
      <c r="I923" s="354"/>
      <c r="J923" s="354"/>
      <c r="K923" s="354"/>
      <c r="L923" s="354"/>
      <c r="M923" s="354"/>
      <c r="N923" s="354"/>
      <c r="O923" s="354"/>
      <c r="P923" s="354"/>
      <c r="Q923" s="354"/>
      <c r="R923" s="354"/>
      <c r="S923" s="354"/>
      <c r="T923" s="354"/>
      <c r="U923" s="354"/>
      <c r="V923" s="354"/>
      <c r="W923" s="354"/>
      <c r="X923" s="354"/>
      <c r="Y923" s="354"/>
      <c r="Z923" s="354"/>
    </row>
    <row r="924" customFormat="false" ht="15" hidden="false" customHeight="true" outlineLevel="0" collapsed="false">
      <c r="A924" s="354"/>
      <c r="B924" s="354"/>
      <c r="C924" s="354"/>
      <c r="D924" s="354"/>
      <c r="E924" s="354"/>
      <c r="F924" s="354"/>
      <c r="G924" s="354"/>
      <c r="H924" s="354"/>
      <c r="I924" s="354"/>
      <c r="J924" s="354"/>
      <c r="K924" s="354"/>
      <c r="L924" s="354"/>
      <c r="M924" s="354"/>
      <c r="N924" s="354"/>
      <c r="O924" s="354"/>
      <c r="P924" s="354"/>
      <c r="Q924" s="354"/>
      <c r="R924" s="354"/>
      <c r="S924" s="354"/>
      <c r="T924" s="354"/>
      <c r="U924" s="354"/>
      <c r="V924" s="354"/>
      <c r="W924" s="354"/>
      <c r="X924" s="354"/>
      <c r="Y924" s="354"/>
      <c r="Z924" s="354"/>
    </row>
    <row r="925" customFormat="false" ht="15" hidden="false" customHeight="true" outlineLevel="0" collapsed="false">
      <c r="A925" s="354"/>
      <c r="B925" s="354"/>
      <c r="C925" s="354"/>
      <c r="D925" s="354"/>
      <c r="E925" s="354"/>
      <c r="F925" s="354"/>
      <c r="G925" s="354"/>
      <c r="H925" s="354"/>
      <c r="I925" s="354"/>
      <c r="J925" s="354"/>
      <c r="K925" s="354"/>
      <c r="L925" s="354"/>
      <c r="M925" s="354"/>
      <c r="N925" s="354"/>
      <c r="O925" s="354"/>
      <c r="P925" s="354"/>
      <c r="Q925" s="354"/>
      <c r="R925" s="354"/>
      <c r="S925" s="354"/>
      <c r="T925" s="354"/>
      <c r="U925" s="354"/>
      <c r="V925" s="354"/>
      <c r="W925" s="354"/>
      <c r="X925" s="354"/>
      <c r="Y925" s="354"/>
      <c r="Z925" s="354"/>
    </row>
    <row r="926" customFormat="false" ht="15" hidden="false" customHeight="true" outlineLevel="0" collapsed="false">
      <c r="A926" s="354"/>
      <c r="B926" s="354"/>
      <c r="C926" s="354"/>
      <c r="D926" s="354"/>
      <c r="E926" s="354"/>
      <c r="F926" s="354"/>
      <c r="G926" s="354"/>
      <c r="H926" s="354"/>
      <c r="I926" s="354"/>
      <c r="J926" s="354"/>
      <c r="K926" s="354"/>
      <c r="L926" s="354"/>
      <c r="M926" s="354"/>
      <c r="N926" s="354"/>
      <c r="O926" s="354"/>
      <c r="P926" s="354"/>
      <c r="Q926" s="354"/>
      <c r="R926" s="354"/>
      <c r="S926" s="354"/>
      <c r="T926" s="354"/>
      <c r="U926" s="354"/>
      <c r="V926" s="354"/>
      <c r="W926" s="354"/>
      <c r="X926" s="354"/>
      <c r="Y926" s="354"/>
      <c r="Z926" s="354"/>
    </row>
    <row r="927" customFormat="false" ht="15" hidden="false" customHeight="true" outlineLevel="0" collapsed="false">
      <c r="A927" s="354"/>
      <c r="B927" s="354"/>
      <c r="C927" s="354"/>
      <c r="D927" s="354"/>
      <c r="E927" s="354"/>
      <c r="F927" s="354"/>
      <c r="G927" s="354"/>
      <c r="H927" s="354"/>
      <c r="I927" s="354"/>
      <c r="J927" s="354"/>
      <c r="K927" s="354"/>
      <c r="L927" s="354"/>
      <c r="M927" s="354"/>
      <c r="N927" s="354"/>
      <c r="O927" s="354"/>
      <c r="P927" s="354"/>
      <c r="Q927" s="354"/>
      <c r="R927" s="354"/>
      <c r="S927" s="354"/>
      <c r="T927" s="354"/>
      <c r="U927" s="354"/>
      <c r="V927" s="354"/>
      <c r="W927" s="354"/>
      <c r="X927" s="354"/>
      <c r="Y927" s="354"/>
      <c r="Z927" s="354"/>
    </row>
    <row r="928" customFormat="false" ht="15" hidden="false" customHeight="true" outlineLevel="0" collapsed="false">
      <c r="A928" s="354"/>
      <c r="B928" s="354"/>
      <c r="C928" s="354"/>
      <c r="D928" s="354"/>
      <c r="E928" s="354"/>
      <c r="F928" s="354"/>
      <c r="G928" s="354"/>
      <c r="H928" s="354"/>
      <c r="I928" s="354"/>
      <c r="J928" s="354"/>
      <c r="K928" s="354"/>
      <c r="L928" s="354"/>
      <c r="M928" s="354"/>
      <c r="N928" s="354"/>
      <c r="O928" s="354"/>
      <c r="P928" s="354"/>
      <c r="Q928" s="354"/>
      <c r="R928" s="354"/>
      <c r="S928" s="354"/>
      <c r="T928" s="354"/>
      <c r="U928" s="354"/>
      <c r="V928" s="354"/>
      <c r="W928" s="354"/>
      <c r="X928" s="354"/>
      <c r="Y928" s="354"/>
      <c r="Z928" s="354"/>
    </row>
    <row r="929" customFormat="false" ht="15" hidden="false" customHeight="true" outlineLevel="0" collapsed="false">
      <c r="A929" s="354"/>
      <c r="B929" s="354"/>
      <c r="C929" s="354"/>
      <c r="D929" s="354"/>
      <c r="E929" s="354"/>
      <c r="F929" s="354"/>
      <c r="G929" s="354"/>
      <c r="H929" s="354"/>
      <c r="I929" s="354"/>
      <c r="J929" s="354"/>
      <c r="K929" s="354"/>
      <c r="L929" s="354"/>
      <c r="M929" s="354"/>
      <c r="N929" s="354"/>
      <c r="O929" s="354"/>
      <c r="P929" s="354"/>
      <c r="Q929" s="354"/>
      <c r="R929" s="354"/>
      <c r="S929" s="354"/>
      <c r="T929" s="354"/>
      <c r="U929" s="354"/>
      <c r="V929" s="354"/>
      <c r="W929" s="354"/>
      <c r="X929" s="354"/>
      <c r="Y929" s="354"/>
      <c r="Z929" s="354"/>
    </row>
    <row r="930" customFormat="false" ht="15" hidden="false" customHeight="true" outlineLevel="0" collapsed="false">
      <c r="A930" s="354"/>
      <c r="B930" s="354"/>
      <c r="C930" s="354"/>
      <c r="D930" s="354"/>
      <c r="E930" s="354"/>
      <c r="F930" s="354"/>
      <c r="G930" s="354"/>
      <c r="H930" s="354"/>
      <c r="I930" s="354"/>
      <c r="J930" s="354"/>
      <c r="K930" s="354"/>
      <c r="L930" s="354"/>
      <c r="M930" s="354"/>
      <c r="N930" s="354"/>
      <c r="O930" s="354"/>
      <c r="P930" s="354"/>
      <c r="Q930" s="354"/>
      <c r="R930" s="354"/>
      <c r="S930" s="354"/>
      <c r="T930" s="354"/>
      <c r="U930" s="354"/>
      <c r="V930" s="354"/>
      <c r="W930" s="354"/>
      <c r="X930" s="354"/>
      <c r="Y930" s="354"/>
      <c r="Z930" s="354"/>
    </row>
    <row r="931" customFormat="false" ht="15" hidden="false" customHeight="true" outlineLevel="0" collapsed="false">
      <c r="A931" s="354"/>
      <c r="B931" s="354"/>
      <c r="C931" s="354"/>
      <c r="D931" s="354"/>
      <c r="E931" s="354"/>
      <c r="F931" s="354"/>
      <c r="G931" s="354"/>
      <c r="H931" s="354"/>
      <c r="I931" s="354"/>
      <c r="J931" s="354"/>
      <c r="K931" s="354"/>
      <c r="L931" s="354"/>
      <c r="M931" s="354"/>
      <c r="N931" s="354"/>
      <c r="O931" s="354"/>
      <c r="P931" s="354"/>
      <c r="Q931" s="354"/>
      <c r="R931" s="354"/>
      <c r="S931" s="354"/>
      <c r="T931" s="354"/>
      <c r="U931" s="354"/>
      <c r="V931" s="354"/>
      <c r="W931" s="354"/>
      <c r="X931" s="354"/>
      <c r="Y931" s="354"/>
      <c r="Z931" s="354"/>
    </row>
    <row r="932" customFormat="false" ht="15" hidden="false" customHeight="true" outlineLevel="0" collapsed="false">
      <c r="A932" s="354"/>
      <c r="B932" s="354"/>
      <c r="C932" s="354"/>
      <c r="D932" s="354"/>
      <c r="E932" s="354"/>
      <c r="F932" s="354"/>
      <c r="G932" s="354"/>
      <c r="H932" s="354"/>
      <c r="I932" s="354"/>
      <c r="J932" s="354"/>
      <c r="K932" s="354"/>
      <c r="L932" s="354"/>
      <c r="M932" s="354"/>
      <c r="N932" s="354"/>
      <c r="O932" s="354"/>
      <c r="P932" s="354"/>
      <c r="Q932" s="354"/>
      <c r="R932" s="354"/>
      <c r="S932" s="354"/>
      <c r="T932" s="354"/>
      <c r="U932" s="354"/>
      <c r="V932" s="354"/>
      <c r="W932" s="354"/>
      <c r="X932" s="354"/>
      <c r="Y932" s="354"/>
      <c r="Z932" s="354"/>
    </row>
    <row r="933" customFormat="false" ht="15" hidden="false" customHeight="true" outlineLevel="0" collapsed="false">
      <c r="A933" s="354"/>
      <c r="B933" s="354"/>
      <c r="C933" s="354"/>
      <c r="D933" s="354"/>
      <c r="E933" s="354"/>
      <c r="F933" s="354"/>
      <c r="G933" s="354"/>
      <c r="H933" s="354"/>
      <c r="I933" s="354"/>
      <c r="J933" s="354"/>
      <c r="K933" s="354"/>
      <c r="L933" s="354"/>
      <c r="M933" s="354"/>
      <c r="N933" s="354"/>
      <c r="O933" s="354"/>
      <c r="P933" s="354"/>
      <c r="Q933" s="354"/>
      <c r="R933" s="354"/>
      <c r="S933" s="354"/>
      <c r="T933" s="354"/>
      <c r="U933" s="354"/>
      <c r="V933" s="354"/>
      <c r="W933" s="354"/>
      <c r="X933" s="354"/>
      <c r="Y933" s="354"/>
      <c r="Z933" s="354"/>
    </row>
    <row r="934" customFormat="false" ht="15" hidden="false" customHeight="true" outlineLevel="0" collapsed="false">
      <c r="A934" s="354"/>
      <c r="B934" s="354"/>
      <c r="C934" s="354"/>
      <c r="D934" s="354"/>
      <c r="E934" s="354"/>
      <c r="F934" s="354"/>
      <c r="G934" s="354"/>
      <c r="H934" s="354"/>
      <c r="I934" s="354"/>
      <c r="J934" s="354"/>
      <c r="K934" s="354"/>
      <c r="L934" s="354"/>
      <c r="M934" s="354"/>
      <c r="N934" s="354"/>
      <c r="O934" s="354"/>
      <c r="P934" s="354"/>
      <c r="Q934" s="354"/>
      <c r="R934" s="354"/>
      <c r="S934" s="354"/>
      <c r="T934" s="354"/>
      <c r="U934" s="354"/>
      <c r="V934" s="354"/>
      <c r="W934" s="354"/>
      <c r="X934" s="354"/>
      <c r="Y934" s="354"/>
      <c r="Z934" s="354"/>
    </row>
    <row r="935" customFormat="false" ht="15" hidden="false" customHeight="true" outlineLevel="0" collapsed="false">
      <c r="A935" s="354"/>
      <c r="B935" s="354"/>
      <c r="C935" s="354"/>
      <c r="D935" s="354"/>
      <c r="E935" s="354"/>
      <c r="F935" s="354"/>
      <c r="G935" s="354"/>
      <c r="H935" s="354"/>
      <c r="I935" s="354"/>
      <c r="J935" s="354"/>
      <c r="K935" s="354"/>
      <c r="L935" s="354"/>
      <c r="M935" s="354"/>
      <c r="N935" s="354"/>
      <c r="O935" s="354"/>
      <c r="P935" s="354"/>
      <c r="Q935" s="354"/>
      <c r="R935" s="354"/>
      <c r="S935" s="354"/>
      <c r="T935" s="354"/>
      <c r="U935" s="354"/>
      <c r="V935" s="354"/>
      <c r="W935" s="354"/>
      <c r="X935" s="354"/>
      <c r="Y935" s="354"/>
      <c r="Z935" s="354"/>
    </row>
    <row r="936" customFormat="false" ht="15" hidden="false" customHeight="true" outlineLevel="0" collapsed="false">
      <c r="A936" s="354"/>
      <c r="B936" s="354"/>
      <c r="C936" s="354"/>
      <c r="D936" s="354"/>
      <c r="E936" s="354"/>
      <c r="F936" s="354"/>
      <c r="G936" s="354"/>
      <c r="H936" s="354"/>
      <c r="I936" s="354"/>
      <c r="J936" s="354"/>
      <c r="K936" s="354"/>
      <c r="L936" s="354"/>
      <c r="M936" s="354"/>
      <c r="N936" s="354"/>
      <c r="O936" s="354"/>
      <c r="P936" s="354"/>
      <c r="Q936" s="354"/>
      <c r="R936" s="354"/>
      <c r="S936" s="354"/>
      <c r="T936" s="354"/>
      <c r="U936" s="354"/>
      <c r="V936" s="354"/>
      <c r="W936" s="354"/>
      <c r="X936" s="354"/>
      <c r="Y936" s="354"/>
      <c r="Z936" s="354"/>
    </row>
    <row r="937" customFormat="false" ht="15" hidden="false" customHeight="true" outlineLevel="0" collapsed="false">
      <c r="A937" s="354"/>
      <c r="B937" s="354"/>
      <c r="C937" s="354"/>
      <c r="D937" s="354"/>
      <c r="E937" s="354"/>
      <c r="F937" s="354"/>
      <c r="G937" s="354"/>
      <c r="H937" s="354"/>
      <c r="I937" s="354"/>
      <c r="J937" s="354"/>
      <c r="K937" s="354"/>
      <c r="L937" s="354"/>
      <c r="M937" s="354"/>
      <c r="N937" s="354"/>
      <c r="O937" s="354"/>
      <c r="P937" s="354"/>
      <c r="Q937" s="354"/>
      <c r="R937" s="354"/>
      <c r="S937" s="354"/>
      <c r="T937" s="354"/>
      <c r="U937" s="354"/>
      <c r="V937" s="354"/>
      <c r="W937" s="354"/>
      <c r="X937" s="354"/>
      <c r="Y937" s="354"/>
      <c r="Z937" s="354"/>
    </row>
    <row r="938" customFormat="false" ht="15" hidden="false" customHeight="true" outlineLevel="0" collapsed="false">
      <c r="A938" s="354"/>
      <c r="B938" s="354"/>
      <c r="C938" s="354"/>
      <c r="D938" s="354"/>
      <c r="E938" s="354"/>
      <c r="F938" s="354"/>
      <c r="G938" s="354"/>
      <c r="H938" s="354"/>
      <c r="I938" s="354"/>
      <c r="J938" s="354"/>
      <c r="K938" s="354"/>
      <c r="L938" s="354"/>
      <c r="M938" s="354"/>
      <c r="N938" s="354"/>
      <c r="O938" s="354"/>
      <c r="P938" s="354"/>
      <c r="Q938" s="354"/>
      <c r="R938" s="354"/>
      <c r="S938" s="354"/>
      <c r="T938" s="354"/>
      <c r="U938" s="354"/>
      <c r="V938" s="354"/>
      <c r="W938" s="354"/>
      <c r="X938" s="354"/>
      <c r="Y938" s="354"/>
      <c r="Z938" s="354"/>
    </row>
    <row r="939" customFormat="false" ht="15" hidden="false" customHeight="true" outlineLevel="0" collapsed="false">
      <c r="A939" s="354"/>
      <c r="B939" s="354"/>
      <c r="C939" s="354"/>
      <c r="D939" s="354"/>
      <c r="E939" s="354"/>
      <c r="F939" s="354"/>
      <c r="G939" s="354"/>
      <c r="H939" s="354"/>
      <c r="I939" s="354"/>
      <c r="J939" s="354"/>
      <c r="K939" s="354"/>
      <c r="L939" s="354"/>
      <c r="M939" s="354"/>
      <c r="N939" s="354"/>
      <c r="O939" s="354"/>
      <c r="P939" s="354"/>
      <c r="Q939" s="354"/>
      <c r="R939" s="354"/>
      <c r="S939" s="354"/>
      <c r="T939" s="354"/>
      <c r="U939" s="354"/>
      <c r="V939" s="354"/>
      <c r="W939" s="354"/>
      <c r="X939" s="354"/>
      <c r="Y939" s="354"/>
      <c r="Z939" s="354"/>
    </row>
    <row r="940" customFormat="false" ht="15" hidden="false" customHeight="true" outlineLevel="0" collapsed="false">
      <c r="A940" s="354"/>
      <c r="B940" s="354"/>
      <c r="C940" s="354"/>
      <c r="D940" s="354"/>
      <c r="E940" s="354"/>
      <c r="F940" s="354"/>
      <c r="G940" s="354"/>
      <c r="H940" s="354"/>
      <c r="I940" s="354"/>
      <c r="J940" s="354"/>
      <c r="K940" s="354"/>
      <c r="L940" s="354"/>
      <c r="M940" s="354"/>
      <c r="N940" s="354"/>
      <c r="O940" s="354"/>
      <c r="P940" s="354"/>
      <c r="Q940" s="354"/>
      <c r="R940" s="354"/>
      <c r="S940" s="354"/>
      <c r="T940" s="354"/>
      <c r="U940" s="354"/>
      <c r="V940" s="354"/>
      <c r="W940" s="354"/>
      <c r="X940" s="354"/>
      <c r="Y940" s="354"/>
      <c r="Z940" s="354"/>
    </row>
    <row r="941" customFormat="false" ht="15" hidden="false" customHeight="true" outlineLevel="0" collapsed="false">
      <c r="A941" s="354"/>
      <c r="B941" s="354"/>
      <c r="C941" s="354"/>
      <c r="D941" s="354"/>
      <c r="E941" s="354"/>
      <c r="F941" s="354"/>
      <c r="G941" s="354"/>
      <c r="H941" s="354"/>
      <c r="I941" s="354"/>
      <c r="J941" s="354"/>
      <c r="K941" s="354"/>
      <c r="L941" s="354"/>
      <c r="M941" s="354"/>
      <c r="N941" s="354"/>
      <c r="O941" s="354"/>
      <c r="P941" s="354"/>
      <c r="Q941" s="354"/>
      <c r="R941" s="354"/>
      <c r="S941" s="354"/>
      <c r="T941" s="354"/>
      <c r="U941" s="354"/>
      <c r="V941" s="354"/>
      <c r="W941" s="354"/>
      <c r="X941" s="354"/>
      <c r="Y941" s="354"/>
      <c r="Z941" s="354"/>
    </row>
    <row r="942" customFormat="false" ht="15" hidden="false" customHeight="true" outlineLevel="0" collapsed="false">
      <c r="A942" s="354"/>
      <c r="B942" s="354"/>
      <c r="C942" s="354"/>
      <c r="D942" s="354"/>
      <c r="E942" s="354"/>
      <c r="F942" s="354"/>
      <c r="G942" s="354"/>
      <c r="H942" s="354"/>
      <c r="I942" s="354"/>
      <c r="J942" s="354"/>
      <c r="K942" s="354"/>
      <c r="L942" s="354"/>
      <c r="M942" s="354"/>
      <c r="N942" s="354"/>
      <c r="O942" s="354"/>
      <c r="P942" s="354"/>
      <c r="Q942" s="354"/>
      <c r="R942" s="354"/>
      <c r="S942" s="354"/>
      <c r="T942" s="354"/>
      <c r="U942" s="354"/>
      <c r="V942" s="354"/>
      <c r="W942" s="354"/>
      <c r="X942" s="354"/>
      <c r="Y942" s="354"/>
      <c r="Z942" s="354"/>
    </row>
    <row r="943" customFormat="false" ht="15" hidden="false" customHeight="true" outlineLevel="0" collapsed="false">
      <c r="A943" s="354"/>
      <c r="B943" s="354"/>
      <c r="C943" s="354"/>
      <c r="D943" s="354"/>
      <c r="E943" s="354"/>
      <c r="F943" s="354"/>
      <c r="G943" s="354"/>
      <c r="H943" s="354"/>
      <c r="I943" s="354"/>
      <c r="J943" s="354"/>
      <c r="K943" s="354"/>
      <c r="L943" s="354"/>
      <c r="M943" s="354"/>
      <c r="N943" s="354"/>
      <c r="O943" s="354"/>
      <c r="P943" s="354"/>
      <c r="Q943" s="354"/>
      <c r="R943" s="354"/>
      <c r="S943" s="354"/>
      <c r="T943" s="354"/>
      <c r="U943" s="354"/>
      <c r="V943" s="354"/>
      <c r="W943" s="354"/>
      <c r="X943" s="354"/>
      <c r="Y943" s="354"/>
      <c r="Z943" s="354"/>
    </row>
    <row r="944" customFormat="false" ht="15" hidden="false" customHeight="true" outlineLevel="0" collapsed="false">
      <c r="A944" s="354"/>
      <c r="B944" s="354"/>
      <c r="C944" s="354"/>
      <c r="D944" s="354"/>
      <c r="E944" s="354"/>
      <c r="F944" s="354"/>
      <c r="G944" s="354"/>
      <c r="H944" s="354"/>
      <c r="I944" s="354"/>
      <c r="J944" s="354"/>
      <c r="K944" s="354"/>
      <c r="L944" s="354"/>
      <c r="M944" s="354"/>
      <c r="N944" s="354"/>
      <c r="O944" s="354"/>
      <c r="P944" s="354"/>
      <c r="Q944" s="354"/>
      <c r="R944" s="354"/>
      <c r="S944" s="354"/>
      <c r="T944" s="354"/>
      <c r="U944" s="354"/>
      <c r="V944" s="354"/>
      <c r="W944" s="354"/>
      <c r="X944" s="354"/>
      <c r="Y944" s="354"/>
      <c r="Z944" s="354"/>
    </row>
    <row r="945" customFormat="false" ht="15" hidden="false" customHeight="true" outlineLevel="0" collapsed="false">
      <c r="A945" s="354"/>
      <c r="B945" s="354"/>
      <c r="C945" s="354"/>
      <c r="D945" s="354"/>
      <c r="E945" s="354"/>
      <c r="F945" s="354"/>
      <c r="G945" s="354"/>
      <c r="H945" s="354"/>
      <c r="I945" s="354"/>
      <c r="J945" s="354"/>
      <c r="K945" s="354"/>
      <c r="L945" s="354"/>
      <c r="M945" s="354"/>
      <c r="N945" s="354"/>
      <c r="O945" s="354"/>
      <c r="P945" s="354"/>
      <c r="Q945" s="354"/>
      <c r="R945" s="354"/>
      <c r="S945" s="354"/>
      <c r="T945" s="354"/>
      <c r="U945" s="354"/>
      <c r="V945" s="354"/>
      <c r="W945" s="354"/>
      <c r="X945" s="354"/>
      <c r="Y945" s="354"/>
      <c r="Z945" s="354"/>
    </row>
    <row r="946" customFormat="false" ht="15" hidden="false" customHeight="true" outlineLevel="0" collapsed="false">
      <c r="A946" s="354"/>
      <c r="B946" s="354"/>
      <c r="C946" s="354"/>
      <c r="D946" s="354"/>
      <c r="E946" s="354"/>
      <c r="F946" s="354"/>
      <c r="G946" s="354"/>
      <c r="H946" s="354"/>
      <c r="I946" s="354"/>
      <c r="J946" s="354"/>
      <c r="K946" s="354"/>
      <c r="L946" s="354"/>
      <c r="M946" s="354"/>
      <c r="N946" s="354"/>
      <c r="O946" s="354"/>
      <c r="P946" s="354"/>
      <c r="Q946" s="354"/>
      <c r="R946" s="354"/>
      <c r="S946" s="354"/>
      <c r="T946" s="354"/>
      <c r="U946" s="354"/>
      <c r="V946" s="354"/>
      <c r="W946" s="354"/>
      <c r="X946" s="354"/>
      <c r="Y946" s="354"/>
      <c r="Z946" s="354"/>
    </row>
    <row r="947" customFormat="false" ht="15" hidden="false" customHeight="true" outlineLevel="0" collapsed="false">
      <c r="A947" s="354"/>
      <c r="B947" s="354"/>
      <c r="C947" s="354"/>
      <c r="D947" s="354"/>
      <c r="E947" s="354"/>
      <c r="F947" s="354"/>
      <c r="G947" s="354"/>
      <c r="H947" s="354"/>
      <c r="I947" s="354"/>
      <c r="J947" s="354"/>
      <c r="K947" s="354"/>
      <c r="L947" s="354"/>
      <c r="M947" s="354"/>
      <c r="N947" s="354"/>
      <c r="O947" s="354"/>
      <c r="P947" s="354"/>
      <c r="Q947" s="354"/>
      <c r="R947" s="354"/>
      <c r="S947" s="354"/>
      <c r="T947" s="354"/>
      <c r="U947" s="354"/>
      <c r="V947" s="354"/>
      <c r="W947" s="354"/>
      <c r="X947" s="354"/>
      <c r="Y947" s="354"/>
      <c r="Z947" s="354"/>
    </row>
    <row r="948" customFormat="false" ht="15" hidden="false" customHeight="true" outlineLevel="0" collapsed="false">
      <c r="A948" s="354"/>
      <c r="B948" s="354"/>
      <c r="C948" s="354"/>
      <c r="D948" s="354"/>
      <c r="E948" s="354"/>
      <c r="F948" s="354"/>
      <c r="G948" s="354"/>
      <c r="H948" s="354"/>
      <c r="I948" s="354"/>
      <c r="J948" s="354"/>
      <c r="K948" s="354"/>
      <c r="L948" s="354"/>
      <c r="M948" s="354"/>
      <c r="N948" s="354"/>
      <c r="O948" s="354"/>
      <c r="P948" s="354"/>
      <c r="Q948" s="354"/>
      <c r="R948" s="354"/>
      <c r="S948" s="354"/>
      <c r="T948" s="354"/>
      <c r="U948" s="354"/>
      <c r="V948" s="354"/>
      <c r="W948" s="354"/>
      <c r="X948" s="354"/>
      <c r="Y948" s="354"/>
      <c r="Z948" s="354"/>
    </row>
    <row r="949" customFormat="false" ht="15" hidden="false" customHeight="true" outlineLevel="0" collapsed="false">
      <c r="A949" s="354"/>
      <c r="B949" s="354"/>
      <c r="C949" s="354"/>
      <c r="D949" s="354"/>
      <c r="E949" s="354"/>
      <c r="F949" s="354"/>
      <c r="G949" s="354"/>
      <c r="H949" s="354"/>
      <c r="I949" s="354"/>
      <c r="J949" s="354"/>
      <c r="K949" s="354"/>
      <c r="L949" s="354"/>
      <c r="M949" s="354"/>
      <c r="N949" s="354"/>
      <c r="O949" s="354"/>
      <c r="P949" s="354"/>
      <c r="Q949" s="354"/>
      <c r="R949" s="354"/>
      <c r="S949" s="354"/>
      <c r="T949" s="354"/>
      <c r="U949" s="354"/>
      <c r="V949" s="354"/>
      <c r="W949" s="354"/>
      <c r="X949" s="354"/>
      <c r="Y949" s="354"/>
      <c r="Z949" s="354"/>
    </row>
    <row r="950" customFormat="false" ht="15" hidden="false" customHeight="true" outlineLevel="0" collapsed="false">
      <c r="A950" s="354"/>
      <c r="B950" s="354"/>
      <c r="C950" s="354"/>
      <c r="D950" s="354"/>
      <c r="E950" s="354"/>
      <c r="F950" s="354"/>
      <c r="G950" s="354"/>
      <c r="H950" s="354"/>
      <c r="I950" s="354"/>
      <c r="J950" s="354"/>
      <c r="K950" s="354"/>
      <c r="L950" s="354"/>
      <c r="M950" s="354"/>
      <c r="N950" s="354"/>
      <c r="O950" s="354"/>
      <c r="P950" s="354"/>
      <c r="Q950" s="354"/>
      <c r="R950" s="354"/>
      <c r="S950" s="354"/>
      <c r="T950" s="354"/>
      <c r="U950" s="354"/>
      <c r="V950" s="354"/>
      <c r="W950" s="354"/>
      <c r="X950" s="354"/>
      <c r="Y950" s="354"/>
      <c r="Z950" s="354"/>
    </row>
    <row r="951" customFormat="false" ht="15" hidden="false" customHeight="true" outlineLevel="0" collapsed="false">
      <c r="A951" s="354"/>
      <c r="B951" s="354"/>
      <c r="C951" s="354"/>
      <c r="D951" s="354"/>
      <c r="E951" s="354"/>
      <c r="F951" s="354"/>
      <c r="G951" s="354"/>
      <c r="H951" s="354"/>
      <c r="I951" s="354"/>
      <c r="J951" s="354"/>
      <c r="K951" s="354"/>
      <c r="L951" s="354"/>
      <c r="M951" s="354"/>
      <c r="N951" s="354"/>
      <c r="O951" s="354"/>
      <c r="P951" s="354"/>
      <c r="Q951" s="354"/>
      <c r="R951" s="354"/>
      <c r="S951" s="354"/>
      <c r="T951" s="354"/>
      <c r="U951" s="354"/>
      <c r="V951" s="354"/>
      <c r="W951" s="354"/>
      <c r="X951" s="354"/>
      <c r="Y951" s="354"/>
      <c r="Z951" s="354"/>
    </row>
    <row r="952" customFormat="false" ht="15" hidden="false" customHeight="true" outlineLevel="0" collapsed="false">
      <c r="A952" s="354"/>
      <c r="B952" s="354"/>
      <c r="C952" s="354"/>
      <c r="D952" s="354"/>
      <c r="E952" s="354"/>
      <c r="F952" s="354"/>
      <c r="G952" s="354"/>
      <c r="H952" s="354"/>
      <c r="I952" s="354"/>
      <c r="J952" s="354"/>
      <c r="K952" s="354"/>
      <c r="L952" s="354"/>
      <c r="M952" s="354"/>
      <c r="N952" s="354"/>
      <c r="O952" s="354"/>
      <c r="P952" s="354"/>
      <c r="Q952" s="354"/>
      <c r="R952" s="354"/>
      <c r="S952" s="354"/>
      <c r="T952" s="354"/>
      <c r="U952" s="354"/>
      <c r="V952" s="354"/>
      <c r="W952" s="354"/>
      <c r="X952" s="354"/>
      <c r="Y952" s="354"/>
      <c r="Z952" s="354"/>
    </row>
    <row r="953" customFormat="false" ht="15" hidden="false" customHeight="true" outlineLevel="0" collapsed="false">
      <c r="A953" s="354"/>
      <c r="B953" s="354"/>
      <c r="C953" s="354"/>
      <c r="D953" s="354"/>
      <c r="E953" s="354"/>
      <c r="F953" s="354"/>
      <c r="G953" s="354"/>
      <c r="H953" s="354"/>
      <c r="I953" s="354"/>
      <c r="J953" s="354"/>
      <c r="K953" s="354"/>
      <c r="L953" s="354"/>
      <c r="M953" s="354"/>
      <c r="N953" s="354"/>
      <c r="O953" s="354"/>
      <c r="P953" s="354"/>
      <c r="Q953" s="354"/>
      <c r="R953" s="354"/>
      <c r="S953" s="354"/>
      <c r="T953" s="354"/>
      <c r="U953" s="354"/>
      <c r="V953" s="354"/>
      <c r="W953" s="354"/>
      <c r="X953" s="354"/>
      <c r="Y953" s="354"/>
      <c r="Z953" s="354"/>
    </row>
    <row r="954" customFormat="false" ht="15" hidden="false" customHeight="true" outlineLevel="0" collapsed="false">
      <c r="A954" s="354"/>
      <c r="B954" s="354"/>
      <c r="C954" s="354"/>
      <c r="D954" s="354"/>
      <c r="E954" s="354"/>
      <c r="F954" s="354"/>
      <c r="G954" s="354"/>
      <c r="H954" s="354"/>
      <c r="I954" s="354"/>
      <c r="J954" s="354"/>
      <c r="K954" s="354"/>
      <c r="L954" s="354"/>
      <c r="M954" s="354"/>
      <c r="N954" s="354"/>
      <c r="O954" s="354"/>
      <c r="P954" s="354"/>
      <c r="Q954" s="354"/>
      <c r="R954" s="354"/>
      <c r="S954" s="354"/>
      <c r="T954" s="354"/>
      <c r="U954" s="354"/>
      <c r="V954" s="354"/>
      <c r="W954" s="354"/>
      <c r="X954" s="354"/>
      <c r="Y954" s="354"/>
      <c r="Z954" s="354"/>
    </row>
    <row r="955" customFormat="false" ht="15" hidden="false" customHeight="true" outlineLevel="0" collapsed="false">
      <c r="A955" s="354"/>
      <c r="B955" s="354"/>
      <c r="C955" s="354"/>
      <c r="D955" s="354"/>
      <c r="E955" s="354"/>
      <c r="F955" s="354"/>
      <c r="G955" s="354"/>
      <c r="H955" s="354"/>
      <c r="I955" s="354"/>
      <c r="J955" s="354"/>
      <c r="K955" s="354"/>
      <c r="L955" s="354"/>
      <c r="M955" s="354"/>
      <c r="N955" s="354"/>
      <c r="O955" s="354"/>
      <c r="P955" s="354"/>
      <c r="Q955" s="354"/>
      <c r="R955" s="354"/>
      <c r="S955" s="354"/>
      <c r="T955" s="354"/>
      <c r="U955" s="354"/>
      <c r="V955" s="354"/>
      <c r="W955" s="354"/>
      <c r="X955" s="354"/>
      <c r="Y955" s="354"/>
      <c r="Z955" s="354"/>
    </row>
    <row r="956" customFormat="false" ht="15" hidden="false" customHeight="true" outlineLevel="0" collapsed="false">
      <c r="A956" s="354"/>
      <c r="B956" s="354"/>
      <c r="C956" s="354"/>
      <c r="D956" s="354"/>
      <c r="E956" s="354"/>
      <c r="F956" s="354"/>
      <c r="G956" s="354"/>
      <c r="H956" s="354"/>
      <c r="I956" s="354"/>
      <c r="J956" s="354"/>
      <c r="K956" s="354"/>
      <c r="L956" s="354"/>
      <c r="M956" s="354"/>
      <c r="N956" s="354"/>
      <c r="O956" s="354"/>
      <c r="P956" s="354"/>
      <c r="Q956" s="354"/>
      <c r="R956" s="354"/>
      <c r="S956" s="354"/>
      <c r="T956" s="354"/>
      <c r="U956" s="354"/>
      <c r="V956" s="354"/>
      <c r="W956" s="354"/>
      <c r="X956" s="354"/>
      <c r="Y956" s="354"/>
      <c r="Z956" s="354"/>
    </row>
    <row r="957" customFormat="false" ht="15" hidden="false" customHeight="true" outlineLevel="0" collapsed="false">
      <c r="A957" s="354"/>
      <c r="B957" s="354"/>
      <c r="C957" s="354"/>
      <c r="D957" s="354"/>
      <c r="E957" s="354"/>
      <c r="F957" s="354"/>
      <c r="G957" s="354"/>
      <c r="H957" s="354"/>
      <c r="I957" s="354"/>
      <c r="J957" s="354"/>
      <c r="K957" s="354"/>
      <c r="L957" s="354"/>
      <c r="M957" s="354"/>
      <c r="N957" s="354"/>
      <c r="O957" s="354"/>
      <c r="P957" s="354"/>
      <c r="Q957" s="354"/>
      <c r="R957" s="354"/>
      <c r="S957" s="354"/>
      <c r="T957" s="354"/>
      <c r="U957" s="354"/>
      <c r="V957" s="354"/>
      <c r="W957" s="354"/>
      <c r="X957" s="354"/>
      <c r="Y957" s="354"/>
      <c r="Z957" s="354"/>
    </row>
    <row r="958" customFormat="false" ht="15" hidden="false" customHeight="true" outlineLevel="0" collapsed="false">
      <c r="A958" s="354"/>
      <c r="B958" s="354"/>
      <c r="C958" s="354"/>
      <c r="D958" s="354"/>
      <c r="E958" s="354"/>
      <c r="F958" s="354"/>
      <c r="G958" s="354"/>
      <c r="H958" s="354"/>
      <c r="I958" s="354"/>
      <c r="J958" s="354"/>
      <c r="K958" s="354"/>
      <c r="L958" s="354"/>
      <c r="M958" s="354"/>
      <c r="N958" s="354"/>
      <c r="O958" s="354"/>
      <c r="P958" s="354"/>
      <c r="Q958" s="354"/>
      <c r="R958" s="354"/>
      <c r="S958" s="354"/>
      <c r="T958" s="354"/>
      <c r="U958" s="354"/>
      <c r="V958" s="354"/>
      <c r="W958" s="354"/>
      <c r="X958" s="354"/>
      <c r="Y958" s="354"/>
      <c r="Z958" s="354"/>
    </row>
    <row r="959" customFormat="false" ht="15" hidden="false" customHeight="true" outlineLevel="0" collapsed="false">
      <c r="A959" s="354"/>
      <c r="B959" s="354"/>
      <c r="C959" s="354"/>
      <c r="D959" s="354"/>
      <c r="E959" s="354"/>
      <c r="F959" s="354"/>
      <c r="G959" s="354"/>
      <c r="H959" s="354"/>
      <c r="I959" s="354"/>
      <c r="J959" s="354"/>
      <c r="K959" s="354"/>
      <c r="L959" s="354"/>
      <c r="M959" s="354"/>
      <c r="N959" s="354"/>
      <c r="O959" s="354"/>
      <c r="P959" s="354"/>
      <c r="Q959" s="354"/>
      <c r="R959" s="354"/>
      <c r="S959" s="354"/>
      <c r="T959" s="354"/>
      <c r="U959" s="354"/>
      <c r="V959" s="354"/>
      <c r="W959" s="354"/>
      <c r="X959" s="354"/>
      <c r="Y959" s="354"/>
      <c r="Z959" s="354"/>
    </row>
    <row r="960" customFormat="false" ht="15" hidden="false" customHeight="true" outlineLevel="0" collapsed="false">
      <c r="A960" s="354"/>
      <c r="B960" s="354"/>
      <c r="C960" s="354"/>
      <c r="D960" s="354"/>
      <c r="E960" s="354"/>
      <c r="F960" s="354"/>
      <c r="G960" s="354"/>
      <c r="H960" s="354"/>
      <c r="I960" s="354"/>
      <c r="J960" s="354"/>
      <c r="K960" s="354"/>
      <c r="L960" s="354"/>
      <c r="M960" s="354"/>
      <c r="N960" s="354"/>
      <c r="O960" s="354"/>
      <c r="P960" s="354"/>
      <c r="Q960" s="354"/>
      <c r="R960" s="354"/>
      <c r="S960" s="354"/>
      <c r="T960" s="354"/>
      <c r="U960" s="354"/>
      <c r="V960" s="354"/>
      <c r="W960" s="354"/>
      <c r="X960" s="354"/>
      <c r="Y960" s="354"/>
      <c r="Z960" s="354"/>
    </row>
    <row r="961" customFormat="false" ht="15" hidden="false" customHeight="true" outlineLevel="0" collapsed="false">
      <c r="A961" s="354"/>
      <c r="B961" s="354"/>
      <c r="C961" s="354"/>
      <c r="D961" s="354"/>
      <c r="E961" s="354"/>
      <c r="F961" s="354"/>
      <c r="G961" s="354"/>
      <c r="H961" s="354"/>
      <c r="I961" s="354"/>
      <c r="J961" s="354"/>
      <c r="K961" s="354"/>
      <c r="L961" s="354"/>
      <c r="M961" s="354"/>
      <c r="N961" s="354"/>
      <c r="O961" s="354"/>
      <c r="P961" s="354"/>
      <c r="Q961" s="354"/>
      <c r="R961" s="354"/>
      <c r="S961" s="354"/>
      <c r="T961" s="354"/>
      <c r="U961" s="354"/>
      <c r="V961" s="354"/>
      <c r="W961" s="354"/>
      <c r="X961" s="354"/>
      <c r="Y961" s="354"/>
      <c r="Z961" s="354"/>
    </row>
    <row r="962" customFormat="false" ht="15" hidden="false" customHeight="true" outlineLevel="0" collapsed="false">
      <c r="A962" s="354"/>
      <c r="B962" s="354"/>
      <c r="C962" s="354"/>
      <c r="D962" s="354"/>
      <c r="E962" s="354"/>
      <c r="F962" s="354"/>
      <c r="G962" s="354"/>
      <c r="H962" s="354"/>
      <c r="I962" s="354"/>
      <c r="J962" s="354"/>
      <c r="K962" s="354"/>
      <c r="L962" s="354"/>
      <c r="M962" s="354"/>
      <c r="N962" s="354"/>
      <c r="O962" s="354"/>
      <c r="P962" s="354"/>
      <c r="Q962" s="354"/>
      <c r="R962" s="354"/>
      <c r="S962" s="354"/>
      <c r="T962" s="354"/>
      <c r="U962" s="354"/>
      <c r="V962" s="354"/>
      <c r="W962" s="354"/>
      <c r="X962" s="354"/>
      <c r="Y962" s="354"/>
      <c r="Z962" s="354"/>
    </row>
    <row r="963" customFormat="false" ht="15" hidden="false" customHeight="true" outlineLevel="0" collapsed="false">
      <c r="A963" s="354"/>
      <c r="B963" s="354"/>
      <c r="C963" s="354"/>
      <c r="D963" s="354"/>
      <c r="E963" s="354"/>
      <c r="F963" s="354"/>
      <c r="G963" s="354"/>
      <c r="H963" s="354"/>
      <c r="I963" s="354"/>
      <c r="J963" s="354"/>
      <c r="K963" s="354"/>
      <c r="L963" s="354"/>
      <c r="M963" s="354"/>
      <c r="N963" s="354"/>
      <c r="O963" s="354"/>
      <c r="P963" s="354"/>
      <c r="Q963" s="354"/>
      <c r="R963" s="354"/>
      <c r="S963" s="354"/>
      <c r="T963" s="354"/>
      <c r="U963" s="354"/>
      <c r="V963" s="354"/>
      <c r="W963" s="354"/>
      <c r="X963" s="354"/>
      <c r="Y963" s="354"/>
      <c r="Z963" s="354"/>
    </row>
    <row r="964" customFormat="false" ht="15" hidden="false" customHeight="true" outlineLevel="0" collapsed="false">
      <c r="A964" s="354"/>
      <c r="B964" s="354"/>
      <c r="C964" s="354"/>
      <c r="D964" s="354"/>
      <c r="E964" s="354"/>
      <c r="F964" s="354"/>
      <c r="G964" s="354"/>
      <c r="H964" s="354"/>
      <c r="I964" s="354"/>
      <c r="J964" s="354"/>
      <c r="K964" s="354"/>
      <c r="L964" s="354"/>
      <c r="M964" s="354"/>
      <c r="N964" s="354"/>
      <c r="O964" s="354"/>
      <c r="P964" s="354"/>
      <c r="Q964" s="354"/>
      <c r="R964" s="354"/>
      <c r="S964" s="354"/>
      <c r="T964" s="354"/>
      <c r="U964" s="354"/>
      <c r="V964" s="354"/>
      <c r="W964" s="354"/>
      <c r="X964" s="354"/>
      <c r="Y964" s="354"/>
      <c r="Z964" s="354"/>
    </row>
    <row r="965" customFormat="false" ht="15" hidden="false" customHeight="true" outlineLevel="0" collapsed="false">
      <c r="A965" s="354"/>
      <c r="B965" s="354"/>
      <c r="C965" s="354"/>
      <c r="D965" s="354"/>
      <c r="E965" s="354"/>
      <c r="F965" s="354"/>
      <c r="G965" s="354"/>
      <c r="H965" s="354"/>
      <c r="I965" s="354"/>
      <c r="J965" s="354"/>
      <c r="K965" s="354"/>
      <c r="L965" s="354"/>
      <c r="M965" s="354"/>
      <c r="N965" s="354"/>
      <c r="O965" s="354"/>
      <c r="P965" s="354"/>
      <c r="Q965" s="354"/>
      <c r="R965" s="354"/>
      <c r="S965" s="354"/>
      <c r="T965" s="354"/>
      <c r="U965" s="354"/>
      <c r="V965" s="354"/>
      <c r="W965" s="354"/>
      <c r="X965" s="354"/>
      <c r="Y965" s="354"/>
      <c r="Z965" s="354"/>
    </row>
    <row r="966" customFormat="false" ht="15" hidden="false" customHeight="true" outlineLevel="0" collapsed="false">
      <c r="A966" s="354"/>
      <c r="B966" s="354"/>
      <c r="C966" s="354"/>
      <c r="D966" s="354"/>
      <c r="E966" s="354"/>
      <c r="F966" s="354"/>
      <c r="G966" s="354"/>
      <c r="H966" s="354"/>
      <c r="I966" s="354"/>
      <c r="J966" s="354"/>
      <c r="K966" s="354"/>
      <c r="L966" s="354"/>
      <c r="M966" s="354"/>
      <c r="N966" s="354"/>
      <c r="O966" s="354"/>
      <c r="P966" s="354"/>
      <c r="Q966" s="354"/>
      <c r="R966" s="354"/>
      <c r="S966" s="354"/>
      <c r="T966" s="354"/>
      <c r="U966" s="354"/>
      <c r="V966" s="354"/>
      <c r="W966" s="354"/>
      <c r="X966" s="354"/>
      <c r="Y966" s="354"/>
      <c r="Z966" s="354"/>
    </row>
    <row r="967" customFormat="false" ht="15" hidden="false" customHeight="true" outlineLevel="0" collapsed="false">
      <c r="A967" s="354"/>
      <c r="B967" s="354"/>
      <c r="C967" s="354"/>
      <c r="D967" s="354"/>
      <c r="E967" s="354"/>
      <c r="F967" s="354"/>
      <c r="G967" s="354"/>
      <c r="H967" s="354"/>
      <c r="I967" s="354"/>
      <c r="J967" s="354"/>
      <c r="K967" s="354"/>
      <c r="L967" s="354"/>
      <c r="M967" s="354"/>
      <c r="N967" s="354"/>
      <c r="O967" s="354"/>
      <c r="P967" s="354"/>
      <c r="Q967" s="354"/>
      <c r="R967" s="354"/>
      <c r="S967" s="354"/>
      <c r="T967" s="354"/>
      <c r="U967" s="354"/>
      <c r="V967" s="354"/>
      <c r="W967" s="354"/>
      <c r="X967" s="354"/>
      <c r="Y967" s="354"/>
      <c r="Z967" s="354"/>
    </row>
    <row r="968" customFormat="false" ht="15" hidden="false" customHeight="true" outlineLevel="0" collapsed="false">
      <c r="A968" s="354"/>
      <c r="B968" s="354"/>
      <c r="C968" s="354"/>
      <c r="D968" s="354"/>
      <c r="E968" s="354"/>
      <c r="F968" s="354"/>
      <c r="G968" s="354"/>
      <c r="H968" s="354"/>
      <c r="I968" s="354"/>
      <c r="J968" s="354"/>
      <c r="K968" s="354"/>
      <c r="L968" s="354"/>
      <c r="M968" s="354"/>
      <c r="N968" s="354"/>
      <c r="O968" s="354"/>
      <c r="P968" s="354"/>
      <c r="Q968" s="354"/>
      <c r="R968" s="354"/>
      <c r="S968" s="354"/>
      <c r="T968" s="354"/>
      <c r="U968" s="354"/>
      <c r="V968" s="354"/>
      <c r="W968" s="354"/>
      <c r="X968" s="354"/>
      <c r="Y968" s="354"/>
      <c r="Z968" s="354"/>
    </row>
    <row r="969" customFormat="false" ht="15" hidden="false" customHeight="true" outlineLevel="0" collapsed="false">
      <c r="A969" s="354"/>
      <c r="B969" s="354"/>
      <c r="C969" s="354"/>
      <c r="D969" s="354"/>
      <c r="E969" s="354"/>
      <c r="F969" s="354"/>
      <c r="G969" s="354"/>
      <c r="H969" s="354"/>
      <c r="I969" s="354"/>
      <c r="J969" s="354"/>
      <c r="K969" s="354"/>
      <c r="L969" s="354"/>
      <c r="M969" s="354"/>
      <c r="N969" s="354"/>
      <c r="O969" s="354"/>
      <c r="P969" s="354"/>
      <c r="Q969" s="354"/>
      <c r="R969" s="354"/>
      <c r="S969" s="354"/>
      <c r="T969" s="354"/>
      <c r="U969" s="354"/>
      <c r="V969" s="354"/>
      <c r="W969" s="354"/>
      <c r="X969" s="354"/>
      <c r="Y969" s="354"/>
      <c r="Z969" s="354"/>
    </row>
    <row r="970" customFormat="false" ht="15" hidden="false" customHeight="true" outlineLevel="0" collapsed="false">
      <c r="A970" s="354"/>
      <c r="B970" s="354"/>
      <c r="C970" s="354"/>
      <c r="D970" s="354"/>
      <c r="E970" s="354"/>
      <c r="F970" s="354"/>
      <c r="G970" s="354"/>
      <c r="H970" s="354"/>
      <c r="I970" s="354"/>
      <c r="J970" s="354"/>
      <c r="K970" s="354"/>
      <c r="L970" s="354"/>
      <c r="M970" s="354"/>
      <c r="N970" s="354"/>
      <c r="O970" s="354"/>
      <c r="P970" s="354"/>
      <c r="Q970" s="354"/>
      <c r="R970" s="354"/>
      <c r="S970" s="354"/>
      <c r="T970" s="354"/>
      <c r="U970" s="354"/>
      <c r="V970" s="354"/>
      <c r="W970" s="354"/>
      <c r="X970" s="354"/>
      <c r="Y970" s="354"/>
      <c r="Z970" s="354"/>
    </row>
  </sheetData>
  <mergeCells count="17">
    <mergeCell ref="A1:E1"/>
    <mergeCell ref="A2:E2"/>
    <mergeCell ref="A3:E3"/>
    <mergeCell ref="A5:E5"/>
    <mergeCell ref="A6:E6"/>
    <mergeCell ref="A8:E8"/>
    <mergeCell ref="A9:E9"/>
    <mergeCell ref="A22:E22"/>
    <mergeCell ref="A23:E23"/>
    <mergeCell ref="A24:E24"/>
    <mergeCell ref="A27:E27"/>
    <mergeCell ref="A28:E28"/>
    <mergeCell ref="A37:E37"/>
    <mergeCell ref="A38:E38"/>
    <mergeCell ref="A40:E40"/>
    <mergeCell ref="A53:E53"/>
    <mergeCell ref="A64:E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2026-04-19T06:22:22Z</dcterms:created>
  <dc:creator>openpyxl</dc:creator>
  <dc:description/>
  <dc:language>en-US</dc:language>
  <cp:lastModifiedBy/>
  <dcterms:modified xsi:type="dcterms:W3CDTF">2026-04-19T06:22:55Z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