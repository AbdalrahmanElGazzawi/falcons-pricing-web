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ote" sheetId="1" r:id="rId5"/>
  </sheets>
  <definedNames/>
  <calcPr/>
</workbook>
</file>

<file path=xl/sharedStrings.xml><?xml version="1.0" encoding="utf-8"?>
<sst xmlns="http://schemas.openxmlformats.org/spreadsheetml/2006/main" count="28" uniqueCount="28">
  <si>
    <t>TEAM FALCONS</t>
  </si>
  <si>
    <t xml:space="preserve">Employee Mail: </t>
  </si>
  <si>
    <t>fsm@falcons.sa</t>
  </si>
  <si>
    <t>Date:</t>
  </si>
  <si>
    <t>Approved By:</t>
  </si>
  <si>
    <t>Quote #:</t>
  </si>
  <si>
    <t>18</t>
  </si>
  <si>
    <t>rga@falcons.sa</t>
  </si>
  <si>
    <t xml:space="preserve">  Description</t>
  </si>
  <si>
    <t>Unit cost</t>
  </si>
  <si>
    <t>Qty</t>
  </si>
  <si>
    <t xml:space="preserve">Amount  </t>
  </si>
  <si>
    <t>Abu Najd Livestream</t>
  </si>
  <si>
    <t>Abu Najd IG Reels</t>
  </si>
  <si>
    <t>Abu Najd IG Story</t>
  </si>
  <si>
    <t>Madv IG Story</t>
  </si>
  <si>
    <t>Madv IG Reels</t>
  </si>
  <si>
    <t>Madv Livestream</t>
  </si>
  <si>
    <t>Exnid IG Reels</t>
  </si>
  <si>
    <t>Exnid Livestream</t>
  </si>
  <si>
    <t>Exnid IG Story</t>
  </si>
  <si>
    <t xml:space="preserve">  Special notes and instructions </t>
  </si>
  <si>
    <t>SUBTOTAL</t>
  </si>
  <si>
    <t xml:space="preserve">1- Payment within 30 Days
2- 50% Down Payments
3- The tax invoice will be issued upon receipt of the payment
</t>
  </si>
  <si>
    <t>(TAX RATE)</t>
  </si>
  <si>
    <t>TAX</t>
  </si>
  <si>
    <t>TOTAL</t>
  </si>
  <si>
    <t xml:space="preserve">
King Abdulaziz Road, Riyadh, Saudi Arabia, Al-Yasmeen Dis
Phone: +966 53370 4233 | Sales@falcons.sa | store.falcons.sa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</si>
</sst>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[$$]#,##0.00"/>
    <numFmt numFmtId="166" formatCode="&quot;$&quot;#,##0"/>
    <numFmt numFmtId="167" formatCode="&quot;$&quot;#,##0.00"/>
  </numFmts>
  <fonts count="24">
    <font>
      <sz val="10.0"/>
      <color rgb="FF000000"/>
      <name val="Calibri"/>
      <scheme val="minor"/>
    </font>
    <font>
      <sz val="10.0"/>
      <color rgb="FF666666"/>
      <name val="Roboto"/>
    </font>
    <font/>
    <font>
      <sz val="10.0"/>
      <color theme="1"/>
      <name val="Roboto"/>
    </font>
    <font>
      <b/>
      <sz val="24.0"/>
      <color rgb="FF2ED06E"/>
      <name val="Arial"/>
    </font>
    <font>
      <b/>
      <sz val="24.0"/>
      <color rgb="FF5D7079"/>
      <name val="Arial"/>
    </font>
    <font>
      <b/>
      <sz val="16.0"/>
      <color rgb="FF5D7079"/>
      <name val="Roboto"/>
    </font>
    <font>
      <color theme="1"/>
      <name val="Calibri"/>
      <scheme val="minor"/>
    </font>
    <font>
      <b/>
      <sz val="10.0"/>
      <color rgb="FF000000"/>
      <name val="Arial"/>
    </font>
    <font>
      <b/>
      <sz val="24.0"/>
      <color rgb="FF000000"/>
      <name val="Arial"/>
    </font>
    <font>
      <b/>
      <color rgb="FF35424C"/>
      <name val="Calibri"/>
    </font>
    <font>
      <sz val="10.0"/>
      <color rgb="FF000000"/>
      <name val="Arial"/>
    </font>
    <font>
      <sz val="29.0"/>
      <color rgb="FF4E535C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0.0"/>
      <color theme="1"/>
      <name val="Roboto"/>
    </font>
    <font>
      <sz val="10.0"/>
      <color rgb="FF000000"/>
      <name val="Roboto"/>
    </font>
    <font>
      <b/>
      <sz val="9.0"/>
      <color rgb="FFFFFFFF"/>
      <name val="Arial"/>
    </font>
    <font>
      <sz val="10.0"/>
      <color rgb="FF5D7079"/>
      <name val="Arial"/>
    </font>
    <font>
      <b/>
      <sz val="10.0"/>
      <color rgb="FF666666"/>
      <name val="Roboto"/>
    </font>
    <font>
      <sz val="10.0"/>
      <color rgb="FF5D7079"/>
      <name val="Roboto"/>
    </font>
    <font>
      <sz val="10.0"/>
      <color rgb="FFFFFFFF"/>
      <name val="Arial"/>
    </font>
    <font>
      <b/>
      <sz val="10.0"/>
      <color rgb="FF4E535C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2F5F7"/>
        <bgColor rgb="FFF2F5F7"/>
      </patternFill>
    </fill>
    <fill>
      <patternFill patternType="solid">
        <fgColor rgb="FF2ED06E"/>
        <bgColor rgb="FF2ED06E"/>
      </patternFill>
    </fill>
  </fills>
  <borders count="21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right/>
      <top/>
      <bottom/>
    </border>
    <border>
      <left/>
      <right/>
      <top style="thin">
        <color rgb="FFFFFFFF"/>
      </top>
      <bottom style="medium">
        <color rgb="FFFFFFFF"/>
      </bottom>
    </border>
    <border>
      <left/>
      <right/>
      <top style="medium">
        <color rgb="FFFFFFFF"/>
      </top>
      <bottom style="medium">
        <color rgb="FFFFFFFF"/>
      </bottom>
    </border>
    <border>
      <bottom style="medium">
        <color rgb="FFFFFFFF"/>
      </bottom>
    </border>
    <border>
      <right/>
      <bottom style="medium">
        <color rgb="FFFFFFFF"/>
      </bottom>
    </border>
    <border>
      <left/>
      <right/>
      <top/>
      <bottom style="thick">
        <color rgb="FFFFFFFF"/>
      </bottom>
    </border>
    <border>
      <left/>
      <right/>
      <top/>
    </border>
    <border>
      <left/>
      <top style="medium">
        <color rgb="FFFFFFFF"/>
      </top>
    </border>
    <border>
      <right/>
      <top style="medium">
        <color rgb="FFFFFFFF"/>
      </top>
    </border>
    <border>
      <left/>
    </border>
    <border>
      <right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7" fillId="2" fontId="6" numFmtId="0" xfId="0" applyAlignment="1" applyBorder="1" applyFont="1">
      <alignment horizontal="center" readingOrder="0" vertical="center"/>
    </xf>
    <xf borderId="0" fillId="0" fontId="7" numFmtId="0" xfId="0" applyAlignment="1" applyFont="1">
      <alignment horizontal="center" vertical="center"/>
    </xf>
    <xf borderId="0" fillId="2" fontId="6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0" fontId="9" numFmtId="0" xfId="0" applyAlignment="1" applyFont="1">
      <alignment horizontal="center" vertical="center"/>
    </xf>
    <xf borderId="0" fillId="2" fontId="10" numFmtId="0" xfId="0" applyAlignment="1" applyFont="1">
      <alignment horizontal="center" readingOrder="0" vertical="center"/>
    </xf>
    <xf borderId="0" fillId="2" fontId="10" numFmtId="0" xfId="0" applyAlignment="1" applyFont="1">
      <alignment horizontal="center" vertical="center"/>
    </xf>
    <xf borderId="0" fillId="0" fontId="11" numFmtId="0" xfId="0" applyAlignment="1" applyFont="1">
      <alignment horizontal="center" vertical="center"/>
    </xf>
    <xf borderId="8" fillId="3" fontId="11" numFmtId="164" xfId="0" applyAlignment="1" applyBorder="1" applyFill="1" applyFont="1" applyNumberForma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9" fillId="3" fontId="11" numFmtId="49" xfId="0" applyAlignment="1" applyBorder="1" applyFont="1" applyNumberFormat="1">
      <alignment horizontal="center" readingOrder="0" vertical="center"/>
    </xf>
    <xf borderId="10" fillId="0" fontId="11" numFmtId="0" xfId="0" applyAlignment="1" applyBorder="1" applyFont="1">
      <alignment horizontal="center" vertical="center"/>
    </xf>
    <xf borderId="11" fillId="0" fontId="2" numFmtId="0" xfId="0" applyBorder="1" applyFont="1"/>
    <xf borderId="0" fillId="0" fontId="12" numFmtId="0" xfId="0" applyAlignment="1" applyFont="1">
      <alignment horizontal="center" vertical="center"/>
    </xf>
    <xf borderId="0" fillId="2" fontId="13" numFmtId="0" xfId="0" applyAlignment="1" applyFont="1">
      <alignment horizontal="center" vertical="center"/>
    </xf>
    <xf borderId="7" fillId="4" fontId="13" numFmtId="0" xfId="0" applyAlignment="1" applyBorder="1" applyFill="1" applyFont="1">
      <alignment horizontal="center" vertical="center"/>
    </xf>
    <xf borderId="7" fillId="4" fontId="13" numFmtId="0" xfId="0" applyAlignment="1" applyBorder="1" applyFont="1">
      <alignment horizontal="center" readingOrder="0" vertical="center"/>
    </xf>
    <xf borderId="0" fillId="0" fontId="11" numFmtId="49" xfId="0" applyAlignment="1" applyFont="1" applyNumberFormat="1">
      <alignment horizontal="center" vertical="center"/>
    </xf>
    <xf borderId="12" fillId="3" fontId="14" numFmtId="0" xfId="0" applyAlignment="1" applyBorder="1" applyFont="1">
      <alignment horizontal="center" readingOrder="0" shrinkToFit="0" vertical="center" wrapText="1"/>
    </xf>
    <xf borderId="12" fillId="3" fontId="15" numFmtId="165" xfId="0" applyAlignment="1" applyBorder="1" applyFont="1" applyNumberFormat="1">
      <alignment horizontal="center" readingOrder="0" vertical="center"/>
    </xf>
    <xf borderId="12" fillId="3" fontId="16" numFmtId="0" xfId="0" applyAlignment="1" applyBorder="1" applyFont="1">
      <alignment horizontal="center" readingOrder="0" vertical="center"/>
    </xf>
    <xf borderId="12" fillId="3" fontId="15" numFmtId="165" xfId="0" applyAlignment="1" applyBorder="1" applyFont="1" applyNumberFormat="1">
      <alignment horizontal="center" vertical="center"/>
    </xf>
    <xf borderId="13" fillId="3" fontId="15" numFmtId="165" xfId="0" applyAlignment="1" applyBorder="1" applyFont="1" applyNumberFormat="1">
      <alignment horizontal="center" readingOrder="0" vertical="center"/>
    </xf>
    <xf borderId="13" fillId="3" fontId="16" numFmtId="0" xfId="0" applyAlignment="1" applyBorder="1" applyFont="1">
      <alignment horizontal="center" readingOrder="0" vertical="center"/>
    </xf>
    <xf borderId="13" fillId="3" fontId="14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vertical="center"/>
    </xf>
    <xf borderId="7" fillId="2" fontId="15" numFmtId="0" xfId="0" applyAlignment="1" applyBorder="1" applyFont="1">
      <alignment horizontal="center" vertical="center"/>
    </xf>
    <xf borderId="7" fillId="2" fontId="15" numFmtId="166" xfId="0" applyAlignment="1" applyBorder="1" applyFont="1" applyNumberFormat="1">
      <alignment horizontal="center" vertical="center"/>
    </xf>
    <xf borderId="7" fillId="2" fontId="3" numFmtId="0" xfId="0" applyAlignment="1" applyBorder="1" applyFont="1">
      <alignment horizontal="center" vertical="center"/>
    </xf>
    <xf borderId="7" fillId="2" fontId="3" numFmtId="165" xfId="0" applyAlignment="1" applyBorder="1" applyFont="1" applyNumberFormat="1">
      <alignment horizontal="center" vertical="center"/>
    </xf>
    <xf borderId="7" fillId="2" fontId="17" numFmtId="0" xfId="0" applyAlignment="1" applyBorder="1" applyFont="1">
      <alignment horizontal="center" vertical="center"/>
    </xf>
    <xf borderId="7" fillId="4" fontId="1" numFmtId="0" xfId="0" applyAlignment="1" applyBorder="1" applyFont="1">
      <alignment horizontal="center" vertical="center"/>
    </xf>
    <xf borderId="7" fillId="4" fontId="18" numFmtId="167" xfId="0" applyAlignment="1" applyBorder="1" applyFont="1" applyNumberFormat="1">
      <alignment horizontal="center" vertical="center"/>
    </xf>
    <xf borderId="7" fillId="3" fontId="19" numFmtId="165" xfId="0" applyAlignment="1" applyBorder="1" applyFont="1" applyNumberFormat="1">
      <alignment horizontal="center" vertical="center"/>
    </xf>
    <xf borderId="14" fillId="3" fontId="20" numFmtId="0" xfId="0" applyAlignment="1" applyBorder="1" applyFont="1">
      <alignment horizontal="left" readingOrder="0" vertical="center"/>
    </xf>
    <xf borderId="15" fillId="0" fontId="2" numFmtId="0" xfId="0" applyBorder="1" applyFont="1"/>
    <xf borderId="7" fillId="3" fontId="21" numFmtId="165" xfId="0" applyAlignment="1" applyBorder="1" applyFont="1" applyNumberFormat="1">
      <alignment horizontal="center" readingOrder="0" vertical="center"/>
    </xf>
    <xf borderId="16" fillId="0" fontId="2" numFmtId="0" xfId="0" applyBorder="1" applyFont="1"/>
    <xf borderId="17" fillId="0" fontId="2" numFmtId="0" xfId="0" applyBorder="1" applyFont="1"/>
    <xf borderId="7" fillId="3" fontId="21" numFmtId="165" xfId="0" applyAlignment="1" applyBorder="1" applyFont="1" applyNumberFormat="1">
      <alignment horizontal="center" vertical="center"/>
    </xf>
    <xf borderId="0" fillId="4" fontId="22" numFmtId="0" xfId="0" applyAlignment="1" applyFont="1">
      <alignment horizontal="center" vertical="center"/>
    </xf>
    <xf borderId="0" fillId="3" fontId="19" numFmtId="165" xfId="0" applyAlignment="1" applyFont="1" applyNumberFormat="1">
      <alignment horizontal="center" vertical="center"/>
    </xf>
    <xf borderId="0" fillId="4" fontId="13" numFmtId="0" xfId="0" applyAlignment="1" applyFont="1">
      <alignment horizontal="center" vertical="center"/>
    </xf>
    <xf borderId="0" fillId="3" fontId="23" numFmtId="165" xfId="0" applyAlignment="1" applyFont="1" applyNumberFormat="1">
      <alignment horizontal="center" vertical="center"/>
    </xf>
    <xf borderId="0" fillId="0" fontId="19" numFmtId="0" xfId="0" applyAlignment="1" applyFont="1">
      <alignment horizontal="center" vertical="center"/>
    </xf>
    <xf borderId="7" fillId="3" fontId="22" numFmtId="0" xfId="0" applyAlignment="1" applyBorder="1" applyFont="1">
      <alignment horizontal="center" vertical="center"/>
    </xf>
    <xf borderId="18" fillId="3" fontId="19" numFmtId="0" xfId="0" applyAlignment="1" applyBorder="1" applyFont="1">
      <alignment horizontal="center" readingOrder="0" shrinkToFit="0" vertical="center" wrapText="1"/>
    </xf>
    <xf borderId="19" fillId="0" fontId="2" numFmtId="0" xfId="0" applyBorder="1" applyFont="1"/>
    <xf borderId="20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0</xdr:row>
      <xdr:rowOff>57150</xdr:rowOff>
    </xdr:from>
    <xdr:ext cx="1057275" cy="457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27</xdr:row>
      <xdr:rowOff>161925</xdr:rowOff>
    </xdr:from>
    <xdr:ext cx="1238250" cy="5334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42.71"/>
    <col customWidth="1" min="3" max="3" width="18.14"/>
    <col customWidth="1" min="4" max="4" width="15.86"/>
    <col customWidth="1" min="5" max="5" width="30.43"/>
  </cols>
  <sheetData>
    <row r="1" ht="24.75" customHeight="1">
      <c r="A1" s="1"/>
      <c r="B1" s="2"/>
      <c r="C1" s="2"/>
      <c r="D1" s="2"/>
      <c r="E1" s="3"/>
    </row>
    <row r="2" ht="26.25" customHeight="1">
      <c r="A2" s="4"/>
      <c r="B2" s="5"/>
      <c r="C2" s="5"/>
      <c r="D2" s="5"/>
      <c r="E2" s="6"/>
    </row>
    <row r="3" ht="29.25" customHeight="1">
      <c r="A3" s="7"/>
      <c r="B3" s="8" t="s">
        <v>0</v>
      </c>
      <c r="C3" s="9"/>
      <c r="D3" s="10"/>
      <c r="E3" s="11"/>
    </row>
    <row r="4" ht="12.75" customHeight="1">
      <c r="A4" s="7"/>
      <c r="B4" s="8"/>
      <c r="C4" s="9"/>
      <c r="D4" s="12"/>
      <c r="E4" s="11"/>
    </row>
    <row r="5" ht="15.75" customHeight="1">
      <c r="A5" s="7"/>
      <c r="B5" s="13" t="s">
        <v>1</v>
      </c>
      <c r="C5" s="14"/>
      <c r="D5" s="11"/>
      <c r="E5" s="11"/>
    </row>
    <row r="6" ht="17.25" customHeight="1">
      <c r="A6" s="7"/>
      <c r="B6" s="15" t="s">
        <v>2</v>
      </c>
      <c r="C6" s="16"/>
      <c r="D6" s="17" t="s">
        <v>3</v>
      </c>
      <c r="E6" s="18">
        <v>46113.0</v>
      </c>
    </row>
    <row r="7" ht="15.75" customHeight="1">
      <c r="A7" s="7"/>
      <c r="B7" s="13" t="s">
        <v>4</v>
      </c>
      <c r="C7" s="11"/>
      <c r="D7" s="19" t="s">
        <v>5</v>
      </c>
      <c r="E7" s="20" t="s">
        <v>6</v>
      </c>
    </row>
    <row r="8" ht="15.75" customHeight="1">
      <c r="A8" s="7"/>
      <c r="B8" s="15" t="s">
        <v>7</v>
      </c>
      <c r="C8" s="16"/>
      <c r="D8" s="21"/>
      <c r="E8" s="22"/>
    </row>
    <row r="9" ht="13.5" customHeight="1">
      <c r="A9" s="7"/>
      <c r="B9" s="16"/>
      <c r="D9" s="11"/>
      <c r="E9" s="11"/>
    </row>
    <row r="10" ht="21.75" customHeight="1">
      <c r="A10" s="23"/>
      <c r="B10" s="24"/>
    </row>
    <row r="11" ht="21.75" customHeight="1">
      <c r="A11" s="23"/>
      <c r="B11" s="25" t="s">
        <v>8</v>
      </c>
      <c r="C11" s="25" t="s">
        <v>9</v>
      </c>
      <c r="D11" s="26" t="s">
        <v>10</v>
      </c>
      <c r="E11" s="25" t="s">
        <v>11</v>
      </c>
    </row>
    <row r="12" ht="24.75" customHeight="1">
      <c r="A12" s="27"/>
      <c r="B12" s="28" t="s">
        <v>12</v>
      </c>
      <c r="C12" s="29">
        <v>1500.0</v>
      </c>
      <c r="D12" s="30">
        <v>1.0</v>
      </c>
      <c r="E12" s="31">
        <f t="shared" ref="E12:E20" si="1">C12*D12</f>
        <v>1500</v>
      </c>
    </row>
    <row r="13" ht="24.75" customHeight="1">
      <c r="A13" s="27"/>
      <c r="B13" s="28" t="s">
        <v>13</v>
      </c>
      <c r="C13" s="32">
        <v>1800.0</v>
      </c>
      <c r="D13" s="33">
        <v>1.0</v>
      </c>
      <c r="E13" s="31">
        <f t="shared" si="1"/>
        <v>1800</v>
      </c>
    </row>
    <row r="14" ht="24.75" customHeight="1">
      <c r="A14" s="27"/>
      <c r="B14" s="28" t="s">
        <v>14</v>
      </c>
      <c r="C14" s="32">
        <v>650.0</v>
      </c>
      <c r="D14" s="33">
        <v>1.0</v>
      </c>
      <c r="E14" s="31">
        <f t="shared" si="1"/>
        <v>650</v>
      </c>
    </row>
    <row r="15" ht="24.75" customHeight="1">
      <c r="A15" s="27"/>
      <c r="B15" s="34" t="s">
        <v>15</v>
      </c>
      <c r="C15" s="32">
        <v>1333.33</v>
      </c>
      <c r="D15" s="33">
        <v>1.0</v>
      </c>
      <c r="E15" s="31">
        <f t="shared" si="1"/>
        <v>1333.33</v>
      </c>
    </row>
    <row r="16" ht="24.75" customHeight="1">
      <c r="A16" s="27"/>
      <c r="B16" s="34" t="s">
        <v>16</v>
      </c>
      <c r="C16" s="32">
        <v>2666.0</v>
      </c>
      <c r="D16" s="33">
        <v>1.0</v>
      </c>
      <c r="E16" s="31">
        <f t="shared" si="1"/>
        <v>2666</v>
      </c>
    </row>
    <row r="17" ht="24.75" customHeight="1">
      <c r="A17" s="27"/>
      <c r="B17" s="34" t="s">
        <v>17</v>
      </c>
      <c r="C17" s="32">
        <v>1866.0</v>
      </c>
      <c r="D17" s="33">
        <v>1.0</v>
      </c>
      <c r="E17" s="31">
        <f t="shared" si="1"/>
        <v>1866</v>
      </c>
    </row>
    <row r="18" ht="24.75" customHeight="1">
      <c r="A18" s="27"/>
      <c r="B18" s="34" t="s">
        <v>18</v>
      </c>
      <c r="C18" s="32">
        <v>1800.0</v>
      </c>
      <c r="D18" s="33">
        <v>1.0</v>
      </c>
      <c r="E18" s="31">
        <f t="shared" si="1"/>
        <v>1800</v>
      </c>
    </row>
    <row r="19" ht="24.75" customHeight="1">
      <c r="A19" s="27"/>
      <c r="B19" s="34" t="s">
        <v>19</v>
      </c>
      <c r="C19" s="32">
        <v>1800.0</v>
      </c>
      <c r="D19" s="33">
        <v>1.0</v>
      </c>
      <c r="E19" s="31">
        <f t="shared" si="1"/>
        <v>1800</v>
      </c>
    </row>
    <row r="20" ht="24.75" customHeight="1">
      <c r="A20" s="27"/>
      <c r="B20" s="34" t="s">
        <v>20</v>
      </c>
      <c r="C20" s="32">
        <v>850.0</v>
      </c>
      <c r="D20" s="33">
        <v>1.0</v>
      </c>
      <c r="E20" s="31">
        <f t="shared" si="1"/>
        <v>850</v>
      </c>
    </row>
    <row r="21" ht="26.25" customHeight="1">
      <c r="A21" s="35"/>
      <c r="B21" s="36"/>
      <c r="C21" s="37"/>
      <c r="D21" s="38"/>
      <c r="E21" s="39"/>
    </row>
    <row r="22" ht="23.25" customHeight="1">
      <c r="A22" s="40"/>
      <c r="B22" s="25" t="s">
        <v>21</v>
      </c>
      <c r="C22" s="41"/>
      <c r="D22" s="42" t="s">
        <v>22</v>
      </c>
      <c r="E22" s="43">
        <f>SUM(E12:E20)</f>
        <v>14265.33</v>
      </c>
    </row>
    <row r="23" ht="18.0" customHeight="1">
      <c r="A23" s="40"/>
      <c r="B23" s="44" t="s">
        <v>23</v>
      </c>
      <c r="C23" s="45"/>
      <c r="D23" s="42" t="s">
        <v>24</v>
      </c>
      <c r="E23" s="46">
        <v>0.15</v>
      </c>
    </row>
    <row r="24" ht="18.75" customHeight="1">
      <c r="A24" s="40"/>
      <c r="B24" s="47"/>
      <c r="C24" s="48"/>
      <c r="D24" s="42" t="s">
        <v>25</v>
      </c>
      <c r="E24" s="49">
        <f>(E22)*E23</f>
        <v>2139.7995</v>
      </c>
    </row>
    <row r="25" ht="0.75" hidden="1" customHeight="1">
      <c r="A25" s="11"/>
      <c r="B25" s="47"/>
      <c r="C25" s="48"/>
      <c r="D25" s="50"/>
      <c r="E25" s="51"/>
    </row>
    <row r="26" ht="25.5" customHeight="1">
      <c r="A26" s="11"/>
      <c r="B26" s="4"/>
      <c r="C26" s="6"/>
      <c r="D26" s="52" t="s">
        <v>26</v>
      </c>
      <c r="E26" s="53">
        <f>E22+E24</f>
        <v>16405.1295</v>
      </c>
    </row>
    <row r="27" ht="20.25" customHeight="1">
      <c r="A27" s="35"/>
      <c r="B27" s="54"/>
      <c r="D27" s="54"/>
      <c r="E27" s="11"/>
    </row>
    <row r="28" ht="69.75" customHeight="1">
      <c r="A28" s="55"/>
      <c r="B28" s="56" t="s">
        <v>27</v>
      </c>
      <c r="C28" s="57"/>
      <c r="D28" s="57"/>
      <c r="E28" s="58"/>
    </row>
  </sheetData>
  <mergeCells count="7">
    <mergeCell ref="A1:E2"/>
    <mergeCell ref="D8:E8"/>
    <mergeCell ref="B9:C9"/>
    <mergeCell ref="B10:E10"/>
    <mergeCell ref="B23:C26"/>
    <mergeCell ref="B27:C27"/>
    <mergeCell ref="B28:E28"/>
  </mergeCells>
  <dataValidations>
    <dataValidation type="list" allowBlank="1" showErrorMessage="1" sqref="B8">
      <formula1>"fsm@falcons.sa,rga@falcons.sa"</formula1>
    </dataValidation>
    <dataValidation type="list" allowBlank="1" showErrorMessage="1" sqref="B6">
      <formula1>"fsm@falcons.sa,akm@falcons.sa,lmh@falcons.sa,iss@falcons.sa,aga@falcons.sa"</formula1>
    </dataValidation>
  </dataValidations>
  <printOptions/>
  <pageMargins bottom="0.75" footer="0.0" header="0.0" left="0.25" right="0.25" top="0.75"/>
  <pageSetup orientation="landscape"/>
  <drawing r:id="rId1"/>
</worksheet>
</file>